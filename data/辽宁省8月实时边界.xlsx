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55" firstSheet="4" activeTab="14"/>
  </bookViews>
  <sheets>
    <sheet name="负荷" sheetId="1" r:id="rId1"/>
    <sheet name="水电" sheetId="7" r:id="rId2"/>
    <sheet name="核电" sheetId="8" r:id="rId3"/>
    <sheet name="地方燃煤" sheetId="9" r:id="rId4"/>
    <sheet name="风电" sheetId="5" r:id="rId5"/>
    <sheet name="光伏" sheetId="6" r:id="rId6"/>
    <sheet name="联络线" sheetId="2" r:id="rId7"/>
    <sheet name="非市场化" sheetId="3" r:id="rId8"/>
    <sheet name="开机容量" sheetId="11" state="hidden" r:id="rId9"/>
    <sheet name="竞价空间" sheetId="13" r:id="rId10"/>
    <sheet name="7日火电空间" sheetId="10" state="hidden" r:id="rId11"/>
    <sheet name="Sheet1" sheetId="12" r:id="rId12"/>
    <sheet name="实时开机" sheetId="15" r:id="rId13"/>
    <sheet name="实时负荷率" sheetId="14" r:id="rId14"/>
    <sheet name="24点平均日前负荷率" sheetId="17" r:id="rId15"/>
    <sheet name="实时电价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<sst xmlns="http://schemas.openxmlformats.org/spreadsheetml/2006/main" count="22" uniqueCount="9">
  <si>
    <t>日期</t>
  </si>
  <si>
    <t>负荷</t>
  </si>
  <si>
    <t>水电</t>
  </si>
  <si>
    <t>核电</t>
  </si>
  <si>
    <t>地方燃煤</t>
  </si>
  <si>
    <t>风电</t>
  </si>
  <si>
    <t>光伏</t>
  </si>
  <si>
    <t>联络线</t>
  </si>
  <si>
    <t>非市场化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</si>
</sst>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yyyy\-m\-d"/>
    <numFmt numFmtId="178" formatCode="[$-409]yyyy\-mm\-dd;@"/>
  </numFmts>
  <fonts count="21">
    <font>
      <sz val="11"/>
      <color theme="1"/>
      <name val="宋体"/>
      <charset val="134"/>
      <scheme val="minor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9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99CCFF"/>
      </left>
      <right style="medium">
        <color rgb="FF99CCFF"/>
      </right>
      <top/>
      <bottom/>
      <diagonal/>
    </border>
    <border>
      <left style="medium">
        <color rgb="FF99CCFF"/>
      </left>
      <right style="medium">
        <color rgb="FF99CCFF"/>
      </right>
      <top/>
      <bottom style="medium">
        <color rgb="FF99CC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6" borderId="7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20" fontId="0" fillId="0" borderId="0" xfId="0" applyNumberFormat="1">
      <alignment vertical="center"/>
    </xf>
    <xf numFmtId="20" fontId="1" fillId="2" borderId="1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46" fontId="1" fillId="2" borderId="1" xfId="0" applyNumberFormat="1" applyFont="1" applyFill="1" applyBorder="1" applyAlignment="1">
      <alignment horizontal="center" vertical="center" wrapText="1"/>
    </xf>
    <xf numFmtId="0" fontId="0" fillId="3" borderId="0" xfId="0" applyFill="1">
      <alignment vertical="center"/>
    </xf>
    <xf numFmtId="0" fontId="0" fillId="0" borderId="0" xfId="0" applyNumberFormat="1">
      <alignment vertical="center"/>
    </xf>
    <xf numFmtId="17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eetMetadata" Target="metadata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S32"/>
  <sheetViews>
    <sheetView workbookViewId="0">
      <selection activeCell="A2" sqref="$A2:$XFD2"/>
    </sheetView>
  </sheetViews>
  <sheetFormatPr defaultColWidth="9" defaultRowHeight="13.5"/>
  <cols>
    <col min="1" max="1" width="11.8916666666667" style="9" customWidth="1"/>
  </cols>
  <sheetData>
    <row r="1" spans="1:97">
      <c r="A1" s="9" t="s">
        <v>0</v>
      </c>
      <c r="B1" s="1">
        <v>0.0104166666666667</v>
      </c>
      <c r="C1" s="1">
        <v>0.0208333333333333</v>
      </c>
      <c r="D1" s="1">
        <v>0.03125</v>
      </c>
      <c r="E1" s="1">
        <v>0.0416666666666667</v>
      </c>
      <c r="F1" s="1">
        <v>0.0520833333333333</v>
      </c>
      <c r="G1" s="1">
        <v>0.0625</v>
      </c>
      <c r="H1" s="1">
        <v>0.0729166666666667</v>
      </c>
      <c r="I1" s="1">
        <v>0.0833333333333333</v>
      </c>
      <c r="J1" s="1">
        <v>0.09375</v>
      </c>
      <c r="K1" s="1">
        <v>0.104166666666667</v>
      </c>
      <c r="L1" s="1">
        <v>0.114583333333333</v>
      </c>
      <c r="M1" s="1">
        <v>0.125</v>
      </c>
      <c r="N1" s="1">
        <v>0.135416666666667</v>
      </c>
      <c r="O1" s="1">
        <v>0.145833333333333</v>
      </c>
      <c r="P1" s="1">
        <v>0.15625</v>
      </c>
      <c r="Q1" s="1">
        <v>0.166666666666667</v>
      </c>
      <c r="R1" s="1">
        <v>0.177083333333333</v>
      </c>
      <c r="S1" s="1">
        <v>0.1875</v>
      </c>
      <c r="T1" s="1">
        <v>0.197916666666667</v>
      </c>
      <c r="U1" s="1">
        <v>0.208333333333333</v>
      </c>
      <c r="V1" s="1">
        <v>0.21875</v>
      </c>
      <c r="W1" s="1">
        <v>0.229166666666667</v>
      </c>
      <c r="X1" s="1">
        <v>0.239583333333333</v>
      </c>
      <c r="Y1" s="1">
        <v>0.25</v>
      </c>
      <c r="Z1" s="1">
        <v>0.260416666666667</v>
      </c>
      <c r="AA1" s="1">
        <v>0.270833333333333</v>
      </c>
      <c r="AB1" s="1">
        <v>0.28125</v>
      </c>
      <c r="AC1" s="1">
        <v>0.291666666666667</v>
      </c>
      <c r="AD1" s="1">
        <v>0.302083333333333</v>
      </c>
      <c r="AE1" s="1">
        <v>0.3125</v>
      </c>
      <c r="AF1" s="1">
        <v>0.322916666666667</v>
      </c>
      <c r="AG1" s="1">
        <v>0.333333333333333</v>
      </c>
      <c r="AH1" s="1">
        <v>0.34375</v>
      </c>
      <c r="AI1" s="1">
        <v>0.354166666666667</v>
      </c>
      <c r="AJ1" s="1">
        <v>0.364583333333333</v>
      </c>
      <c r="AK1" s="1">
        <v>0.375</v>
      </c>
      <c r="AL1" s="1">
        <v>0.385416666666667</v>
      </c>
      <c r="AM1" s="1">
        <v>0.395833333333333</v>
      </c>
      <c r="AN1" s="1">
        <v>0.40625</v>
      </c>
      <c r="AO1" s="1">
        <v>0.416666666666667</v>
      </c>
      <c r="AP1" s="1">
        <v>0.427083333333333</v>
      </c>
      <c r="AQ1" s="1">
        <v>0.4375</v>
      </c>
      <c r="AR1" s="1">
        <v>0.447916666666667</v>
      </c>
      <c r="AS1" s="1">
        <v>0.458333333333333</v>
      </c>
      <c r="AT1" s="1">
        <v>0.46875</v>
      </c>
      <c r="AU1" s="1">
        <v>0.479166666666667</v>
      </c>
      <c r="AV1" s="1">
        <v>0.489583333333333</v>
      </c>
      <c r="AW1" s="1">
        <v>0.5</v>
      </c>
      <c r="AX1" s="1">
        <v>0.510416666666667</v>
      </c>
      <c r="AY1" s="1">
        <v>0.520833333333333</v>
      </c>
      <c r="AZ1" s="1">
        <v>0.53125</v>
      </c>
      <c r="BA1" s="1">
        <v>0.541666666666667</v>
      </c>
      <c r="BB1" s="1">
        <v>0.552083333333333</v>
      </c>
      <c r="BC1" s="1">
        <v>0.5625</v>
      </c>
      <c r="BD1" s="1">
        <v>0.572916666666667</v>
      </c>
      <c r="BE1" s="1">
        <v>0.583333333333333</v>
      </c>
      <c r="BF1" s="1">
        <v>0.59375</v>
      </c>
      <c r="BG1" s="1">
        <v>0.604166666666667</v>
      </c>
      <c r="BH1" s="1">
        <v>0.614583333333333</v>
      </c>
      <c r="BI1" s="1">
        <v>0.625</v>
      </c>
      <c r="BJ1" s="1">
        <v>0.635416666666667</v>
      </c>
      <c r="BK1" s="1">
        <v>0.645833333333333</v>
      </c>
      <c r="BL1" s="1">
        <v>0.65625</v>
      </c>
      <c r="BM1" s="1">
        <v>0.666666666666667</v>
      </c>
      <c r="BN1" s="1">
        <v>0.677083333333333</v>
      </c>
      <c r="BO1" s="1">
        <v>0.6875</v>
      </c>
      <c r="BP1" s="1">
        <v>0.697916666666667</v>
      </c>
      <c r="BQ1" s="1">
        <v>0.708333333333333</v>
      </c>
      <c r="BR1" s="1">
        <v>0.71875</v>
      </c>
      <c r="BS1" s="1">
        <v>0.729166666666667</v>
      </c>
      <c r="BT1" s="1">
        <v>0.739583333333333</v>
      </c>
      <c r="BU1" s="1">
        <v>0.75</v>
      </c>
      <c r="BV1" s="1">
        <v>0.760416666666667</v>
      </c>
      <c r="BW1" s="1">
        <v>0.770833333333333</v>
      </c>
      <c r="BX1" s="1">
        <v>0.78125</v>
      </c>
      <c r="BY1" s="1">
        <v>0.791666666666667</v>
      </c>
      <c r="BZ1" s="1">
        <v>0.802083333333333</v>
      </c>
      <c r="CA1" s="1">
        <v>0.8125</v>
      </c>
      <c r="CB1" s="1">
        <v>0.822916666666667</v>
      </c>
      <c r="CC1" s="1">
        <v>0.833333333333333</v>
      </c>
      <c r="CD1" s="1">
        <v>0.84375</v>
      </c>
      <c r="CE1" s="1">
        <v>0.854166666666667</v>
      </c>
      <c r="CF1" s="1">
        <v>0.864583333333333</v>
      </c>
      <c r="CG1" s="1">
        <v>0.875</v>
      </c>
      <c r="CH1" s="1">
        <v>0.885416666666667</v>
      </c>
      <c r="CI1" s="1">
        <v>0.895833333333333</v>
      </c>
      <c r="CJ1" s="1">
        <v>0.90625</v>
      </c>
      <c r="CK1" s="1">
        <v>0.916666666666667</v>
      </c>
      <c r="CL1" s="1">
        <v>0.927083333333333</v>
      </c>
      <c r="CM1" s="1">
        <v>0.9375</v>
      </c>
      <c r="CN1" s="1">
        <v>0.947916666666667</v>
      </c>
      <c r="CO1" s="1">
        <v>0.958333333333333</v>
      </c>
      <c r="CP1" s="1">
        <v>0.96875</v>
      </c>
      <c r="CQ1" s="1">
        <v>0.979166666666667</v>
      </c>
      <c r="CR1" s="1">
        <v>0.989583333333333</v>
      </c>
      <c r="CS1" s="1">
        <v>1</v>
      </c>
    </row>
    <row r="2" spans="1:97">
      <c r="A2" s="9">
        <v>46235</v>
      </c>
      <c r="B2">
        <v>33942.6</v>
      </c>
      <c r="C2">
        <v>33732.3</v>
      </c>
      <c r="D2">
        <v>33342</v>
      </c>
      <c r="E2">
        <v>32911.7</v>
      </c>
      <c r="F2">
        <v>32507.3</v>
      </c>
      <c r="G2">
        <v>32250.5</v>
      </c>
      <c r="H2">
        <v>31941.1</v>
      </c>
      <c r="I2">
        <v>31818.6</v>
      </c>
      <c r="J2">
        <v>31815.9</v>
      </c>
      <c r="K2">
        <v>31595.2</v>
      </c>
      <c r="L2">
        <v>31504.6</v>
      </c>
      <c r="M2">
        <v>31472</v>
      </c>
      <c r="N2">
        <v>31277.9</v>
      </c>
      <c r="O2">
        <v>31194.6</v>
      </c>
      <c r="P2">
        <v>31275.4</v>
      </c>
      <c r="Q2">
        <v>31097.3</v>
      </c>
      <c r="R2">
        <v>31291.1</v>
      </c>
      <c r="S2">
        <v>31098.9</v>
      </c>
      <c r="T2">
        <v>31288</v>
      </c>
      <c r="U2">
        <v>31415.9</v>
      </c>
      <c r="V2">
        <v>31971.1</v>
      </c>
      <c r="W2">
        <v>32352.7</v>
      </c>
      <c r="X2">
        <v>32561.9</v>
      </c>
      <c r="Y2">
        <v>33089.7</v>
      </c>
      <c r="Z2">
        <v>33227.9</v>
      </c>
      <c r="AA2">
        <v>34081.5</v>
      </c>
      <c r="AB2">
        <v>34678.3</v>
      </c>
      <c r="AC2">
        <v>35002.7</v>
      </c>
      <c r="AD2">
        <v>35965.9</v>
      </c>
      <c r="AE2">
        <v>36696</v>
      </c>
      <c r="AF2">
        <v>37593.7</v>
      </c>
      <c r="AG2">
        <v>38427.7</v>
      </c>
      <c r="AH2">
        <v>39920.1</v>
      </c>
      <c r="AI2">
        <v>40544.1</v>
      </c>
      <c r="AJ2">
        <v>41254.6</v>
      </c>
      <c r="AK2">
        <v>41683.5</v>
      </c>
      <c r="AL2">
        <v>42740.9</v>
      </c>
      <c r="AM2">
        <v>43546.7</v>
      </c>
      <c r="AN2">
        <v>43665.8</v>
      </c>
      <c r="AO2">
        <v>43643.3</v>
      </c>
      <c r="AP2">
        <v>44138.7</v>
      </c>
      <c r="AQ2">
        <v>44675.3</v>
      </c>
      <c r="AR2">
        <v>44745.8</v>
      </c>
      <c r="AS2">
        <v>44486.6</v>
      </c>
      <c r="AT2">
        <v>44128</v>
      </c>
      <c r="AU2">
        <v>44707.9</v>
      </c>
      <c r="AV2">
        <v>44431.6</v>
      </c>
      <c r="AW2">
        <v>44614.2</v>
      </c>
      <c r="AX2">
        <v>44269.6</v>
      </c>
      <c r="AY2">
        <v>44445.2</v>
      </c>
      <c r="AZ2">
        <v>44888.5</v>
      </c>
      <c r="BA2">
        <v>44431.1</v>
      </c>
      <c r="BB2">
        <v>45002.7</v>
      </c>
      <c r="BC2">
        <v>44682.2</v>
      </c>
      <c r="BD2">
        <v>44674.3</v>
      </c>
      <c r="BE2">
        <v>44331.9</v>
      </c>
      <c r="BF2">
        <v>44121.4</v>
      </c>
      <c r="BG2">
        <v>44287</v>
      </c>
      <c r="BH2">
        <v>44198.7</v>
      </c>
      <c r="BI2">
        <v>44155</v>
      </c>
      <c r="BJ2">
        <v>44049.8</v>
      </c>
      <c r="BK2">
        <v>44182.1</v>
      </c>
      <c r="BL2">
        <v>44356.5</v>
      </c>
      <c r="BM2">
        <v>44051</v>
      </c>
      <c r="BN2">
        <v>44415</v>
      </c>
      <c r="BO2">
        <v>44063.7</v>
      </c>
      <c r="BP2">
        <v>43848.2</v>
      </c>
      <c r="BQ2">
        <v>43114.8</v>
      </c>
      <c r="BR2">
        <v>42759.5</v>
      </c>
      <c r="BS2">
        <v>42797.7</v>
      </c>
      <c r="BT2">
        <v>42415.8</v>
      </c>
      <c r="BU2">
        <v>42350.1</v>
      </c>
      <c r="BV2">
        <v>41959</v>
      </c>
      <c r="BW2">
        <v>41789.5</v>
      </c>
      <c r="BX2">
        <v>42139.8</v>
      </c>
      <c r="BY2">
        <v>41903.1</v>
      </c>
      <c r="BZ2">
        <v>42167.6</v>
      </c>
      <c r="CA2">
        <v>42131</v>
      </c>
      <c r="CB2">
        <v>42540.6</v>
      </c>
      <c r="CC2">
        <v>42417.2</v>
      </c>
      <c r="CD2">
        <v>42071.4</v>
      </c>
      <c r="CE2">
        <v>42104.6</v>
      </c>
      <c r="CF2">
        <v>41630.1</v>
      </c>
      <c r="CG2">
        <v>41104</v>
      </c>
      <c r="CH2">
        <v>40844.3</v>
      </c>
      <c r="CI2">
        <v>40119.3</v>
      </c>
      <c r="CJ2">
        <v>39394.6</v>
      </c>
      <c r="CK2">
        <v>38821.2</v>
      </c>
      <c r="CL2">
        <v>38716.2</v>
      </c>
      <c r="CM2">
        <v>38026.2</v>
      </c>
      <c r="CN2">
        <v>37230.9</v>
      </c>
      <c r="CO2">
        <v>36533.9</v>
      </c>
      <c r="CP2">
        <v>35949.7</v>
      </c>
      <c r="CQ2">
        <v>35320</v>
      </c>
      <c r="CR2">
        <v>34844.5</v>
      </c>
      <c r="CS2">
        <v>34102.1</v>
      </c>
    </row>
    <row r="3" spans="1:97">
      <c r="A3" s="9">
        <v>46236</v>
      </c>
      <c r="B3">
        <v>33700.7</v>
      </c>
      <c r="C3">
        <v>33603.4</v>
      </c>
      <c r="D3">
        <v>33224.1</v>
      </c>
      <c r="E3">
        <v>32850.5</v>
      </c>
      <c r="F3">
        <v>32627.5</v>
      </c>
      <c r="G3">
        <v>32185</v>
      </c>
      <c r="H3">
        <v>32011.8</v>
      </c>
      <c r="I3">
        <v>31623.7</v>
      </c>
      <c r="J3">
        <v>31477.1</v>
      </c>
      <c r="K3">
        <v>31503.5</v>
      </c>
      <c r="L3">
        <v>31371.4</v>
      </c>
      <c r="M3">
        <v>30972.3</v>
      </c>
      <c r="N3">
        <v>30909.3</v>
      </c>
      <c r="O3">
        <v>30827.8</v>
      </c>
      <c r="P3">
        <v>30882.8</v>
      </c>
      <c r="Q3">
        <v>30583.9</v>
      </c>
      <c r="R3">
        <v>30926.5</v>
      </c>
      <c r="S3">
        <v>30848.3</v>
      </c>
      <c r="T3">
        <v>30656</v>
      </c>
      <c r="U3">
        <v>30862.5</v>
      </c>
      <c r="V3">
        <v>31197.6</v>
      </c>
      <c r="W3">
        <v>31432.3</v>
      </c>
      <c r="X3">
        <v>31888</v>
      </c>
      <c r="Y3">
        <v>32279.7</v>
      </c>
      <c r="Z3">
        <v>32680.1</v>
      </c>
      <c r="AA3">
        <v>33268.1</v>
      </c>
      <c r="AB3">
        <v>33732.8</v>
      </c>
      <c r="AC3">
        <v>34295</v>
      </c>
      <c r="AD3">
        <v>34692.4</v>
      </c>
      <c r="AE3">
        <v>35367.3</v>
      </c>
      <c r="AF3">
        <v>36220.2</v>
      </c>
      <c r="AG3">
        <v>37198.4</v>
      </c>
      <c r="AH3">
        <v>37979</v>
      </c>
      <c r="AI3">
        <v>38647.6</v>
      </c>
      <c r="AJ3">
        <v>39606.3</v>
      </c>
      <c r="AK3">
        <v>39945.1</v>
      </c>
      <c r="AL3">
        <v>40668.2</v>
      </c>
      <c r="AM3">
        <v>41438.5</v>
      </c>
      <c r="AN3">
        <v>41923</v>
      </c>
      <c r="AO3">
        <v>42700.3</v>
      </c>
      <c r="AP3">
        <v>42937.3</v>
      </c>
      <c r="AQ3">
        <v>42792.3</v>
      </c>
      <c r="AR3">
        <v>43356.4</v>
      </c>
      <c r="AS3">
        <v>43761.2</v>
      </c>
      <c r="AT3">
        <v>43717.8</v>
      </c>
      <c r="AU3">
        <v>43898.8</v>
      </c>
      <c r="AV3">
        <v>43560.2</v>
      </c>
      <c r="AW3">
        <v>43375.4</v>
      </c>
      <c r="AX3">
        <v>43763</v>
      </c>
      <c r="AY3">
        <v>43490.8</v>
      </c>
      <c r="AZ3">
        <v>43451.2</v>
      </c>
      <c r="BA3">
        <v>43359.7</v>
      </c>
      <c r="BB3">
        <v>43501.3</v>
      </c>
      <c r="BC3">
        <v>43125.4</v>
      </c>
      <c r="BD3">
        <v>43265.6</v>
      </c>
      <c r="BE3">
        <v>43361.2</v>
      </c>
      <c r="BF3">
        <v>43119.8</v>
      </c>
      <c r="BG3">
        <v>43319.4</v>
      </c>
      <c r="BH3">
        <v>43122.7</v>
      </c>
      <c r="BI3">
        <v>42980.2</v>
      </c>
      <c r="BJ3">
        <v>43186.6</v>
      </c>
      <c r="BK3">
        <v>43361.3</v>
      </c>
      <c r="BL3">
        <v>43652.9</v>
      </c>
      <c r="BM3">
        <v>43478.1</v>
      </c>
      <c r="BN3">
        <v>43399.9</v>
      </c>
      <c r="BO3">
        <v>43434</v>
      </c>
      <c r="BP3">
        <v>43320.6</v>
      </c>
      <c r="BQ3">
        <v>42678.2</v>
      </c>
      <c r="BR3">
        <v>42715.8</v>
      </c>
      <c r="BS3">
        <v>42639.1</v>
      </c>
      <c r="BT3">
        <v>42399.4</v>
      </c>
      <c r="BU3">
        <v>42588.1</v>
      </c>
      <c r="BV3">
        <v>41998.8</v>
      </c>
      <c r="BW3">
        <v>42005.4</v>
      </c>
      <c r="BX3">
        <v>41967.6</v>
      </c>
      <c r="BY3">
        <v>41650.8</v>
      </c>
      <c r="BZ3">
        <v>42102.7</v>
      </c>
      <c r="CA3">
        <v>42406.9</v>
      </c>
      <c r="CB3">
        <v>42762.5</v>
      </c>
      <c r="CC3">
        <v>42630.2</v>
      </c>
      <c r="CD3">
        <v>42584.9</v>
      </c>
      <c r="CE3">
        <v>42353.5</v>
      </c>
      <c r="CF3">
        <v>41714</v>
      </c>
      <c r="CG3">
        <v>41240.4</v>
      </c>
      <c r="CH3">
        <v>40799.9</v>
      </c>
      <c r="CI3">
        <v>40296.5</v>
      </c>
      <c r="CJ3">
        <v>39456.9</v>
      </c>
      <c r="CK3">
        <v>38655.6</v>
      </c>
      <c r="CL3">
        <v>38738.2</v>
      </c>
      <c r="CM3">
        <v>37869.3</v>
      </c>
      <c r="CN3">
        <v>37025.2</v>
      </c>
      <c r="CO3">
        <v>36444.6</v>
      </c>
      <c r="CP3">
        <v>35665.5</v>
      </c>
      <c r="CQ3">
        <v>35182.8</v>
      </c>
      <c r="CR3">
        <v>34363.4</v>
      </c>
      <c r="CS3">
        <v>33816.6</v>
      </c>
    </row>
    <row r="4" spans="1:97">
      <c r="A4" s="9">
        <v>46237</v>
      </c>
      <c r="B4">
        <v>33530.8</v>
      </c>
      <c r="C4">
        <v>33207.1</v>
      </c>
      <c r="D4">
        <v>32827.8</v>
      </c>
      <c r="E4">
        <v>32433.4</v>
      </c>
      <c r="F4">
        <v>32377.5</v>
      </c>
      <c r="G4">
        <v>32110</v>
      </c>
      <c r="H4">
        <v>31762.9</v>
      </c>
      <c r="I4">
        <v>31616.8</v>
      </c>
      <c r="J4">
        <v>31521.2</v>
      </c>
      <c r="K4">
        <v>31404.9</v>
      </c>
      <c r="L4">
        <v>31155.1</v>
      </c>
      <c r="M4">
        <v>30766.5</v>
      </c>
      <c r="N4">
        <v>31096</v>
      </c>
      <c r="O4">
        <v>31003.7</v>
      </c>
      <c r="P4">
        <v>30738.2</v>
      </c>
      <c r="Q4">
        <v>30632.6</v>
      </c>
      <c r="R4">
        <v>30545.1</v>
      </c>
      <c r="S4">
        <v>30754.9</v>
      </c>
      <c r="T4">
        <v>30870.8</v>
      </c>
      <c r="U4">
        <v>31207.8</v>
      </c>
      <c r="V4">
        <v>31663.4</v>
      </c>
      <c r="W4">
        <v>31983.6</v>
      </c>
      <c r="X4">
        <v>32519.7</v>
      </c>
      <c r="Y4">
        <v>32834.8</v>
      </c>
      <c r="Z4">
        <v>33929.1</v>
      </c>
      <c r="AA4">
        <v>34671.5</v>
      </c>
      <c r="AB4">
        <v>35264.1</v>
      </c>
      <c r="AC4">
        <v>35922.5</v>
      </c>
      <c r="AD4">
        <v>36783</v>
      </c>
      <c r="AE4">
        <v>37804</v>
      </c>
      <c r="AF4">
        <v>38705.3</v>
      </c>
      <c r="AG4">
        <v>39625.6</v>
      </c>
      <c r="AH4">
        <v>41118.4</v>
      </c>
      <c r="AI4">
        <v>42070.2</v>
      </c>
      <c r="AJ4">
        <v>42844.3</v>
      </c>
      <c r="AK4">
        <v>43860.5</v>
      </c>
      <c r="AL4">
        <v>44595.8</v>
      </c>
      <c r="AM4">
        <v>45029.4</v>
      </c>
      <c r="AN4">
        <v>45785.7</v>
      </c>
      <c r="AO4">
        <v>46440.9</v>
      </c>
      <c r="AP4">
        <v>46749.6</v>
      </c>
      <c r="AQ4">
        <v>47177.7</v>
      </c>
      <c r="AR4">
        <v>47117.4</v>
      </c>
      <c r="AS4">
        <v>47417.9</v>
      </c>
      <c r="AT4">
        <v>47298.8</v>
      </c>
      <c r="AU4">
        <v>46937.8</v>
      </c>
      <c r="AV4">
        <v>46947.9</v>
      </c>
      <c r="AW4">
        <v>46959.5</v>
      </c>
      <c r="AX4">
        <v>46635.9</v>
      </c>
      <c r="AY4">
        <v>47162.4</v>
      </c>
      <c r="AZ4">
        <v>47003.8</v>
      </c>
      <c r="BA4">
        <v>47077.9</v>
      </c>
      <c r="BB4">
        <v>47088.5</v>
      </c>
      <c r="BC4">
        <v>46936.5</v>
      </c>
      <c r="BD4">
        <v>46857.4</v>
      </c>
      <c r="BE4">
        <v>46556.4</v>
      </c>
      <c r="BF4">
        <v>47097.7</v>
      </c>
      <c r="BG4">
        <v>47064.9</v>
      </c>
      <c r="BH4">
        <v>46243.6</v>
      </c>
      <c r="BI4">
        <v>45811.4</v>
      </c>
      <c r="BJ4">
        <v>46400.2</v>
      </c>
      <c r="BK4">
        <v>45999</v>
      </c>
      <c r="BL4">
        <v>45024.6</v>
      </c>
      <c r="BM4">
        <v>44622.9</v>
      </c>
      <c r="BN4">
        <v>45337.9</v>
      </c>
      <c r="BO4">
        <v>43978.6</v>
      </c>
      <c r="BP4">
        <v>44089.9</v>
      </c>
      <c r="BQ4">
        <v>43786.5</v>
      </c>
      <c r="BR4">
        <v>42649.2</v>
      </c>
      <c r="BS4">
        <v>42346</v>
      </c>
      <c r="BT4">
        <v>42327</v>
      </c>
      <c r="BU4">
        <v>42321.1</v>
      </c>
      <c r="BV4">
        <v>41615.2</v>
      </c>
      <c r="BW4">
        <v>41359.7</v>
      </c>
      <c r="BX4">
        <v>41507</v>
      </c>
      <c r="BY4">
        <v>41365.7</v>
      </c>
      <c r="BZ4">
        <v>41499.2</v>
      </c>
      <c r="CA4">
        <v>41624.6</v>
      </c>
      <c r="CB4">
        <v>41953.2</v>
      </c>
      <c r="CC4">
        <v>41736.5</v>
      </c>
      <c r="CD4">
        <v>42435.5</v>
      </c>
      <c r="CE4">
        <v>41997.6</v>
      </c>
      <c r="CF4">
        <v>41256.6</v>
      </c>
      <c r="CG4">
        <v>41548.6</v>
      </c>
      <c r="CH4">
        <v>42008.1</v>
      </c>
      <c r="CI4">
        <v>41000.5</v>
      </c>
      <c r="CJ4">
        <v>40485.8</v>
      </c>
      <c r="CK4">
        <v>39915.8</v>
      </c>
      <c r="CL4">
        <v>39621.4</v>
      </c>
      <c r="CM4">
        <v>39009.8</v>
      </c>
      <c r="CN4">
        <v>38087.7</v>
      </c>
      <c r="CO4">
        <v>37458.9</v>
      </c>
      <c r="CP4">
        <v>36845.6</v>
      </c>
      <c r="CQ4">
        <v>36232.1</v>
      </c>
      <c r="CR4">
        <v>35612.7</v>
      </c>
      <c r="CS4">
        <v>34905.6</v>
      </c>
    </row>
    <row r="5" spans="1:97">
      <c r="A5" s="9">
        <v>46238</v>
      </c>
      <c r="B5">
        <v>34488.5</v>
      </c>
      <c r="C5">
        <v>34124.5</v>
      </c>
      <c r="D5">
        <v>33556.5</v>
      </c>
      <c r="E5">
        <v>33402.1</v>
      </c>
      <c r="F5">
        <v>33065.4</v>
      </c>
      <c r="G5">
        <v>32783.1</v>
      </c>
      <c r="H5">
        <v>32466.6</v>
      </c>
      <c r="I5">
        <v>32349.8</v>
      </c>
      <c r="J5">
        <v>32069.3</v>
      </c>
      <c r="K5">
        <v>31963.1</v>
      </c>
      <c r="L5">
        <v>31875.9</v>
      </c>
      <c r="M5">
        <v>31645.7</v>
      </c>
      <c r="N5">
        <v>31441.3</v>
      </c>
      <c r="O5">
        <v>31274</v>
      </c>
      <c r="P5">
        <v>31190.2</v>
      </c>
      <c r="Q5">
        <v>31099.6</v>
      </c>
      <c r="R5">
        <v>31224.3</v>
      </c>
      <c r="S5">
        <v>31206.8</v>
      </c>
      <c r="T5">
        <v>31307</v>
      </c>
      <c r="U5">
        <v>31662.7</v>
      </c>
      <c r="V5">
        <v>32044.6</v>
      </c>
      <c r="W5">
        <v>32503.6</v>
      </c>
      <c r="X5">
        <v>32767.9</v>
      </c>
      <c r="Y5">
        <v>33472.1</v>
      </c>
      <c r="Z5">
        <v>34151.2</v>
      </c>
      <c r="AA5">
        <v>34654.6</v>
      </c>
      <c r="AB5">
        <v>35338.5</v>
      </c>
      <c r="AC5">
        <v>35904.2</v>
      </c>
      <c r="AD5">
        <v>36774.9</v>
      </c>
      <c r="AE5">
        <v>37640.6</v>
      </c>
      <c r="AF5">
        <v>38347.4</v>
      </c>
      <c r="AG5">
        <v>39408.9</v>
      </c>
      <c r="AH5">
        <v>40594.4</v>
      </c>
      <c r="AI5">
        <v>41565.8</v>
      </c>
      <c r="AJ5">
        <v>42171.4</v>
      </c>
      <c r="AK5">
        <v>43260.5</v>
      </c>
      <c r="AL5">
        <v>44238.9</v>
      </c>
      <c r="AM5">
        <v>44800.4</v>
      </c>
      <c r="AN5">
        <v>45310.8</v>
      </c>
      <c r="AO5">
        <v>45605.9</v>
      </c>
      <c r="AP5">
        <v>46003.2</v>
      </c>
      <c r="AQ5">
        <v>46633.1</v>
      </c>
      <c r="AR5">
        <v>46581.4</v>
      </c>
      <c r="AS5">
        <v>46441.9</v>
      </c>
      <c r="AT5">
        <v>46442.4</v>
      </c>
      <c r="AU5">
        <v>46236.4</v>
      </c>
      <c r="AV5">
        <v>46417.4</v>
      </c>
      <c r="AW5">
        <v>46206.8</v>
      </c>
      <c r="AX5">
        <v>46278.8</v>
      </c>
      <c r="AY5">
        <v>46657</v>
      </c>
      <c r="AZ5">
        <v>46564.7</v>
      </c>
      <c r="BA5">
        <v>46520</v>
      </c>
      <c r="BB5">
        <v>46925.6</v>
      </c>
      <c r="BC5">
        <v>46553.8</v>
      </c>
      <c r="BD5">
        <v>46756.1</v>
      </c>
      <c r="BE5">
        <v>46610.7</v>
      </c>
      <c r="BF5">
        <v>46822.2</v>
      </c>
      <c r="BG5">
        <v>46604.4</v>
      </c>
      <c r="BH5">
        <v>46443.6</v>
      </c>
      <c r="BI5">
        <v>46401.8</v>
      </c>
      <c r="BJ5">
        <v>46288.8</v>
      </c>
      <c r="BK5">
        <v>46285.7</v>
      </c>
      <c r="BL5">
        <v>46668.7</v>
      </c>
      <c r="BM5">
        <v>46201.6</v>
      </c>
      <c r="BN5">
        <v>46766.3</v>
      </c>
      <c r="BO5">
        <v>46158.5</v>
      </c>
      <c r="BP5">
        <v>46017.9</v>
      </c>
      <c r="BQ5">
        <v>45152.7</v>
      </c>
      <c r="BR5">
        <v>44955.7</v>
      </c>
      <c r="BS5">
        <v>45037</v>
      </c>
      <c r="BT5">
        <v>44571.9</v>
      </c>
      <c r="BU5">
        <v>44788.1</v>
      </c>
      <c r="BV5">
        <v>44479.6</v>
      </c>
      <c r="BW5">
        <v>44323.9</v>
      </c>
      <c r="BX5">
        <v>44189.8</v>
      </c>
      <c r="BY5">
        <v>43997.7</v>
      </c>
      <c r="BZ5">
        <v>44309.4</v>
      </c>
      <c r="CA5">
        <v>44504.1</v>
      </c>
      <c r="CB5">
        <v>44561.4</v>
      </c>
      <c r="CC5">
        <v>44411.6</v>
      </c>
      <c r="CD5">
        <v>43972.1</v>
      </c>
      <c r="CE5">
        <v>43726.9</v>
      </c>
      <c r="CF5">
        <v>43149.4</v>
      </c>
      <c r="CG5">
        <v>42680.4</v>
      </c>
      <c r="CH5">
        <v>42160.1</v>
      </c>
      <c r="CI5">
        <v>41408.1</v>
      </c>
      <c r="CJ5">
        <v>40800.4</v>
      </c>
      <c r="CK5">
        <v>39920.6</v>
      </c>
      <c r="CL5">
        <v>39687.3</v>
      </c>
      <c r="CM5">
        <v>38641.9</v>
      </c>
      <c r="CN5">
        <v>37955.4</v>
      </c>
      <c r="CO5">
        <v>37220.6</v>
      </c>
      <c r="CP5">
        <v>36527.2</v>
      </c>
      <c r="CQ5">
        <v>36022.2</v>
      </c>
      <c r="CR5">
        <v>35295</v>
      </c>
      <c r="CS5">
        <v>34509.9</v>
      </c>
    </row>
    <row r="6" spans="1:97">
      <c r="A6" s="9">
        <v>46239</v>
      </c>
      <c r="B6">
        <v>34544.1</v>
      </c>
      <c r="C6">
        <v>34102</v>
      </c>
      <c r="D6">
        <v>33554.9</v>
      </c>
      <c r="E6">
        <v>33515.8</v>
      </c>
      <c r="F6">
        <v>33099.4</v>
      </c>
      <c r="G6">
        <v>32746.6</v>
      </c>
      <c r="H6">
        <v>32541.2</v>
      </c>
      <c r="I6">
        <v>32278.1</v>
      </c>
      <c r="J6">
        <v>32340.2</v>
      </c>
      <c r="K6">
        <v>32113.5</v>
      </c>
      <c r="L6">
        <v>31819.1</v>
      </c>
      <c r="M6">
        <v>31568.9</v>
      </c>
      <c r="N6">
        <v>31333.3</v>
      </c>
      <c r="O6">
        <v>31186.6</v>
      </c>
      <c r="P6">
        <v>31170.4</v>
      </c>
      <c r="Q6">
        <v>31280.5</v>
      </c>
      <c r="R6">
        <v>31333.8</v>
      </c>
      <c r="S6">
        <v>31321.6</v>
      </c>
      <c r="T6">
        <v>31130.7</v>
      </c>
      <c r="U6">
        <v>31620.9</v>
      </c>
      <c r="V6">
        <v>31877.1</v>
      </c>
      <c r="W6">
        <v>32388.6</v>
      </c>
      <c r="X6">
        <v>32846.8</v>
      </c>
      <c r="Y6">
        <v>33261.9</v>
      </c>
      <c r="Z6">
        <v>33903.7</v>
      </c>
      <c r="AA6">
        <v>34607.2</v>
      </c>
      <c r="AB6">
        <v>35217.8</v>
      </c>
      <c r="AC6">
        <v>35856.7</v>
      </c>
      <c r="AD6">
        <v>36820.5</v>
      </c>
      <c r="AE6">
        <v>37625.5</v>
      </c>
      <c r="AF6">
        <v>38416.8</v>
      </c>
      <c r="AG6">
        <v>39518.2</v>
      </c>
      <c r="AH6">
        <v>40703.5</v>
      </c>
      <c r="AI6">
        <v>41686.7</v>
      </c>
      <c r="AJ6">
        <v>42619.8</v>
      </c>
      <c r="AK6">
        <v>43522.8</v>
      </c>
      <c r="AL6">
        <v>44017.3</v>
      </c>
      <c r="AM6">
        <v>44407.9</v>
      </c>
      <c r="AN6">
        <v>44925.6</v>
      </c>
      <c r="AO6">
        <v>45567.5</v>
      </c>
      <c r="AP6">
        <v>45858.2</v>
      </c>
      <c r="AQ6">
        <v>46489.9</v>
      </c>
      <c r="AR6">
        <v>46586.7</v>
      </c>
      <c r="AS6">
        <v>46699.9</v>
      </c>
      <c r="AT6">
        <v>46760.2</v>
      </c>
      <c r="AU6">
        <v>46459</v>
      </c>
      <c r="AV6">
        <v>46174.5</v>
      </c>
      <c r="AW6">
        <v>46176.4</v>
      </c>
      <c r="AX6">
        <v>46440.1</v>
      </c>
      <c r="AY6">
        <v>46254.4</v>
      </c>
      <c r="AZ6">
        <v>46754.5</v>
      </c>
      <c r="BA6">
        <v>46572.3</v>
      </c>
      <c r="BB6">
        <v>46752.5</v>
      </c>
      <c r="BC6">
        <v>46867.5</v>
      </c>
      <c r="BD6">
        <v>47023.1</v>
      </c>
      <c r="BE6">
        <v>46533.5</v>
      </c>
      <c r="BF6">
        <v>46538.7</v>
      </c>
      <c r="BG6">
        <v>46521.7</v>
      </c>
      <c r="BH6">
        <v>46887.3</v>
      </c>
      <c r="BI6">
        <v>46800.2</v>
      </c>
      <c r="BJ6">
        <v>46832.1</v>
      </c>
      <c r="BK6">
        <v>46982.6</v>
      </c>
      <c r="BL6">
        <v>47006</v>
      </c>
      <c r="BM6">
        <v>45774.1</v>
      </c>
      <c r="BN6">
        <v>46524.6</v>
      </c>
      <c r="BO6">
        <v>46321.1</v>
      </c>
      <c r="BP6">
        <v>46464</v>
      </c>
      <c r="BQ6">
        <v>45943.9</v>
      </c>
      <c r="BR6">
        <v>45573.9</v>
      </c>
      <c r="BS6">
        <v>45567.9</v>
      </c>
      <c r="BT6">
        <v>45578.8</v>
      </c>
      <c r="BU6">
        <v>45428.6</v>
      </c>
      <c r="BV6">
        <v>45043.2</v>
      </c>
      <c r="BW6">
        <v>45108.8</v>
      </c>
      <c r="BX6">
        <v>44796</v>
      </c>
      <c r="BY6">
        <v>44720.4</v>
      </c>
      <c r="BZ6">
        <v>45036.5</v>
      </c>
      <c r="CA6">
        <v>44989.2</v>
      </c>
      <c r="CB6">
        <v>45196.6</v>
      </c>
      <c r="CC6">
        <v>44990.5</v>
      </c>
      <c r="CD6">
        <v>44500.2</v>
      </c>
      <c r="CE6">
        <v>44567.5</v>
      </c>
      <c r="CF6">
        <v>44129.6</v>
      </c>
      <c r="CG6">
        <v>43290.9</v>
      </c>
      <c r="CH6">
        <v>42620.4</v>
      </c>
      <c r="CI6">
        <v>42007.5</v>
      </c>
      <c r="CJ6">
        <v>41298.6</v>
      </c>
      <c r="CK6">
        <v>40504.8</v>
      </c>
      <c r="CL6">
        <v>40048.6</v>
      </c>
      <c r="CM6">
        <v>39330.9</v>
      </c>
      <c r="CN6">
        <v>38536.2</v>
      </c>
      <c r="CO6">
        <v>37724.2</v>
      </c>
      <c r="CP6">
        <v>36965.9</v>
      </c>
      <c r="CQ6">
        <v>36387.1</v>
      </c>
      <c r="CR6">
        <v>35840.6</v>
      </c>
      <c r="CS6">
        <v>35205.2</v>
      </c>
    </row>
    <row r="7" spans="1:97">
      <c r="A7" s="9">
        <v>46240</v>
      </c>
      <c r="B7">
        <v>34824.2</v>
      </c>
      <c r="C7">
        <v>34530.5</v>
      </c>
      <c r="D7">
        <v>34223.1</v>
      </c>
      <c r="E7">
        <v>33754.9</v>
      </c>
      <c r="F7">
        <v>33413.6</v>
      </c>
      <c r="G7">
        <v>33187.6</v>
      </c>
      <c r="H7">
        <v>32998.5</v>
      </c>
      <c r="I7">
        <v>32724.9</v>
      </c>
      <c r="J7">
        <v>32488.2</v>
      </c>
      <c r="K7">
        <v>32225.7</v>
      </c>
      <c r="L7">
        <v>31981.2</v>
      </c>
      <c r="M7">
        <v>31699.9</v>
      </c>
      <c r="N7">
        <v>31758.6</v>
      </c>
      <c r="O7">
        <v>31455.3</v>
      </c>
      <c r="P7">
        <v>31419.9</v>
      </c>
      <c r="Q7">
        <v>31199.3</v>
      </c>
      <c r="R7">
        <v>31421</v>
      </c>
      <c r="S7">
        <v>31434.2</v>
      </c>
      <c r="T7">
        <v>31577.7</v>
      </c>
      <c r="U7">
        <v>31904.4</v>
      </c>
      <c r="V7">
        <v>32273.9</v>
      </c>
      <c r="W7">
        <v>32459.5</v>
      </c>
      <c r="X7">
        <v>33007</v>
      </c>
      <c r="Y7">
        <v>33527.9</v>
      </c>
      <c r="Z7">
        <v>34350.5</v>
      </c>
      <c r="AA7">
        <v>34940.6</v>
      </c>
      <c r="AB7">
        <v>35509.8</v>
      </c>
      <c r="AC7">
        <v>36237.4</v>
      </c>
      <c r="AD7">
        <v>37010.8</v>
      </c>
      <c r="AE7">
        <v>37859.4</v>
      </c>
      <c r="AF7">
        <v>38717.8</v>
      </c>
      <c r="AG7">
        <v>39968.9</v>
      </c>
      <c r="AH7">
        <v>41175.5</v>
      </c>
      <c r="AI7">
        <v>42071.7</v>
      </c>
      <c r="AJ7">
        <v>43020.3</v>
      </c>
      <c r="AK7">
        <v>43813.2</v>
      </c>
      <c r="AL7">
        <v>44209.7</v>
      </c>
      <c r="AM7">
        <v>45328.9</v>
      </c>
      <c r="AN7">
        <v>45515.5</v>
      </c>
      <c r="AO7">
        <v>46098</v>
      </c>
      <c r="AP7">
        <v>46647.9</v>
      </c>
      <c r="AQ7">
        <v>46914.8</v>
      </c>
      <c r="AR7">
        <v>47010.4</v>
      </c>
      <c r="AS7">
        <v>47321.9</v>
      </c>
      <c r="AT7">
        <v>47258.2</v>
      </c>
      <c r="AU7">
        <v>47057.4</v>
      </c>
      <c r="AV7">
        <v>46870.4</v>
      </c>
      <c r="AW7">
        <v>46626.2</v>
      </c>
      <c r="AX7">
        <v>46885.3</v>
      </c>
      <c r="AY7">
        <v>46902.4</v>
      </c>
      <c r="AZ7">
        <v>46994.8</v>
      </c>
      <c r="BA7">
        <v>46982</v>
      </c>
      <c r="BB7">
        <v>47303.4</v>
      </c>
      <c r="BC7">
        <v>47414.7</v>
      </c>
      <c r="BD7">
        <v>47271.2</v>
      </c>
      <c r="BE7">
        <v>47507.9</v>
      </c>
      <c r="BF7">
        <v>47211.8</v>
      </c>
      <c r="BG7">
        <v>47310.2</v>
      </c>
      <c r="BH7">
        <v>47318</v>
      </c>
      <c r="BI7">
        <v>47405.1</v>
      </c>
      <c r="BJ7">
        <v>47585.5</v>
      </c>
      <c r="BK7">
        <v>47701.8</v>
      </c>
      <c r="BL7">
        <v>47439.1</v>
      </c>
      <c r="BM7">
        <v>47377.1</v>
      </c>
      <c r="BN7">
        <v>47559.7</v>
      </c>
      <c r="BO7">
        <v>47477.4</v>
      </c>
      <c r="BP7">
        <v>47177.7</v>
      </c>
      <c r="BQ7">
        <v>46643.5</v>
      </c>
      <c r="BR7">
        <v>46436</v>
      </c>
      <c r="BS7">
        <v>46428.4</v>
      </c>
      <c r="BT7">
        <v>46263.1</v>
      </c>
      <c r="BU7">
        <v>46399.8</v>
      </c>
      <c r="BV7">
        <v>46061.7</v>
      </c>
      <c r="BW7">
        <v>45968.9</v>
      </c>
      <c r="BX7">
        <v>45590.6</v>
      </c>
      <c r="BY7">
        <v>45361.3</v>
      </c>
      <c r="BZ7">
        <v>45708.2</v>
      </c>
      <c r="CA7">
        <v>45744.8</v>
      </c>
      <c r="CB7">
        <v>45767.3</v>
      </c>
      <c r="CC7">
        <v>45811.6</v>
      </c>
      <c r="CD7">
        <v>45204.4</v>
      </c>
      <c r="CE7">
        <v>44730.6</v>
      </c>
      <c r="CF7">
        <v>44242.6</v>
      </c>
      <c r="CG7">
        <v>43869.8</v>
      </c>
      <c r="CH7">
        <v>43131.7</v>
      </c>
      <c r="CI7">
        <v>42474.4</v>
      </c>
      <c r="CJ7">
        <v>41615.4</v>
      </c>
      <c r="CK7">
        <v>40791.8</v>
      </c>
      <c r="CL7">
        <v>40404.1</v>
      </c>
      <c r="CM7">
        <v>39736.5</v>
      </c>
      <c r="CN7">
        <v>38865.5</v>
      </c>
      <c r="CO7">
        <v>38073</v>
      </c>
      <c r="CP7">
        <v>37611.3</v>
      </c>
      <c r="CQ7">
        <v>36809</v>
      </c>
      <c r="CR7">
        <v>36200.7</v>
      </c>
      <c r="CS7">
        <v>35705.2</v>
      </c>
    </row>
    <row r="8" spans="1:97">
      <c r="A8" s="9">
        <v>46241</v>
      </c>
      <c r="B8">
        <v>35146.6</v>
      </c>
      <c r="C8">
        <v>34574.5</v>
      </c>
      <c r="D8">
        <v>34244.1</v>
      </c>
      <c r="E8">
        <v>33762.4</v>
      </c>
      <c r="F8">
        <v>33607.7</v>
      </c>
      <c r="G8">
        <v>33000</v>
      </c>
      <c r="H8">
        <v>32850.8</v>
      </c>
      <c r="I8">
        <v>32536.1</v>
      </c>
      <c r="J8">
        <v>32371.4</v>
      </c>
      <c r="K8">
        <v>32055</v>
      </c>
      <c r="L8">
        <v>31876.9</v>
      </c>
      <c r="M8">
        <v>31840.6</v>
      </c>
      <c r="N8">
        <v>31689.2</v>
      </c>
      <c r="O8">
        <v>31478.4</v>
      </c>
      <c r="P8">
        <v>31480.9</v>
      </c>
      <c r="Q8">
        <v>31253.4</v>
      </c>
      <c r="R8">
        <v>31568.9</v>
      </c>
      <c r="S8">
        <v>31263.8</v>
      </c>
      <c r="T8">
        <v>31492.6</v>
      </c>
      <c r="U8">
        <v>31740.6</v>
      </c>
      <c r="V8">
        <v>32231.9</v>
      </c>
      <c r="W8">
        <v>32356.2</v>
      </c>
      <c r="X8">
        <v>32745.1</v>
      </c>
      <c r="Y8">
        <v>33379.7</v>
      </c>
      <c r="Z8">
        <v>33833.1</v>
      </c>
      <c r="AA8">
        <v>34392.1</v>
      </c>
      <c r="AB8">
        <v>35051.3</v>
      </c>
      <c r="AC8">
        <v>35576.8</v>
      </c>
      <c r="AD8">
        <v>35999.8</v>
      </c>
      <c r="AE8">
        <v>36425.2</v>
      </c>
      <c r="AF8">
        <v>37102.8</v>
      </c>
      <c r="AG8">
        <v>37847</v>
      </c>
      <c r="AH8">
        <v>38932.8</v>
      </c>
      <c r="AI8">
        <v>39424.9</v>
      </c>
      <c r="AJ8">
        <v>40109.3</v>
      </c>
      <c r="AK8">
        <v>40562.4</v>
      </c>
      <c r="AL8">
        <v>41040.5</v>
      </c>
      <c r="AM8">
        <v>41453.1</v>
      </c>
      <c r="AN8">
        <v>41401.4</v>
      </c>
      <c r="AO8">
        <v>41391.1</v>
      </c>
      <c r="AP8">
        <v>41380.3</v>
      </c>
      <c r="AQ8">
        <v>42195</v>
      </c>
      <c r="AR8">
        <v>42283.1</v>
      </c>
      <c r="AS8">
        <v>42101.3</v>
      </c>
      <c r="AT8">
        <v>42253.2</v>
      </c>
      <c r="AU8">
        <v>41943.3</v>
      </c>
      <c r="AV8">
        <v>41768.4</v>
      </c>
      <c r="AW8">
        <v>41644.8</v>
      </c>
      <c r="AX8">
        <v>41378</v>
      </c>
      <c r="AY8">
        <v>41575.9</v>
      </c>
      <c r="AZ8">
        <v>41510.3</v>
      </c>
      <c r="BA8">
        <v>41349.4</v>
      </c>
      <c r="BB8">
        <v>41961.8</v>
      </c>
      <c r="BC8">
        <v>41745</v>
      </c>
      <c r="BD8">
        <v>41176.3</v>
      </c>
      <c r="BE8">
        <v>41052.1</v>
      </c>
      <c r="BF8">
        <v>41186.5</v>
      </c>
      <c r="BG8">
        <v>40973.9</v>
      </c>
      <c r="BH8">
        <v>40745.9</v>
      </c>
      <c r="BI8">
        <v>40631.4</v>
      </c>
      <c r="BJ8">
        <v>40625</v>
      </c>
      <c r="BK8">
        <v>40805.3</v>
      </c>
      <c r="BL8">
        <v>40778.5</v>
      </c>
      <c r="BM8">
        <v>40817.5</v>
      </c>
      <c r="BN8">
        <v>40724.6</v>
      </c>
      <c r="BO8">
        <v>40613.2</v>
      </c>
      <c r="BP8">
        <v>40270.2</v>
      </c>
      <c r="BQ8">
        <v>39803.9</v>
      </c>
      <c r="BR8">
        <v>39172.3</v>
      </c>
      <c r="BS8">
        <v>39218.3</v>
      </c>
      <c r="BT8">
        <v>38775.6</v>
      </c>
      <c r="BU8">
        <v>38404.1</v>
      </c>
      <c r="BV8">
        <v>38203.6</v>
      </c>
      <c r="BW8">
        <v>37980.1</v>
      </c>
      <c r="BX8">
        <v>37800.6</v>
      </c>
      <c r="BY8">
        <v>37498.2</v>
      </c>
      <c r="BZ8">
        <v>37811.9</v>
      </c>
      <c r="CA8">
        <v>37922</v>
      </c>
      <c r="CB8">
        <v>38097.8</v>
      </c>
      <c r="CC8">
        <v>37689.7</v>
      </c>
      <c r="CD8">
        <v>37113.3</v>
      </c>
      <c r="CE8">
        <v>36956.7</v>
      </c>
      <c r="CF8">
        <v>36524.3</v>
      </c>
      <c r="CG8">
        <v>35875.6</v>
      </c>
      <c r="CH8">
        <v>35762.5</v>
      </c>
      <c r="CI8">
        <v>35034.9</v>
      </c>
      <c r="CJ8">
        <v>34592.4</v>
      </c>
      <c r="CK8">
        <v>33783.4</v>
      </c>
      <c r="CL8">
        <v>33995.5</v>
      </c>
      <c r="CM8">
        <v>33447.5</v>
      </c>
      <c r="CN8">
        <v>32778.8</v>
      </c>
      <c r="CO8">
        <v>32070.1</v>
      </c>
      <c r="CP8">
        <v>31487.8</v>
      </c>
      <c r="CQ8">
        <v>31146.1</v>
      </c>
      <c r="CR8">
        <v>30542.6</v>
      </c>
      <c r="CS8">
        <v>30137</v>
      </c>
    </row>
    <row r="9" spans="1:97">
      <c r="A9" s="9">
        <v>46242</v>
      </c>
      <c r="B9">
        <v>30019.6</v>
      </c>
      <c r="C9">
        <v>29570</v>
      </c>
      <c r="D9">
        <v>29224.9</v>
      </c>
      <c r="E9">
        <v>28995.2</v>
      </c>
      <c r="F9">
        <v>28597</v>
      </c>
      <c r="G9">
        <v>28558.6</v>
      </c>
      <c r="H9">
        <v>28367.5</v>
      </c>
      <c r="I9">
        <v>28058.1</v>
      </c>
      <c r="J9">
        <v>27969.6</v>
      </c>
      <c r="K9">
        <v>27723.9</v>
      </c>
      <c r="L9">
        <v>27891.8</v>
      </c>
      <c r="M9">
        <v>27454.4</v>
      </c>
      <c r="N9">
        <v>27722.2</v>
      </c>
      <c r="O9">
        <v>27620.5</v>
      </c>
      <c r="P9">
        <v>27520.1</v>
      </c>
      <c r="Q9">
        <v>27280.8</v>
      </c>
      <c r="R9">
        <v>27382.8</v>
      </c>
      <c r="S9">
        <v>27605.2</v>
      </c>
      <c r="T9">
        <v>27760.1</v>
      </c>
      <c r="U9">
        <v>27922.8</v>
      </c>
      <c r="V9">
        <v>28530.5</v>
      </c>
      <c r="W9">
        <v>28809</v>
      </c>
      <c r="X9">
        <v>29041</v>
      </c>
      <c r="Y9">
        <v>29233.1</v>
      </c>
      <c r="Z9">
        <v>29647.6</v>
      </c>
      <c r="AA9">
        <v>30071.3</v>
      </c>
      <c r="AB9">
        <v>30360.8</v>
      </c>
      <c r="AC9">
        <v>30437.3</v>
      </c>
      <c r="AD9">
        <v>30768.7</v>
      </c>
      <c r="AE9">
        <v>31068.4</v>
      </c>
      <c r="AF9">
        <v>31305.4</v>
      </c>
      <c r="AG9">
        <v>31668.1</v>
      </c>
      <c r="AH9">
        <v>32686.1</v>
      </c>
      <c r="AI9">
        <v>32972.7</v>
      </c>
      <c r="AJ9">
        <v>33385.3</v>
      </c>
      <c r="AK9">
        <v>33396.1</v>
      </c>
      <c r="AL9">
        <v>33932.4</v>
      </c>
      <c r="AM9">
        <v>34299.4</v>
      </c>
      <c r="AN9">
        <v>34366.3</v>
      </c>
      <c r="AO9">
        <v>34372.9</v>
      </c>
      <c r="AP9">
        <v>34623.7</v>
      </c>
      <c r="AQ9">
        <v>34649.7</v>
      </c>
      <c r="AR9">
        <v>34904.8</v>
      </c>
      <c r="AS9">
        <v>34641</v>
      </c>
      <c r="AT9">
        <v>34405.7</v>
      </c>
      <c r="AU9">
        <v>33682.9</v>
      </c>
      <c r="AV9">
        <v>33513</v>
      </c>
      <c r="AW9">
        <v>33573</v>
      </c>
      <c r="AX9">
        <v>33312.7</v>
      </c>
      <c r="AY9">
        <v>33083.2</v>
      </c>
      <c r="AZ9">
        <v>33731.7</v>
      </c>
      <c r="BA9">
        <v>33883.8</v>
      </c>
      <c r="BB9">
        <v>34038.8</v>
      </c>
      <c r="BC9">
        <v>33914.5</v>
      </c>
      <c r="BD9">
        <v>34357.7</v>
      </c>
      <c r="BE9">
        <v>34166.2</v>
      </c>
      <c r="BF9">
        <v>34443.8</v>
      </c>
      <c r="BG9">
        <v>34301.8</v>
      </c>
      <c r="BH9">
        <v>34503.8</v>
      </c>
      <c r="BI9">
        <v>34391.4</v>
      </c>
      <c r="BJ9">
        <v>34713.9</v>
      </c>
      <c r="BK9">
        <v>34870.5</v>
      </c>
      <c r="BL9">
        <v>34881.5</v>
      </c>
      <c r="BM9">
        <v>34955.8</v>
      </c>
      <c r="BN9">
        <v>34876</v>
      </c>
      <c r="BO9">
        <v>35107.4</v>
      </c>
      <c r="BP9">
        <v>35304</v>
      </c>
      <c r="BQ9">
        <v>34707.8</v>
      </c>
      <c r="BR9">
        <v>34320.2</v>
      </c>
      <c r="BS9">
        <v>34602.7</v>
      </c>
      <c r="BT9">
        <v>34335</v>
      </c>
      <c r="BU9">
        <v>34394.7</v>
      </c>
      <c r="BV9">
        <v>34133.3</v>
      </c>
      <c r="BW9">
        <v>34032.9</v>
      </c>
      <c r="BX9">
        <v>34204.3</v>
      </c>
      <c r="BY9">
        <v>33993.5</v>
      </c>
      <c r="BZ9">
        <v>34245.3</v>
      </c>
      <c r="CA9">
        <v>34241</v>
      </c>
      <c r="CB9">
        <v>34338.2</v>
      </c>
      <c r="CC9">
        <v>33926.2</v>
      </c>
      <c r="CD9">
        <v>33921.3</v>
      </c>
      <c r="CE9">
        <v>33628.3</v>
      </c>
      <c r="CF9">
        <v>33352.5</v>
      </c>
      <c r="CG9">
        <v>32836.7</v>
      </c>
      <c r="CH9">
        <v>32817.4</v>
      </c>
      <c r="CI9">
        <v>32381.2</v>
      </c>
      <c r="CJ9">
        <v>31790.9</v>
      </c>
      <c r="CK9">
        <v>31183.1</v>
      </c>
      <c r="CL9">
        <v>31421.8</v>
      </c>
      <c r="CM9">
        <v>30842.2</v>
      </c>
      <c r="CN9">
        <v>30462.7</v>
      </c>
      <c r="CO9">
        <v>30134.3</v>
      </c>
      <c r="CP9">
        <v>29757.5</v>
      </c>
      <c r="CQ9">
        <v>29325.4</v>
      </c>
      <c r="CR9">
        <v>28899.1</v>
      </c>
      <c r="CS9">
        <v>28415.5</v>
      </c>
    </row>
    <row r="10" spans="1:97">
      <c r="A10" s="9">
        <v>46243</v>
      </c>
      <c r="B10">
        <v>28293.5</v>
      </c>
      <c r="C10">
        <v>28112.1</v>
      </c>
      <c r="D10">
        <v>28068.1</v>
      </c>
      <c r="E10">
        <v>27465.8</v>
      </c>
      <c r="F10">
        <v>27456.9</v>
      </c>
      <c r="G10">
        <v>27168.6</v>
      </c>
      <c r="H10">
        <v>27047.5</v>
      </c>
      <c r="I10">
        <v>26858.1</v>
      </c>
      <c r="J10">
        <v>26711</v>
      </c>
      <c r="K10">
        <v>26646.8</v>
      </c>
      <c r="L10">
        <v>26568.4</v>
      </c>
      <c r="M10">
        <v>26401.5</v>
      </c>
      <c r="N10">
        <v>26447.6</v>
      </c>
      <c r="O10">
        <v>26398.5</v>
      </c>
      <c r="P10">
        <v>26390.5</v>
      </c>
      <c r="Q10">
        <v>26465.6</v>
      </c>
      <c r="R10">
        <v>26355</v>
      </c>
      <c r="S10">
        <v>26819.6</v>
      </c>
      <c r="T10">
        <v>27032.9</v>
      </c>
      <c r="U10">
        <v>27281.7</v>
      </c>
      <c r="V10">
        <v>27803.4</v>
      </c>
      <c r="W10">
        <v>27897.3</v>
      </c>
      <c r="X10">
        <v>28355.8</v>
      </c>
      <c r="Y10">
        <v>28534.4</v>
      </c>
      <c r="Z10">
        <v>28970</v>
      </c>
      <c r="AA10">
        <v>29327.3</v>
      </c>
      <c r="AB10">
        <v>29731.8</v>
      </c>
      <c r="AC10">
        <v>29905.4</v>
      </c>
      <c r="AD10">
        <v>30175.9</v>
      </c>
      <c r="AE10">
        <v>30314.2</v>
      </c>
      <c r="AF10">
        <v>30842.5</v>
      </c>
      <c r="AG10">
        <v>31133.7</v>
      </c>
      <c r="AH10">
        <v>31827.6</v>
      </c>
      <c r="AI10">
        <v>32237</v>
      </c>
      <c r="AJ10">
        <v>32664.1</v>
      </c>
      <c r="AK10">
        <v>33158.9</v>
      </c>
      <c r="AL10">
        <v>33345.3</v>
      </c>
      <c r="AM10">
        <v>33750.1</v>
      </c>
      <c r="AN10">
        <v>34024.4</v>
      </c>
      <c r="AO10">
        <v>34457.8</v>
      </c>
      <c r="AP10">
        <v>34747.8</v>
      </c>
      <c r="AQ10">
        <v>34866</v>
      </c>
      <c r="AR10">
        <v>35124.6</v>
      </c>
      <c r="AS10">
        <v>35038.7</v>
      </c>
      <c r="AT10">
        <v>35396.2</v>
      </c>
      <c r="AU10">
        <v>34447.6</v>
      </c>
      <c r="AV10">
        <v>34683.3</v>
      </c>
      <c r="AW10">
        <v>34445.3</v>
      </c>
      <c r="AX10">
        <v>34594.3</v>
      </c>
      <c r="AY10">
        <v>34660.7</v>
      </c>
      <c r="AZ10">
        <v>35088.1</v>
      </c>
      <c r="BA10">
        <v>35190.1</v>
      </c>
      <c r="BB10">
        <v>35456.8</v>
      </c>
      <c r="BC10">
        <v>35565.9</v>
      </c>
      <c r="BD10">
        <v>35799.8</v>
      </c>
      <c r="BE10">
        <v>35595</v>
      </c>
      <c r="BF10">
        <v>35878.2</v>
      </c>
      <c r="BG10">
        <v>35815.9</v>
      </c>
      <c r="BH10">
        <v>35616.3</v>
      </c>
      <c r="BI10">
        <v>35865.3</v>
      </c>
      <c r="BJ10">
        <v>36202.6</v>
      </c>
      <c r="BK10">
        <v>36079.5</v>
      </c>
      <c r="BL10">
        <v>36139.7</v>
      </c>
      <c r="BM10">
        <v>36209.5</v>
      </c>
      <c r="BN10">
        <v>36379.1</v>
      </c>
      <c r="BO10">
        <v>36359.1</v>
      </c>
      <c r="BP10">
        <v>36201.7</v>
      </c>
      <c r="BQ10">
        <v>36067.5</v>
      </c>
      <c r="BR10">
        <v>36025.8</v>
      </c>
      <c r="BS10">
        <v>35887</v>
      </c>
      <c r="BT10">
        <v>35782.7</v>
      </c>
      <c r="BU10">
        <v>35808.8</v>
      </c>
      <c r="BV10">
        <v>35402.2</v>
      </c>
      <c r="BW10">
        <v>35471.7</v>
      </c>
      <c r="BX10">
        <v>35344.1</v>
      </c>
      <c r="BY10">
        <v>35360.9</v>
      </c>
      <c r="BZ10">
        <v>35736.8</v>
      </c>
      <c r="CA10">
        <v>36035.1</v>
      </c>
      <c r="CB10">
        <v>36001</v>
      </c>
      <c r="CC10">
        <v>35956.5</v>
      </c>
      <c r="CD10">
        <v>35632.9</v>
      </c>
      <c r="CE10">
        <v>35468.9</v>
      </c>
      <c r="CF10">
        <v>35259.4</v>
      </c>
      <c r="CG10">
        <v>34833.5</v>
      </c>
      <c r="CH10">
        <v>34449.4</v>
      </c>
      <c r="CI10">
        <v>33942.5</v>
      </c>
      <c r="CJ10">
        <v>33484</v>
      </c>
      <c r="CK10">
        <v>32756.3</v>
      </c>
      <c r="CL10">
        <v>32804</v>
      </c>
      <c r="CM10">
        <v>32222.3</v>
      </c>
      <c r="CN10">
        <v>31703.3</v>
      </c>
      <c r="CO10">
        <v>31263.9</v>
      </c>
      <c r="CP10">
        <v>30764.2</v>
      </c>
      <c r="CQ10">
        <v>30331.5</v>
      </c>
      <c r="CR10">
        <v>29887.3</v>
      </c>
      <c r="CS10">
        <v>29366.7</v>
      </c>
    </row>
    <row r="11" spans="1:97">
      <c r="A11" s="9">
        <v>46244</v>
      </c>
      <c r="B11">
        <v>29140.9</v>
      </c>
      <c r="C11">
        <v>28824.3</v>
      </c>
      <c r="D11">
        <v>28411.7</v>
      </c>
      <c r="E11">
        <v>28280</v>
      </c>
      <c r="F11">
        <v>28083.9</v>
      </c>
      <c r="G11">
        <v>27842.4</v>
      </c>
      <c r="H11">
        <v>27802.6</v>
      </c>
      <c r="I11">
        <v>27594.3</v>
      </c>
      <c r="J11">
        <v>27570.3</v>
      </c>
      <c r="K11">
        <v>27301.5</v>
      </c>
      <c r="L11">
        <v>27215.7</v>
      </c>
      <c r="M11">
        <v>27283.1</v>
      </c>
      <c r="N11">
        <v>27131.3</v>
      </c>
      <c r="O11">
        <v>26875.2</v>
      </c>
      <c r="P11">
        <v>27112.2</v>
      </c>
      <c r="Q11">
        <v>26997.1</v>
      </c>
      <c r="R11">
        <v>27144.2</v>
      </c>
      <c r="S11">
        <v>27151.2</v>
      </c>
      <c r="T11">
        <v>27525</v>
      </c>
      <c r="U11">
        <v>27925.7</v>
      </c>
      <c r="V11">
        <v>28429.1</v>
      </c>
      <c r="W11">
        <v>28946.9</v>
      </c>
      <c r="X11">
        <v>29210.8</v>
      </c>
      <c r="Y11">
        <v>29857</v>
      </c>
      <c r="Z11">
        <v>30505.2</v>
      </c>
      <c r="AA11">
        <v>30920.5</v>
      </c>
      <c r="AB11">
        <v>31460.1</v>
      </c>
      <c r="AC11">
        <v>31905.6</v>
      </c>
      <c r="AD11">
        <v>32384.4</v>
      </c>
      <c r="AE11">
        <v>32797.3</v>
      </c>
      <c r="AF11">
        <v>33855.6</v>
      </c>
      <c r="AG11">
        <v>34556.6</v>
      </c>
      <c r="AH11">
        <v>35724.9</v>
      </c>
      <c r="AI11">
        <v>36542.3</v>
      </c>
      <c r="AJ11">
        <v>37040.7</v>
      </c>
      <c r="AK11">
        <v>37602.4</v>
      </c>
      <c r="AL11">
        <v>38234.7</v>
      </c>
      <c r="AM11">
        <v>38864.5</v>
      </c>
      <c r="AN11">
        <v>38838.5</v>
      </c>
      <c r="AO11">
        <v>39531</v>
      </c>
      <c r="AP11">
        <v>39694.1</v>
      </c>
      <c r="AQ11">
        <v>39818.8</v>
      </c>
      <c r="AR11">
        <v>40081.4</v>
      </c>
      <c r="AS11">
        <v>39814.9</v>
      </c>
      <c r="AT11">
        <v>40072.3</v>
      </c>
      <c r="AU11">
        <v>39757.2</v>
      </c>
      <c r="AV11">
        <v>39345.2</v>
      </c>
      <c r="AW11">
        <v>39539.4</v>
      </c>
      <c r="AX11">
        <v>40218</v>
      </c>
      <c r="AY11">
        <v>40053.7</v>
      </c>
      <c r="AZ11">
        <v>40230.7</v>
      </c>
      <c r="BA11">
        <v>40269.9</v>
      </c>
      <c r="BB11">
        <v>40882</v>
      </c>
      <c r="BC11">
        <v>41020.5</v>
      </c>
      <c r="BD11">
        <v>41003.5</v>
      </c>
      <c r="BE11">
        <v>40731</v>
      </c>
      <c r="BF11">
        <v>41175</v>
      </c>
      <c r="BG11">
        <v>40882.6</v>
      </c>
      <c r="BH11">
        <v>41011.5</v>
      </c>
      <c r="BI11">
        <v>41082.1</v>
      </c>
      <c r="BJ11">
        <v>41426</v>
      </c>
      <c r="BK11">
        <v>41217.9</v>
      </c>
      <c r="BL11">
        <v>41510.7</v>
      </c>
      <c r="BM11">
        <v>41774.9</v>
      </c>
      <c r="BN11">
        <v>41543.3</v>
      </c>
      <c r="BO11">
        <v>41478</v>
      </c>
      <c r="BP11">
        <v>41170.2</v>
      </c>
      <c r="BQ11">
        <v>40624.2</v>
      </c>
      <c r="BR11">
        <v>40196</v>
      </c>
      <c r="BS11">
        <v>39968.5</v>
      </c>
      <c r="BT11">
        <v>39942.3</v>
      </c>
      <c r="BU11">
        <v>39786.1</v>
      </c>
      <c r="BV11">
        <v>39395.7</v>
      </c>
      <c r="BW11">
        <v>39328.1</v>
      </c>
      <c r="BX11">
        <v>39292.1</v>
      </c>
      <c r="BY11">
        <v>39097.8</v>
      </c>
      <c r="BZ11">
        <v>39562.8</v>
      </c>
      <c r="CA11">
        <v>39771.6</v>
      </c>
      <c r="CB11">
        <v>39788.6</v>
      </c>
      <c r="CC11">
        <v>39545</v>
      </c>
      <c r="CD11">
        <v>39336.2</v>
      </c>
      <c r="CE11">
        <v>39153.6</v>
      </c>
      <c r="CF11">
        <v>38497.2</v>
      </c>
      <c r="CG11">
        <v>38401.7</v>
      </c>
      <c r="CH11">
        <v>37648.1</v>
      </c>
      <c r="CI11">
        <v>36848.8</v>
      </c>
      <c r="CJ11">
        <v>36423.5</v>
      </c>
      <c r="CK11">
        <v>35781.6</v>
      </c>
      <c r="CL11">
        <v>35622.3</v>
      </c>
      <c r="CM11">
        <v>34835.6</v>
      </c>
      <c r="CN11">
        <v>34650.1</v>
      </c>
      <c r="CO11">
        <v>33682</v>
      </c>
      <c r="CP11">
        <v>33006</v>
      </c>
      <c r="CQ11">
        <v>32490.4</v>
      </c>
      <c r="CR11">
        <v>32125.5</v>
      </c>
      <c r="CS11">
        <v>31209.1</v>
      </c>
    </row>
    <row r="12" spans="1:97">
      <c r="A12" s="9">
        <v>46245</v>
      </c>
      <c r="B12">
        <v>31083.8</v>
      </c>
      <c r="C12">
        <v>30969.7</v>
      </c>
      <c r="D12">
        <v>30358.1</v>
      </c>
      <c r="E12">
        <v>30119</v>
      </c>
      <c r="F12">
        <v>29761.1</v>
      </c>
      <c r="G12">
        <v>29513.7</v>
      </c>
      <c r="H12">
        <v>29400</v>
      </c>
      <c r="I12">
        <v>29365.5</v>
      </c>
      <c r="J12">
        <v>29248.1</v>
      </c>
      <c r="K12">
        <v>29165.6</v>
      </c>
      <c r="L12">
        <v>28940</v>
      </c>
      <c r="M12">
        <v>28741.4</v>
      </c>
      <c r="N12">
        <v>28817.6</v>
      </c>
      <c r="O12">
        <v>28651.3</v>
      </c>
      <c r="P12">
        <v>28607.6</v>
      </c>
      <c r="Q12">
        <v>28648.2</v>
      </c>
      <c r="R12">
        <v>28635.1</v>
      </c>
      <c r="S12">
        <v>28712.9</v>
      </c>
      <c r="T12">
        <v>28798.2</v>
      </c>
      <c r="U12">
        <v>29206.3</v>
      </c>
      <c r="V12">
        <v>29813.8</v>
      </c>
      <c r="W12">
        <v>30022.9</v>
      </c>
      <c r="X12">
        <v>30877.7</v>
      </c>
      <c r="Y12">
        <v>31151.8</v>
      </c>
      <c r="Z12">
        <v>31887.4</v>
      </c>
      <c r="AA12">
        <v>32219.9</v>
      </c>
      <c r="AB12">
        <v>32872.9</v>
      </c>
      <c r="AC12">
        <v>33509.5</v>
      </c>
      <c r="AD12">
        <v>33801.7</v>
      </c>
      <c r="AE12">
        <v>34306.7</v>
      </c>
      <c r="AF12">
        <v>35091.1</v>
      </c>
      <c r="AG12">
        <v>36085.3</v>
      </c>
      <c r="AH12">
        <v>37330.8</v>
      </c>
      <c r="AI12">
        <v>38036.9</v>
      </c>
      <c r="AJ12">
        <v>38646.4</v>
      </c>
      <c r="AK12">
        <v>39486.3</v>
      </c>
      <c r="AL12">
        <v>40184.1</v>
      </c>
      <c r="AM12">
        <v>40761.7</v>
      </c>
      <c r="AN12">
        <v>41029.3</v>
      </c>
      <c r="AO12">
        <v>41331.6</v>
      </c>
      <c r="AP12">
        <v>41564.6</v>
      </c>
      <c r="AQ12">
        <v>41981.8</v>
      </c>
      <c r="AR12">
        <v>42177.3</v>
      </c>
      <c r="AS12">
        <v>42631.4</v>
      </c>
      <c r="AT12">
        <v>42264.3</v>
      </c>
      <c r="AU12">
        <v>42222.9</v>
      </c>
      <c r="AV12">
        <v>41974.6</v>
      </c>
      <c r="AW12">
        <v>41952.8</v>
      </c>
      <c r="AX12">
        <v>42161.5</v>
      </c>
      <c r="AY12">
        <v>42503</v>
      </c>
      <c r="AZ12">
        <v>42309.2</v>
      </c>
      <c r="BA12">
        <v>43000.2</v>
      </c>
      <c r="BB12">
        <v>43557.9</v>
      </c>
      <c r="BC12">
        <v>43033.4</v>
      </c>
      <c r="BD12">
        <v>43479</v>
      </c>
      <c r="BE12">
        <v>43206.6</v>
      </c>
      <c r="BF12">
        <v>43037.9</v>
      </c>
      <c r="BG12">
        <v>43498.3</v>
      </c>
      <c r="BH12">
        <v>43173.1</v>
      </c>
      <c r="BI12">
        <v>43131.6</v>
      </c>
      <c r="BJ12">
        <v>43158.3</v>
      </c>
      <c r="BK12">
        <v>43356.2</v>
      </c>
      <c r="BL12">
        <v>43157.6</v>
      </c>
      <c r="BM12">
        <v>43191.3</v>
      </c>
      <c r="BN12">
        <v>43323.4</v>
      </c>
      <c r="BO12">
        <v>43150.6</v>
      </c>
      <c r="BP12">
        <v>43123.4</v>
      </c>
      <c r="BQ12">
        <v>42364.8</v>
      </c>
      <c r="BR12">
        <v>41959.3</v>
      </c>
      <c r="BS12">
        <v>41969.3</v>
      </c>
      <c r="BT12">
        <v>41974.5</v>
      </c>
      <c r="BU12">
        <v>41572.3</v>
      </c>
      <c r="BV12">
        <v>41394.3</v>
      </c>
      <c r="BW12">
        <v>41100.3</v>
      </c>
      <c r="BX12">
        <v>41125.8</v>
      </c>
      <c r="BY12">
        <v>40839.9</v>
      </c>
      <c r="BZ12">
        <v>40851.3</v>
      </c>
      <c r="CA12">
        <v>40972.9</v>
      </c>
      <c r="CB12">
        <v>41167.4</v>
      </c>
      <c r="CC12">
        <v>41063.9</v>
      </c>
      <c r="CD12">
        <v>40779.7</v>
      </c>
      <c r="CE12">
        <v>40484.2</v>
      </c>
      <c r="CF12">
        <v>39955.5</v>
      </c>
      <c r="CG12">
        <v>39429.7</v>
      </c>
      <c r="CH12">
        <v>38962.1</v>
      </c>
      <c r="CI12">
        <v>38392.5</v>
      </c>
      <c r="CJ12">
        <v>37667.1</v>
      </c>
      <c r="CK12">
        <v>36705.4</v>
      </c>
      <c r="CL12">
        <v>36577.4</v>
      </c>
      <c r="CM12">
        <v>35921.8</v>
      </c>
      <c r="CN12">
        <v>35090.3</v>
      </c>
      <c r="CO12">
        <v>34351.7</v>
      </c>
      <c r="CP12">
        <v>33742.9</v>
      </c>
      <c r="CQ12">
        <v>33187.5</v>
      </c>
      <c r="CR12">
        <v>32796.1</v>
      </c>
      <c r="CS12">
        <v>32131.8</v>
      </c>
    </row>
    <row r="13" spans="1:97">
      <c r="A13" s="9">
        <v>46246</v>
      </c>
      <c r="B13">
        <v>32048.5</v>
      </c>
      <c r="C13">
        <v>31544.5</v>
      </c>
      <c r="D13">
        <v>31368.9</v>
      </c>
      <c r="E13">
        <v>31037.8</v>
      </c>
      <c r="F13">
        <v>30881.9</v>
      </c>
      <c r="G13">
        <v>30528.5</v>
      </c>
      <c r="H13">
        <v>30269.9</v>
      </c>
      <c r="I13">
        <v>29993</v>
      </c>
      <c r="J13">
        <v>29808.5</v>
      </c>
      <c r="K13">
        <v>29732.7</v>
      </c>
      <c r="L13">
        <v>29715.6</v>
      </c>
      <c r="M13">
        <v>29440.5</v>
      </c>
      <c r="N13">
        <v>29339.3</v>
      </c>
      <c r="O13">
        <v>29227.1</v>
      </c>
      <c r="P13">
        <v>29232.3</v>
      </c>
      <c r="Q13">
        <v>29072.4</v>
      </c>
      <c r="R13">
        <v>29339.7</v>
      </c>
      <c r="S13">
        <v>29176.8</v>
      </c>
      <c r="T13">
        <v>29451</v>
      </c>
      <c r="U13">
        <v>29581.1</v>
      </c>
      <c r="V13">
        <v>30129.9</v>
      </c>
      <c r="W13">
        <v>30458.2</v>
      </c>
      <c r="X13">
        <v>30754</v>
      </c>
      <c r="Y13">
        <v>31426</v>
      </c>
      <c r="Z13">
        <v>32173.5</v>
      </c>
      <c r="AA13">
        <v>32528.6</v>
      </c>
      <c r="AB13">
        <v>33357.4</v>
      </c>
      <c r="AC13">
        <v>33638.4</v>
      </c>
      <c r="AD13">
        <v>34184.5</v>
      </c>
      <c r="AE13">
        <v>34993.8</v>
      </c>
      <c r="AF13">
        <v>35687</v>
      </c>
      <c r="AG13">
        <v>36597.9</v>
      </c>
      <c r="AH13">
        <v>37671.4</v>
      </c>
      <c r="AI13">
        <v>38551.5</v>
      </c>
      <c r="AJ13">
        <v>39296.4</v>
      </c>
      <c r="AK13">
        <v>39962.1</v>
      </c>
      <c r="AL13">
        <v>40620.5</v>
      </c>
      <c r="AM13">
        <v>40767.3</v>
      </c>
      <c r="AN13">
        <v>41171</v>
      </c>
      <c r="AO13">
        <v>41301.9</v>
      </c>
      <c r="AP13">
        <v>41858.4</v>
      </c>
      <c r="AQ13">
        <v>42161.7</v>
      </c>
      <c r="AR13">
        <v>42452.7</v>
      </c>
      <c r="AS13">
        <v>42524.9</v>
      </c>
      <c r="AT13">
        <v>42182.1</v>
      </c>
      <c r="AU13">
        <v>42366.4</v>
      </c>
      <c r="AV13">
        <v>42204.9</v>
      </c>
      <c r="AW13">
        <v>42124</v>
      </c>
      <c r="AX13">
        <v>42026.3</v>
      </c>
      <c r="AY13">
        <v>42168.9</v>
      </c>
      <c r="AZ13">
        <v>42322.4</v>
      </c>
      <c r="BA13">
        <v>42141</v>
      </c>
      <c r="BB13">
        <v>42654.5</v>
      </c>
      <c r="BC13">
        <v>42810.5</v>
      </c>
      <c r="BD13">
        <v>42903.7</v>
      </c>
      <c r="BE13">
        <v>42753.3</v>
      </c>
      <c r="BF13">
        <v>42988.9</v>
      </c>
      <c r="BG13">
        <v>42539.9</v>
      </c>
      <c r="BH13">
        <v>42534.5</v>
      </c>
      <c r="BI13">
        <v>42522</v>
      </c>
      <c r="BJ13">
        <v>42607.1</v>
      </c>
      <c r="BK13">
        <v>42381</v>
      </c>
      <c r="BL13">
        <v>42191.2</v>
      </c>
      <c r="BM13">
        <v>42321.4</v>
      </c>
      <c r="BN13">
        <v>42224.1</v>
      </c>
      <c r="BO13">
        <v>42093.5</v>
      </c>
      <c r="BP13">
        <v>41668.8</v>
      </c>
      <c r="BQ13">
        <v>40867.6</v>
      </c>
      <c r="BR13">
        <v>40568.2</v>
      </c>
      <c r="BS13">
        <v>40351.5</v>
      </c>
      <c r="BT13">
        <v>40083.6</v>
      </c>
      <c r="BU13">
        <v>40015.6</v>
      </c>
      <c r="BV13">
        <v>39660.7</v>
      </c>
      <c r="BW13">
        <v>39513.5</v>
      </c>
      <c r="BX13">
        <v>39751.9</v>
      </c>
      <c r="BY13">
        <v>39653.2</v>
      </c>
      <c r="BZ13">
        <v>40053.8</v>
      </c>
      <c r="CA13">
        <v>39875.9</v>
      </c>
      <c r="CB13">
        <v>40121</v>
      </c>
      <c r="CC13">
        <v>39564.3</v>
      </c>
      <c r="CD13">
        <v>39191.5</v>
      </c>
      <c r="CE13">
        <v>38942.9</v>
      </c>
      <c r="CF13">
        <v>38620.7</v>
      </c>
      <c r="CG13">
        <v>37843.5</v>
      </c>
      <c r="CH13">
        <v>37436.1</v>
      </c>
      <c r="CI13">
        <v>36845.3</v>
      </c>
      <c r="CJ13">
        <v>36045.3</v>
      </c>
      <c r="CK13">
        <v>35651.6</v>
      </c>
      <c r="CL13">
        <v>35359.7</v>
      </c>
      <c r="CM13">
        <v>34580.1</v>
      </c>
      <c r="CN13">
        <v>33875.1</v>
      </c>
      <c r="CO13">
        <v>33100.4</v>
      </c>
      <c r="CP13">
        <v>32801.7</v>
      </c>
      <c r="CQ13">
        <v>32369.5</v>
      </c>
      <c r="CR13">
        <v>31822.4</v>
      </c>
      <c r="CS13">
        <v>31228</v>
      </c>
    </row>
    <row r="14" spans="1:97">
      <c r="A14" s="9">
        <v>46247</v>
      </c>
      <c r="B14">
        <v>30826.2</v>
      </c>
      <c r="C14">
        <v>30659.2</v>
      </c>
      <c r="D14">
        <v>30132.9</v>
      </c>
      <c r="E14">
        <v>30025</v>
      </c>
      <c r="F14">
        <v>29686.3</v>
      </c>
      <c r="G14">
        <v>29620.2</v>
      </c>
      <c r="H14">
        <v>29535.4</v>
      </c>
      <c r="I14">
        <v>29024.9</v>
      </c>
      <c r="J14">
        <v>29067.3</v>
      </c>
      <c r="K14">
        <v>28763.2</v>
      </c>
      <c r="L14">
        <v>28503.9</v>
      </c>
      <c r="M14">
        <v>28483</v>
      </c>
      <c r="N14">
        <v>28427.2</v>
      </c>
      <c r="O14">
        <v>28543.4</v>
      </c>
      <c r="P14">
        <v>28403.2</v>
      </c>
      <c r="Q14">
        <v>28078.9</v>
      </c>
      <c r="R14">
        <v>28336.4</v>
      </c>
      <c r="S14">
        <v>28359.3</v>
      </c>
      <c r="T14">
        <v>28467</v>
      </c>
      <c r="U14">
        <v>28728.9</v>
      </c>
      <c r="V14">
        <v>28993.6</v>
      </c>
      <c r="W14">
        <v>29245.7</v>
      </c>
      <c r="X14">
        <v>29876.6</v>
      </c>
      <c r="Y14">
        <v>30238.8</v>
      </c>
      <c r="Z14">
        <v>30780.6</v>
      </c>
      <c r="AA14">
        <v>31265.7</v>
      </c>
      <c r="AB14">
        <v>31784</v>
      </c>
      <c r="AC14">
        <v>31929.7</v>
      </c>
      <c r="AD14">
        <v>32493.1</v>
      </c>
      <c r="AE14">
        <v>32924.8</v>
      </c>
      <c r="AF14">
        <v>33346.2</v>
      </c>
      <c r="AG14">
        <v>34075.8</v>
      </c>
      <c r="AH14">
        <v>35033.7</v>
      </c>
      <c r="AI14">
        <v>35503.9</v>
      </c>
      <c r="AJ14">
        <v>36101.7</v>
      </c>
      <c r="AK14">
        <v>36549.2</v>
      </c>
      <c r="AL14">
        <v>36783.9</v>
      </c>
      <c r="AM14">
        <v>37070.1</v>
      </c>
      <c r="AN14">
        <v>37407</v>
      </c>
      <c r="AO14">
        <v>37325.7</v>
      </c>
      <c r="AP14">
        <v>37472.6</v>
      </c>
      <c r="AQ14">
        <v>37751.9</v>
      </c>
      <c r="AR14">
        <v>37941.4</v>
      </c>
      <c r="AS14">
        <v>37837.6</v>
      </c>
      <c r="AT14">
        <v>37666.9</v>
      </c>
      <c r="AU14">
        <v>37159.1</v>
      </c>
      <c r="AV14">
        <v>36981</v>
      </c>
      <c r="AW14">
        <v>36649.8</v>
      </c>
      <c r="AX14">
        <v>36955.6</v>
      </c>
      <c r="AY14">
        <v>37033.6</v>
      </c>
      <c r="AZ14">
        <v>36899</v>
      </c>
      <c r="BA14">
        <v>36471.1</v>
      </c>
      <c r="BB14">
        <v>36898.9</v>
      </c>
      <c r="BC14">
        <v>37085</v>
      </c>
      <c r="BD14">
        <v>37401.3</v>
      </c>
      <c r="BE14">
        <v>37218.9</v>
      </c>
      <c r="BF14">
        <v>37263.1</v>
      </c>
      <c r="BG14">
        <v>37471.3</v>
      </c>
      <c r="BH14">
        <v>37460</v>
      </c>
      <c r="BI14">
        <v>37387.1</v>
      </c>
      <c r="BJ14">
        <v>37812.1</v>
      </c>
      <c r="BK14">
        <v>37778.3</v>
      </c>
      <c r="BL14">
        <v>37768.2</v>
      </c>
      <c r="BM14">
        <v>37758.5</v>
      </c>
      <c r="BN14">
        <v>37938.8</v>
      </c>
      <c r="BO14">
        <v>38001.1</v>
      </c>
      <c r="BP14">
        <v>37766.8</v>
      </c>
      <c r="BQ14">
        <v>36927.3</v>
      </c>
      <c r="BR14">
        <v>36915.9</v>
      </c>
      <c r="BS14">
        <v>37038.1</v>
      </c>
      <c r="BT14">
        <v>36831.5</v>
      </c>
      <c r="BU14">
        <v>36666.5</v>
      </c>
      <c r="BV14">
        <v>36635.5</v>
      </c>
      <c r="BW14">
        <v>36536.8</v>
      </c>
      <c r="BX14">
        <v>36559.4</v>
      </c>
      <c r="BY14">
        <v>36603.6</v>
      </c>
      <c r="BZ14">
        <v>36886.9</v>
      </c>
      <c r="CA14">
        <v>37117.7</v>
      </c>
      <c r="CB14">
        <v>37040.6</v>
      </c>
      <c r="CC14">
        <v>36765.4</v>
      </c>
      <c r="CD14">
        <v>36494.4</v>
      </c>
      <c r="CE14">
        <v>36281</v>
      </c>
      <c r="CF14">
        <v>35933</v>
      </c>
      <c r="CG14">
        <v>35436</v>
      </c>
      <c r="CH14">
        <v>35270.1</v>
      </c>
      <c r="CI14">
        <v>34619.4</v>
      </c>
      <c r="CJ14">
        <v>34131.1</v>
      </c>
      <c r="CK14">
        <v>33599.2</v>
      </c>
      <c r="CL14">
        <v>33495</v>
      </c>
      <c r="CM14">
        <v>32811.6</v>
      </c>
      <c r="CN14">
        <v>32447.2</v>
      </c>
      <c r="CO14">
        <v>32085.4</v>
      </c>
      <c r="CP14">
        <v>31369.8</v>
      </c>
      <c r="CQ14">
        <v>30917.4</v>
      </c>
      <c r="CR14">
        <v>30383.8</v>
      </c>
      <c r="CS14">
        <v>29986.6</v>
      </c>
    </row>
    <row r="15" spans="1:97">
      <c r="A15" s="9">
        <v>46248</v>
      </c>
      <c r="B15">
        <v>29662.4</v>
      </c>
      <c r="C15">
        <v>29310.2</v>
      </c>
      <c r="D15">
        <v>29114.9</v>
      </c>
      <c r="E15">
        <v>28806</v>
      </c>
      <c r="F15">
        <v>28472.5</v>
      </c>
      <c r="G15">
        <v>28311.9</v>
      </c>
      <c r="H15">
        <v>28092.9</v>
      </c>
      <c r="I15">
        <v>28005.7</v>
      </c>
      <c r="J15">
        <v>27788.2</v>
      </c>
      <c r="K15">
        <v>27777.4</v>
      </c>
      <c r="L15">
        <v>27512.8</v>
      </c>
      <c r="M15">
        <v>27321.4</v>
      </c>
      <c r="N15">
        <v>27423.7</v>
      </c>
      <c r="O15">
        <v>27198.2</v>
      </c>
      <c r="P15">
        <v>27312</v>
      </c>
      <c r="Q15">
        <v>27303.3</v>
      </c>
      <c r="R15">
        <v>27461.8</v>
      </c>
      <c r="S15">
        <v>27441.4</v>
      </c>
      <c r="T15">
        <v>27458.8</v>
      </c>
      <c r="U15">
        <v>27693.3</v>
      </c>
      <c r="V15">
        <v>28301.1</v>
      </c>
      <c r="W15">
        <v>29051.5</v>
      </c>
      <c r="X15">
        <v>29386.6</v>
      </c>
      <c r="Y15">
        <v>29799</v>
      </c>
      <c r="Z15">
        <v>30516.2</v>
      </c>
      <c r="AA15">
        <v>31013</v>
      </c>
      <c r="AB15">
        <v>31450.1</v>
      </c>
      <c r="AC15">
        <v>31982.5</v>
      </c>
      <c r="AD15">
        <v>32341.1</v>
      </c>
      <c r="AE15">
        <v>32794.7</v>
      </c>
      <c r="AF15">
        <v>33442.7</v>
      </c>
      <c r="AG15">
        <v>34098.1</v>
      </c>
      <c r="AH15">
        <v>34787.3</v>
      </c>
      <c r="AI15">
        <v>35654.9</v>
      </c>
      <c r="AJ15">
        <v>35985.9</v>
      </c>
      <c r="AK15">
        <v>36844.2</v>
      </c>
      <c r="AL15">
        <v>36905.8</v>
      </c>
      <c r="AM15">
        <v>37488.8</v>
      </c>
      <c r="AN15">
        <v>38067.7</v>
      </c>
      <c r="AO15">
        <v>38151.2</v>
      </c>
      <c r="AP15">
        <v>38460.4</v>
      </c>
      <c r="AQ15">
        <v>38737.5</v>
      </c>
      <c r="AR15">
        <v>39106.1</v>
      </c>
      <c r="AS15">
        <v>39154.2</v>
      </c>
      <c r="AT15">
        <v>39025.4</v>
      </c>
      <c r="AU15">
        <v>38942.1</v>
      </c>
      <c r="AV15">
        <v>38430.7</v>
      </c>
      <c r="AW15">
        <v>38287.9</v>
      </c>
      <c r="AX15">
        <v>38637.2</v>
      </c>
      <c r="AY15">
        <v>38532.5</v>
      </c>
      <c r="AZ15">
        <v>38745.4</v>
      </c>
      <c r="BA15">
        <v>38839.3</v>
      </c>
      <c r="BB15">
        <v>39194.6</v>
      </c>
      <c r="BC15">
        <v>39375.7</v>
      </c>
      <c r="BD15">
        <v>39196.5</v>
      </c>
      <c r="BE15">
        <v>39308.5</v>
      </c>
      <c r="BF15">
        <v>39242.3</v>
      </c>
      <c r="BG15">
        <v>39147.3</v>
      </c>
      <c r="BH15">
        <v>39184.4</v>
      </c>
      <c r="BI15">
        <v>38969.9</v>
      </c>
      <c r="BJ15">
        <v>39269.5</v>
      </c>
      <c r="BK15">
        <v>39374.7</v>
      </c>
      <c r="BL15">
        <v>39148.9</v>
      </c>
      <c r="BM15">
        <v>39176.4</v>
      </c>
      <c r="BN15">
        <v>39142.9</v>
      </c>
      <c r="BO15">
        <v>38880.8</v>
      </c>
      <c r="BP15">
        <v>38790.7</v>
      </c>
      <c r="BQ15">
        <v>37954.7</v>
      </c>
      <c r="BR15">
        <v>37612.3</v>
      </c>
      <c r="BS15">
        <v>37614.4</v>
      </c>
      <c r="BT15">
        <v>37534.9</v>
      </c>
      <c r="BU15">
        <v>37324.6</v>
      </c>
      <c r="BV15">
        <v>37067.8</v>
      </c>
      <c r="BW15">
        <v>36990.5</v>
      </c>
      <c r="BX15">
        <v>36883.3</v>
      </c>
      <c r="BY15">
        <v>36889.5</v>
      </c>
      <c r="BZ15">
        <v>37021</v>
      </c>
      <c r="CA15">
        <v>37072.7</v>
      </c>
      <c r="CB15">
        <v>37116.4</v>
      </c>
      <c r="CC15">
        <v>36798</v>
      </c>
      <c r="CD15">
        <v>36630.2</v>
      </c>
      <c r="CE15">
        <v>36426.6</v>
      </c>
      <c r="CF15">
        <v>35864.3</v>
      </c>
      <c r="CG15">
        <v>35452.2</v>
      </c>
      <c r="CH15">
        <v>35205.7</v>
      </c>
      <c r="CI15">
        <v>34578.4</v>
      </c>
      <c r="CJ15">
        <v>34000.2</v>
      </c>
      <c r="CK15">
        <v>33539.3</v>
      </c>
      <c r="CL15">
        <v>33373.5</v>
      </c>
      <c r="CM15">
        <v>32765.7</v>
      </c>
      <c r="CN15">
        <v>32187.1</v>
      </c>
      <c r="CO15">
        <v>31695.4</v>
      </c>
      <c r="CP15">
        <v>30987.4</v>
      </c>
      <c r="CQ15">
        <v>30625.1</v>
      </c>
      <c r="CR15">
        <v>30377.4</v>
      </c>
      <c r="CS15">
        <v>29850.4</v>
      </c>
    </row>
    <row r="16" spans="1:97">
      <c r="A16" s="9">
        <v>46249</v>
      </c>
      <c r="B16">
        <v>29726.4</v>
      </c>
      <c r="C16">
        <v>29350.2</v>
      </c>
      <c r="D16">
        <v>29226.5</v>
      </c>
      <c r="E16">
        <v>28739.2</v>
      </c>
      <c r="F16">
        <v>28639.9</v>
      </c>
      <c r="G16">
        <v>28282.9</v>
      </c>
      <c r="H16">
        <v>28320.4</v>
      </c>
      <c r="I16">
        <v>27935.6</v>
      </c>
      <c r="J16">
        <v>27976.4</v>
      </c>
      <c r="K16">
        <v>27667.9</v>
      </c>
      <c r="L16">
        <v>27562.9</v>
      </c>
      <c r="M16">
        <v>27454.9</v>
      </c>
      <c r="N16">
        <v>27423.2</v>
      </c>
      <c r="O16">
        <v>27435.8</v>
      </c>
      <c r="P16">
        <v>27229.7</v>
      </c>
      <c r="Q16">
        <v>27265.1</v>
      </c>
      <c r="R16">
        <v>27615.7</v>
      </c>
      <c r="S16">
        <v>27479.4</v>
      </c>
      <c r="T16">
        <v>27658.9</v>
      </c>
      <c r="U16">
        <v>27970.1</v>
      </c>
      <c r="V16">
        <v>28484.7</v>
      </c>
      <c r="W16">
        <v>28728.2</v>
      </c>
      <c r="X16">
        <v>29137.6</v>
      </c>
      <c r="Y16">
        <v>29581.7</v>
      </c>
      <c r="Z16">
        <v>29972.6</v>
      </c>
      <c r="AA16">
        <v>30232.6</v>
      </c>
      <c r="AB16">
        <v>30718.4</v>
      </c>
      <c r="AC16">
        <v>31187.9</v>
      </c>
      <c r="AD16">
        <v>31625.4</v>
      </c>
      <c r="AE16">
        <v>32269.6</v>
      </c>
      <c r="AF16">
        <v>32598.1</v>
      </c>
      <c r="AG16">
        <v>33403</v>
      </c>
      <c r="AH16">
        <v>34239.6</v>
      </c>
      <c r="AI16">
        <v>34691.6</v>
      </c>
      <c r="AJ16">
        <v>35009.4</v>
      </c>
      <c r="AK16">
        <v>35653</v>
      </c>
      <c r="AL16">
        <v>36008.5</v>
      </c>
      <c r="AM16">
        <v>36760.3</v>
      </c>
      <c r="AN16">
        <v>36475.7</v>
      </c>
      <c r="AO16">
        <v>36991.1</v>
      </c>
      <c r="AP16">
        <v>37702.6</v>
      </c>
      <c r="AQ16">
        <v>37348.7</v>
      </c>
      <c r="AR16">
        <v>37755.5</v>
      </c>
      <c r="AS16">
        <v>38165.9</v>
      </c>
      <c r="AT16">
        <v>37706</v>
      </c>
      <c r="AU16">
        <v>37694</v>
      </c>
      <c r="AV16">
        <v>37394.1</v>
      </c>
      <c r="AW16">
        <v>37202.7</v>
      </c>
      <c r="AX16">
        <v>37382</v>
      </c>
      <c r="AY16">
        <v>37925.9</v>
      </c>
      <c r="AZ16">
        <v>37811.6</v>
      </c>
      <c r="BA16">
        <v>37855</v>
      </c>
      <c r="BB16">
        <v>38581.7</v>
      </c>
      <c r="BC16">
        <v>38256.9</v>
      </c>
      <c r="BD16">
        <v>38556.2</v>
      </c>
      <c r="BE16">
        <v>38523</v>
      </c>
      <c r="BF16">
        <v>38630.4</v>
      </c>
      <c r="BG16">
        <v>38426.6</v>
      </c>
      <c r="BH16">
        <v>38388.7</v>
      </c>
      <c r="BI16">
        <v>38548.1</v>
      </c>
      <c r="BJ16">
        <v>38742.2</v>
      </c>
      <c r="BK16">
        <v>38736.7</v>
      </c>
      <c r="BL16">
        <v>38500.2</v>
      </c>
      <c r="BM16">
        <v>38726.7</v>
      </c>
      <c r="BN16">
        <v>38748.5</v>
      </c>
      <c r="BO16">
        <v>38392.9</v>
      </c>
      <c r="BP16">
        <v>38054.4</v>
      </c>
      <c r="BQ16">
        <v>37364.5</v>
      </c>
      <c r="BR16">
        <v>37228.3</v>
      </c>
      <c r="BS16">
        <v>36902.6</v>
      </c>
      <c r="BT16">
        <v>36831.6</v>
      </c>
      <c r="BU16">
        <v>36490.6</v>
      </c>
      <c r="BV16">
        <v>36280.7</v>
      </c>
      <c r="BW16">
        <v>36218.4</v>
      </c>
      <c r="BX16">
        <v>36063.1</v>
      </c>
      <c r="BY16">
        <v>36141.3</v>
      </c>
      <c r="BZ16">
        <v>36378.3</v>
      </c>
      <c r="CA16">
        <v>36355.6</v>
      </c>
      <c r="CB16">
        <v>36403.8</v>
      </c>
      <c r="CC16">
        <v>36056.4</v>
      </c>
      <c r="CD16">
        <v>35945.2</v>
      </c>
      <c r="CE16">
        <v>35585</v>
      </c>
      <c r="CF16">
        <v>35228.9</v>
      </c>
      <c r="CG16">
        <v>34719</v>
      </c>
      <c r="CH16">
        <v>34485</v>
      </c>
      <c r="CI16">
        <v>34008.2</v>
      </c>
      <c r="CJ16">
        <v>33588.7</v>
      </c>
      <c r="CK16">
        <v>32994</v>
      </c>
      <c r="CL16">
        <v>33022.3</v>
      </c>
      <c r="CM16">
        <v>32492.1</v>
      </c>
      <c r="CN16">
        <v>32086.2</v>
      </c>
      <c r="CO16">
        <v>31477.6</v>
      </c>
      <c r="CP16">
        <v>30915</v>
      </c>
      <c r="CQ16">
        <v>30513.4</v>
      </c>
      <c r="CR16">
        <v>30041.5</v>
      </c>
      <c r="CS16">
        <v>29657.1</v>
      </c>
    </row>
    <row r="17" spans="1:97">
      <c r="A17" s="9">
        <v>46250</v>
      </c>
      <c r="B17">
        <v>29229</v>
      </c>
      <c r="C17">
        <v>29151.5</v>
      </c>
      <c r="D17">
        <v>28828</v>
      </c>
      <c r="E17">
        <v>28667.6</v>
      </c>
      <c r="F17">
        <v>28541.6</v>
      </c>
      <c r="G17">
        <v>28445</v>
      </c>
      <c r="H17">
        <v>28083.6</v>
      </c>
      <c r="I17">
        <v>27905.8</v>
      </c>
      <c r="J17">
        <v>27755.3</v>
      </c>
      <c r="K17">
        <v>27533.8</v>
      </c>
      <c r="L17">
        <v>27459.2</v>
      </c>
      <c r="M17">
        <v>27434.1</v>
      </c>
      <c r="N17">
        <v>27480.5</v>
      </c>
      <c r="O17">
        <v>27327.3</v>
      </c>
      <c r="P17">
        <v>27444.7</v>
      </c>
      <c r="Q17">
        <v>27311.7</v>
      </c>
      <c r="R17">
        <v>27621.1</v>
      </c>
      <c r="S17">
        <v>27401.8</v>
      </c>
      <c r="T17">
        <v>27670.6</v>
      </c>
      <c r="U17">
        <v>27929.8</v>
      </c>
      <c r="V17">
        <v>28321.6</v>
      </c>
      <c r="W17">
        <v>28462.7</v>
      </c>
      <c r="X17">
        <v>29218.6</v>
      </c>
      <c r="Y17">
        <v>29369.3</v>
      </c>
      <c r="Z17">
        <v>29887.8</v>
      </c>
      <c r="AA17">
        <v>30265.4</v>
      </c>
      <c r="AB17">
        <v>30871.4</v>
      </c>
      <c r="AC17">
        <v>30988</v>
      </c>
      <c r="AD17">
        <v>31744.8</v>
      </c>
      <c r="AE17">
        <v>31885.1</v>
      </c>
      <c r="AF17">
        <v>32636.5</v>
      </c>
      <c r="AG17">
        <v>33155.7</v>
      </c>
      <c r="AH17">
        <v>33907.8</v>
      </c>
      <c r="AI17">
        <v>34532.1</v>
      </c>
      <c r="AJ17">
        <v>34938.5</v>
      </c>
      <c r="AK17">
        <v>35437.7</v>
      </c>
      <c r="AL17">
        <v>36249.6</v>
      </c>
      <c r="AM17">
        <v>36542.5</v>
      </c>
      <c r="AN17">
        <v>36718.7</v>
      </c>
      <c r="AO17">
        <v>37394.8</v>
      </c>
      <c r="AP17">
        <v>37444.8</v>
      </c>
      <c r="AQ17">
        <v>36861.3</v>
      </c>
      <c r="AR17">
        <v>37435.8</v>
      </c>
      <c r="AS17">
        <v>37689.2</v>
      </c>
      <c r="AT17">
        <v>37889.1</v>
      </c>
      <c r="AU17">
        <v>37839.4</v>
      </c>
      <c r="AV17">
        <v>37480.5</v>
      </c>
      <c r="AW17">
        <v>37392.3</v>
      </c>
      <c r="AX17">
        <v>37750.5</v>
      </c>
      <c r="AY17">
        <v>37163.4</v>
      </c>
      <c r="AZ17">
        <v>37869.6</v>
      </c>
      <c r="BA17">
        <v>37707.6</v>
      </c>
      <c r="BB17">
        <v>38332.1</v>
      </c>
      <c r="BC17">
        <v>38062</v>
      </c>
      <c r="BD17">
        <v>38484.9</v>
      </c>
      <c r="BE17">
        <v>38015.8</v>
      </c>
      <c r="BF17">
        <v>38015.4</v>
      </c>
      <c r="BG17">
        <v>37891</v>
      </c>
      <c r="BH17">
        <v>37765.8</v>
      </c>
      <c r="BI17">
        <v>37947.2</v>
      </c>
      <c r="BJ17">
        <v>37832.3</v>
      </c>
      <c r="BK17">
        <v>37374</v>
      </c>
      <c r="BL17">
        <v>37483.3</v>
      </c>
      <c r="BM17">
        <v>37887.5</v>
      </c>
      <c r="BN17">
        <v>37912.3</v>
      </c>
      <c r="BO17">
        <v>37938.7</v>
      </c>
      <c r="BP17">
        <v>37767.6</v>
      </c>
      <c r="BQ17">
        <v>37198.9</v>
      </c>
      <c r="BR17">
        <v>36889</v>
      </c>
      <c r="BS17">
        <v>36752.4</v>
      </c>
      <c r="BT17">
        <v>36682.9</v>
      </c>
      <c r="BU17">
        <v>36434.4</v>
      </c>
      <c r="BV17">
        <v>36394.8</v>
      </c>
      <c r="BW17">
        <v>36305.4</v>
      </c>
      <c r="BX17">
        <v>36467.2</v>
      </c>
      <c r="BY17">
        <v>36515.3</v>
      </c>
      <c r="BZ17">
        <v>36828.9</v>
      </c>
      <c r="CA17">
        <v>36882.4</v>
      </c>
      <c r="CB17">
        <v>37035.1</v>
      </c>
      <c r="CC17">
        <v>36612.3</v>
      </c>
      <c r="CD17">
        <v>36490.3</v>
      </c>
      <c r="CE17">
        <v>35961.6</v>
      </c>
      <c r="CF17">
        <v>35643.3</v>
      </c>
      <c r="CG17">
        <v>35211.8</v>
      </c>
      <c r="CH17">
        <v>34739.5</v>
      </c>
      <c r="CI17">
        <v>34319.5</v>
      </c>
      <c r="CJ17">
        <v>33743.8</v>
      </c>
      <c r="CK17">
        <v>32881.4</v>
      </c>
      <c r="CL17">
        <v>33014.1</v>
      </c>
      <c r="CM17">
        <v>32277.8</v>
      </c>
      <c r="CN17">
        <v>31921.8</v>
      </c>
      <c r="CO17">
        <v>31178.8</v>
      </c>
      <c r="CP17">
        <v>30673.7</v>
      </c>
      <c r="CQ17">
        <v>30276.1</v>
      </c>
      <c r="CR17">
        <v>29743.2</v>
      </c>
      <c r="CS17">
        <v>29253.9</v>
      </c>
    </row>
    <row r="18" spans="1:97">
      <c r="A18" s="9">
        <v>46251</v>
      </c>
      <c r="B18">
        <v>28932.1</v>
      </c>
      <c r="C18">
        <v>28830</v>
      </c>
      <c r="D18">
        <v>28693.4</v>
      </c>
      <c r="E18">
        <v>28384.2</v>
      </c>
      <c r="F18">
        <v>28151.3</v>
      </c>
      <c r="G18">
        <v>28065.2</v>
      </c>
      <c r="H18">
        <v>27781</v>
      </c>
      <c r="I18">
        <v>27739.4</v>
      </c>
      <c r="J18">
        <v>27463.6</v>
      </c>
      <c r="K18">
        <v>27311.8</v>
      </c>
      <c r="L18">
        <v>27367.7</v>
      </c>
      <c r="M18">
        <v>26967.8</v>
      </c>
      <c r="N18">
        <v>26943.1</v>
      </c>
      <c r="O18">
        <v>26851.3</v>
      </c>
      <c r="P18">
        <v>26953.5</v>
      </c>
      <c r="Q18">
        <v>26894.9</v>
      </c>
      <c r="R18">
        <v>27175.1</v>
      </c>
      <c r="S18">
        <v>27066.7</v>
      </c>
      <c r="T18">
        <v>27110</v>
      </c>
      <c r="U18">
        <v>27460.7</v>
      </c>
      <c r="V18">
        <v>27792.8</v>
      </c>
      <c r="W18">
        <v>28312.4</v>
      </c>
      <c r="X18">
        <v>28618.9</v>
      </c>
      <c r="Y18">
        <v>29131.4</v>
      </c>
      <c r="Z18">
        <v>29906.2</v>
      </c>
      <c r="AA18">
        <v>30234.5</v>
      </c>
      <c r="AB18">
        <v>30679.6</v>
      </c>
      <c r="AC18">
        <v>31003.2</v>
      </c>
      <c r="AD18">
        <v>31826.3</v>
      </c>
      <c r="AE18">
        <v>32204.3</v>
      </c>
      <c r="AF18">
        <v>32761.9</v>
      </c>
      <c r="AG18">
        <v>33400.9</v>
      </c>
      <c r="AH18">
        <v>34384.1</v>
      </c>
      <c r="AI18">
        <v>34912.1</v>
      </c>
      <c r="AJ18">
        <v>35206.3</v>
      </c>
      <c r="AK18">
        <v>35955.8</v>
      </c>
      <c r="AL18">
        <v>36152.2</v>
      </c>
      <c r="AM18">
        <v>36316.1</v>
      </c>
      <c r="AN18">
        <v>36634.8</v>
      </c>
      <c r="AO18">
        <v>36672.3</v>
      </c>
      <c r="AP18">
        <v>36748.2</v>
      </c>
      <c r="AQ18">
        <v>36700.8</v>
      </c>
      <c r="AR18">
        <v>36954.7</v>
      </c>
      <c r="AS18">
        <v>37283.8</v>
      </c>
      <c r="AT18">
        <v>37180.6</v>
      </c>
      <c r="AU18">
        <v>36510.3</v>
      </c>
      <c r="AV18">
        <v>36502.9</v>
      </c>
      <c r="AW18">
        <v>36697.6</v>
      </c>
      <c r="AX18">
        <v>37211.1</v>
      </c>
      <c r="AY18">
        <v>37075.6</v>
      </c>
      <c r="AZ18">
        <v>37526.6</v>
      </c>
      <c r="BA18">
        <v>37248</v>
      </c>
      <c r="BB18">
        <v>37557.5</v>
      </c>
      <c r="BC18">
        <v>37057.8</v>
      </c>
      <c r="BD18">
        <v>37805.6</v>
      </c>
      <c r="BE18">
        <v>37382.5</v>
      </c>
      <c r="BF18">
        <v>37420.7</v>
      </c>
      <c r="BG18">
        <v>37491</v>
      </c>
      <c r="BH18">
        <v>37098.5</v>
      </c>
      <c r="BI18">
        <v>37250</v>
      </c>
      <c r="BJ18">
        <v>37215.7</v>
      </c>
      <c r="BK18">
        <v>37308.8</v>
      </c>
      <c r="BL18">
        <v>37308.9</v>
      </c>
      <c r="BM18">
        <v>37357</v>
      </c>
      <c r="BN18">
        <v>37391.5</v>
      </c>
      <c r="BO18">
        <v>37300.6</v>
      </c>
      <c r="BP18">
        <v>36848.5</v>
      </c>
      <c r="BQ18">
        <v>36179.2</v>
      </c>
      <c r="BR18">
        <v>36088.8</v>
      </c>
      <c r="BS18">
        <v>35854.5</v>
      </c>
      <c r="BT18">
        <v>35537</v>
      </c>
      <c r="BU18">
        <v>35576.2</v>
      </c>
      <c r="BV18">
        <v>35490.4</v>
      </c>
      <c r="BW18">
        <v>35503.6</v>
      </c>
      <c r="BX18">
        <v>35451.4</v>
      </c>
      <c r="BY18">
        <v>35650.5</v>
      </c>
      <c r="BZ18">
        <v>36038.3</v>
      </c>
      <c r="CA18">
        <v>36111.1</v>
      </c>
      <c r="CB18">
        <v>35937.7</v>
      </c>
      <c r="CC18">
        <v>35543.8</v>
      </c>
      <c r="CD18">
        <v>35291</v>
      </c>
      <c r="CE18">
        <v>35255.7</v>
      </c>
      <c r="CF18">
        <v>34715.3</v>
      </c>
      <c r="CG18">
        <v>34203.6</v>
      </c>
      <c r="CH18">
        <v>34165.2</v>
      </c>
      <c r="CI18">
        <v>33480.4</v>
      </c>
      <c r="CJ18">
        <v>32946.4</v>
      </c>
      <c r="CK18">
        <v>32519.1</v>
      </c>
      <c r="CL18">
        <v>32261.6</v>
      </c>
      <c r="CM18">
        <v>31770</v>
      </c>
      <c r="CN18">
        <v>31525.1</v>
      </c>
      <c r="CO18">
        <v>30960.9</v>
      </c>
      <c r="CP18">
        <v>30363.2</v>
      </c>
      <c r="CQ18">
        <v>30122.2</v>
      </c>
      <c r="CR18">
        <v>29516.7</v>
      </c>
      <c r="CS18">
        <v>29116.3</v>
      </c>
    </row>
    <row r="19" spans="1:97">
      <c r="A19" s="9">
        <v>46252</v>
      </c>
      <c r="B19">
        <v>28883.4</v>
      </c>
      <c r="C19">
        <v>28688.6</v>
      </c>
      <c r="D19">
        <v>28483.6</v>
      </c>
      <c r="E19">
        <v>28272.2</v>
      </c>
      <c r="F19">
        <v>28149.4</v>
      </c>
      <c r="G19">
        <v>27905.9</v>
      </c>
      <c r="H19">
        <v>27894.8</v>
      </c>
      <c r="I19">
        <v>27534.4</v>
      </c>
      <c r="J19">
        <v>27615.2</v>
      </c>
      <c r="K19">
        <v>27382.8</v>
      </c>
      <c r="L19">
        <v>27514.3</v>
      </c>
      <c r="M19">
        <v>27133.1</v>
      </c>
      <c r="N19">
        <v>27191.9</v>
      </c>
      <c r="O19">
        <v>27228.7</v>
      </c>
      <c r="P19">
        <v>27054.6</v>
      </c>
      <c r="Q19">
        <v>27094.9</v>
      </c>
      <c r="R19">
        <v>27205</v>
      </c>
      <c r="S19">
        <v>27272.1</v>
      </c>
      <c r="T19">
        <v>27311.1</v>
      </c>
      <c r="U19">
        <v>27678</v>
      </c>
      <c r="V19">
        <v>28056</v>
      </c>
      <c r="W19">
        <v>28543.4</v>
      </c>
      <c r="X19">
        <v>29089.4</v>
      </c>
      <c r="Y19">
        <v>29657.3</v>
      </c>
      <c r="Z19">
        <v>30320.1</v>
      </c>
      <c r="AA19">
        <v>30809.6</v>
      </c>
      <c r="AB19">
        <v>31290.2</v>
      </c>
      <c r="AC19">
        <v>31341.7</v>
      </c>
      <c r="AD19">
        <v>32298.3</v>
      </c>
      <c r="AE19">
        <v>32697.4</v>
      </c>
      <c r="AF19">
        <v>33081.1</v>
      </c>
      <c r="AG19">
        <v>33687.1</v>
      </c>
      <c r="AH19">
        <v>34719.7</v>
      </c>
      <c r="AI19">
        <v>35257.1</v>
      </c>
      <c r="AJ19">
        <v>35733.9</v>
      </c>
      <c r="AK19">
        <v>35892.3</v>
      </c>
      <c r="AL19">
        <v>36924.6</v>
      </c>
      <c r="AM19">
        <v>37149</v>
      </c>
      <c r="AN19">
        <v>37521.3</v>
      </c>
      <c r="AO19">
        <v>37582.2</v>
      </c>
      <c r="AP19">
        <v>38086.3</v>
      </c>
      <c r="AQ19">
        <v>38139.4</v>
      </c>
      <c r="AR19">
        <v>38375</v>
      </c>
      <c r="AS19">
        <v>38344.1</v>
      </c>
      <c r="AT19">
        <v>38340.9</v>
      </c>
      <c r="AU19">
        <v>38253.1</v>
      </c>
      <c r="AV19">
        <v>37774.3</v>
      </c>
      <c r="AW19">
        <v>37448.2</v>
      </c>
      <c r="AX19">
        <v>37686.3</v>
      </c>
      <c r="AY19">
        <v>37952.1</v>
      </c>
      <c r="AZ19">
        <v>37962.1</v>
      </c>
      <c r="BA19">
        <v>38188.6</v>
      </c>
      <c r="BB19">
        <v>38330.3</v>
      </c>
      <c r="BC19">
        <v>38277.1</v>
      </c>
      <c r="BD19">
        <v>38257.2</v>
      </c>
      <c r="BE19">
        <v>38174.6</v>
      </c>
      <c r="BF19">
        <v>38465.4</v>
      </c>
      <c r="BG19">
        <v>38175.6</v>
      </c>
      <c r="BH19">
        <v>38357.2</v>
      </c>
      <c r="BI19">
        <v>38452.8</v>
      </c>
      <c r="BJ19">
        <v>38454.8</v>
      </c>
      <c r="BK19">
        <v>38499.4</v>
      </c>
      <c r="BL19">
        <v>38155.4</v>
      </c>
      <c r="BM19">
        <v>38277.3</v>
      </c>
      <c r="BN19">
        <v>38512.5</v>
      </c>
      <c r="BO19">
        <v>38356.5</v>
      </c>
      <c r="BP19">
        <v>38098.8</v>
      </c>
      <c r="BQ19">
        <v>37481.3</v>
      </c>
      <c r="BR19">
        <v>37235.8</v>
      </c>
      <c r="BS19">
        <v>37365.7</v>
      </c>
      <c r="BT19">
        <v>37193.3</v>
      </c>
      <c r="BU19">
        <v>37094.1</v>
      </c>
      <c r="BV19">
        <v>36851.2</v>
      </c>
      <c r="BW19">
        <v>36895.6</v>
      </c>
      <c r="BX19">
        <v>37129.7</v>
      </c>
      <c r="BY19">
        <v>37120.7</v>
      </c>
      <c r="BZ19">
        <v>37604.8</v>
      </c>
      <c r="CA19">
        <v>37557.8</v>
      </c>
      <c r="CB19">
        <v>37544.9</v>
      </c>
      <c r="CC19">
        <v>37311.3</v>
      </c>
      <c r="CD19">
        <v>36935</v>
      </c>
      <c r="CE19">
        <v>36575.9</v>
      </c>
      <c r="CF19">
        <v>36242.4</v>
      </c>
      <c r="CG19">
        <v>35711.1</v>
      </c>
      <c r="CH19">
        <v>35654.3</v>
      </c>
      <c r="CI19">
        <v>35033.7</v>
      </c>
      <c r="CJ19">
        <v>34419.1</v>
      </c>
      <c r="CK19">
        <v>33866.6</v>
      </c>
      <c r="CL19">
        <v>33825.4</v>
      </c>
      <c r="CM19">
        <v>33389.9</v>
      </c>
      <c r="CN19">
        <v>32740.7</v>
      </c>
      <c r="CO19">
        <v>32231.1</v>
      </c>
      <c r="CP19">
        <v>31551</v>
      </c>
      <c r="CQ19">
        <v>31009.4</v>
      </c>
      <c r="CR19">
        <v>30577.4</v>
      </c>
      <c r="CS19">
        <v>30035.9</v>
      </c>
    </row>
    <row r="20" spans="1:97">
      <c r="A20" s="9">
        <v>46253</v>
      </c>
      <c r="B20">
        <v>29851.4</v>
      </c>
      <c r="C20">
        <v>29535.3</v>
      </c>
      <c r="D20">
        <v>29390.7</v>
      </c>
      <c r="E20">
        <v>29115.2</v>
      </c>
      <c r="F20">
        <v>29080.4</v>
      </c>
      <c r="G20">
        <v>28689</v>
      </c>
      <c r="H20">
        <v>28623.8</v>
      </c>
      <c r="I20">
        <v>28187.2</v>
      </c>
      <c r="J20">
        <v>27983.2</v>
      </c>
      <c r="K20">
        <v>27874.2</v>
      </c>
      <c r="L20">
        <v>27983.7</v>
      </c>
      <c r="M20">
        <v>27792.2</v>
      </c>
      <c r="N20">
        <v>27862.4</v>
      </c>
      <c r="O20">
        <v>27747.5</v>
      </c>
      <c r="P20">
        <v>27734.8</v>
      </c>
      <c r="Q20">
        <v>27780.1</v>
      </c>
      <c r="R20">
        <v>27844.7</v>
      </c>
      <c r="S20">
        <v>27907.6</v>
      </c>
      <c r="T20">
        <v>28254.2</v>
      </c>
      <c r="U20">
        <v>28297.8</v>
      </c>
      <c r="V20">
        <v>28588.3</v>
      </c>
      <c r="W20">
        <v>29141.8</v>
      </c>
      <c r="X20">
        <v>29539.3</v>
      </c>
      <c r="Y20">
        <v>30142.2</v>
      </c>
      <c r="Z20">
        <v>30495.5</v>
      </c>
      <c r="AA20">
        <v>31035.4</v>
      </c>
      <c r="AB20">
        <v>31486</v>
      </c>
      <c r="AC20">
        <v>31810.7</v>
      </c>
      <c r="AD20">
        <v>32467.3</v>
      </c>
      <c r="AE20">
        <v>33123.1</v>
      </c>
      <c r="AF20">
        <v>33371.9</v>
      </c>
      <c r="AG20">
        <v>34164.7</v>
      </c>
      <c r="AH20">
        <v>35595.1</v>
      </c>
      <c r="AI20">
        <v>36244.1</v>
      </c>
      <c r="AJ20">
        <v>36679.5</v>
      </c>
      <c r="AK20">
        <v>37318.7</v>
      </c>
      <c r="AL20">
        <v>37773.5</v>
      </c>
      <c r="AM20">
        <v>38710.1</v>
      </c>
      <c r="AN20">
        <v>38675.4</v>
      </c>
      <c r="AO20">
        <v>39429.4</v>
      </c>
      <c r="AP20">
        <v>39309.8</v>
      </c>
      <c r="AQ20">
        <v>39619.9</v>
      </c>
      <c r="AR20">
        <v>40160.4</v>
      </c>
      <c r="AS20">
        <v>39608.9</v>
      </c>
      <c r="AT20">
        <v>39578.2</v>
      </c>
      <c r="AU20">
        <v>38848.8</v>
      </c>
      <c r="AV20">
        <v>39036.1</v>
      </c>
      <c r="AW20">
        <v>38552</v>
      </c>
      <c r="AX20">
        <v>38627.4</v>
      </c>
      <c r="AY20">
        <v>39128</v>
      </c>
      <c r="AZ20">
        <v>39188.9</v>
      </c>
      <c r="BA20">
        <v>39134.4</v>
      </c>
      <c r="BB20">
        <v>39557.2</v>
      </c>
      <c r="BC20">
        <v>39585.4</v>
      </c>
      <c r="BD20">
        <v>39482.6</v>
      </c>
      <c r="BE20">
        <v>39784.1</v>
      </c>
      <c r="BF20">
        <v>39917.5</v>
      </c>
      <c r="BG20">
        <v>40028.9</v>
      </c>
      <c r="BH20">
        <v>39591.8</v>
      </c>
      <c r="BI20">
        <v>39898</v>
      </c>
      <c r="BJ20">
        <v>39930.9</v>
      </c>
      <c r="BK20">
        <v>39809.5</v>
      </c>
      <c r="BL20">
        <v>39483.4</v>
      </c>
      <c r="BM20">
        <v>39297.8</v>
      </c>
      <c r="BN20">
        <v>39273.9</v>
      </c>
      <c r="BO20">
        <v>39363.6</v>
      </c>
      <c r="BP20">
        <v>39027.6</v>
      </c>
      <c r="BQ20">
        <v>38323.7</v>
      </c>
      <c r="BR20">
        <v>37873</v>
      </c>
      <c r="BS20">
        <v>37863.1</v>
      </c>
      <c r="BT20">
        <v>37662.7</v>
      </c>
      <c r="BU20">
        <v>37585.9</v>
      </c>
      <c r="BV20">
        <v>37424.4</v>
      </c>
      <c r="BW20">
        <v>37247.4</v>
      </c>
      <c r="BX20">
        <v>37350.4</v>
      </c>
      <c r="BY20">
        <v>37627.1</v>
      </c>
      <c r="BZ20">
        <v>37893.5</v>
      </c>
      <c r="CA20">
        <v>37798.7</v>
      </c>
      <c r="CB20">
        <v>37845.7</v>
      </c>
      <c r="CC20">
        <v>37461.1</v>
      </c>
      <c r="CD20">
        <v>37000.4</v>
      </c>
      <c r="CE20">
        <v>36850</v>
      </c>
      <c r="CF20">
        <v>36339.3</v>
      </c>
      <c r="CG20">
        <v>35785</v>
      </c>
      <c r="CH20">
        <v>35373.6</v>
      </c>
      <c r="CI20">
        <v>34924.2</v>
      </c>
      <c r="CJ20">
        <v>34425.2</v>
      </c>
      <c r="CK20">
        <v>33853</v>
      </c>
      <c r="CL20">
        <v>33786.5</v>
      </c>
      <c r="CM20">
        <v>33288.8</v>
      </c>
      <c r="CN20">
        <v>32591.6</v>
      </c>
      <c r="CO20">
        <v>31906.5</v>
      </c>
      <c r="CP20">
        <v>31571.8</v>
      </c>
      <c r="CQ20">
        <v>31259.7</v>
      </c>
      <c r="CR20">
        <v>30428</v>
      </c>
      <c r="CS20">
        <v>30190.6</v>
      </c>
    </row>
    <row r="21" spans="1:97">
      <c r="A21" s="9">
        <v>46254</v>
      </c>
      <c r="B21">
        <v>29729.8</v>
      </c>
      <c r="C21">
        <v>29546.9</v>
      </c>
      <c r="D21">
        <v>29188.4</v>
      </c>
      <c r="E21">
        <v>28831.3</v>
      </c>
      <c r="F21">
        <v>28795.5</v>
      </c>
      <c r="G21">
        <v>28700.3</v>
      </c>
      <c r="H21">
        <v>28304.8</v>
      </c>
      <c r="I21">
        <v>28016</v>
      </c>
      <c r="J21">
        <v>27905.8</v>
      </c>
      <c r="K21">
        <v>27604.9</v>
      </c>
      <c r="L21">
        <v>27412.4</v>
      </c>
      <c r="M21">
        <v>27564.2</v>
      </c>
      <c r="N21">
        <v>27385.6</v>
      </c>
      <c r="O21">
        <v>27415.7</v>
      </c>
      <c r="P21">
        <v>27404.3</v>
      </c>
      <c r="Q21">
        <v>27306.8</v>
      </c>
      <c r="R21">
        <v>27435.9</v>
      </c>
      <c r="S21">
        <v>27485.6</v>
      </c>
      <c r="T21">
        <v>27627.6</v>
      </c>
      <c r="U21">
        <v>27928.3</v>
      </c>
      <c r="V21">
        <v>28508.4</v>
      </c>
      <c r="W21">
        <v>28807.5</v>
      </c>
      <c r="X21">
        <v>29522.5</v>
      </c>
      <c r="Y21">
        <v>29688.7</v>
      </c>
      <c r="Z21">
        <v>30361.8</v>
      </c>
      <c r="AA21">
        <v>30963.1</v>
      </c>
      <c r="AB21">
        <v>31444.6</v>
      </c>
      <c r="AC21">
        <v>31864.4</v>
      </c>
      <c r="AD21">
        <v>32508.4</v>
      </c>
      <c r="AE21">
        <v>33207.1</v>
      </c>
      <c r="AF21">
        <v>33570.9</v>
      </c>
      <c r="AG21">
        <v>34199.1</v>
      </c>
      <c r="AH21">
        <v>35388.9</v>
      </c>
      <c r="AI21">
        <v>35961.6</v>
      </c>
      <c r="AJ21">
        <v>36500.9</v>
      </c>
      <c r="AK21">
        <v>37380.1</v>
      </c>
      <c r="AL21">
        <v>37777.3</v>
      </c>
      <c r="AM21">
        <v>38123.9</v>
      </c>
      <c r="AN21">
        <v>38544.1</v>
      </c>
      <c r="AO21">
        <v>38722.8</v>
      </c>
      <c r="AP21">
        <v>39218.4</v>
      </c>
      <c r="AQ21">
        <v>39694.8</v>
      </c>
      <c r="AR21">
        <v>39957.7</v>
      </c>
      <c r="AS21">
        <v>39722.1</v>
      </c>
      <c r="AT21">
        <v>40102.6</v>
      </c>
      <c r="AU21">
        <v>39458.7</v>
      </c>
      <c r="AV21">
        <v>39115.2</v>
      </c>
      <c r="AW21">
        <v>39125.5</v>
      </c>
      <c r="AX21">
        <v>39237.5</v>
      </c>
      <c r="AY21">
        <v>39331.9</v>
      </c>
      <c r="AZ21">
        <v>39539.7</v>
      </c>
      <c r="BA21">
        <v>39624.4</v>
      </c>
      <c r="BB21">
        <v>39977.9</v>
      </c>
      <c r="BC21">
        <v>39993.1</v>
      </c>
      <c r="BD21">
        <v>39732.1</v>
      </c>
      <c r="BE21">
        <v>39947</v>
      </c>
      <c r="BF21">
        <v>39574.6</v>
      </c>
      <c r="BG21">
        <v>39491.9</v>
      </c>
      <c r="BH21">
        <v>39751</v>
      </c>
      <c r="BI21">
        <v>39689.4</v>
      </c>
      <c r="BJ21">
        <v>39691.3</v>
      </c>
      <c r="BK21">
        <v>39991.2</v>
      </c>
      <c r="BL21">
        <v>39718.8</v>
      </c>
      <c r="BM21">
        <v>39795.5</v>
      </c>
      <c r="BN21">
        <v>39854.1</v>
      </c>
      <c r="BO21">
        <v>39665.5</v>
      </c>
      <c r="BP21">
        <v>39228.4</v>
      </c>
      <c r="BQ21">
        <v>38683</v>
      </c>
      <c r="BR21">
        <v>38281.1</v>
      </c>
      <c r="BS21">
        <v>38283.4</v>
      </c>
      <c r="BT21">
        <v>37886.1</v>
      </c>
      <c r="BU21">
        <v>37857.1</v>
      </c>
      <c r="BV21">
        <v>37559.3</v>
      </c>
      <c r="BW21">
        <v>37614.7</v>
      </c>
      <c r="BX21">
        <v>37718.2</v>
      </c>
      <c r="BY21">
        <v>37868.3</v>
      </c>
      <c r="BZ21">
        <v>38255.7</v>
      </c>
      <c r="CA21">
        <v>38405.4</v>
      </c>
      <c r="CB21">
        <v>38388.2</v>
      </c>
      <c r="CC21">
        <v>37908.8</v>
      </c>
      <c r="CD21">
        <v>37695.2</v>
      </c>
      <c r="CE21">
        <v>37471.2</v>
      </c>
      <c r="CF21">
        <v>36949.4</v>
      </c>
      <c r="CG21">
        <v>36441.7</v>
      </c>
      <c r="CH21">
        <v>36008.2</v>
      </c>
      <c r="CI21">
        <v>35571.5</v>
      </c>
      <c r="CJ21">
        <v>34956</v>
      </c>
      <c r="CK21">
        <v>34326.8</v>
      </c>
      <c r="CL21">
        <v>34453.2</v>
      </c>
      <c r="CM21">
        <v>33579.3</v>
      </c>
      <c r="CN21">
        <v>33209.6</v>
      </c>
      <c r="CO21">
        <v>32537.5</v>
      </c>
      <c r="CP21">
        <v>32126.2</v>
      </c>
      <c r="CQ21">
        <v>31534.8</v>
      </c>
      <c r="CR21">
        <v>31197.7</v>
      </c>
      <c r="CS21">
        <v>30565.7</v>
      </c>
    </row>
    <row r="22" spans="1:97">
      <c r="A22" s="9">
        <v>46255</v>
      </c>
      <c r="B22">
        <v>30189.7</v>
      </c>
      <c r="C22">
        <v>30207.4</v>
      </c>
      <c r="D22">
        <v>29764.8</v>
      </c>
      <c r="E22">
        <v>29706.3</v>
      </c>
      <c r="F22">
        <v>29436.9</v>
      </c>
      <c r="G22">
        <v>29187.6</v>
      </c>
      <c r="H22">
        <v>29121.1</v>
      </c>
      <c r="I22">
        <v>28814.5</v>
      </c>
      <c r="J22">
        <v>28690.3</v>
      </c>
      <c r="K22">
        <v>28602.5</v>
      </c>
      <c r="L22">
        <v>28379</v>
      </c>
      <c r="M22">
        <v>28156.5</v>
      </c>
      <c r="N22">
        <v>28174.3</v>
      </c>
      <c r="O22">
        <v>28115.9</v>
      </c>
      <c r="P22">
        <v>28148.5</v>
      </c>
      <c r="Q22">
        <v>28112.1</v>
      </c>
      <c r="R22">
        <v>28172.9</v>
      </c>
      <c r="S22">
        <v>28091.6</v>
      </c>
      <c r="T22">
        <v>28156.4</v>
      </c>
      <c r="U22">
        <v>28661.5</v>
      </c>
      <c r="V22">
        <v>28845.6</v>
      </c>
      <c r="W22">
        <v>29359</v>
      </c>
      <c r="X22">
        <v>29867.4</v>
      </c>
      <c r="Y22">
        <v>30253.8</v>
      </c>
      <c r="Z22">
        <v>30745.4</v>
      </c>
      <c r="AA22">
        <v>31393</v>
      </c>
      <c r="AB22">
        <v>31811.9</v>
      </c>
      <c r="AC22">
        <v>32059.5</v>
      </c>
      <c r="AD22">
        <v>32496.4</v>
      </c>
      <c r="AE22">
        <v>33102.7</v>
      </c>
      <c r="AF22">
        <v>34164.4</v>
      </c>
      <c r="AG22">
        <v>34615</v>
      </c>
      <c r="AH22">
        <v>35756.2</v>
      </c>
      <c r="AI22">
        <v>36387.8</v>
      </c>
      <c r="AJ22">
        <v>37116.7</v>
      </c>
      <c r="AK22">
        <v>37612.5</v>
      </c>
      <c r="AL22">
        <v>38084</v>
      </c>
      <c r="AM22">
        <v>38832.2</v>
      </c>
      <c r="AN22">
        <v>39354.9</v>
      </c>
      <c r="AO22">
        <v>39370.9</v>
      </c>
      <c r="AP22">
        <v>39765.5</v>
      </c>
      <c r="AQ22">
        <v>39979.9</v>
      </c>
      <c r="AR22">
        <v>40581.1</v>
      </c>
      <c r="AS22">
        <v>40550.1</v>
      </c>
      <c r="AT22">
        <v>40468.9</v>
      </c>
      <c r="AU22">
        <v>39956.9</v>
      </c>
      <c r="AV22">
        <v>40062.6</v>
      </c>
      <c r="AW22">
        <v>40008.1</v>
      </c>
      <c r="AX22">
        <v>39880.4</v>
      </c>
      <c r="AY22">
        <v>40287.7</v>
      </c>
      <c r="AZ22">
        <v>40684</v>
      </c>
      <c r="BA22">
        <v>40579.4</v>
      </c>
      <c r="BB22">
        <v>40704.7</v>
      </c>
      <c r="BC22">
        <v>40838.9</v>
      </c>
      <c r="BD22">
        <v>41064.6</v>
      </c>
      <c r="BE22">
        <v>41115.8</v>
      </c>
      <c r="BF22">
        <v>41139.1</v>
      </c>
      <c r="BG22">
        <v>40639.3</v>
      </c>
      <c r="BH22">
        <v>40888.3</v>
      </c>
      <c r="BI22">
        <v>41027.3</v>
      </c>
      <c r="BJ22">
        <v>40848.3</v>
      </c>
      <c r="BK22">
        <v>40949.9</v>
      </c>
      <c r="BL22">
        <v>40920.6</v>
      </c>
      <c r="BM22">
        <v>40839.6</v>
      </c>
      <c r="BN22">
        <v>40990.4</v>
      </c>
      <c r="BO22">
        <v>40670.9</v>
      </c>
      <c r="BP22">
        <v>40625.1</v>
      </c>
      <c r="BQ22">
        <v>39805.7</v>
      </c>
      <c r="BR22">
        <v>39310.7</v>
      </c>
      <c r="BS22">
        <v>39078.8</v>
      </c>
      <c r="BT22">
        <v>38808.2</v>
      </c>
      <c r="BU22">
        <v>38753.8</v>
      </c>
      <c r="BV22">
        <v>38588.3</v>
      </c>
      <c r="BW22">
        <v>38553.1</v>
      </c>
      <c r="BX22">
        <v>38698.8</v>
      </c>
      <c r="BY22">
        <v>38648</v>
      </c>
      <c r="BZ22">
        <v>38990.3</v>
      </c>
      <c r="CA22">
        <v>38914.5</v>
      </c>
      <c r="CB22">
        <v>38930.1</v>
      </c>
      <c r="CC22">
        <v>38615.2</v>
      </c>
      <c r="CD22">
        <v>38149.3</v>
      </c>
      <c r="CE22">
        <v>37664.2</v>
      </c>
      <c r="CF22">
        <v>37378.6</v>
      </c>
      <c r="CG22">
        <v>36771</v>
      </c>
      <c r="CH22">
        <v>36356.7</v>
      </c>
      <c r="CI22">
        <v>35958.9</v>
      </c>
      <c r="CJ22">
        <v>35492.6</v>
      </c>
      <c r="CK22">
        <v>34918.4</v>
      </c>
      <c r="CL22">
        <v>34836.3</v>
      </c>
      <c r="CM22">
        <v>34405.7</v>
      </c>
      <c r="CN22">
        <v>33919.2</v>
      </c>
      <c r="CO22">
        <v>33334.7</v>
      </c>
      <c r="CP22">
        <v>32645.3</v>
      </c>
      <c r="CQ22">
        <v>32304.2</v>
      </c>
      <c r="CR22">
        <v>31780.7</v>
      </c>
      <c r="CS22">
        <v>31038.1</v>
      </c>
    </row>
    <row r="23" spans="1:97">
      <c r="A23" s="9">
        <v>46256</v>
      </c>
      <c r="B23">
        <v>30731.4</v>
      </c>
      <c r="C23">
        <v>30508.4</v>
      </c>
      <c r="D23">
        <v>30259.3</v>
      </c>
      <c r="E23">
        <v>30047.1</v>
      </c>
      <c r="F23">
        <v>29857.3</v>
      </c>
      <c r="G23">
        <v>29545.3</v>
      </c>
      <c r="H23">
        <v>29360.4</v>
      </c>
      <c r="I23">
        <v>29121.9</v>
      </c>
      <c r="J23">
        <v>29015.4</v>
      </c>
      <c r="K23">
        <v>28780.9</v>
      </c>
      <c r="L23">
        <v>28609.8</v>
      </c>
      <c r="M23">
        <v>28525.3</v>
      </c>
      <c r="N23">
        <v>28568</v>
      </c>
      <c r="O23">
        <v>28277.7</v>
      </c>
      <c r="P23">
        <v>28221.1</v>
      </c>
      <c r="Q23">
        <v>28123.9</v>
      </c>
      <c r="R23">
        <v>28329.2</v>
      </c>
      <c r="S23">
        <v>28216.6</v>
      </c>
      <c r="T23">
        <v>28373.7</v>
      </c>
      <c r="U23">
        <v>28543.5</v>
      </c>
      <c r="V23">
        <v>28723.1</v>
      </c>
      <c r="W23">
        <v>29206.5</v>
      </c>
      <c r="X23">
        <v>29656.5</v>
      </c>
      <c r="Y23">
        <v>29898.3</v>
      </c>
      <c r="Z23">
        <v>30402.8</v>
      </c>
      <c r="AA23">
        <v>31023.2</v>
      </c>
      <c r="AB23">
        <v>31469.5</v>
      </c>
      <c r="AC23">
        <v>31934.9</v>
      </c>
      <c r="AD23">
        <v>32428.1</v>
      </c>
      <c r="AE23">
        <v>33133.7</v>
      </c>
      <c r="AF23">
        <v>33173.9</v>
      </c>
      <c r="AG23">
        <v>33887.6</v>
      </c>
      <c r="AH23">
        <v>35242.9</v>
      </c>
      <c r="AI23">
        <v>35880.2</v>
      </c>
      <c r="AJ23">
        <v>36238</v>
      </c>
      <c r="AK23">
        <v>37150.9</v>
      </c>
      <c r="AL23">
        <v>37943.9</v>
      </c>
      <c r="AM23">
        <v>37947.7</v>
      </c>
      <c r="AN23">
        <v>37953.9</v>
      </c>
      <c r="AO23">
        <v>38670.9</v>
      </c>
      <c r="AP23">
        <v>39250.8</v>
      </c>
      <c r="AQ23">
        <v>39419.6</v>
      </c>
      <c r="AR23">
        <v>39691.3</v>
      </c>
      <c r="AS23">
        <v>39582.5</v>
      </c>
      <c r="AT23">
        <v>40020.6</v>
      </c>
      <c r="AU23">
        <v>39325.3</v>
      </c>
      <c r="AV23">
        <v>39121.8</v>
      </c>
      <c r="AW23">
        <v>39119.8</v>
      </c>
      <c r="AX23">
        <v>39646.1</v>
      </c>
      <c r="AY23">
        <v>39643.4</v>
      </c>
      <c r="AZ23">
        <v>40126.2</v>
      </c>
      <c r="BA23">
        <v>40092.3</v>
      </c>
      <c r="BB23">
        <v>40561.6</v>
      </c>
      <c r="BC23">
        <v>40372.7</v>
      </c>
      <c r="BD23">
        <v>40357.7</v>
      </c>
      <c r="BE23">
        <v>40163.5</v>
      </c>
      <c r="BF23">
        <v>40408.6</v>
      </c>
      <c r="BG23">
        <v>40256.7</v>
      </c>
      <c r="BH23">
        <v>40198.9</v>
      </c>
      <c r="BI23">
        <v>40178.1</v>
      </c>
      <c r="BJ23">
        <v>40013.6</v>
      </c>
      <c r="BK23">
        <v>40044.1</v>
      </c>
      <c r="BL23">
        <v>40105.6</v>
      </c>
      <c r="BM23">
        <v>40047.1</v>
      </c>
      <c r="BN23">
        <v>39866.9</v>
      </c>
      <c r="BO23">
        <v>39977.4</v>
      </c>
      <c r="BP23">
        <v>39793.8</v>
      </c>
      <c r="BQ23">
        <v>39067</v>
      </c>
      <c r="BR23">
        <v>38726.9</v>
      </c>
      <c r="BS23">
        <v>38616.6</v>
      </c>
      <c r="BT23">
        <v>37986.8</v>
      </c>
      <c r="BU23">
        <v>38032.7</v>
      </c>
      <c r="BV23">
        <v>37690.6</v>
      </c>
      <c r="BW23">
        <v>37583.5</v>
      </c>
      <c r="BX23">
        <v>37505.3</v>
      </c>
      <c r="BY23">
        <v>37392.5</v>
      </c>
      <c r="BZ23">
        <v>37766</v>
      </c>
      <c r="CA23">
        <v>37490.5</v>
      </c>
      <c r="CB23">
        <v>37550.7</v>
      </c>
      <c r="CC23">
        <v>37295.4</v>
      </c>
      <c r="CD23">
        <v>37148.4</v>
      </c>
      <c r="CE23">
        <v>36905.4</v>
      </c>
      <c r="CF23">
        <v>36239.8</v>
      </c>
      <c r="CG23">
        <v>35918.2</v>
      </c>
      <c r="CH23">
        <v>35602.8</v>
      </c>
      <c r="CI23">
        <v>34857.9</v>
      </c>
      <c r="CJ23">
        <v>34516</v>
      </c>
      <c r="CK23">
        <v>33966.1</v>
      </c>
      <c r="CL23">
        <v>34096.5</v>
      </c>
      <c r="CM23">
        <v>33476.6</v>
      </c>
      <c r="CN23">
        <v>33120.2</v>
      </c>
      <c r="CO23">
        <v>32573.9</v>
      </c>
      <c r="CP23">
        <v>32112.7</v>
      </c>
      <c r="CQ23">
        <v>31589.5</v>
      </c>
      <c r="CR23">
        <v>30961.4</v>
      </c>
      <c r="CS23">
        <v>30486.8</v>
      </c>
    </row>
    <row r="24" spans="1:97">
      <c r="A24" s="9">
        <v>46257</v>
      </c>
      <c r="B24">
        <v>30248.1</v>
      </c>
      <c r="C24">
        <v>29863.6</v>
      </c>
      <c r="D24">
        <v>29549.6</v>
      </c>
      <c r="E24">
        <v>29506.9</v>
      </c>
      <c r="F24">
        <v>29103.5</v>
      </c>
      <c r="G24">
        <v>28956.4</v>
      </c>
      <c r="H24">
        <v>28851.2</v>
      </c>
      <c r="I24">
        <v>28517.4</v>
      </c>
      <c r="J24">
        <v>28470.1</v>
      </c>
      <c r="K24">
        <v>28307.6</v>
      </c>
      <c r="L24">
        <v>28224.1</v>
      </c>
      <c r="M24">
        <v>28120.4</v>
      </c>
      <c r="N24">
        <v>28186.1</v>
      </c>
      <c r="O24">
        <v>27999.1</v>
      </c>
      <c r="P24">
        <v>27908.5</v>
      </c>
      <c r="Q24">
        <v>27913.2</v>
      </c>
      <c r="R24">
        <v>28104.9</v>
      </c>
      <c r="S24">
        <v>28205.3</v>
      </c>
      <c r="T24">
        <v>28475</v>
      </c>
      <c r="U24">
        <v>28584.4</v>
      </c>
      <c r="V24">
        <v>29120.5</v>
      </c>
      <c r="W24">
        <v>29333.6</v>
      </c>
      <c r="X24">
        <v>29991.2</v>
      </c>
      <c r="Y24">
        <v>30174.6</v>
      </c>
      <c r="Z24">
        <v>30709.3</v>
      </c>
      <c r="AA24">
        <v>30953.3</v>
      </c>
      <c r="AB24">
        <v>31371.2</v>
      </c>
      <c r="AC24">
        <v>31664.5</v>
      </c>
      <c r="AD24">
        <v>32079.9</v>
      </c>
      <c r="AE24">
        <v>32506.6</v>
      </c>
      <c r="AF24">
        <v>32936.1</v>
      </c>
      <c r="AG24">
        <v>33640.2</v>
      </c>
      <c r="AH24">
        <v>34480.6</v>
      </c>
      <c r="AI24">
        <v>34570.3</v>
      </c>
      <c r="AJ24">
        <v>35499.1</v>
      </c>
      <c r="AK24">
        <v>35955.1</v>
      </c>
      <c r="AL24">
        <v>36530.9</v>
      </c>
      <c r="AM24">
        <v>36732.5</v>
      </c>
      <c r="AN24">
        <v>37081.6</v>
      </c>
      <c r="AO24">
        <v>37524.2</v>
      </c>
      <c r="AP24">
        <v>38322.5</v>
      </c>
      <c r="AQ24">
        <v>38540.5</v>
      </c>
      <c r="AR24">
        <v>38639.5</v>
      </c>
      <c r="AS24">
        <v>38691.6</v>
      </c>
      <c r="AT24">
        <v>38974.3</v>
      </c>
      <c r="AU24">
        <v>39037.8</v>
      </c>
      <c r="AV24">
        <v>38529.3</v>
      </c>
      <c r="AW24">
        <v>38732.8</v>
      </c>
      <c r="AX24">
        <v>38705.8</v>
      </c>
      <c r="AY24">
        <v>39371.3</v>
      </c>
      <c r="AZ24">
        <v>39656.5</v>
      </c>
      <c r="BA24">
        <v>39788.7</v>
      </c>
      <c r="BB24">
        <v>40008.9</v>
      </c>
      <c r="BC24">
        <v>40147.5</v>
      </c>
      <c r="BD24">
        <v>40057.3</v>
      </c>
      <c r="BE24">
        <v>39943.7</v>
      </c>
      <c r="BF24">
        <v>40152.7</v>
      </c>
      <c r="BG24">
        <v>39583.4</v>
      </c>
      <c r="BH24">
        <v>39856.3</v>
      </c>
      <c r="BI24">
        <v>39912.1</v>
      </c>
      <c r="BJ24">
        <v>39995.8</v>
      </c>
      <c r="BK24">
        <v>40276.7</v>
      </c>
      <c r="BL24">
        <v>39906</v>
      </c>
      <c r="BM24">
        <v>39735.3</v>
      </c>
      <c r="BN24">
        <v>39976.6</v>
      </c>
      <c r="BO24">
        <v>40199.5</v>
      </c>
      <c r="BP24">
        <v>40129</v>
      </c>
      <c r="BQ24">
        <v>39481.8</v>
      </c>
      <c r="BR24">
        <v>39392.9</v>
      </c>
      <c r="BS24">
        <v>39421.6</v>
      </c>
      <c r="BT24">
        <v>39196.5</v>
      </c>
      <c r="BU24">
        <v>39203.3</v>
      </c>
      <c r="BV24">
        <v>38904.6</v>
      </c>
      <c r="BW24">
        <v>38879.7</v>
      </c>
      <c r="BX24">
        <v>38897.6</v>
      </c>
      <c r="BY24">
        <v>39013.3</v>
      </c>
      <c r="BZ24">
        <v>39343.7</v>
      </c>
      <c r="CA24">
        <v>39493.9</v>
      </c>
      <c r="CB24">
        <v>39294.8</v>
      </c>
      <c r="CC24">
        <v>39177.3</v>
      </c>
      <c r="CD24">
        <v>38788.9</v>
      </c>
      <c r="CE24">
        <v>38699.4</v>
      </c>
      <c r="CF24">
        <v>38194.9</v>
      </c>
      <c r="CG24">
        <v>37547.8</v>
      </c>
      <c r="CH24">
        <v>37081.4</v>
      </c>
      <c r="CI24">
        <v>36639.2</v>
      </c>
      <c r="CJ24">
        <v>35960.5</v>
      </c>
      <c r="CK24">
        <v>35326.4</v>
      </c>
      <c r="CL24">
        <v>35267</v>
      </c>
      <c r="CM24">
        <v>34974.1</v>
      </c>
      <c r="CN24">
        <v>34077.2</v>
      </c>
      <c r="CO24">
        <v>33582.2</v>
      </c>
      <c r="CP24">
        <v>32974.2</v>
      </c>
      <c r="CQ24">
        <v>32428.5</v>
      </c>
      <c r="CR24">
        <v>32043.1</v>
      </c>
      <c r="CS24">
        <v>31322.8</v>
      </c>
    </row>
    <row r="25" spans="1:97">
      <c r="A25" s="9">
        <v>46258</v>
      </c>
      <c r="B25">
        <v>31161.3</v>
      </c>
      <c r="C25">
        <v>31086.8</v>
      </c>
      <c r="D25">
        <v>30666.2</v>
      </c>
      <c r="E25">
        <v>30525.8</v>
      </c>
      <c r="F25">
        <v>30070.3</v>
      </c>
      <c r="G25">
        <v>29880.7</v>
      </c>
      <c r="H25">
        <v>29829.3</v>
      </c>
      <c r="I25">
        <v>29673</v>
      </c>
      <c r="J25">
        <v>29498.9</v>
      </c>
      <c r="K25">
        <v>29313</v>
      </c>
      <c r="L25">
        <v>29284.7</v>
      </c>
      <c r="M25">
        <v>28917.3</v>
      </c>
      <c r="N25">
        <v>28900.1</v>
      </c>
      <c r="O25">
        <v>28854.6</v>
      </c>
      <c r="P25">
        <v>28597.1</v>
      </c>
      <c r="Q25">
        <v>28655.1</v>
      </c>
      <c r="R25">
        <v>28965.4</v>
      </c>
      <c r="S25">
        <v>28744.4</v>
      </c>
      <c r="T25">
        <v>28938.3</v>
      </c>
      <c r="U25">
        <v>28825.9</v>
      </c>
      <c r="V25">
        <v>29448</v>
      </c>
      <c r="W25">
        <v>29741.9</v>
      </c>
      <c r="X25">
        <v>30266.4</v>
      </c>
      <c r="Y25">
        <v>30999.4</v>
      </c>
      <c r="Z25">
        <v>31535.8</v>
      </c>
      <c r="AA25">
        <v>31998.2</v>
      </c>
      <c r="AB25">
        <v>32651.7</v>
      </c>
      <c r="AC25">
        <v>33069.7</v>
      </c>
      <c r="AD25">
        <v>33431.9</v>
      </c>
      <c r="AE25">
        <v>33981</v>
      </c>
      <c r="AF25">
        <v>34471.7</v>
      </c>
      <c r="AG25">
        <v>35193.9</v>
      </c>
      <c r="AH25">
        <v>36194</v>
      </c>
      <c r="AI25">
        <v>36795.7</v>
      </c>
      <c r="AJ25">
        <v>37392.5</v>
      </c>
      <c r="AK25">
        <v>37871.4</v>
      </c>
      <c r="AL25">
        <v>38190.9</v>
      </c>
      <c r="AM25">
        <v>38612.5</v>
      </c>
      <c r="AN25">
        <v>38630.5</v>
      </c>
      <c r="AO25">
        <v>38522.7</v>
      </c>
      <c r="AP25">
        <v>38648.2</v>
      </c>
      <c r="AQ25">
        <v>38695.7</v>
      </c>
      <c r="AR25">
        <v>38607.5</v>
      </c>
      <c r="AS25">
        <v>38658.2</v>
      </c>
      <c r="AT25">
        <v>38099.7</v>
      </c>
      <c r="AU25">
        <v>37527.8</v>
      </c>
      <c r="AV25">
        <v>37406.2</v>
      </c>
      <c r="AW25">
        <v>36713.5</v>
      </c>
      <c r="AX25">
        <v>36701.7</v>
      </c>
      <c r="AY25">
        <v>36286.6</v>
      </c>
      <c r="AZ25">
        <v>36449.2</v>
      </c>
      <c r="BA25">
        <v>36515</v>
      </c>
      <c r="BB25">
        <v>36697.3</v>
      </c>
      <c r="BC25">
        <v>36616.4</v>
      </c>
      <c r="BD25">
        <v>36449.6</v>
      </c>
      <c r="BE25">
        <v>36473.6</v>
      </c>
      <c r="BF25">
        <v>36655.6</v>
      </c>
      <c r="BG25">
        <v>36541</v>
      </c>
      <c r="BH25">
        <v>36693.7</v>
      </c>
      <c r="BI25">
        <v>36467</v>
      </c>
      <c r="BJ25">
        <v>36480.6</v>
      </c>
      <c r="BK25">
        <v>36694</v>
      </c>
      <c r="BL25">
        <v>36527</v>
      </c>
      <c r="BM25">
        <v>36364.7</v>
      </c>
      <c r="BN25">
        <v>36307.7</v>
      </c>
      <c r="BO25">
        <v>36159.1</v>
      </c>
      <c r="BP25">
        <v>36106.7</v>
      </c>
      <c r="BQ25">
        <v>35361</v>
      </c>
      <c r="BR25">
        <v>35314.7</v>
      </c>
      <c r="BS25">
        <v>35073.2</v>
      </c>
      <c r="BT25">
        <v>34930.7</v>
      </c>
      <c r="BU25">
        <v>34837.2</v>
      </c>
      <c r="BV25">
        <v>34903.1</v>
      </c>
      <c r="BW25">
        <v>34881.2</v>
      </c>
      <c r="BX25">
        <v>35103.4</v>
      </c>
      <c r="BY25">
        <v>35265.5</v>
      </c>
      <c r="BZ25">
        <v>35567.4</v>
      </c>
      <c r="CA25">
        <v>35513.3</v>
      </c>
      <c r="CB25">
        <v>35346.9</v>
      </c>
      <c r="CC25">
        <v>34909.1</v>
      </c>
      <c r="CD25">
        <v>34959.8</v>
      </c>
      <c r="CE25">
        <v>34603.9</v>
      </c>
      <c r="CF25">
        <v>34206.2</v>
      </c>
      <c r="CG25">
        <v>33697.8</v>
      </c>
      <c r="CH25">
        <v>33576.7</v>
      </c>
      <c r="CI25">
        <v>33035.6</v>
      </c>
      <c r="CJ25">
        <v>32680</v>
      </c>
      <c r="CK25">
        <v>32022.5</v>
      </c>
      <c r="CL25">
        <v>32054.7</v>
      </c>
      <c r="CM25">
        <v>31591.2</v>
      </c>
      <c r="CN25">
        <v>31037.2</v>
      </c>
      <c r="CO25">
        <v>30441.9</v>
      </c>
      <c r="CP25">
        <v>30224.9</v>
      </c>
      <c r="CQ25">
        <v>29823.4</v>
      </c>
      <c r="CR25">
        <v>29323.6</v>
      </c>
      <c r="CS25">
        <v>29021.9</v>
      </c>
    </row>
    <row r="26" spans="1:97">
      <c r="A26" s="9">
        <v>46259</v>
      </c>
      <c r="B26">
        <v>28657.7</v>
      </c>
      <c r="C26">
        <v>28554</v>
      </c>
      <c r="D26">
        <v>28312.9</v>
      </c>
      <c r="E26">
        <v>27967.3</v>
      </c>
      <c r="F26">
        <v>27980.6</v>
      </c>
      <c r="G26">
        <v>27678.5</v>
      </c>
      <c r="H26">
        <v>27689.4</v>
      </c>
      <c r="I26">
        <v>27597</v>
      </c>
      <c r="J26">
        <v>27325.3</v>
      </c>
      <c r="K26">
        <v>27263.8</v>
      </c>
      <c r="L26">
        <v>27215.9</v>
      </c>
      <c r="M26">
        <v>27064.4</v>
      </c>
      <c r="N26">
        <v>27073.2</v>
      </c>
      <c r="O26">
        <v>27002.6</v>
      </c>
      <c r="P26">
        <v>27115.1</v>
      </c>
      <c r="Q26">
        <v>27133.5</v>
      </c>
      <c r="R26">
        <v>27329.9</v>
      </c>
      <c r="S26">
        <v>27294.9</v>
      </c>
      <c r="T26">
        <v>27417.3</v>
      </c>
      <c r="U26">
        <v>27440.4</v>
      </c>
      <c r="V26">
        <v>27937.9</v>
      </c>
      <c r="W26">
        <v>28355.6</v>
      </c>
      <c r="X26">
        <v>28980.9</v>
      </c>
      <c r="Y26">
        <v>29371.7</v>
      </c>
      <c r="Z26">
        <v>30047.7</v>
      </c>
      <c r="AA26">
        <v>30733.7</v>
      </c>
      <c r="AB26">
        <v>31035.6</v>
      </c>
      <c r="AC26">
        <v>31482.4</v>
      </c>
      <c r="AD26">
        <v>32126.2</v>
      </c>
      <c r="AE26">
        <v>32495.8</v>
      </c>
      <c r="AF26">
        <v>33180.6</v>
      </c>
      <c r="AG26">
        <v>33923.5</v>
      </c>
      <c r="AH26">
        <v>34665.5</v>
      </c>
      <c r="AI26">
        <v>35432.9</v>
      </c>
      <c r="AJ26">
        <v>35781.6</v>
      </c>
      <c r="AK26">
        <v>36472.9</v>
      </c>
      <c r="AL26">
        <v>36804.7</v>
      </c>
      <c r="AM26">
        <v>37191</v>
      </c>
      <c r="AN26">
        <v>37601.8</v>
      </c>
      <c r="AO26">
        <v>37888</v>
      </c>
      <c r="AP26">
        <v>38546.2</v>
      </c>
      <c r="AQ26">
        <v>38545</v>
      </c>
      <c r="AR26">
        <v>38705.2</v>
      </c>
      <c r="AS26">
        <v>38717</v>
      </c>
      <c r="AT26">
        <v>39175.1</v>
      </c>
      <c r="AU26">
        <v>38370.3</v>
      </c>
      <c r="AV26">
        <v>38697.1</v>
      </c>
      <c r="AW26">
        <v>38499.4</v>
      </c>
      <c r="AX26">
        <v>38536.3</v>
      </c>
      <c r="AY26">
        <v>38746.6</v>
      </c>
      <c r="AZ26">
        <v>38727.4</v>
      </c>
      <c r="BA26">
        <v>38589.8</v>
      </c>
      <c r="BB26">
        <v>39227.1</v>
      </c>
      <c r="BC26">
        <v>39137.2</v>
      </c>
      <c r="BD26">
        <v>39158.7</v>
      </c>
      <c r="BE26">
        <v>39207.5</v>
      </c>
      <c r="BF26">
        <v>39239.8</v>
      </c>
      <c r="BG26">
        <v>38918</v>
      </c>
      <c r="BH26">
        <v>38967.5</v>
      </c>
      <c r="BI26">
        <v>38699.3</v>
      </c>
      <c r="BJ26">
        <v>38402.9</v>
      </c>
      <c r="BK26">
        <v>38499.9</v>
      </c>
      <c r="BL26">
        <v>38630.9</v>
      </c>
      <c r="BM26">
        <v>38398.4</v>
      </c>
      <c r="BN26">
        <v>38563.1</v>
      </c>
      <c r="BO26">
        <v>38418.1</v>
      </c>
      <c r="BP26">
        <v>38078.2</v>
      </c>
      <c r="BQ26">
        <v>37456.8</v>
      </c>
      <c r="BR26">
        <v>37176.2</v>
      </c>
      <c r="BS26">
        <v>37319.8</v>
      </c>
      <c r="BT26">
        <v>37202.6</v>
      </c>
      <c r="BU26">
        <v>37217.7</v>
      </c>
      <c r="BV26">
        <v>37267.5</v>
      </c>
      <c r="BW26">
        <v>37298.5</v>
      </c>
      <c r="BX26">
        <v>37666.9</v>
      </c>
      <c r="BY26">
        <v>37641.5</v>
      </c>
      <c r="BZ26">
        <v>38012</v>
      </c>
      <c r="CA26">
        <v>37831.5</v>
      </c>
      <c r="CB26">
        <v>37940.8</v>
      </c>
      <c r="CC26">
        <v>37860.4</v>
      </c>
      <c r="CD26">
        <v>37441.9</v>
      </c>
      <c r="CE26">
        <v>37070.7</v>
      </c>
      <c r="CF26">
        <v>36557</v>
      </c>
      <c r="CG26">
        <v>35928.5</v>
      </c>
      <c r="CH26">
        <v>35689.6</v>
      </c>
      <c r="CI26">
        <v>35147.8</v>
      </c>
      <c r="CJ26">
        <v>34725.3</v>
      </c>
      <c r="CK26">
        <v>34089.4</v>
      </c>
      <c r="CL26">
        <v>34068.5</v>
      </c>
      <c r="CM26">
        <v>33531.3</v>
      </c>
      <c r="CN26">
        <v>33017.3</v>
      </c>
      <c r="CO26">
        <v>32265.1</v>
      </c>
      <c r="CP26">
        <v>31755.2</v>
      </c>
      <c r="CQ26">
        <v>31261.1</v>
      </c>
      <c r="CR26">
        <v>30694.2</v>
      </c>
      <c r="CS26">
        <v>30257.5</v>
      </c>
    </row>
    <row r="27" spans="1:97">
      <c r="A27" s="9">
        <v>46260</v>
      </c>
      <c r="B27">
        <v>29943.8</v>
      </c>
      <c r="C27">
        <v>29888.3</v>
      </c>
      <c r="D27">
        <v>29265.3</v>
      </c>
      <c r="E27">
        <v>28947.3</v>
      </c>
      <c r="F27">
        <v>28883.1</v>
      </c>
      <c r="G27">
        <v>28720.9</v>
      </c>
      <c r="H27">
        <v>28678</v>
      </c>
      <c r="I27">
        <v>28549.4</v>
      </c>
      <c r="J27">
        <v>28244.3</v>
      </c>
      <c r="K27">
        <v>28075.6</v>
      </c>
      <c r="L27">
        <v>27903.3</v>
      </c>
      <c r="M27">
        <v>27814</v>
      </c>
      <c r="N27">
        <v>27831.2</v>
      </c>
      <c r="O27">
        <v>27883.7</v>
      </c>
      <c r="P27">
        <v>27814.1</v>
      </c>
      <c r="Q27">
        <v>27593.7</v>
      </c>
      <c r="R27">
        <v>27880.8</v>
      </c>
      <c r="S27">
        <v>27865</v>
      </c>
      <c r="T27">
        <v>27761.7</v>
      </c>
      <c r="U27">
        <v>27849.9</v>
      </c>
      <c r="V27">
        <v>28277.2</v>
      </c>
      <c r="W27">
        <v>28551.9</v>
      </c>
      <c r="X27">
        <v>29184.2</v>
      </c>
      <c r="Y27">
        <v>29552.2</v>
      </c>
      <c r="Z27">
        <v>30253.5</v>
      </c>
      <c r="AA27">
        <v>30690.9</v>
      </c>
      <c r="AB27">
        <v>31153.8</v>
      </c>
      <c r="AC27">
        <v>31552.4</v>
      </c>
      <c r="AD27">
        <v>31989.9</v>
      </c>
      <c r="AE27">
        <v>32403.6</v>
      </c>
      <c r="AF27">
        <v>32880.6</v>
      </c>
      <c r="AG27">
        <v>33323.3</v>
      </c>
      <c r="AH27">
        <v>34395.9</v>
      </c>
      <c r="AI27">
        <v>34661.8</v>
      </c>
      <c r="AJ27">
        <v>35189.4</v>
      </c>
      <c r="AK27">
        <v>35767.6</v>
      </c>
      <c r="AL27">
        <v>35849.1</v>
      </c>
      <c r="AM27">
        <v>36286.1</v>
      </c>
      <c r="AN27">
        <v>36647.8</v>
      </c>
      <c r="AO27">
        <v>36928.8</v>
      </c>
      <c r="AP27">
        <v>36972.1</v>
      </c>
      <c r="AQ27">
        <v>36801</v>
      </c>
      <c r="AR27">
        <v>36957.6</v>
      </c>
      <c r="AS27">
        <v>37171.3</v>
      </c>
      <c r="AT27">
        <v>37176.6</v>
      </c>
      <c r="AU27">
        <v>36487.8</v>
      </c>
      <c r="AV27">
        <v>36290.1</v>
      </c>
      <c r="AW27">
        <v>35994</v>
      </c>
      <c r="AX27">
        <v>36092</v>
      </c>
      <c r="AY27">
        <v>36263</v>
      </c>
      <c r="AZ27">
        <v>36428.4</v>
      </c>
      <c r="BA27">
        <v>36554.3</v>
      </c>
      <c r="BB27">
        <v>36564.6</v>
      </c>
      <c r="BC27">
        <v>36372.6</v>
      </c>
      <c r="BD27">
        <v>36722.2</v>
      </c>
      <c r="BE27">
        <v>36512.3</v>
      </c>
      <c r="BF27">
        <v>36958</v>
      </c>
      <c r="BG27">
        <v>36601.6</v>
      </c>
      <c r="BH27">
        <v>36836.1</v>
      </c>
      <c r="BI27">
        <v>36843.7</v>
      </c>
      <c r="BJ27">
        <v>36853</v>
      </c>
      <c r="BK27">
        <v>36971</v>
      </c>
      <c r="BL27">
        <v>36936.9</v>
      </c>
      <c r="BM27">
        <v>37131.1</v>
      </c>
      <c r="BN27">
        <v>36967.9</v>
      </c>
      <c r="BO27">
        <v>37005.1</v>
      </c>
      <c r="BP27">
        <v>36799.5</v>
      </c>
      <c r="BQ27">
        <v>36057.8</v>
      </c>
      <c r="BR27">
        <v>35804.9</v>
      </c>
      <c r="BS27">
        <v>35677.7</v>
      </c>
      <c r="BT27">
        <v>35557.8</v>
      </c>
      <c r="BU27">
        <v>35513.5</v>
      </c>
      <c r="BV27">
        <v>35409.6</v>
      </c>
      <c r="BW27">
        <v>35343.2</v>
      </c>
      <c r="BX27">
        <v>35662.2</v>
      </c>
      <c r="BY27">
        <v>35946.9</v>
      </c>
      <c r="BZ27">
        <v>36008.6</v>
      </c>
      <c r="CA27">
        <v>35833.3</v>
      </c>
      <c r="CB27">
        <v>35749.2</v>
      </c>
      <c r="CC27">
        <v>35094</v>
      </c>
      <c r="CD27">
        <v>35049.2</v>
      </c>
      <c r="CE27">
        <v>34869.6</v>
      </c>
      <c r="CF27">
        <v>34350.4</v>
      </c>
      <c r="CG27">
        <v>33925.4</v>
      </c>
      <c r="CH27">
        <v>33473.6</v>
      </c>
      <c r="CI27">
        <v>33165.8</v>
      </c>
      <c r="CJ27">
        <v>32675.6</v>
      </c>
      <c r="CK27">
        <v>32248.9</v>
      </c>
      <c r="CL27">
        <v>32113.4</v>
      </c>
      <c r="CM27">
        <v>31582.6</v>
      </c>
      <c r="CN27">
        <v>31119.7</v>
      </c>
      <c r="CO27">
        <v>30603.4</v>
      </c>
      <c r="CP27">
        <v>30049.5</v>
      </c>
      <c r="CQ27">
        <v>29671.4</v>
      </c>
      <c r="CR27">
        <v>29229.3</v>
      </c>
      <c r="CS27">
        <v>28609.5</v>
      </c>
    </row>
    <row r="28" spans="1:97">
      <c r="A28" s="9">
        <v>46261</v>
      </c>
      <c r="B28">
        <v>28592.2</v>
      </c>
      <c r="C28">
        <v>28338.7</v>
      </c>
      <c r="D28">
        <v>28173.6</v>
      </c>
      <c r="E28">
        <v>27800.8</v>
      </c>
      <c r="F28">
        <v>27621.7</v>
      </c>
      <c r="G28">
        <v>27390.5</v>
      </c>
      <c r="H28">
        <v>27297.5</v>
      </c>
      <c r="I28">
        <v>27011.3</v>
      </c>
      <c r="J28">
        <v>26888.9</v>
      </c>
      <c r="K28">
        <v>26892</v>
      </c>
      <c r="L28">
        <v>26648.8</v>
      </c>
      <c r="M28">
        <v>26617.9</v>
      </c>
      <c r="N28">
        <v>26559.2</v>
      </c>
      <c r="O28">
        <v>26510.3</v>
      </c>
      <c r="P28">
        <v>26606.6</v>
      </c>
      <c r="Q28">
        <v>26256.4</v>
      </c>
      <c r="R28">
        <v>26528.3</v>
      </c>
      <c r="S28">
        <v>26702.4</v>
      </c>
      <c r="T28">
        <v>26822.3</v>
      </c>
      <c r="U28">
        <v>26950</v>
      </c>
      <c r="V28">
        <v>27555</v>
      </c>
      <c r="W28">
        <v>28079.5</v>
      </c>
      <c r="X28">
        <v>28492</v>
      </c>
      <c r="Y28">
        <v>28891.7</v>
      </c>
      <c r="Z28">
        <v>29484.4</v>
      </c>
      <c r="AA28">
        <v>29850.7</v>
      </c>
      <c r="AB28">
        <v>30285.5</v>
      </c>
      <c r="AC28">
        <v>30454.9</v>
      </c>
      <c r="AD28">
        <v>31133.7</v>
      </c>
      <c r="AE28">
        <v>31382.1</v>
      </c>
      <c r="AF28">
        <v>31901.7</v>
      </c>
      <c r="AG28">
        <v>32596.9</v>
      </c>
      <c r="AH28">
        <v>33714.1</v>
      </c>
      <c r="AI28">
        <v>34199.9</v>
      </c>
      <c r="AJ28">
        <v>34658.7</v>
      </c>
      <c r="AK28">
        <v>35054</v>
      </c>
      <c r="AL28">
        <v>35336.8</v>
      </c>
      <c r="AM28">
        <v>35622.5</v>
      </c>
      <c r="AN28">
        <v>36121.5</v>
      </c>
      <c r="AO28">
        <v>36244.6</v>
      </c>
      <c r="AP28">
        <v>36510.5</v>
      </c>
      <c r="AQ28">
        <v>36869.3</v>
      </c>
      <c r="AR28">
        <v>37071.7</v>
      </c>
      <c r="AS28">
        <v>36937.1</v>
      </c>
      <c r="AT28">
        <v>37046.2</v>
      </c>
      <c r="AU28">
        <v>36457.7</v>
      </c>
      <c r="AV28">
        <v>36526.5</v>
      </c>
      <c r="AW28">
        <v>36060.7</v>
      </c>
      <c r="AX28">
        <v>36119.2</v>
      </c>
      <c r="AY28">
        <v>36073.4</v>
      </c>
      <c r="AZ28">
        <v>36558.1</v>
      </c>
      <c r="BA28">
        <v>36181</v>
      </c>
      <c r="BB28">
        <v>36468.1</v>
      </c>
      <c r="BC28">
        <v>36705</v>
      </c>
      <c r="BD28">
        <v>36319.5</v>
      </c>
      <c r="BE28">
        <v>36418.6</v>
      </c>
      <c r="BF28">
        <v>36471.2</v>
      </c>
      <c r="BG28">
        <v>36529.9</v>
      </c>
      <c r="BH28">
        <v>36453.7</v>
      </c>
      <c r="BI28">
        <v>36184.2</v>
      </c>
      <c r="BJ28">
        <v>36286.3</v>
      </c>
      <c r="BK28">
        <v>36326.7</v>
      </c>
      <c r="BL28">
        <v>36403.4</v>
      </c>
      <c r="BM28">
        <v>36184.2</v>
      </c>
      <c r="BN28">
        <v>36577.3</v>
      </c>
      <c r="BO28">
        <v>36135</v>
      </c>
      <c r="BP28">
        <v>35934.2</v>
      </c>
      <c r="BQ28">
        <v>35479</v>
      </c>
      <c r="BR28">
        <v>35275.2</v>
      </c>
      <c r="BS28">
        <v>35067.9</v>
      </c>
      <c r="BT28">
        <v>34790.4</v>
      </c>
      <c r="BU28">
        <v>34619.9</v>
      </c>
      <c r="BV28">
        <v>34743.7</v>
      </c>
      <c r="BW28">
        <v>34668.5</v>
      </c>
      <c r="BX28">
        <v>34939.7</v>
      </c>
      <c r="BY28">
        <v>35200.8</v>
      </c>
      <c r="BZ28">
        <v>35236.1</v>
      </c>
      <c r="CA28">
        <v>35139.9</v>
      </c>
      <c r="CB28">
        <v>34799</v>
      </c>
      <c r="CC28">
        <v>34426.1</v>
      </c>
      <c r="CD28">
        <v>34283.2</v>
      </c>
      <c r="CE28">
        <v>33956.8</v>
      </c>
      <c r="CF28">
        <v>33324.8</v>
      </c>
      <c r="CG28">
        <v>33090.8</v>
      </c>
      <c r="CH28">
        <v>32549.9</v>
      </c>
      <c r="CI28">
        <v>32073.8</v>
      </c>
      <c r="CJ28">
        <v>31470.9</v>
      </c>
      <c r="CK28">
        <v>30990.6</v>
      </c>
      <c r="CL28">
        <v>31187.3</v>
      </c>
      <c r="CM28">
        <v>30576.6</v>
      </c>
      <c r="CN28">
        <v>30068.1</v>
      </c>
      <c r="CO28">
        <v>29614.3</v>
      </c>
      <c r="CP28">
        <v>29419</v>
      </c>
      <c r="CQ28">
        <v>29019.5</v>
      </c>
      <c r="CR28">
        <v>28611.5</v>
      </c>
      <c r="CS28">
        <v>28326.5</v>
      </c>
    </row>
    <row r="29" spans="1:97">
      <c r="A29" s="9">
        <v>46262</v>
      </c>
      <c r="B29">
        <v>28278.8</v>
      </c>
      <c r="C29">
        <v>27842.3</v>
      </c>
      <c r="D29">
        <v>27620.7</v>
      </c>
      <c r="E29">
        <v>27534.5</v>
      </c>
      <c r="F29">
        <v>27291.8</v>
      </c>
      <c r="G29">
        <v>27349.1</v>
      </c>
      <c r="H29">
        <v>27052.9</v>
      </c>
      <c r="I29">
        <v>26904.4</v>
      </c>
      <c r="J29">
        <v>26774.3</v>
      </c>
      <c r="K29">
        <v>26814.3</v>
      </c>
      <c r="L29">
        <v>26634</v>
      </c>
      <c r="M29">
        <v>26545.7</v>
      </c>
      <c r="N29">
        <v>26587.6</v>
      </c>
      <c r="O29">
        <v>26359.6</v>
      </c>
      <c r="P29">
        <v>26438.6</v>
      </c>
      <c r="Q29">
        <v>26385.4</v>
      </c>
      <c r="R29">
        <v>26470.9</v>
      </c>
      <c r="S29">
        <v>26656.3</v>
      </c>
      <c r="T29">
        <v>26696.6</v>
      </c>
      <c r="U29">
        <v>26814.3</v>
      </c>
      <c r="V29">
        <v>27137.5</v>
      </c>
      <c r="W29">
        <v>27612.8</v>
      </c>
      <c r="X29">
        <v>28290.4</v>
      </c>
      <c r="Y29">
        <v>28742.1</v>
      </c>
      <c r="Z29">
        <v>29523</v>
      </c>
      <c r="AA29">
        <v>29854.3</v>
      </c>
      <c r="AB29">
        <v>30196.1</v>
      </c>
      <c r="AC29">
        <v>30717.8</v>
      </c>
      <c r="AD29">
        <v>31342.5</v>
      </c>
      <c r="AE29">
        <v>31754.7</v>
      </c>
      <c r="AF29">
        <v>32042.9</v>
      </c>
      <c r="AG29">
        <v>32541.4</v>
      </c>
      <c r="AH29">
        <v>33245.6</v>
      </c>
      <c r="AI29">
        <v>33625.9</v>
      </c>
      <c r="AJ29">
        <v>33933.3</v>
      </c>
      <c r="AK29">
        <v>34190.1</v>
      </c>
      <c r="AL29">
        <v>34474.2</v>
      </c>
      <c r="AM29">
        <v>34768.7</v>
      </c>
      <c r="AN29">
        <v>34647.2</v>
      </c>
      <c r="AO29">
        <v>34560.5</v>
      </c>
      <c r="AP29">
        <v>34775.3</v>
      </c>
      <c r="AQ29">
        <v>35263.7</v>
      </c>
      <c r="AR29">
        <v>34968.5</v>
      </c>
      <c r="AS29">
        <v>35344.1</v>
      </c>
      <c r="AT29">
        <v>35394.1</v>
      </c>
      <c r="AU29">
        <v>34467</v>
      </c>
      <c r="AV29">
        <v>34518.5</v>
      </c>
      <c r="AW29">
        <v>34169.3</v>
      </c>
      <c r="AX29">
        <v>34316.6</v>
      </c>
      <c r="AY29">
        <v>34224.1</v>
      </c>
      <c r="AZ29">
        <v>34354.4</v>
      </c>
      <c r="BA29">
        <v>34647.1</v>
      </c>
      <c r="BB29">
        <v>35066.2</v>
      </c>
      <c r="BC29">
        <v>35061.2</v>
      </c>
      <c r="BD29">
        <v>35284.3</v>
      </c>
      <c r="BE29">
        <v>35200</v>
      </c>
      <c r="BF29">
        <v>35280.9</v>
      </c>
      <c r="BG29">
        <v>35256.1</v>
      </c>
      <c r="BH29">
        <v>35223.3</v>
      </c>
      <c r="BI29">
        <v>35072.3</v>
      </c>
      <c r="BJ29">
        <v>35510.3</v>
      </c>
      <c r="BK29">
        <v>35473.2</v>
      </c>
      <c r="BL29">
        <v>35226.3</v>
      </c>
      <c r="BM29">
        <v>35340.3</v>
      </c>
      <c r="BN29">
        <v>35231.3</v>
      </c>
      <c r="BO29">
        <v>35228.5</v>
      </c>
      <c r="BP29">
        <v>34775.5</v>
      </c>
      <c r="BQ29">
        <v>34381</v>
      </c>
      <c r="BR29">
        <v>34311</v>
      </c>
      <c r="BS29">
        <v>34072.5</v>
      </c>
      <c r="BT29">
        <v>33967.3</v>
      </c>
      <c r="BU29">
        <v>33976</v>
      </c>
      <c r="BV29">
        <v>33903.1</v>
      </c>
      <c r="BW29">
        <v>33864</v>
      </c>
      <c r="BX29">
        <v>34300.3</v>
      </c>
      <c r="BY29">
        <v>34242.6</v>
      </c>
      <c r="BZ29">
        <v>34512.1</v>
      </c>
      <c r="CA29">
        <v>34468</v>
      </c>
      <c r="CB29">
        <v>34295.6</v>
      </c>
      <c r="CC29">
        <v>33871.9</v>
      </c>
      <c r="CD29">
        <v>33720.6</v>
      </c>
      <c r="CE29">
        <v>33487.5</v>
      </c>
      <c r="CF29">
        <v>33205.9</v>
      </c>
      <c r="CG29">
        <v>32374</v>
      </c>
      <c r="CH29">
        <v>32318.2</v>
      </c>
      <c r="CI29">
        <v>31886.2</v>
      </c>
      <c r="CJ29">
        <v>31346.2</v>
      </c>
      <c r="CK29">
        <v>31127.7</v>
      </c>
      <c r="CL29">
        <v>31116.1</v>
      </c>
      <c r="CM29">
        <v>31064.7</v>
      </c>
      <c r="CN29">
        <v>30282.3</v>
      </c>
      <c r="CO29">
        <v>29924.4</v>
      </c>
      <c r="CP29">
        <v>29477.6</v>
      </c>
      <c r="CQ29">
        <v>29022.8</v>
      </c>
      <c r="CR29">
        <v>28774.1</v>
      </c>
      <c r="CS29">
        <v>28183.9</v>
      </c>
    </row>
    <row r="30" spans="1:97">
      <c r="A30" s="9">
        <v>46263</v>
      </c>
      <c r="B30">
        <v>27923</v>
      </c>
      <c r="C30">
        <v>27768.5</v>
      </c>
      <c r="D30">
        <v>27611.9</v>
      </c>
      <c r="E30">
        <v>27354.2</v>
      </c>
      <c r="F30">
        <v>27258.6</v>
      </c>
      <c r="G30">
        <v>27134.7</v>
      </c>
      <c r="H30">
        <v>26993.9</v>
      </c>
      <c r="I30">
        <v>26662.9</v>
      </c>
      <c r="J30">
        <v>26520</v>
      </c>
      <c r="K30">
        <v>26370.3</v>
      </c>
      <c r="L30">
        <v>26352.4</v>
      </c>
      <c r="M30">
        <v>26183</v>
      </c>
      <c r="N30">
        <v>26059.7</v>
      </c>
      <c r="O30">
        <v>26059.7</v>
      </c>
      <c r="P30">
        <v>26070.7</v>
      </c>
      <c r="Q30">
        <v>25842.5</v>
      </c>
      <c r="R30">
        <v>26170.8</v>
      </c>
      <c r="S30">
        <v>26204.6</v>
      </c>
      <c r="T30">
        <v>26056.8</v>
      </c>
      <c r="U30">
        <v>26376.1</v>
      </c>
      <c r="V30">
        <v>26813.1</v>
      </c>
      <c r="W30">
        <v>27096.5</v>
      </c>
      <c r="X30">
        <v>27750</v>
      </c>
      <c r="Y30">
        <v>27982.9</v>
      </c>
      <c r="Z30">
        <v>28812.8</v>
      </c>
      <c r="AA30">
        <v>29000.2</v>
      </c>
      <c r="AB30">
        <v>29333.4</v>
      </c>
      <c r="AC30">
        <v>29411.7</v>
      </c>
      <c r="AD30">
        <v>30213.1</v>
      </c>
      <c r="AE30">
        <v>30405.1</v>
      </c>
      <c r="AF30">
        <v>30651.7</v>
      </c>
      <c r="AG30">
        <v>31309.4</v>
      </c>
      <c r="AH30">
        <v>32259.2</v>
      </c>
      <c r="AI30">
        <v>32471.5</v>
      </c>
      <c r="AJ30">
        <v>32724.1</v>
      </c>
      <c r="AK30">
        <v>33353.7</v>
      </c>
      <c r="AL30">
        <v>33630.2</v>
      </c>
      <c r="AM30">
        <v>33851.5</v>
      </c>
      <c r="AN30">
        <v>34250.2</v>
      </c>
      <c r="AO30">
        <v>34131.3</v>
      </c>
      <c r="AP30">
        <v>34656.7</v>
      </c>
      <c r="AQ30">
        <v>34870</v>
      </c>
      <c r="AR30">
        <v>34760.3</v>
      </c>
      <c r="AS30">
        <v>34846.3</v>
      </c>
      <c r="AT30">
        <v>34619.4</v>
      </c>
      <c r="AU30">
        <v>33961.6</v>
      </c>
      <c r="AV30">
        <v>33753.8</v>
      </c>
      <c r="AW30">
        <v>33881</v>
      </c>
      <c r="AX30">
        <v>33724.5</v>
      </c>
      <c r="AY30">
        <v>33905.6</v>
      </c>
      <c r="AZ30">
        <v>34307</v>
      </c>
      <c r="BA30">
        <v>34244.7</v>
      </c>
      <c r="BB30">
        <v>34433.1</v>
      </c>
      <c r="BC30">
        <v>34259.4</v>
      </c>
      <c r="BD30">
        <v>34610.4</v>
      </c>
      <c r="BE30">
        <v>34187.7</v>
      </c>
      <c r="BF30">
        <v>34343</v>
      </c>
      <c r="BG30">
        <v>34650.6</v>
      </c>
      <c r="BH30">
        <v>34488.3</v>
      </c>
      <c r="BI30">
        <v>34400.4</v>
      </c>
      <c r="BJ30">
        <v>34522.3</v>
      </c>
      <c r="BK30">
        <v>34550.1</v>
      </c>
      <c r="BL30">
        <v>34297.7</v>
      </c>
      <c r="BM30">
        <v>34569.7</v>
      </c>
      <c r="BN30">
        <v>34438.3</v>
      </c>
      <c r="BO30">
        <v>34660.2</v>
      </c>
      <c r="BP30">
        <v>34241.2</v>
      </c>
      <c r="BQ30">
        <v>34073.6</v>
      </c>
      <c r="BR30">
        <v>33803</v>
      </c>
      <c r="BS30">
        <v>33762.3</v>
      </c>
      <c r="BT30">
        <v>33668.6</v>
      </c>
      <c r="BU30">
        <v>33383</v>
      </c>
      <c r="BV30">
        <v>33465.9</v>
      </c>
      <c r="BW30">
        <v>33627.7</v>
      </c>
      <c r="BX30">
        <v>33818.3</v>
      </c>
      <c r="BY30">
        <v>33623.8</v>
      </c>
      <c r="BZ30">
        <v>33714.5</v>
      </c>
      <c r="CA30">
        <v>33728.3</v>
      </c>
      <c r="CB30">
        <v>33626.7</v>
      </c>
      <c r="CC30">
        <v>33125.4</v>
      </c>
      <c r="CD30">
        <v>32908.6</v>
      </c>
      <c r="CE30">
        <v>32810.8</v>
      </c>
      <c r="CF30">
        <v>32557.7</v>
      </c>
      <c r="CG30">
        <v>32040.3</v>
      </c>
      <c r="CH30">
        <v>32061.2</v>
      </c>
      <c r="CI30">
        <v>31444.2</v>
      </c>
      <c r="CJ30">
        <v>31229.6</v>
      </c>
      <c r="CK30">
        <v>30541.7</v>
      </c>
      <c r="CL30">
        <v>30709</v>
      </c>
      <c r="CM30">
        <v>30278.2</v>
      </c>
      <c r="CN30">
        <v>29741.5</v>
      </c>
      <c r="CO30">
        <v>29183.8</v>
      </c>
      <c r="CP30">
        <v>29055.8</v>
      </c>
      <c r="CQ30">
        <v>28405.1</v>
      </c>
      <c r="CR30">
        <v>28080.2</v>
      </c>
      <c r="CS30">
        <v>27731.3</v>
      </c>
    </row>
    <row r="31" spans="1:97">
      <c r="A31" s="9">
        <v>46264</v>
      </c>
      <c r="B31">
        <v>27577.3</v>
      </c>
      <c r="C31">
        <v>27155.7</v>
      </c>
      <c r="D31">
        <v>27064.6</v>
      </c>
      <c r="E31">
        <v>26874.1</v>
      </c>
      <c r="F31">
        <v>26628.4</v>
      </c>
      <c r="G31">
        <v>26680.5</v>
      </c>
      <c r="H31">
        <v>26584.3</v>
      </c>
      <c r="I31">
        <v>26315.9</v>
      </c>
      <c r="J31">
        <v>26185.5</v>
      </c>
      <c r="K31">
        <v>26015.8</v>
      </c>
      <c r="L31">
        <v>25985.8</v>
      </c>
      <c r="M31">
        <v>25881.4</v>
      </c>
      <c r="N31">
        <v>25846.8</v>
      </c>
      <c r="O31">
        <v>25795.6</v>
      </c>
      <c r="P31">
        <v>25798.1</v>
      </c>
      <c r="Q31">
        <v>25949.1</v>
      </c>
      <c r="R31">
        <v>25938.9</v>
      </c>
      <c r="S31">
        <v>26061.2</v>
      </c>
      <c r="T31">
        <v>25974.3</v>
      </c>
      <c r="U31">
        <v>26081.7</v>
      </c>
      <c r="V31">
        <v>26691.8</v>
      </c>
      <c r="W31">
        <v>27251.7</v>
      </c>
      <c r="X31">
        <v>27603.9</v>
      </c>
      <c r="Y31">
        <v>27964</v>
      </c>
      <c r="Z31">
        <v>28524.7</v>
      </c>
      <c r="AA31">
        <v>28645.5</v>
      </c>
      <c r="AB31">
        <v>28838.4</v>
      </c>
      <c r="AC31">
        <v>29198.3</v>
      </c>
      <c r="AD31">
        <v>30192.7</v>
      </c>
      <c r="AE31">
        <v>30274.4</v>
      </c>
      <c r="AF31">
        <v>30801.5</v>
      </c>
      <c r="AG31">
        <v>30916.5</v>
      </c>
      <c r="AH31">
        <v>32192.2</v>
      </c>
      <c r="AI31">
        <v>32380.9</v>
      </c>
      <c r="AJ31">
        <v>32732.9</v>
      </c>
      <c r="AK31">
        <v>32964.3</v>
      </c>
      <c r="AL31">
        <v>33366.6</v>
      </c>
      <c r="AM31">
        <v>33838.6</v>
      </c>
      <c r="AN31">
        <v>33847</v>
      </c>
      <c r="AO31">
        <v>33869.1</v>
      </c>
      <c r="AP31">
        <v>34343.1</v>
      </c>
      <c r="AQ31">
        <v>34533.1</v>
      </c>
      <c r="AR31">
        <v>34637.8</v>
      </c>
      <c r="AS31">
        <v>34365.4</v>
      </c>
      <c r="AT31">
        <v>34598.9</v>
      </c>
      <c r="AU31">
        <v>34481.8</v>
      </c>
      <c r="AV31">
        <v>34144.2</v>
      </c>
      <c r="AW31">
        <v>33872.5</v>
      </c>
      <c r="AX31">
        <v>33959.4</v>
      </c>
      <c r="AY31">
        <v>34078.5</v>
      </c>
      <c r="AZ31">
        <v>34363.7</v>
      </c>
      <c r="BA31">
        <v>34343.4</v>
      </c>
      <c r="BB31">
        <v>34325.3</v>
      </c>
      <c r="BC31">
        <v>34536.2</v>
      </c>
      <c r="BD31">
        <v>34580.8</v>
      </c>
      <c r="BE31">
        <v>34570.3</v>
      </c>
      <c r="BF31">
        <v>34442</v>
      </c>
      <c r="BG31">
        <v>34557.3</v>
      </c>
      <c r="BH31">
        <v>34513.5</v>
      </c>
      <c r="BI31">
        <v>34667.3</v>
      </c>
      <c r="BJ31">
        <v>35081.9</v>
      </c>
      <c r="BK31">
        <v>34917.8</v>
      </c>
      <c r="BL31">
        <v>34862.8</v>
      </c>
      <c r="BM31">
        <v>34996</v>
      </c>
      <c r="BN31">
        <v>35021.7</v>
      </c>
      <c r="BO31">
        <v>34886.5</v>
      </c>
      <c r="BP31">
        <v>34883.2</v>
      </c>
      <c r="BQ31">
        <v>34559.5</v>
      </c>
      <c r="BR31">
        <v>34246.6</v>
      </c>
      <c r="BS31">
        <v>34353.2</v>
      </c>
      <c r="BT31">
        <v>33943.8</v>
      </c>
      <c r="BU31">
        <v>33848.6</v>
      </c>
      <c r="BV31">
        <v>33618.2</v>
      </c>
      <c r="BW31">
        <v>33806.1</v>
      </c>
      <c r="BX31">
        <v>34207.7</v>
      </c>
      <c r="BY31">
        <v>34321.2</v>
      </c>
      <c r="BZ31">
        <v>34455.3</v>
      </c>
      <c r="CA31">
        <v>34343.9</v>
      </c>
      <c r="CB31">
        <v>34289.9</v>
      </c>
      <c r="CC31">
        <v>33905</v>
      </c>
      <c r="CD31">
        <v>33579.2</v>
      </c>
      <c r="CE31">
        <v>33484.6</v>
      </c>
      <c r="CF31">
        <v>33203.4</v>
      </c>
      <c r="CG31">
        <v>32640.3</v>
      </c>
      <c r="CH31">
        <v>32546.3</v>
      </c>
      <c r="CI31">
        <v>31869.3</v>
      </c>
      <c r="CJ31">
        <v>31309.6</v>
      </c>
      <c r="CK31">
        <v>30866.4</v>
      </c>
      <c r="CL31">
        <v>30921.2</v>
      </c>
      <c r="CM31">
        <v>30345.1</v>
      </c>
      <c r="CN31">
        <v>29691.2</v>
      </c>
      <c r="CO31">
        <v>29292</v>
      </c>
      <c r="CP31">
        <v>28860.6</v>
      </c>
      <c r="CQ31">
        <v>28610</v>
      </c>
      <c r="CR31">
        <v>27973.2</v>
      </c>
      <c r="CS31">
        <v>27420.7</v>
      </c>
    </row>
    <row r="32" spans="1:97">
      <c r="A32" s="9">
        <v>46265</v>
      </c>
      <c r="B32">
        <v>27331.4</v>
      </c>
      <c r="C32">
        <v>27259.6</v>
      </c>
      <c r="D32">
        <v>26937.8</v>
      </c>
      <c r="E32">
        <v>26872.9</v>
      </c>
      <c r="F32">
        <v>26580.3</v>
      </c>
      <c r="G32">
        <v>26513.3</v>
      </c>
      <c r="H32">
        <v>26222</v>
      </c>
      <c r="I32">
        <v>26001.1</v>
      </c>
      <c r="J32">
        <v>26093.1</v>
      </c>
      <c r="K32">
        <v>26049.4</v>
      </c>
      <c r="L32">
        <v>25853.6</v>
      </c>
      <c r="M32">
        <v>25661.9</v>
      </c>
      <c r="N32">
        <v>25697.4</v>
      </c>
      <c r="O32">
        <v>25633</v>
      </c>
      <c r="P32">
        <v>25655.6</v>
      </c>
      <c r="Q32">
        <v>25469.2</v>
      </c>
      <c r="R32">
        <v>25772.3</v>
      </c>
      <c r="S32">
        <v>25819.7</v>
      </c>
      <c r="T32">
        <v>25954</v>
      </c>
      <c r="U32">
        <v>26174.2</v>
      </c>
      <c r="V32">
        <v>26785.3</v>
      </c>
      <c r="W32">
        <v>27256.4</v>
      </c>
      <c r="X32">
        <v>27789.9</v>
      </c>
      <c r="Y32">
        <v>28489.9</v>
      </c>
      <c r="Z32">
        <v>29170.8</v>
      </c>
      <c r="AA32">
        <v>29597.7</v>
      </c>
      <c r="AB32">
        <v>30226.2</v>
      </c>
      <c r="AC32">
        <v>30173</v>
      </c>
      <c r="AD32">
        <v>30790.6</v>
      </c>
      <c r="AE32">
        <v>31220.6</v>
      </c>
      <c r="AF32">
        <v>31432.2</v>
      </c>
      <c r="AG32">
        <v>31993.6</v>
      </c>
      <c r="AH32">
        <v>32665.5</v>
      </c>
      <c r="AI32">
        <v>33243.2</v>
      </c>
      <c r="AJ32">
        <v>33696.5</v>
      </c>
      <c r="AK32">
        <v>34091.5</v>
      </c>
      <c r="AL32">
        <v>34264.7</v>
      </c>
      <c r="AM32">
        <v>34769.3</v>
      </c>
      <c r="AN32">
        <v>34972.8</v>
      </c>
      <c r="AO32">
        <v>35174.8</v>
      </c>
      <c r="AP32">
        <v>35451.9</v>
      </c>
      <c r="AQ32">
        <v>35406.4</v>
      </c>
      <c r="AR32">
        <v>35900.6</v>
      </c>
      <c r="AS32">
        <v>35748.2</v>
      </c>
      <c r="AT32">
        <v>35463.3</v>
      </c>
      <c r="AU32">
        <v>35271.9</v>
      </c>
      <c r="AV32">
        <v>34670</v>
      </c>
      <c r="AW32">
        <v>34533.7</v>
      </c>
      <c r="AX32">
        <v>34624.3</v>
      </c>
      <c r="AY32">
        <v>35074.7</v>
      </c>
      <c r="AZ32">
        <v>35455.3</v>
      </c>
      <c r="BA32">
        <v>35160.3</v>
      </c>
      <c r="BB32">
        <v>35895.1</v>
      </c>
      <c r="BC32">
        <v>35838</v>
      </c>
      <c r="BD32">
        <v>36041</v>
      </c>
      <c r="BE32">
        <v>35490.5</v>
      </c>
      <c r="BF32">
        <v>35837.1</v>
      </c>
      <c r="BG32">
        <v>35673.6</v>
      </c>
      <c r="BH32">
        <v>35095</v>
      </c>
      <c r="BI32">
        <v>35270.5</v>
      </c>
      <c r="BJ32">
        <v>35593.9</v>
      </c>
      <c r="BK32">
        <v>35230.3</v>
      </c>
      <c r="BL32">
        <v>35298.9</v>
      </c>
      <c r="BM32">
        <v>35314.6</v>
      </c>
      <c r="BN32">
        <v>35726.7</v>
      </c>
      <c r="BO32">
        <v>35626.5</v>
      </c>
      <c r="BP32">
        <v>35371.8</v>
      </c>
      <c r="BQ32">
        <v>34897.3</v>
      </c>
      <c r="BR32">
        <v>34558.2</v>
      </c>
      <c r="BS32">
        <v>34388.1</v>
      </c>
      <c r="BT32">
        <v>34129.1</v>
      </c>
      <c r="BU32">
        <v>34273.6</v>
      </c>
      <c r="BV32">
        <v>34114.7</v>
      </c>
      <c r="BW32">
        <v>34377.3</v>
      </c>
      <c r="BX32">
        <v>34717.2</v>
      </c>
      <c r="BY32">
        <v>34779.8</v>
      </c>
      <c r="BZ32">
        <v>34816</v>
      </c>
      <c r="CA32">
        <v>34561.2</v>
      </c>
      <c r="CB32">
        <v>34641.9</v>
      </c>
      <c r="CC32">
        <v>34351.7</v>
      </c>
      <c r="CD32">
        <v>34039.6</v>
      </c>
      <c r="CE32">
        <v>33708.6</v>
      </c>
      <c r="CF32">
        <v>33448.7</v>
      </c>
      <c r="CG32">
        <v>32883.9</v>
      </c>
      <c r="CH32">
        <v>32459.7</v>
      </c>
      <c r="CI32">
        <v>31728</v>
      </c>
      <c r="CJ32">
        <v>31370.3</v>
      </c>
      <c r="CK32">
        <v>30557.8</v>
      </c>
      <c r="CL32">
        <v>30811.9</v>
      </c>
      <c r="CM32">
        <v>30340.9</v>
      </c>
      <c r="CN32">
        <v>29968.4</v>
      </c>
      <c r="CO32">
        <v>29371.1</v>
      </c>
      <c r="CP32">
        <v>28741.7</v>
      </c>
      <c r="CQ32">
        <v>28334.2</v>
      </c>
      <c r="CR32">
        <v>27894.3</v>
      </c>
      <c r="CS32">
        <v>27548.7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S32"/>
  <sheetViews>
    <sheetView workbookViewId="0">
      <selection activeCell="A2" sqref="$A2:$XFD2"/>
    </sheetView>
  </sheetViews>
  <sheetFormatPr defaultColWidth="8.89166666666667" defaultRowHeight="13.5"/>
  <cols>
    <col min="1" max="1" width="11.8916666666667" style="9" customWidth="1"/>
  </cols>
  <sheetData>
    <row r="1" spans="1:97">
      <c r="A1" s="9" t="s">
        <v>0</v>
      </c>
      <c r="B1" s="1">
        <v>0.0104166666666667</v>
      </c>
      <c r="C1" s="1">
        <v>0.0208333333333333</v>
      </c>
      <c r="D1" s="1">
        <v>0.03125</v>
      </c>
      <c r="E1" s="1">
        <v>0.0416666666666667</v>
      </c>
      <c r="F1" s="1">
        <v>0.0520833333333333</v>
      </c>
      <c r="G1" s="1">
        <v>0.0625</v>
      </c>
      <c r="H1" s="1">
        <v>0.0729166666666667</v>
      </c>
      <c r="I1" s="1">
        <v>0.0833333333333333</v>
      </c>
      <c r="J1" s="1">
        <v>0.09375</v>
      </c>
      <c r="K1" s="1">
        <v>0.104166666666667</v>
      </c>
      <c r="L1" s="1">
        <v>0.114583333333333</v>
      </c>
      <c r="M1" s="1">
        <v>0.125</v>
      </c>
      <c r="N1" s="1">
        <v>0.135416666666667</v>
      </c>
      <c r="O1" s="1">
        <v>0.145833333333333</v>
      </c>
      <c r="P1" s="1">
        <v>0.15625</v>
      </c>
      <c r="Q1" s="1">
        <v>0.166666666666667</v>
      </c>
      <c r="R1" s="1">
        <v>0.177083333333333</v>
      </c>
      <c r="S1" s="1">
        <v>0.1875</v>
      </c>
      <c r="T1" s="1">
        <v>0.197916666666667</v>
      </c>
      <c r="U1" s="1">
        <v>0.208333333333333</v>
      </c>
      <c r="V1" s="1">
        <v>0.21875</v>
      </c>
      <c r="W1" s="1">
        <v>0.229166666666667</v>
      </c>
      <c r="X1" s="1">
        <v>0.239583333333333</v>
      </c>
      <c r="Y1" s="1">
        <v>0.25</v>
      </c>
      <c r="Z1" s="1">
        <v>0.260416666666667</v>
      </c>
      <c r="AA1" s="1">
        <v>0.270833333333333</v>
      </c>
      <c r="AB1" s="1">
        <v>0.28125</v>
      </c>
      <c r="AC1" s="1">
        <v>0.291666666666667</v>
      </c>
      <c r="AD1" s="1">
        <v>0.302083333333333</v>
      </c>
      <c r="AE1" s="1">
        <v>0.3125</v>
      </c>
      <c r="AF1" s="1">
        <v>0.322916666666667</v>
      </c>
      <c r="AG1" s="1">
        <v>0.333333333333333</v>
      </c>
      <c r="AH1" s="1">
        <v>0.34375</v>
      </c>
      <c r="AI1" s="1">
        <v>0.354166666666667</v>
      </c>
      <c r="AJ1" s="1">
        <v>0.364583333333333</v>
      </c>
      <c r="AK1" s="1">
        <v>0.375</v>
      </c>
      <c r="AL1" s="1">
        <v>0.385416666666667</v>
      </c>
      <c r="AM1" s="1">
        <v>0.395833333333333</v>
      </c>
      <c r="AN1" s="1">
        <v>0.40625</v>
      </c>
      <c r="AO1" s="1">
        <v>0.416666666666667</v>
      </c>
      <c r="AP1" s="1">
        <v>0.427083333333333</v>
      </c>
      <c r="AQ1" s="1">
        <v>0.4375</v>
      </c>
      <c r="AR1" s="1">
        <v>0.447916666666667</v>
      </c>
      <c r="AS1" s="1">
        <v>0.458333333333333</v>
      </c>
      <c r="AT1" s="1">
        <v>0.46875</v>
      </c>
      <c r="AU1" s="1">
        <v>0.479166666666667</v>
      </c>
      <c r="AV1" s="1">
        <v>0.489583333333333</v>
      </c>
      <c r="AW1" s="1">
        <v>0.5</v>
      </c>
      <c r="AX1" s="1">
        <v>0.510416666666667</v>
      </c>
      <c r="AY1" s="1">
        <v>0.520833333333333</v>
      </c>
      <c r="AZ1" s="1">
        <v>0.53125</v>
      </c>
      <c r="BA1" s="1">
        <v>0.541666666666667</v>
      </c>
      <c r="BB1" s="1">
        <v>0.552083333333333</v>
      </c>
      <c r="BC1" s="1">
        <v>0.5625</v>
      </c>
      <c r="BD1" s="1">
        <v>0.572916666666667</v>
      </c>
      <c r="BE1" s="1">
        <v>0.583333333333333</v>
      </c>
      <c r="BF1" s="1">
        <v>0.59375</v>
      </c>
      <c r="BG1" s="1">
        <v>0.604166666666667</v>
      </c>
      <c r="BH1" s="1">
        <v>0.614583333333333</v>
      </c>
      <c r="BI1" s="1">
        <v>0.625</v>
      </c>
      <c r="BJ1" s="1">
        <v>0.635416666666667</v>
      </c>
      <c r="BK1" s="1">
        <v>0.645833333333333</v>
      </c>
      <c r="BL1" s="1">
        <v>0.65625</v>
      </c>
      <c r="BM1" s="1">
        <v>0.666666666666667</v>
      </c>
      <c r="BN1" s="1">
        <v>0.677083333333333</v>
      </c>
      <c r="BO1" s="1">
        <v>0.6875</v>
      </c>
      <c r="BP1" s="1">
        <v>0.697916666666667</v>
      </c>
      <c r="BQ1" s="1">
        <v>0.708333333333333</v>
      </c>
      <c r="BR1" s="1">
        <v>0.71875</v>
      </c>
      <c r="BS1" s="1">
        <v>0.729166666666667</v>
      </c>
      <c r="BT1" s="1">
        <v>0.739583333333333</v>
      </c>
      <c r="BU1" s="1">
        <v>0.75</v>
      </c>
      <c r="BV1" s="1">
        <v>0.760416666666667</v>
      </c>
      <c r="BW1" s="1">
        <v>0.770833333333333</v>
      </c>
      <c r="BX1" s="1">
        <v>0.78125</v>
      </c>
      <c r="BY1" s="1">
        <v>0.791666666666667</v>
      </c>
      <c r="BZ1" s="1">
        <v>0.802083333333333</v>
      </c>
      <c r="CA1" s="1">
        <v>0.8125</v>
      </c>
      <c r="CB1" s="1">
        <v>0.822916666666667</v>
      </c>
      <c r="CC1" s="1">
        <v>0.833333333333333</v>
      </c>
      <c r="CD1" s="1">
        <v>0.84375</v>
      </c>
      <c r="CE1" s="1">
        <v>0.854166666666667</v>
      </c>
      <c r="CF1" s="1">
        <v>0.864583333333333</v>
      </c>
      <c r="CG1" s="1">
        <v>0.875</v>
      </c>
      <c r="CH1" s="1">
        <v>0.885416666666667</v>
      </c>
      <c r="CI1" s="1">
        <v>0.895833333333333</v>
      </c>
      <c r="CJ1" s="1">
        <v>0.90625</v>
      </c>
      <c r="CK1" s="1">
        <v>0.916666666666667</v>
      </c>
      <c r="CL1" s="1">
        <v>0.927083333333333</v>
      </c>
      <c r="CM1" s="1">
        <v>0.9375</v>
      </c>
      <c r="CN1" s="1">
        <v>0.947916666666667</v>
      </c>
      <c r="CO1" s="1">
        <v>0.958333333333333</v>
      </c>
      <c r="CP1" s="1">
        <v>0.96875</v>
      </c>
      <c r="CQ1" s="1">
        <v>0.979166666666667</v>
      </c>
      <c r="CR1" s="1">
        <v>0.989583333333333</v>
      </c>
      <c r="CS1" s="1">
        <v>1</v>
      </c>
    </row>
    <row r="2" spans="1:97">
      <c r="A2" s="9">
        <v>46235</v>
      </c>
      <c r="B2">
        <v>566</v>
      </c>
      <c r="C2">
        <v>564</v>
      </c>
      <c r="D2">
        <v>560</v>
      </c>
      <c r="E2">
        <v>561</v>
      </c>
      <c r="F2">
        <v>561</v>
      </c>
      <c r="G2">
        <v>561</v>
      </c>
      <c r="H2">
        <v>559</v>
      </c>
      <c r="I2">
        <v>559</v>
      </c>
      <c r="J2">
        <v>558</v>
      </c>
      <c r="K2">
        <v>559</v>
      </c>
      <c r="L2">
        <v>557</v>
      </c>
      <c r="M2">
        <v>558</v>
      </c>
      <c r="N2">
        <v>559</v>
      </c>
      <c r="O2">
        <v>558</v>
      </c>
      <c r="P2">
        <v>558</v>
      </c>
      <c r="Q2">
        <v>559</v>
      </c>
      <c r="R2">
        <v>619</v>
      </c>
      <c r="S2">
        <v>616</v>
      </c>
      <c r="T2">
        <v>618</v>
      </c>
      <c r="U2">
        <v>618</v>
      </c>
      <c r="V2">
        <v>618</v>
      </c>
      <c r="W2">
        <v>618</v>
      </c>
      <c r="X2">
        <v>618</v>
      </c>
      <c r="Y2">
        <v>618</v>
      </c>
      <c r="Z2">
        <v>618</v>
      </c>
      <c r="AA2">
        <v>618</v>
      </c>
      <c r="AB2">
        <v>617</v>
      </c>
      <c r="AC2">
        <v>618</v>
      </c>
      <c r="AD2">
        <v>617</v>
      </c>
      <c r="AE2">
        <v>618</v>
      </c>
      <c r="AF2">
        <v>616</v>
      </c>
      <c r="AG2">
        <v>617</v>
      </c>
      <c r="AH2">
        <v>616</v>
      </c>
      <c r="AI2">
        <v>616</v>
      </c>
      <c r="AJ2">
        <v>615</v>
      </c>
      <c r="AK2">
        <v>617</v>
      </c>
      <c r="AL2">
        <v>616</v>
      </c>
      <c r="AM2">
        <v>616</v>
      </c>
      <c r="AN2">
        <v>617</v>
      </c>
      <c r="AO2">
        <v>616</v>
      </c>
      <c r="AP2">
        <v>616</v>
      </c>
      <c r="AQ2">
        <v>617</v>
      </c>
      <c r="AR2">
        <v>616</v>
      </c>
      <c r="AS2">
        <v>617</v>
      </c>
      <c r="AT2">
        <v>616</v>
      </c>
      <c r="AU2">
        <v>616</v>
      </c>
      <c r="AV2">
        <v>616</v>
      </c>
      <c r="AW2">
        <v>617</v>
      </c>
      <c r="AX2">
        <v>615</v>
      </c>
      <c r="AY2">
        <v>512</v>
      </c>
      <c r="AZ2">
        <v>512</v>
      </c>
      <c r="BA2">
        <v>512</v>
      </c>
      <c r="BB2">
        <v>453</v>
      </c>
      <c r="BC2">
        <v>453</v>
      </c>
      <c r="BD2">
        <v>453</v>
      </c>
      <c r="BE2">
        <v>453</v>
      </c>
      <c r="BF2">
        <v>453</v>
      </c>
      <c r="BG2">
        <v>453</v>
      </c>
      <c r="BH2">
        <v>453</v>
      </c>
      <c r="BI2">
        <v>453</v>
      </c>
      <c r="BJ2">
        <v>453</v>
      </c>
      <c r="BK2">
        <v>453</v>
      </c>
      <c r="BL2">
        <v>452</v>
      </c>
      <c r="BM2">
        <v>452</v>
      </c>
      <c r="BN2">
        <v>452</v>
      </c>
      <c r="BO2">
        <v>451</v>
      </c>
      <c r="BP2">
        <v>451</v>
      </c>
      <c r="BQ2">
        <v>446</v>
      </c>
      <c r="BR2">
        <v>431</v>
      </c>
      <c r="BS2">
        <v>430</v>
      </c>
      <c r="BT2">
        <v>430</v>
      </c>
      <c r="BU2">
        <v>430</v>
      </c>
      <c r="BV2">
        <v>431</v>
      </c>
      <c r="BW2">
        <v>431</v>
      </c>
      <c r="BX2">
        <v>430</v>
      </c>
      <c r="BY2">
        <v>430</v>
      </c>
      <c r="BZ2">
        <v>431</v>
      </c>
      <c r="CA2">
        <v>429</v>
      </c>
      <c r="CB2">
        <v>490</v>
      </c>
      <c r="CC2">
        <v>491</v>
      </c>
      <c r="CD2">
        <v>492</v>
      </c>
      <c r="CE2">
        <v>491</v>
      </c>
      <c r="CF2">
        <v>492</v>
      </c>
      <c r="CG2">
        <v>492</v>
      </c>
      <c r="CH2">
        <v>431</v>
      </c>
      <c r="CI2">
        <v>431</v>
      </c>
      <c r="CJ2">
        <v>432</v>
      </c>
      <c r="CK2">
        <v>431</v>
      </c>
      <c r="CL2">
        <v>431</v>
      </c>
      <c r="CM2">
        <v>431</v>
      </c>
      <c r="CN2">
        <v>431</v>
      </c>
      <c r="CO2">
        <v>432</v>
      </c>
      <c r="CP2">
        <v>432</v>
      </c>
      <c r="CQ2">
        <v>431</v>
      </c>
      <c r="CR2">
        <v>431</v>
      </c>
      <c r="CS2">
        <v>310</v>
      </c>
    </row>
    <row r="3" spans="1:97">
      <c r="A3" s="9">
        <v>46236</v>
      </c>
      <c r="B3">
        <v>708</v>
      </c>
      <c r="C3">
        <v>708</v>
      </c>
      <c r="D3">
        <v>709</v>
      </c>
      <c r="E3">
        <v>710</v>
      </c>
      <c r="F3">
        <v>599</v>
      </c>
      <c r="G3">
        <v>596</v>
      </c>
      <c r="H3">
        <v>596</v>
      </c>
      <c r="I3">
        <v>597</v>
      </c>
      <c r="J3">
        <v>597</v>
      </c>
      <c r="K3">
        <v>598</v>
      </c>
      <c r="L3">
        <v>596</v>
      </c>
      <c r="M3">
        <v>597</v>
      </c>
      <c r="N3">
        <v>597</v>
      </c>
      <c r="O3">
        <v>598</v>
      </c>
      <c r="P3">
        <v>597</v>
      </c>
      <c r="Q3">
        <v>597</v>
      </c>
      <c r="R3">
        <v>598</v>
      </c>
      <c r="S3">
        <v>597</v>
      </c>
      <c r="T3">
        <v>459</v>
      </c>
      <c r="U3">
        <v>459</v>
      </c>
      <c r="V3">
        <v>458</v>
      </c>
      <c r="W3">
        <v>446</v>
      </c>
      <c r="X3">
        <v>447</v>
      </c>
      <c r="Y3">
        <v>446</v>
      </c>
      <c r="Z3">
        <v>446</v>
      </c>
      <c r="AA3">
        <v>442</v>
      </c>
      <c r="AB3">
        <v>441</v>
      </c>
      <c r="AC3">
        <v>439</v>
      </c>
      <c r="AD3">
        <v>438</v>
      </c>
      <c r="AE3">
        <v>440</v>
      </c>
      <c r="AF3">
        <v>439</v>
      </c>
      <c r="AG3">
        <v>441</v>
      </c>
      <c r="AH3">
        <v>381</v>
      </c>
      <c r="AI3">
        <v>379</v>
      </c>
      <c r="AJ3">
        <v>382</v>
      </c>
      <c r="AK3">
        <v>385</v>
      </c>
      <c r="AL3">
        <v>385</v>
      </c>
      <c r="AM3">
        <v>385</v>
      </c>
      <c r="AN3">
        <v>386</v>
      </c>
      <c r="AO3">
        <v>386</v>
      </c>
      <c r="AP3">
        <v>387</v>
      </c>
      <c r="AQ3">
        <v>386</v>
      </c>
      <c r="AR3">
        <v>386</v>
      </c>
      <c r="AS3">
        <v>517</v>
      </c>
      <c r="AT3">
        <v>538</v>
      </c>
      <c r="AU3">
        <v>539</v>
      </c>
      <c r="AV3">
        <v>538</v>
      </c>
      <c r="AW3">
        <v>539</v>
      </c>
      <c r="AX3">
        <v>599</v>
      </c>
      <c r="AY3">
        <v>600</v>
      </c>
      <c r="AZ3">
        <v>601</v>
      </c>
      <c r="BA3">
        <v>602</v>
      </c>
      <c r="BB3">
        <v>601</v>
      </c>
      <c r="BC3">
        <v>605</v>
      </c>
      <c r="BD3">
        <v>604</v>
      </c>
      <c r="BE3">
        <v>604</v>
      </c>
      <c r="BF3">
        <v>604</v>
      </c>
      <c r="BG3">
        <v>603</v>
      </c>
      <c r="BH3">
        <v>604</v>
      </c>
      <c r="BI3">
        <v>604</v>
      </c>
      <c r="BJ3">
        <v>604</v>
      </c>
      <c r="BK3">
        <v>604</v>
      </c>
      <c r="BL3">
        <v>604</v>
      </c>
      <c r="BM3">
        <v>604</v>
      </c>
      <c r="BN3">
        <v>537</v>
      </c>
      <c r="BO3">
        <v>499</v>
      </c>
      <c r="BP3">
        <v>499</v>
      </c>
      <c r="BQ3">
        <v>498</v>
      </c>
      <c r="BR3">
        <v>496</v>
      </c>
      <c r="BS3">
        <v>492</v>
      </c>
      <c r="BT3">
        <v>495</v>
      </c>
      <c r="BU3">
        <v>495</v>
      </c>
      <c r="BV3">
        <v>436</v>
      </c>
      <c r="BW3">
        <v>436</v>
      </c>
      <c r="BX3">
        <v>439</v>
      </c>
      <c r="BY3">
        <v>443</v>
      </c>
      <c r="BZ3">
        <v>443</v>
      </c>
      <c r="CA3">
        <v>442</v>
      </c>
      <c r="CB3">
        <v>443</v>
      </c>
      <c r="CC3">
        <v>443</v>
      </c>
      <c r="CD3">
        <v>442</v>
      </c>
      <c r="CE3">
        <v>443</v>
      </c>
      <c r="CF3">
        <v>443</v>
      </c>
      <c r="CG3">
        <v>442</v>
      </c>
      <c r="CH3">
        <v>442</v>
      </c>
      <c r="CI3">
        <v>443</v>
      </c>
      <c r="CJ3">
        <v>442</v>
      </c>
      <c r="CK3">
        <v>443</v>
      </c>
      <c r="CL3">
        <v>441</v>
      </c>
      <c r="CM3">
        <v>441</v>
      </c>
      <c r="CN3">
        <v>442</v>
      </c>
      <c r="CO3">
        <v>441</v>
      </c>
      <c r="CP3">
        <v>442</v>
      </c>
      <c r="CQ3">
        <v>441</v>
      </c>
      <c r="CR3">
        <v>440</v>
      </c>
      <c r="CS3">
        <v>440</v>
      </c>
    </row>
    <row r="4" spans="1:97">
      <c r="A4" s="9">
        <v>46237</v>
      </c>
      <c r="B4">
        <v>498</v>
      </c>
      <c r="C4">
        <v>497</v>
      </c>
      <c r="D4">
        <v>497</v>
      </c>
      <c r="E4">
        <v>497</v>
      </c>
      <c r="F4">
        <v>499</v>
      </c>
      <c r="G4">
        <v>539</v>
      </c>
      <c r="H4">
        <v>538</v>
      </c>
      <c r="I4">
        <v>537</v>
      </c>
      <c r="J4">
        <v>536</v>
      </c>
      <c r="K4">
        <v>538</v>
      </c>
      <c r="L4">
        <v>537</v>
      </c>
      <c r="M4">
        <v>536</v>
      </c>
      <c r="N4">
        <v>536</v>
      </c>
      <c r="O4">
        <v>535</v>
      </c>
      <c r="P4">
        <v>536</v>
      </c>
      <c r="Q4">
        <v>536</v>
      </c>
      <c r="R4">
        <v>535</v>
      </c>
      <c r="S4">
        <v>535</v>
      </c>
      <c r="T4">
        <v>534</v>
      </c>
      <c r="U4">
        <v>530</v>
      </c>
      <c r="V4">
        <v>531</v>
      </c>
      <c r="W4">
        <v>530</v>
      </c>
      <c r="X4">
        <v>530</v>
      </c>
      <c r="Y4">
        <v>530</v>
      </c>
      <c r="Z4">
        <v>596</v>
      </c>
      <c r="AA4">
        <v>596</v>
      </c>
      <c r="AB4">
        <v>597</v>
      </c>
      <c r="AC4">
        <v>600</v>
      </c>
      <c r="AD4">
        <v>600</v>
      </c>
      <c r="AE4">
        <v>602</v>
      </c>
      <c r="AF4">
        <v>603</v>
      </c>
      <c r="AG4">
        <v>602</v>
      </c>
      <c r="AH4">
        <v>602</v>
      </c>
      <c r="AI4">
        <v>608</v>
      </c>
      <c r="AJ4">
        <v>608</v>
      </c>
      <c r="AK4">
        <v>608</v>
      </c>
      <c r="AL4">
        <v>608</v>
      </c>
      <c r="AM4">
        <v>608</v>
      </c>
      <c r="AN4">
        <v>607</v>
      </c>
      <c r="AO4">
        <v>605</v>
      </c>
      <c r="AP4">
        <v>546</v>
      </c>
      <c r="AQ4">
        <v>547</v>
      </c>
      <c r="AR4">
        <v>525</v>
      </c>
      <c r="AS4">
        <v>525</v>
      </c>
      <c r="AT4">
        <v>525</v>
      </c>
      <c r="AU4">
        <v>526</v>
      </c>
      <c r="AV4">
        <v>526</v>
      </c>
      <c r="AW4">
        <v>526</v>
      </c>
      <c r="AX4">
        <v>525</v>
      </c>
      <c r="AY4">
        <v>525</v>
      </c>
      <c r="AZ4">
        <v>525</v>
      </c>
      <c r="BA4">
        <v>525</v>
      </c>
      <c r="BB4">
        <v>524</v>
      </c>
      <c r="BC4">
        <v>524</v>
      </c>
      <c r="BD4">
        <v>525</v>
      </c>
      <c r="BE4">
        <v>525</v>
      </c>
      <c r="BF4">
        <v>481</v>
      </c>
      <c r="BG4">
        <v>481</v>
      </c>
      <c r="BH4">
        <v>476</v>
      </c>
      <c r="BI4">
        <v>539</v>
      </c>
      <c r="BJ4">
        <v>539</v>
      </c>
      <c r="BK4">
        <v>537</v>
      </c>
      <c r="BL4">
        <v>538</v>
      </c>
      <c r="BM4">
        <v>537</v>
      </c>
      <c r="BN4">
        <v>536</v>
      </c>
      <c r="BO4">
        <v>537</v>
      </c>
      <c r="BP4">
        <v>536</v>
      </c>
      <c r="BQ4">
        <v>532</v>
      </c>
      <c r="BR4">
        <v>493</v>
      </c>
      <c r="BS4">
        <v>493</v>
      </c>
      <c r="BT4">
        <v>493</v>
      </c>
      <c r="BU4">
        <v>492</v>
      </c>
      <c r="BV4">
        <v>432</v>
      </c>
      <c r="BW4">
        <v>432</v>
      </c>
      <c r="BX4">
        <v>433</v>
      </c>
      <c r="BY4">
        <v>433</v>
      </c>
      <c r="BZ4">
        <v>434</v>
      </c>
      <c r="CA4">
        <v>434</v>
      </c>
      <c r="CB4">
        <v>434</v>
      </c>
      <c r="CC4">
        <v>434</v>
      </c>
      <c r="CD4">
        <v>432</v>
      </c>
      <c r="CE4">
        <v>432</v>
      </c>
      <c r="CF4">
        <v>432</v>
      </c>
      <c r="CG4">
        <v>432</v>
      </c>
      <c r="CH4">
        <v>432</v>
      </c>
      <c r="CI4">
        <v>431</v>
      </c>
      <c r="CJ4">
        <v>431</v>
      </c>
      <c r="CK4">
        <v>431</v>
      </c>
      <c r="CL4">
        <v>432</v>
      </c>
      <c r="CM4">
        <v>432</v>
      </c>
      <c r="CN4">
        <v>431</v>
      </c>
      <c r="CO4">
        <v>431</v>
      </c>
      <c r="CP4">
        <v>431</v>
      </c>
      <c r="CQ4">
        <v>431</v>
      </c>
      <c r="CR4">
        <v>430</v>
      </c>
      <c r="CS4">
        <v>430</v>
      </c>
    </row>
    <row r="5" spans="1:97">
      <c r="A5" s="9">
        <v>46238</v>
      </c>
      <c r="B5">
        <v>539</v>
      </c>
      <c r="C5">
        <v>540</v>
      </c>
      <c r="D5">
        <v>541</v>
      </c>
      <c r="E5">
        <v>543</v>
      </c>
      <c r="F5">
        <v>543</v>
      </c>
      <c r="G5">
        <v>543</v>
      </c>
      <c r="H5">
        <v>543</v>
      </c>
      <c r="I5">
        <v>543</v>
      </c>
      <c r="J5">
        <v>542</v>
      </c>
      <c r="K5">
        <v>543</v>
      </c>
      <c r="L5">
        <v>543</v>
      </c>
      <c r="M5">
        <v>543</v>
      </c>
      <c r="N5">
        <v>543</v>
      </c>
      <c r="O5">
        <v>543</v>
      </c>
      <c r="P5">
        <v>544</v>
      </c>
      <c r="Q5">
        <v>543</v>
      </c>
      <c r="R5">
        <v>544</v>
      </c>
      <c r="S5">
        <v>543</v>
      </c>
      <c r="T5">
        <v>543</v>
      </c>
      <c r="U5">
        <v>543</v>
      </c>
      <c r="V5">
        <v>563</v>
      </c>
      <c r="W5">
        <v>564</v>
      </c>
      <c r="X5">
        <v>564</v>
      </c>
      <c r="Y5">
        <v>564</v>
      </c>
      <c r="Z5">
        <v>565</v>
      </c>
      <c r="AA5">
        <v>565</v>
      </c>
      <c r="AB5">
        <v>606</v>
      </c>
      <c r="AC5">
        <v>605</v>
      </c>
      <c r="AD5">
        <v>605</v>
      </c>
      <c r="AE5">
        <v>605</v>
      </c>
      <c r="AF5">
        <v>607</v>
      </c>
      <c r="AG5">
        <v>607</v>
      </c>
      <c r="AH5">
        <v>607</v>
      </c>
      <c r="AI5">
        <v>607</v>
      </c>
      <c r="AJ5">
        <v>606</v>
      </c>
      <c r="AK5">
        <v>606</v>
      </c>
      <c r="AL5">
        <v>606</v>
      </c>
      <c r="AM5">
        <v>605</v>
      </c>
      <c r="AN5">
        <v>606</v>
      </c>
      <c r="AO5">
        <v>605</v>
      </c>
      <c r="AP5">
        <v>605</v>
      </c>
      <c r="AQ5">
        <v>605</v>
      </c>
      <c r="AR5">
        <v>606</v>
      </c>
      <c r="AS5">
        <v>604</v>
      </c>
      <c r="AT5">
        <v>605</v>
      </c>
      <c r="AU5">
        <v>586</v>
      </c>
      <c r="AV5">
        <v>538</v>
      </c>
      <c r="AW5">
        <v>540</v>
      </c>
      <c r="AX5">
        <v>539</v>
      </c>
      <c r="AY5">
        <v>539</v>
      </c>
      <c r="AZ5">
        <v>538</v>
      </c>
      <c r="BA5">
        <v>539</v>
      </c>
      <c r="BB5">
        <v>538</v>
      </c>
      <c r="BC5">
        <v>538</v>
      </c>
      <c r="BD5">
        <v>539</v>
      </c>
      <c r="BE5">
        <v>539</v>
      </c>
      <c r="BF5">
        <v>539</v>
      </c>
      <c r="BG5">
        <v>535</v>
      </c>
      <c r="BH5">
        <v>535</v>
      </c>
      <c r="BI5">
        <v>536</v>
      </c>
      <c r="BJ5">
        <v>493</v>
      </c>
      <c r="BK5">
        <v>495</v>
      </c>
      <c r="BL5">
        <v>433</v>
      </c>
      <c r="BM5">
        <v>432</v>
      </c>
      <c r="BN5">
        <v>433</v>
      </c>
      <c r="BO5">
        <v>432</v>
      </c>
      <c r="BP5">
        <v>432</v>
      </c>
      <c r="BQ5">
        <v>433</v>
      </c>
      <c r="BR5">
        <v>432</v>
      </c>
      <c r="BS5">
        <v>432</v>
      </c>
      <c r="BT5">
        <v>427</v>
      </c>
      <c r="BU5">
        <v>427</v>
      </c>
      <c r="BV5">
        <v>427</v>
      </c>
      <c r="BW5">
        <v>426</v>
      </c>
      <c r="BX5">
        <v>426</v>
      </c>
      <c r="BY5">
        <v>427</v>
      </c>
      <c r="BZ5">
        <v>426</v>
      </c>
      <c r="CA5">
        <v>426</v>
      </c>
      <c r="CB5">
        <v>427</v>
      </c>
      <c r="CC5">
        <v>426</v>
      </c>
      <c r="CD5">
        <v>427</v>
      </c>
      <c r="CE5">
        <v>426</v>
      </c>
      <c r="CF5">
        <v>426</v>
      </c>
      <c r="CG5">
        <v>426</v>
      </c>
      <c r="CH5">
        <v>426</v>
      </c>
      <c r="CI5">
        <v>426</v>
      </c>
      <c r="CJ5">
        <v>426</v>
      </c>
      <c r="CK5">
        <v>425</v>
      </c>
      <c r="CL5">
        <v>426</v>
      </c>
      <c r="CM5">
        <v>426</v>
      </c>
      <c r="CN5">
        <v>426</v>
      </c>
      <c r="CO5">
        <v>425</v>
      </c>
      <c r="CP5">
        <v>426</v>
      </c>
      <c r="CQ5">
        <v>427</v>
      </c>
      <c r="CR5">
        <v>427</v>
      </c>
      <c r="CS5">
        <v>427</v>
      </c>
    </row>
    <row r="6" spans="1:97">
      <c r="A6" s="9">
        <v>46239</v>
      </c>
      <c r="B6">
        <v>585</v>
      </c>
      <c r="C6">
        <v>590</v>
      </c>
      <c r="D6">
        <v>590</v>
      </c>
      <c r="E6">
        <v>592</v>
      </c>
      <c r="F6">
        <v>592</v>
      </c>
      <c r="G6">
        <v>592</v>
      </c>
      <c r="H6">
        <v>592</v>
      </c>
      <c r="I6">
        <v>591</v>
      </c>
      <c r="J6">
        <v>592</v>
      </c>
      <c r="K6">
        <v>592</v>
      </c>
      <c r="L6">
        <v>593</v>
      </c>
      <c r="M6">
        <v>592</v>
      </c>
      <c r="N6">
        <v>593</v>
      </c>
      <c r="O6">
        <v>592</v>
      </c>
      <c r="P6">
        <v>593</v>
      </c>
      <c r="Q6">
        <v>592</v>
      </c>
      <c r="R6">
        <v>592</v>
      </c>
      <c r="S6">
        <v>593</v>
      </c>
      <c r="T6">
        <v>597</v>
      </c>
      <c r="U6">
        <v>598</v>
      </c>
      <c r="V6">
        <v>599</v>
      </c>
      <c r="W6">
        <v>598</v>
      </c>
      <c r="X6">
        <v>599</v>
      </c>
      <c r="Y6">
        <v>599</v>
      </c>
      <c r="Z6">
        <v>598</v>
      </c>
      <c r="AA6">
        <v>599</v>
      </c>
      <c r="AB6">
        <v>600</v>
      </c>
      <c r="AC6">
        <v>600</v>
      </c>
      <c r="AD6">
        <v>600</v>
      </c>
      <c r="AE6">
        <v>600</v>
      </c>
      <c r="AF6">
        <v>600</v>
      </c>
      <c r="AG6">
        <v>601</v>
      </c>
      <c r="AH6">
        <v>599</v>
      </c>
      <c r="AI6">
        <v>598</v>
      </c>
      <c r="AJ6">
        <v>599</v>
      </c>
      <c r="AK6">
        <v>600</v>
      </c>
      <c r="AL6">
        <v>602</v>
      </c>
      <c r="AM6">
        <v>601</v>
      </c>
      <c r="AN6">
        <v>602</v>
      </c>
      <c r="AO6">
        <v>602</v>
      </c>
      <c r="AP6">
        <v>601</v>
      </c>
      <c r="AQ6">
        <v>602</v>
      </c>
      <c r="AR6">
        <v>601</v>
      </c>
      <c r="AS6">
        <v>601</v>
      </c>
      <c r="AT6">
        <v>601</v>
      </c>
      <c r="AU6">
        <v>600</v>
      </c>
      <c r="AV6">
        <v>600</v>
      </c>
      <c r="AW6">
        <v>600</v>
      </c>
      <c r="AX6">
        <v>603</v>
      </c>
      <c r="AY6">
        <v>603</v>
      </c>
      <c r="AZ6">
        <v>603</v>
      </c>
      <c r="BA6">
        <v>603</v>
      </c>
      <c r="BB6">
        <v>603</v>
      </c>
      <c r="BC6">
        <v>603</v>
      </c>
      <c r="BD6">
        <v>584</v>
      </c>
      <c r="BE6">
        <v>583</v>
      </c>
      <c r="BF6">
        <v>583</v>
      </c>
      <c r="BG6">
        <v>473</v>
      </c>
      <c r="BH6">
        <v>431</v>
      </c>
      <c r="BI6">
        <v>369</v>
      </c>
      <c r="BJ6">
        <v>358</v>
      </c>
      <c r="BK6">
        <v>349</v>
      </c>
      <c r="BL6">
        <v>349</v>
      </c>
      <c r="BM6">
        <v>348</v>
      </c>
      <c r="BN6">
        <v>345</v>
      </c>
      <c r="BO6">
        <v>345</v>
      </c>
      <c r="BP6">
        <v>345</v>
      </c>
      <c r="BQ6">
        <v>344</v>
      </c>
      <c r="BR6">
        <v>344</v>
      </c>
      <c r="BS6">
        <v>339</v>
      </c>
      <c r="BT6">
        <v>343</v>
      </c>
      <c r="BU6">
        <v>346</v>
      </c>
      <c r="BV6">
        <v>346</v>
      </c>
      <c r="BW6">
        <v>347</v>
      </c>
      <c r="BX6">
        <v>346</v>
      </c>
      <c r="BY6">
        <v>346</v>
      </c>
      <c r="BZ6">
        <v>344</v>
      </c>
      <c r="CA6">
        <v>343</v>
      </c>
      <c r="CB6">
        <v>343</v>
      </c>
      <c r="CC6">
        <v>343</v>
      </c>
      <c r="CD6">
        <v>343</v>
      </c>
      <c r="CE6">
        <v>342</v>
      </c>
      <c r="CF6">
        <v>414</v>
      </c>
      <c r="CG6">
        <v>475</v>
      </c>
      <c r="CH6">
        <v>480</v>
      </c>
      <c r="CI6">
        <v>482</v>
      </c>
      <c r="CJ6">
        <v>481</v>
      </c>
      <c r="CK6">
        <v>481</v>
      </c>
      <c r="CL6">
        <v>479</v>
      </c>
      <c r="CM6">
        <v>479</v>
      </c>
      <c r="CN6">
        <v>479</v>
      </c>
      <c r="CO6">
        <v>478</v>
      </c>
      <c r="CP6">
        <v>475</v>
      </c>
      <c r="CQ6">
        <v>475</v>
      </c>
      <c r="CR6">
        <v>474</v>
      </c>
      <c r="CS6">
        <v>474</v>
      </c>
    </row>
    <row r="7" spans="1:97">
      <c r="A7" s="9">
        <v>46240</v>
      </c>
      <c r="B7">
        <v>517</v>
      </c>
      <c r="C7">
        <v>517</v>
      </c>
      <c r="D7">
        <v>517</v>
      </c>
      <c r="E7">
        <v>513</v>
      </c>
      <c r="F7">
        <v>513</v>
      </c>
      <c r="G7">
        <v>513</v>
      </c>
      <c r="H7">
        <v>514</v>
      </c>
      <c r="I7">
        <v>513</v>
      </c>
      <c r="J7">
        <v>513</v>
      </c>
      <c r="K7">
        <v>513</v>
      </c>
      <c r="L7">
        <v>513</v>
      </c>
      <c r="M7">
        <v>513</v>
      </c>
      <c r="N7">
        <v>513</v>
      </c>
      <c r="O7">
        <v>512</v>
      </c>
      <c r="P7">
        <v>512</v>
      </c>
      <c r="Q7">
        <v>498</v>
      </c>
      <c r="R7">
        <v>497</v>
      </c>
      <c r="S7">
        <v>498</v>
      </c>
      <c r="T7">
        <v>498</v>
      </c>
      <c r="U7">
        <v>498</v>
      </c>
      <c r="V7">
        <v>497</v>
      </c>
      <c r="W7">
        <v>498</v>
      </c>
      <c r="X7">
        <v>497</v>
      </c>
      <c r="Y7">
        <v>497</v>
      </c>
      <c r="Z7">
        <v>498</v>
      </c>
      <c r="AA7">
        <v>498</v>
      </c>
      <c r="AB7">
        <v>496</v>
      </c>
      <c r="AC7">
        <v>497</v>
      </c>
      <c r="AD7">
        <v>497</v>
      </c>
      <c r="AE7">
        <v>496</v>
      </c>
      <c r="AF7">
        <v>497</v>
      </c>
      <c r="AG7">
        <v>394</v>
      </c>
      <c r="AH7">
        <v>394</v>
      </c>
      <c r="AI7">
        <v>393</v>
      </c>
      <c r="AJ7">
        <v>394</v>
      </c>
      <c r="AK7">
        <v>394</v>
      </c>
      <c r="AL7">
        <v>393</v>
      </c>
      <c r="AM7">
        <v>393</v>
      </c>
      <c r="AN7">
        <v>393</v>
      </c>
      <c r="AO7">
        <v>393</v>
      </c>
      <c r="AP7">
        <v>393</v>
      </c>
      <c r="AQ7">
        <v>393</v>
      </c>
      <c r="AR7">
        <v>393</v>
      </c>
      <c r="AS7">
        <v>393</v>
      </c>
      <c r="AT7">
        <v>393</v>
      </c>
      <c r="AU7">
        <v>393</v>
      </c>
      <c r="AV7">
        <v>392</v>
      </c>
      <c r="AW7">
        <v>392</v>
      </c>
      <c r="AX7">
        <v>518</v>
      </c>
      <c r="AY7">
        <v>516</v>
      </c>
      <c r="AZ7">
        <v>518</v>
      </c>
      <c r="BA7">
        <v>519</v>
      </c>
      <c r="BB7">
        <v>519</v>
      </c>
      <c r="BC7">
        <v>518</v>
      </c>
      <c r="BD7">
        <v>519</v>
      </c>
      <c r="BE7">
        <v>517</v>
      </c>
      <c r="BF7">
        <v>517</v>
      </c>
      <c r="BG7">
        <v>517</v>
      </c>
      <c r="BH7">
        <v>517</v>
      </c>
      <c r="BI7">
        <v>518</v>
      </c>
      <c r="BJ7">
        <v>489</v>
      </c>
      <c r="BK7">
        <v>478</v>
      </c>
      <c r="BL7">
        <v>510</v>
      </c>
      <c r="BM7">
        <v>547</v>
      </c>
      <c r="BN7">
        <v>550</v>
      </c>
      <c r="BO7">
        <v>550</v>
      </c>
      <c r="BP7">
        <v>554</v>
      </c>
      <c r="BQ7">
        <v>558</v>
      </c>
      <c r="BR7">
        <v>559</v>
      </c>
      <c r="BS7">
        <v>560</v>
      </c>
      <c r="BT7">
        <v>560</v>
      </c>
      <c r="BU7">
        <v>663</v>
      </c>
      <c r="BV7">
        <v>663</v>
      </c>
      <c r="BW7">
        <v>664</v>
      </c>
      <c r="BX7">
        <v>664</v>
      </c>
      <c r="BY7">
        <v>664</v>
      </c>
      <c r="BZ7">
        <v>565</v>
      </c>
      <c r="CA7">
        <v>564</v>
      </c>
      <c r="CB7">
        <v>562</v>
      </c>
      <c r="CC7">
        <v>562</v>
      </c>
      <c r="CD7">
        <v>561</v>
      </c>
      <c r="CE7">
        <v>561</v>
      </c>
      <c r="CF7">
        <v>696</v>
      </c>
      <c r="CG7">
        <v>502</v>
      </c>
      <c r="CH7">
        <v>498</v>
      </c>
      <c r="CI7">
        <v>702</v>
      </c>
      <c r="CJ7">
        <v>563</v>
      </c>
      <c r="CK7">
        <v>563</v>
      </c>
      <c r="CL7">
        <v>563</v>
      </c>
      <c r="CM7">
        <v>499</v>
      </c>
      <c r="CN7">
        <v>499</v>
      </c>
      <c r="CO7">
        <v>498</v>
      </c>
      <c r="CP7">
        <v>498</v>
      </c>
      <c r="CQ7">
        <v>499</v>
      </c>
      <c r="CR7">
        <v>499</v>
      </c>
      <c r="CS7">
        <v>499</v>
      </c>
    </row>
    <row r="8" spans="1:97">
      <c r="A8" s="9">
        <v>46241</v>
      </c>
      <c r="B8">
        <v>466</v>
      </c>
      <c r="C8">
        <v>466</v>
      </c>
      <c r="D8">
        <v>466</v>
      </c>
      <c r="E8">
        <v>466</v>
      </c>
      <c r="F8">
        <v>466</v>
      </c>
      <c r="G8">
        <v>467</v>
      </c>
      <c r="H8">
        <v>466</v>
      </c>
      <c r="I8">
        <v>466</v>
      </c>
      <c r="J8">
        <v>466</v>
      </c>
      <c r="K8">
        <v>466</v>
      </c>
      <c r="L8">
        <v>529</v>
      </c>
      <c r="M8">
        <v>528</v>
      </c>
      <c r="N8">
        <v>528</v>
      </c>
      <c r="O8">
        <v>528</v>
      </c>
      <c r="P8">
        <v>528</v>
      </c>
      <c r="Q8">
        <v>528</v>
      </c>
      <c r="R8">
        <v>528</v>
      </c>
      <c r="S8">
        <v>528</v>
      </c>
      <c r="T8">
        <v>528</v>
      </c>
      <c r="U8">
        <v>528</v>
      </c>
      <c r="V8">
        <v>528</v>
      </c>
      <c r="W8">
        <v>527</v>
      </c>
      <c r="X8">
        <v>528</v>
      </c>
      <c r="Y8">
        <v>527</v>
      </c>
      <c r="Z8">
        <v>525</v>
      </c>
      <c r="AA8">
        <v>524</v>
      </c>
      <c r="AB8">
        <v>524</v>
      </c>
      <c r="AC8">
        <v>191</v>
      </c>
      <c r="AD8">
        <v>130</v>
      </c>
      <c r="AE8">
        <v>125</v>
      </c>
      <c r="AF8">
        <v>126</v>
      </c>
      <c r="AG8">
        <v>125</v>
      </c>
      <c r="AH8">
        <v>125</v>
      </c>
      <c r="AI8">
        <v>125</v>
      </c>
      <c r="AJ8">
        <v>125</v>
      </c>
      <c r="AK8">
        <v>124</v>
      </c>
      <c r="AL8">
        <v>125</v>
      </c>
      <c r="AM8">
        <v>124</v>
      </c>
      <c r="AN8">
        <v>124</v>
      </c>
      <c r="AO8">
        <v>121</v>
      </c>
      <c r="AP8">
        <v>120</v>
      </c>
      <c r="AQ8">
        <v>120</v>
      </c>
      <c r="AR8">
        <v>120</v>
      </c>
      <c r="AS8">
        <v>120</v>
      </c>
      <c r="AT8">
        <v>117</v>
      </c>
      <c r="AU8">
        <v>117</v>
      </c>
      <c r="AV8">
        <v>117</v>
      </c>
      <c r="AW8">
        <v>116</v>
      </c>
      <c r="AX8">
        <v>113</v>
      </c>
      <c r="AY8">
        <v>113</v>
      </c>
      <c r="AZ8">
        <v>113</v>
      </c>
      <c r="BA8">
        <v>113</v>
      </c>
      <c r="BB8">
        <v>113</v>
      </c>
      <c r="BC8">
        <v>113</v>
      </c>
      <c r="BD8">
        <v>113</v>
      </c>
      <c r="BE8">
        <v>111</v>
      </c>
      <c r="BF8">
        <v>113</v>
      </c>
      <c r="BG8">
        <v>115</v>
      </c>
      <c r="BH8">
        <v>113</v>
      </c>
      <c r="BI8">
        <v>116</v>
      </c>
      <c r="BJ8">
        <v>116</v>
      </c>
      <c r="BK8">
        <v>116</v>
      </c>
      <c r="BL8">
        <v>116</v>
      </c>
      <c r="BM8">
        <v>116</v>
      </c>
      <c r="BN8">
        <v>116</v>
      </c>
      <c r="BO8">
        <v>116</v>
      </c>
      <c r="BP8">
        <v>116</v>
      </c>
      <c r="BQ8">
        <v>114</v>
      </c>
      <c r="BR8">
        <v>114</v>
      </c>
      <c r="BS8">
        <v>114</v>
      </c>
      <c r="BT8">
        <v>114</v>
      </c>
      <c r="BU8">
        <v>114</v>
      </c>
      <c r="BV8">
        <v>114</v>
      </c>
      <c r="BW8">
        <v>601</v>
      </c>
      <c r="BX8">
        <v>612</v>
      </c>
      <c r="BY8">
        <v>619</v>
      </c>
      <c r="BZ8">
        <v>544</v>
      </c>
      <c r="CA8">
        <v>541</v>
      </c>
      <c r="CB8">
        <v>354</v>
      </c>
      <c r="CC8">
        <v>249</v>
      </c>
      <c r="CD8">
        <v>170</v>
      </c>
      <c r="CE8">
        <v>129</v>
      </c>
      <c r="CF8">
        <v>129</v>
      </c>
      <c r="CG8">
        <v>129</v>
      </c>
      <c r="CH8">
        <v>128</v>
      </c>
      <c r="CI8">
        <v>129</v>
      </c>
      <c r="CJ8">
        <v>124</v>
      </c>
      <c r="CK8">
        <v>124</v>
      </c>
      <c r="CL8">
        <v>124</v>
      </c>
      <c r="CM8">
        <v>123</v>
      </c>
      <c r="CN8">
        <v>123</v>
      </c>
      <c r="CO8">
        <v>123</v>
      </c>
      <c r="CP8">
        <v>123</v>
      </c>
      <c r="CQ8">
        <v>123</v>
      </c>
      <c r="CR8">
        <v>122</v>
      </c>
      <c r="CS8">
        <v>119</v>
      </c>
    </row>
    <row r="9" spans="1:97">
      <c r="A9" s="9">
        <v>46242</v>
      </c>
      <c r="B9">
        <v>118</v>
      </c>
      <c r="C9">
        <v>118</v>
      </c>
      <c r="D9">
        <v>118</v>
      </c>
      <c r="E9">
        <v>118</v>
      </c>
      <c r="F9">
        <v>117</v>
      </c>
      <c r="G9">
        <v>118</v>
      </c>
      <c r="H9">
        <v>118</v>
      </c>
      <c r="I9">
        <v>118</v>
      </c>
      <c r="J9">
        <v>118</v>
      </c>
      <c r="K9">
        <v>118</v>
      </c>
      <c r="L9">
        <v>118</v>
      </c>
      <c r="M9">
        <v>118</v>
      </c>
      <c r="N9">
        <v>117</v>
      </c>
      <c r="O9">
        <v>118</v>
      </c>
      <c r="P9">
        <v>118</v>
      </c>
      <c r="Q9">
        <v>117</v>
      </c>
      <c r="R9">
        <v>117</v>
      </c>
      <c r="S9">
        <v>117</v>
      </c>
      <c r="T9">
        <v>116</v>
      </c>
      <c r="U9">
        <v>116</v>
      </c>
      <c r="V9">
        <v>116</v>
      </c>
      <c r="W9">
        <v>117</v>
      </c>
      <c r="X9">
        <v>115</v>
      </c>
      <c r="Y9">
        <v>114</v>
      </c>
      <c r="Z9">
        <v>117</v>
      </c>
      <c r="AA9">
        <v>117</v>
      </c>
      <c r="AB9">
        <v>117</v>
      </c>
      <c r="AC9">
        <v>117</v>
      </c>
      <c r="AD9">
        <v>117</v>
      </c>
      <c r="AE9">
        <v>116</v>
      </c>
      <c r="AF9">
        <v>116</v>
      </c>
      <c r="AG9">
        <v>116</v>
      </c>
      <c r="AH9">
        <v>115</v>
      </c>
      <c r="AI9">
        <v>116</v>
      </c>
      <c r="AJ9">
        <v>116</v>
      </c>
      <c r="AK9">
        <v>115</v>
      </c>
      <c r="AL9">
        <v>115</v>
      </c>
      <c r="AM9">
        <v>116</v>
      </c>
      <c r="AN9">
        <v>115</v>
      </c>
      <c r="AO9">
        <v>113</v>
      </c>
      <c r="AP9">
        <v>113</v>
      </c>
      <c r="AQ9">
        <v>113</v>
      </c>
      <c r="AR9">
        <v>113</v>
      </c>
      <c r="AS9">
        <v>113</v>
      </c>
      <c r="AT9">
        <v>113</v>
      </c>
      <c r="AU9">
        <v>113</v>
      </c>
      <c r="AV9">
        <v>112</v>
      </c>
      <c r="AW9">
        <v>112</v>
      </c>
      <c r="AX9">
        <v>113</v>
      </c>
      <c r="AY9">
        <v>112</v>
      </c>
      <c r="AZ9">
        <v>112</v>
      </c>
      <c r="BA9">
        <v>113</v>
      </c>
      <c r="BB9">
        <v>112</v>
      </c>
      <c r="BC9">
        <v>113</v>
      </c>
      <c r="BD9">
        <v>112</v>
      </c>
      <c r="BE9">
        <v>112</v>
      </c>
      <c r="BF9">
        <v>111</v>
      </c>
      <c r="BG9">
        <v>110</v>
      </c>
      <c r="BH9">
        <v>109</v>
      </c>
      <c r="BI9">
        <v>108</v>
      </c>
      <c r="BJ9">
        <v>108</v>
      </c>
      <c r="BK9">
        <v>108</v>
      </c>
      <c r="BL9">
        <v>108</v>
      </c>
      <c r="BM9">
        <v>108</v>
      </c>
      <c r="BN9">
        <v>109</v>
      </c>
      <c r="BO9">
        <v>109</v>
      </c>
      <c r="BP9">
        <v>108</v>
      </c>
      <c r="BQ9">
        <v>108</v>
      </c>
      <c r="BR9">
        <v>108</v>
      </c>
      <c r="BS9">
        <v>108</v>
      </c>
      <c r="BT9">
        <v>109</v>
      </c>
      <c r="BU9">
        <v>108</v>
      </c>
      <c r="BV9">
        <v>108</v>
      </c>
      <c r="BW9">
        <v>505</v>
      </c>
      <c r="BX9">
        <v>570</v>
      </c>
      <c r="BY9">
        <v>578</v>
      </c>
      <c r="BZ9">
        <v>581</v>
      </c>
      <c r="CA9">
        <v>580</v>
      </c>
      <c r="CB9">
        <v>580</v>
      </c>
      <c r="CC9">
        <v>588</v>
      </c>
      <c r="CD9">
        <v>593</v>
      </c>
      <c r="CE9">
        <v>598</v>
      </c>
      <c r="CF9">
        <v>598</v>
      </c>
      <c r="CG9">
        <v>598</v>
      </c>
      <c r="CH9">
        <v>499</v>
      </c>
      <c r="CI9">
        <v>499</v>
      </c>
      <c r="CJ9">
        <v>500</v>
      </c>
      <c r="CK9">
        <v>499</v>
      </c>
      <c r="CL9">
        <v>499</v>
      </c>
      <c r="CM9">
        <v>499</v>
      </c>
      <c r="CN9">
        <v>499</v>
      </c>
      <c r="CO9">
        <v>498</v>
      </c>
      <c r="CP9">
        <v>498</v>
      </c>
      <c r="CQ9">
        <v>499</v>
      </c>
      <c r="CR9">
        <v>498</v>
      </c>
      <c r="CS9">
        <v>497</v>
      </c>
    </row>
    <row r="10" spans="1:97">
      <c r="A10" s="9">
        <v>46243</v>
      </c>
      <c r="B10">
        <v>384</v>
      </c>
      <c r="C10">
        <v>384</v>
      </c>
      <c r="D10">
        <v>384</v>
      </c>
      <c r="E10">
        <v>384</v>
      </c>
      <c r="F10">
        <v>384</v>
      </c>
      <c r="G10">
        <v>383</v>
      </c>
      <c r="H10">
        <v>383</v>
      </c>
      <c r="I10">
        <v>382</v>
      </c>
      <c r="J10">
        <v>378</v>
      </c>
      <c r="K10">
        <v>378</v>
      </c>
      <c r="L10">
        <v>379</v>
      </c>
      <c r="M10">
        <v>379</v>
      </c>
      <c r="N10">
        <v>378</v>
      </c>
      <c r="O10">
        <v>378</v>
      </c>
      <c r="P10">
        <v>378</v>
      </c>
      <c r="Q10">
        <v>401</v>
      </c>
      <c r="R10">
        <v>401</v>
      </c>
      <c r="S10">
        <v>401</v>
      </c>
      <c r="T10">
        <v>402</v>
      </c>
      <c r="U10">
        <v>397</v>
      </c>
      <c r="V10">
        <v>437</v>
      </c>
      <c r="W10">
        <v>437</v>
      </c>
      <c r="X10">
        <v>414</v>
      </c>
      <c r="Y10">
        <v>413</v>
      </c>
      <c r="Z10">
        <v>414</v>
      </c>
      <c r="AA10">
        <v>414</v>
      </c>
      <c r="AB10">
        <v>414</v>
      </c>
      <c r="AC10">
        <v>413</v>
      </c>
      <c r="AD10">
        <v>413</v>
      </c>
      <c r="AE10">
        <v>413</v>
      </c>
      <c r="AF10">
        <v>413</v>
      </c>
      <c r="AG10">
        <v>416</v>
      </c>
      <c r="AH10">
        <v>477</v>
      </c>
      <c r="AI10">
        <v>472</v>
      </c>
      <c r="AJ10">
        <v>473</v>
      </c>
      <c r="AK10">
        <v>473</v>
      </c>
      <c r="AL10">
        <v>513</v>
      </c>
      <c r="AM10">
        <v>130</v>
      </c>
      <c r="AN10">
        <v>123</v>
      </c>
      <c r="AO10">
        <v>123</v>
      </c>
      <c r="AP10">
        <v>122</v>
      </c>
      <c r="AQ10">
        <v>122</v>
      </c>
      <c r="AR10">
        <v>122</v>
      </c>
      <c r="AS10">
        <v>121</v>
      </c>
      <c r="AT10">
        <v>121</v>
      </c>
      <c r="AU10">
        <v>119</v>
      </c>
      <c r="AV10">
        <v>119</v>
      </c>
      <c r="AW10">
        <v>116</v>
      </c>
      <c r="AX10">
        <v>112</v>
      </c>
      <c r="AY10">
        <v>112</v>
      </c>
      <c r="AZ10">
        <v>113</v>
      </c>
      <c r="BA10">
        <v>112</v>
      </c>
      <c r="BB10">
        <v>112</v>
      </c>
      <c r="BC10">
        <v>113</v>
      </c>
      <c r="BD10">
        <v>114</v>
      </c>
      <c r="BE10">
        <v>198</v>
      </c>
      <c r="BF10">
        <v>409</v>
      </c>
      <c r="BG10">
        <v>580</v>
      </c>
      <c r="BH10">
        <v>579</v>
      </c>
      <c r="BI10">
        <v>580</v>
      </c>
      <c r="BJ10">
        <v>582</v>
      </c>
      <c r="BK10">
        <v>584</v>
      </c>
      <c r="BL10">
        <v>585</v>
      </c>
      <c r="BM10">
        <v>585</v>
      </c>
      <c r="BN10">
        <v>585</v>
      </c>
      <c r="BO10">
        <v>586</v>
      </c>
      <c r="BP10">
        <v>588</v>
      </c>
      <c r="BQ10">
        <v>588</v>
      </c>
      <c r="BR10">
        <v>588</v>
      </c>
      <c r="BS10">
        <v>588</v>
      </c>
      <c r="BT10">
        <v>592</v>
      </c>
      <c r="BU10">
        <v>593</v>
      </c>
      <c r="BV10">
        <v>532</v>
      </c>
      <c r="BW10">
        <v>533</v>
      </c>
      <c r="BX10">
        <v>532</v>
      </c>
      <c r="BY10">
        <v>531</v>
      </c>
      <c r="BZ10">
        <v>532</v>
      </c>
      <c r="CA10">
        <v>532</v>
      </c>
      <c r="CB10">
        <v>531</v>
      </c>
      <c r="CC10">
        <v>532</v>
      </c>
      <c r="CD10">
        <v>531</v>
      </c>
      <c r="CE10">
        <v>554</v>
      </c>
      <c r="CF10">
        <v>592</v>
      </c>
      <c r="CG10">
        <v>555</v>
      </c>
      <c r="CH10">
        <v>555</v>
      </c>
      <c r="CI10">
        <v>556</v>
      </c>
      <c r="CJ10">
        <v>555</v>
      </c>
      <c r="CK10">
        <v>555</v>
      </c>
      <c r="CL10">
        <v>556</v>
      </c>
      <c r="CM10">
        <v>557</v>
      </c>
      <c r="CN10">
        <v>496</v>
      </c>
      <c r="CO10">
        <v>494</v>
      </c>
      <c r="CP10">
        <v>494</v>
      </c>
      <c r="CQ10">
        <v>493</v>
      </c>
      <c r="CR10">
        <v>493</v>
      </c>
      <c r="CS10">
        <v>493</v>
      </c>
    </row>
    <row r="11" spans="1:97">
      <c r="A11" s="9">
        <v>46244</v>
      </c>
      <c r="B11">
        <v>485</v>
      </c>
      <c r="C11">
        <v>483</v>
      </c>
      <c r="D11">
        <v>481</v>
      </c>
      <c r="E11">
        <v>479</v>
      </c>
      <c r="F11">
        <v>480</v>
      </c>
      <c r="G11">
        <v>481</v>
      </c>
      <c r="H11">
        <v>480</v>
      </c>
      <c r="I11">
        <v>480</v>
      </c>
      <c r="J11">
        <v>419</v>
      </c>
      <c r="K11">
        <v>419</v>
      </c>
      <c r="L11">
        <v>419</v>
      </c>
      <c r="M11">
        <v>417</v>
      </c>
      <c r="N11">
        <v>417</v>
      </c>
      <c r="O11">
        <v>417</v>
      </c>
      <c r="P11">
        <v>417</v>
      </c>
      <c r="Q11">
        <v>417</v>
      </c>
      <c r="R11">
        <v>416</v>
      </c>
      <c r="S11">
        <v>416</v>
      </c>
      <c r="T11">
        <v>416</v>
      </c>
      <c r="U11">
        <v>416</v>
      </c>
      <c r="V11">
        <v>416</v>
      </c>
      <c r="W11">
        <v>416</v>
      </c>
      <c r="X11">
        <v>415</v>
      </c>
      <c r="Y11">
        <v>415</v>
      </c>
      <c r="Z11">
        <v>415</v>
      </c>
      <c r="AA11">
        <v>415</v>
      </c>
      <c r="AB11">
        <v>415</v>
      </c>
      <c r="AC11">
        <v>413</v>
      </c>
      <c r="AD11">
        <v>413</v>
      </c>
      <c r="AE11">
        <v>413</v>
      </c>
      <c r="AF11">
        <v>412</v>
      </c>
      <c r="AG11">
        <v>411</v>
      </c>
      <c r="AH11">
        <v>410</v>
      </c>
      <c r="AI11">
        <v>410</v>
      </c>
      <c r="AJ11">
        <v>410</v>
      </c>
      <c r="AK11">
        <v>467</v>
      </c>
      <c r="AL11">
        <v>510</v>
      </c>
      <c r="AM11">
        <v>508</v>
      </c>
      <c r="AN11">
        <v>508</v>
      </c>
      <c r="AO11">
        <v>509</v>
      </c>
      <c r="AP11">
        <v>289</v>
      </c>
      <c r="AQ11">
        <v>241</v>
      </c>
      <c r="AR11">
        <v>241</v>
      </c>
      <c r="AS11">
        <v>240</v>
      </c>
      <c r="AT11">
        <v>123</v>
      </c>
      <c r="AU11">
        <v>116</v>
      </c>
      <c r="AV11">
        <v>116</v>
      </c>
      <c r="AW11">
        <v>116</v>
      </c>
      <c r="AX11">
        <v>114</v>
      </c>
      <c r="AY11">
        <v>113</v>
      </c>
      <c r="AZ11">
        <v>113</v>
      </c>
      <c r="BA11">
        <v>113</v>
      </c>
      <c r="BB11">
        <v>113</v>
      </c>
      <c r="BC11">
        <v>113</v>
      </c>
      <c r="BD11">
        <v>113</v>
      </c>
      <c r="BE11">
        <v>111</v>
      </c>
      <c r="BF11">
        <v>110</v>
      </c>
      <c r="BG11">
        <v>107</v>
      </c>
      <c r="BH11">
        <v>107</v>
      </c>
      <c r="BI11">
        <v>107</v>
      </c>
      <c r="BJ11">
        <v>107</v>
      </c>
      <c r="BK11">
        <v>107</v>
      </c>
      <c r="BL11">
        <v>262</v>
      </c>
      <c r="BM11">
        <v>569</v>
      </c>
      <c r="BN11">
        <v>573</v>
      </c>
      <c r="BO11">
        <v>574</v>
      </c>
      <c r="BP11">
        <v>679</v>
      </c>
      <c r="BQ11">
        <v>677</v>
      </c>
      <c r="BR11">
        <v>577</v>
      </c>
      <c r="BS11">
        <v>578</v>
      </c>
      <c r="BT11">
        <v>580</v>
      </c>
      <c r="BU11">
        <v>579</v>
      </c>
      <c r="BV11">
        <v>578</v>
      </c>
      <c r="BW11">
        <v>581</v>
      </c>
      <c r="BX11">
        <v>579</v>
      </c>
      <c r="BY11">
        <v>580</v>
      </c>
      <c r="BZ11">
        <v>537</v>
      </c>
      <c r="CA11">
        <v>536</v>
      </c>
      <c r="CB11">
        <v>536</v>
      </c>
      <c r="CC11">
        <v>537</v>
      </c>
      <c r="CD11">
        <v>539</v>
      </c>
      <c r="CE11">
        <v>549</v>
      </c>
      <c r="CF11">
        <v>548</v>
      </c>
      <c r="CG11">
        <v>548</v>
      </c>
      <c r="CH11">
        <v>510</v>
      </c>
      <c r="CI11">
        <v>510</v>
      </c>
      <c r="CJ11">
        <v>510</v>
      </c>
      <c r="CK11">
        <v>512</v>
      </c>
      <c r="CL11">
        <v>510</v>
      </c>
      <c r="CM11">
        <v>510</v>
      </c>
      <c r="CN11">
        <v>511</v>
      </c>
      <c r="CO11">
        <v>510</v>
      </c>
      <c r="CP11">
        <v>490</v>
      </c>
      <c r="CQ11">
        <v>490</v>
      </c>
      <c r="CR11">
        <v>490</v>
      </c>
      <c r="CS11">
        <v>489</v>
      </c>
    </row>
    <row r="12" spans="1:97">
      <c r="A12" s="9">
        <v>46245</v>
      </c>
      <c r="B12">
        <v>480</v>
      </c>
      <c r="C12">
        <v>481</v>
      </c>
      <c r="D12">
        <v>481</v>
      </c>
      <c r="E12">
        <v>479</v>
      </c>
      <c r="F12">
        <v>442</v>
      </c>
      <c r="G12">
        <v>441</v>
      </c>
      <c r="H12">
        <v>441</v>
      </c>
      <c r="I12">
        <v>442</v>
      </c>
      <c r="J12">
        <v>442</v>
      </c>
      <c r="K12">
        <v>442</v>
      </c>
      <c r="L12">
        <v>442</v>
      </c>
      <c r="M12">
        <v>442</v>
      </c>
      <c r="N12">
        <v>420</v>
      </c>
      <c r="O12">
        <v>420</v>
      </c>
      <c r="P12">
        <v>421</v>
      </c>
      <c r="Q12">
        <v>419</v>
      </c>
      <c r="R12">
        <v>416</v>
      </c>
      <c r="S12">
        <v>417</v>
      </c>
      <c r="T12">
        <v>416</v>
      </c>
      <c r="U12">
        <v>417</v>
      </c>
      <c r="V12">
        <v>417</v>
      </c>
      <c r="W12">
        <v>415</v>
      </c>
      <c r="X12">
        <v>414</v>
      </c>
      <c r="Y12">
        <v>410</v>
      </c>
      <c r="Z12">
        <v>410</v>
      </c>
      <c r="AA12">
        <v>411</v>
      </c>
      <c r="AB12">
        <v>411</v>
      </c>
      <c r="AC12">
        <v>410</v>
      </c>
      <c r="AD12">
        <v>410</v>
      </c>
      <c r="AE12">
        <v>410</v>
      </c>
      <c r="AF12">
        <v>410</v>
      </c>
      <c r="AG12">
        <v>410</v>
      </c>
      <c r="AH12">
        <v>412</v>
      </c>
      <c r="AI12">
        <v>410</v>
      </c>
      <c r="AJ12">
        <v>411</v>
      </c>
      <c r="AK12">
        <v>411</v>
      </c>
      <c r="AL12">
        <v>513</v>
      </c>
      <c r="AM12">
        <v>512</v>
      </c>
      <c r="AN12">
        <v>511</v>
      </c>
      <c r="AO12">
        <v>512</v>
      </c>
      <c r="AP12">
        <v>512</v>
      </c>
      <c r="AQ12">
        <v>512</v>
      </c>
      <c r="AR12">
        <v>512</v>
      </c>
      <c r="AS12">
        <v>510</v>
      </c>
      <c r="AT12">
        <v>512</v>
      </c>
      <c r="AU12">
        <v>581</v>
      </c>
      <c r="AV12">
        <v>582</v>
      </c>
      <c r="AW12">
        <v>586</v>
      </c>
      <c r="AX12">
        <v>584</v>
      </c>
      <c r="AY12">
        <v>585</v>
      </c>
      <c r="AZ12">
        <v>585</v>
      </c>
      <c r="BA12">
        <v>590</v>
      </c>
      <c r="BB12">
        <v>592</v>
      </c>
      <c r="BC12">
        <v>591</v>
      </c>
      <c r="BD12">
        <v>590</v>
      </c>
      <c r="BE12">
        <v>588</v>
      </c>
      <c r="BF12">
        <v>592</v>
      </c>
      <c r="BG12">
        <v>592</v>
      </c>
      <c r="BH12">
        <v>593</v>
      </c>
      <c r="BI12">
        <v>593</v>
      </c>
      <c r="BJ12">
        <v>591</v>
      </c>
      <c r="BK12">
        <v>591</v>
      </c>
      <c r="BL12">
        <v>591</v>
      </c>
      <c r="BM12">
        <v>591</v>
      </c>
      <c r="BN12">
        <v>591</v>
      </c>
      <c r="BO12">
        <v>590</v>
      </c>
      <c r="BP12">
        <v>589</v>
      </c>
      <c r="BQ12">
        <v>589</v>
      </c>
      <c r="BR12">
        <v>588</v>
      </c>
      <c r="BS12">
        <v>588</v>
      </c>
      <c r="BT12">
        <v>588</v>
      </c>
      <c r="BU12">
        <v>587</v>
      </c>
      <c r="BV12">
        <v>525</v>
      </c>
      <c r="BW12">
        <v>526</v>
      </c>
      <c r="BX12">
        <v>526</v>
      </c>
      <c r="BY12">
        <v>525</v>
      </c>
      <c r="BZ12">
        <v>525</v>
      </c>
      <c r="CA12">
        <v>525</v>
      </c>
      <c r="CB12">
        <v>525</v>
      </c>
      <c r="CC12">
        <v>526</v>
      </c>
      <c r="CD12">
        <v>524</v>
      </c>
      <c r="CE12">
        <v>524</v>
      </c>
      <c r="CF12">
        <v>525</v>
      </c>
      <c r="CG12">
        <v>524</v>
      </c>
      <c r="CH12">
        <v>488</v>
      </c>
      <c r="CI12">
        <v>488</v>
      </c>
      <c r="CJ12">
        <v>489</v>
      </c>
      <c r="CK12">
        <v>489</v>
      </c>
      <c r="CL12">
        <v>490</v>
      </c>
      <c r="CM12">
        <v>490</v>
      </c>
      <c r="CN12">
        <v>489</v>
      </c>
      <c r="CO12">
        <v>489</v>
      </c>
      <c r="CP12">
        <v>489</v>
      </c>
      <c r="CQ12">
        <v>489</v>
      </c>
      <c r="CR12">
        <v>489</v>
      </c>
      <c r="CS12">
        <v>489</v>
      </c>
    </row>
    <row r="13" spans="1:97">
      <c r="A13" s="9">
        <v>46246</v>
      </c>
      <c r="B13">
        <v>480</v>
      </c>
      <c r="C13">
        <v>481</v>
      </c>
      <c r="D13">
        <v>481</v>
      </c>
      <c r="E13">
        <v>479</v>
      </c>
      <c r="F13">
        <v>442</v>
      </c>
      <c r="G13">
        <v>441</v>
      </c>
      <c r="H13">
        <v>441</v>
      </c>
      <c r="I13">
        <v>442</v>
      </c>
      <c r="J13">
        <v>442</v>
      </c>
      <c r="K13">
        <v>442</v>
      </c>
      <c r="L13">
        <v>442</v>
      </c>
      <c r="M13">
        <v>442</v>
      </c>
      <c r="N13">
        <v>420</v>
      </c>
      <c r="O13">
        <v>420</v>
      </c>
      <c r="P13">
        <v>421</v>
      </c>
      <c r="Q13">
        <v>419</v>
      </c>
      <c r="R13">
        <v>416</v>
      </c>
      <c r="S13">
        <v>417</v>
      </c>
      <c r="T13">
        <v>416</v>
      </c>
      <c r="U13">
        <v>417</v>
      </c>
      <c r="V13">
        <v>417</v>
      </c>
      <c r="W13">
        <v>415</v>
      </c>
      <c r="X13">
        <v>414</v>
      </c>
      <c r="Y13">
        <v>410</v>
      </c>
      <c r="Z13">
        <v>410</v>
      </c>
      <c r="AA13">
        <v>411</v>
      </c>
      <c r="AB13">
        <v>411</v>
      </c>
      <c r="AC13">
        <v>410</v>
      </c>
      <c r="AD13">
        <v>410</v>
      </c>
      <c r="AE13">
        <v>410</v>
      </c>
      <c r="AF13">
        <v>410</v>
      </c>
      <c r="AG13">
        <v>410</v>
      </c>
      <c r="AH13">
        <v>412</v>
      </c>
      <c r="AI13">
        <v>410</v>
      </c>
      <c r="AJ13">
        <v>411</v>
      </c>
      <c r="AK13">
        <v>411</v>
      </c>
      <c r="AL13">
        <v>513</v>
      </c>
      <c r="AM13">
        <v>512</v>
      </c>
      <c r="AN13">
        <v>511</v>
      </c>
      <c r="AO13">
        <v>512</v>
      </c>
      <c r="AP13">
        <v>512</v>
      </c>
      <c r="AQ13">
        <v>512</v>
      </c>
      <c r="AR13">
        <v>512</v>
      </c>
      <c r="AS13">
        <v>510</v>
      </c>
      <c r="AT13">
        <v>512</v>
      </c>
      <c r="AU13">
        <v>581</v>
      </c>
      <c r="AV13">
        <v>582</v>
      </c>
      <c r="AW13">
        <v>586</v>
      </c>
      <c r="AX13">
        <v>584</v>
      </c>
      <c r="AY13">
        <v>585</v>
      </c>
      <c r="AZ13">
        <v>585</v>
      </c>
      <c r="BA13">
        <v>590</v>
      </c>
      <c r="BB13">
        <v>592</v>
      </c>
      <c r="BC13">
        <v>591</v>
      </c>
      <c r="BD13">
        <v>590</v>
      </c>
      <c r="BE13">
        <v>588</v>
      </c>
      <c r="BF13">
        <v>592</v>
      </c>
      <c r="BG13">
        <v>592</v>
      </c>
      <c r="BH13">
        <v>593</v>
      </c>
      <c r="BI13">
        <v>593</v>
      </c>
      <c r="BJ13">
        <v>591</v>
      </c>
      <c r="BK13">
        <v>591</v>
      </c>
      <c r="BL13">
        <v>591</v>
      </c>
      <c r="BM13">
        <v>591</v>
      </c>
      <c r="BN13">
        <v>591</v>
      </c>
      <c r="BO13">
        <v>590</v>
      </c>
      <c r="BP13">
        <v>589</v>
      </c>
      <c r="BQ13">
        <v>589</v>
      </c>
      <c r="BR13">
        <v>588</v>
      </c>
      <c r="BS13">
        <v>588</v>
      </c>
      <c r="BT13">
        <v>588</v>
      </c>
      <c r="BU13">
        <v>587</v>
      </c>
      <c r="BV13">
        <v>525</v>
      </c>
      <c r="BW13">
        <v>526</v>
      </c>
      <c r="BX13">
        <v>526</v>
      </c>
      <c r="BY13">
        <v>525</v>
      </c>
      <c r="BZ13">
        <v>525</v>
      </c>
      <c r="CA13">
        <v>525</v>
      </c>
      <c r="CB13">
        <v>525</v>
      </c>
      <c r="CC13">
        <v>526</v>
      </c>
      <c r="CD13">
        <v>524</v>
      </c>
      <c r="CE13">
        <v>524</v>
      </c>
      <c r="CF13">
        <v>525</v>
      </c>
      <c r="CG13">
        <v>524</v>
      </c>
      <c r="CH13">
        <v>488</v>
      </c>
      <c r="CI13">
        <v>488</v>
      </c>
      <c r="CJ13">
        <v>489</v>
      </c>
      <c r="CK13">
        <v>489</v>
      </c>
      <c r="CL13">
        <v>490</v>
      </c>
      <c r="CM13">
        <v>490</v>
      </c>
      <c r="CN13">
        <v>489</v>
      </c>
      <c r="CO13">
        <v>489</v>
      </c>
      <c r="CP13">
        <v>489</v>
      </c>
      <c r="CQ13">
        <v>489</v>
      </c>
      <c r="CR13">
        <v>489</v>
      </c>
      <c r="CS13">
        <v>489</v>
      </c>
    </row>
    <row r="14" spans="1:97">
      <c r="A14" s="9">
        <v>46247</v>
      </c>
      <c r="B14">
        <v>386</v>
      </c>
      <c r="C14">
        <v>386</v>
      </c>
      <c r="D14">
        <v>386</v>
      </c>
      <c r="E14">
        <v>385</v>
      </c>
      <c r="F14">
        <v>426</v>
      </c>
      <c r="G14">
        <v>428</v>
      </c>
      <c r="H14">
        <v>427</v>
      </c>
      <c r="I14">
        <v>427</v>
      </c>
      <c r="J14">
        <v>427</v>
      </c>
      <c r="K14">
        <v>427</v>
      </c>
      <c r="L14">
        <v>426</v>
      </c>
      <c r="M14">
        <v>427</v>
      </c>
      <c r="N14">
        <v>427</v>
      </c>
      <c r="O14">
        <v>426</v>
      </c>
      <c r="P14">
        <v>426</v>
      </c>
      <c r="Q14">
        <v>424</v>
      </c>
      <c r="R14">
        <v>423</v>
      </c>
      <c r="S14">
        <v>423</v>
      </c>
      <c r="T14">
        <v>423</v>
      </c>
      <c r="U14">
        <v>422</v>
      </c>
      <c r="V14">
        <v>423</v>
      </c>
      <c r="W14">
        <v>423</v>
      </c>
      <c r="X14">
        <v>423</v>
      </c>
      <c r="Y14">
        <v>423</v>
      </c>
      <c r="Z14">
        <v>424</v>
      </c>
      <c r="AA14">
        <v>425</v>
      </c>
      <c r="AB14">
        <v>425</v>
      </c>
      <c r="AC14">
        <v>426</v>
      </c>
      <c r="AD14">
        <v>406</v>
      </c>
      <c r="AE14">
        <v>404</v>
      </c>
      <c r="AF14">
        <v>404</v>
      </c>
      <c r="AG14">
        <v>404</v>
      </c>
      <c r="AH14">
        <v>406</v>
      </c>
      <c r="AI14">
        <v>406</v>
      </c>
      <c r="AJ14">
        <v>558</v>
      </c>
      <c r="AK14">
        <v>519</v>
      </c>
      <c r="AL14">
        <v>516</v>
      </c>
      <c r="AM14">
        <v>516</v>
      </c>
      <c r="AN14">
        <v>517</v>
      </c>
      <c r="AO14">
        <v>518</v>
      </c>
      <c r="AP14">
        <v>518</v>
      </c>
      <c r="AQ14">
        <v>517</v>
      </c>
      <c r="AR14">
        <v>518</v>
      </c>
      <c r="AS14">
        <v>518</v>
      </c>
      <c r="AT14">
        <v>519</v>
      </c>
      <c r="AU14">
        <v>518</v>
      </c>
      <c r="AV14">
        <v>518</v>
      </c>
      <c r="AW14">
        <v>519</v>
      </c>
      <c r="AX14">
        <v>518</v>
      </c>
      <c r="AY14">
        <v>518</v>
      </c>
      <c r="AZ14">
        <v>519</v>
      </c>
      <c r="BA14">
        <v>519</v>
      </c>
      <c r="BB14">
        <v>519</v>
      </c>
      <c r="BC14">
        <v>451</v>
      </c>
      <c r="BD14">
        <v>446</v>
      </c>
      <c r="BE14">
        <v>446</v>
      </c>
      <c r="BF14">
        <v>504</v>
      </c>
      <c r="BG14">
        <v>470</v>
      </c>
      <c r="BH14">
        <v>470</v>
      </c>
      <c r="BI14">
        <v>466</v>
      </c>
      <c r="BJ14">
        <v>466</v>
      </c>
      <c r="BK14">
        <v>403</v>
      </c>
      <c r="BL14">
        <v>403</v>
      </c>
      <c r="BM14">
        <v>403</v>
      </c>
      <c r="BN14">
        <v>404</v>
      </c>
      <c r="BO14">
        <v>403</v>
      </c>
      <c r="BP14">
        <v>403</v>
      </c>
      <c r="BQ14">
        <v>402</v>
      </c>
      <c r="BR14">
        <v>402</v>
      </c>
      <c r="BS14">
        <v>402</v>
      </c>
      <c r="BT14">
        <v>404</v>
      </c>
      <c r="BU14">
        <v>403</v>
      </c>
      <c r="BV14">
        <v>403</v>
      </c>
      <c r="BW14">
        <v>404</v>
      </c>
      <c r="BX14">
        <v>404</v>
      </c>
      <c r="BY14">
        <v>404</v>
      </c>
      <c r="BZ14">
        <v>404</v>
      </c>
      <c r="CA14">
        <v>404</v>
      </c>
      <c r="CB14">
        <v>404</v>
      </c>
      <c r="CC14">
        <v>404</v>
      </c>
      <c r="CD14">
        <v>404</v>
      </c>
      <c r="CE14">
        <v>404</v>
      </c>
      <c r="CF14">
        <v>404</v>
      </c>
      <c r="CG14">
        <v>404</v>
      </c>
      <c r="CH14">
        <v>404</v>
      </c>
      <c r="CI14">
        <v>403</v>
      </c>
      <c r="CJ14">
        <v>404</v>
      </c>
      <c r="CK14">
        <v>402</v>
      </c>
      <c r="CL14">
        <v>402</v>
      </c>
      <c r="CM14">
        <v>403</v>
      </c>
      <c r="CN14">
        <v>402</v>
      </c>
      <c r="CO14">
        <v>402</v>
      </c>
      <c r="CP14">
        <v>402</v>
      </c>
      <c r="CQ14">
        <v>401</v>
      </c>
      <c r="CR14">
        <v>402</v>
      </c>
      <c r="CS14">
        <v>402</v>
      </c>
    </row>
    <row r="15" spans="1:97">
      <c r="A15" s="9">
        <v>46248</v>
      </c>
      <c r="B15">
        <v>510</v>
      </c>
      <c r="C15">
        <v>521</v>
      </c>
      <c r="D15">
        <v>522</v>
      </c>
      <c r="E15">
        <v>521</v>
      </c>
      <c r="F15">
        <v>522</v>
      </c>
      <c r="G15">
        <v>520</v>
      </c>
      <c r="H15">
        <v>521</v>
      </c>
      <c r="I15">
        <v>520</v>
      </c>
      <c r="J15">
        <v>522</v>
      </c>
      <c r="K15">
        <v>521</v>
      </c>
      <c r="L15">
        <v>522</v>
      </c>
      <c r="M15">
        <v>522</v>
      </c>
      <c r="N15">
        <v>582</v>
      </c>
      <c r="O15">
        <v>582</v>
      </c>
      <c r="P15">
        <v>582</v>
      </c>
      <c r="Q15">
        <v>582</v>
      </c>
      <c r="R15">
        <v>581</v>
      </c>
      <c r="S15">
        <v>582</v>
      </c>
      <c r="T15">
        <v>582</v>
      </c>
      <c r="U15">
        <v>582</v>
      </c>
      <c r="V15">
        <v>582</v>
      </c>
      <c r="W15">
        <v>582</v>
      </c>
      <c r="X15">
        <v>583</v>
      </c>
      <c r="Y15">
        <v>582</v>
      </c>
      <c r="Z15">
        <v>582</v>
      </c>
      <c r="AA15">
        <v>583</v>
      </c>
      <c r="AB15">
        <v>541</v>
      </c>
      <c r="AC15">
        <v>534</v>
      </c>
      <c r="AD15">
        <v>533</v>
      </c>
      <c r="AE15">
        <v>533</v>
      </c>
      <c r="AF15">
        <v>534</v>
      </c>
      <c r="AG15">
        <v>474</v>
      </c>
      <c r="AH15">
        <v>474</v>
      </c>
      <c r="AI15">
        <v>474</v>
      </c>
      <c r="AJ15">
        <v>474</v>
      </c>
      <c r="AK15">
        <v>473</v>
      </c>
      <c r="AL15">
        <v>497</v>
      </c>
      <c r="AM15">
        <v>494</v>
      </c>
      <c r="AN15">
        <v>495</v>
      </c>
      <c r="AO15">
        <v>171</v>
      </c>
      <c r="AP15">
        <v>171</v>
      </c>
      <c r="AQ15">
        <v>503</v>
      </c>
      <c r="AR15">
        <v>535</v>
      </c>
      <c r="AS15">
        <v>149</v>
      </c>
      <c r="AT15">
        <v>148</v>
      </c>
      <c r="AU15">
        <v>148</v>
      </c>
      <c r="AV15">
        <v>145</v>
      </c>
      <c r="AW15">
        <v>134</v>
      </c>
      <c r="AX15">
        <v>542</v>
      </c>
      <c r="AY15">
        <v>538</v>
      </c>
      <c r="AZ15">
        <v>528</v>
      </c>
      <c r="BA15">
        <v>528</v>
      </c>
      <c r="BB15">
        <v>534</v>
      </c>
      <c r="BC15">
        <v>466</v>
      </c>
      <c r="BD15">
        <v>463</v>
      </c>
      <c r="BE15">
        <v>463</v>
      </c>
      <c r="BF15">
        <v>463</v>
      </c>
      <c r="BG15">
        <v>463</v>
      </c>
      <c r="BH15">
        <v>424</v>
      </c>
      <c r="BI15">
        <v>425</v>
      </c>
      <c r="BJ15">
        <v>425</v>
      </c>
      <c r="BK15">
        <v>425</v>
      </c>
      <c r="BL15">
        <v>424</v>
      </c>
      <c r="BM15">
        <v>424</v>
      </c>
      <c r="BN15">
        <v>424</v>
      </c>
      <c r="BO15">
        <v>425</v>
      </c>
      <c r="BP15">
        <v>424</v>
      </c>
      <c r="BQ15">
        <v>423</v>
      </c>
      <c r="BR15">
        <v>405</v>
      </c>
      <c r="BS15">
        <v>405</v>
      </c>
      <c r="BT15">
        <v>405</v>
      </c>
      <c r="BU15">
        <v>405</v>
      </c>
      <c r="BV15">
        <v>365</v>
      </c>
      <c r="BW15">
        <v>366</v>
      </c>
      <c r="BX15">
        <v>365</v>
      </c>
      <c r="BY15">
        <v>366</v>
      </c>
      <c r="BZ15">
        <v>365</v>
      </c>
      <c r="CA15">
        <v>365</v>
      </c>
      <c r="CB15">
        <v>366</v>
      </c>
      <c r="CC15">
        <v>365</v>
      </c>
      <c r="CD15">
        <v>364</v>
      </c>
      <c r="CE15">
        <v>364</v>
      </c>
      <c r="CF15">
        <v>363</v>
      </c>
      <c r="CG15">
        <v>366</v>
      </c>
      <c r="CH15">
        <v>366</v>
      </c>
      <c r="CI15">
        <v>366</v>
      </c>
      <c r="CJ15">
        <v>366</v>
      </c>
      <c r="CK15">
        <v>365</v>
      </c>
      <c r="CL15">
        <v>366</v>
      </c>
      <c r="CM15">
        <v>366</v>
      </c>
      <c r="CN15">
        <v>367</v>
      </c>
      <c r="CO15">
        <v>367</v>
      </c>
      <c r="CP15">
        <v>367</v>
      </c>
      <c r="CQ15">
        <v>366</v>
      </c>
      <c r="CR15">
        <v>367</v>
      </c>
      <c r="CS15">
        <v>366</v>
      </c>
    </row>
    <row r="16" spans="1:97">
      <c r="A16" s="9">
        <v>46249</v>
      </c>
      <c r="B16">
        <v>425</v>
      </c>
      <c r="C16">
        <v>433</v>
      </c>
      <c r="D16">
        <v>433</v>
      </c>
      <c r="E16">
        <v>434</v>
      </c>
      <c r="F16">
        <v>434</v>
      </c>
      <c r="G16">
        <v>434</v>
      </c>
      <c r="H16">
        <v>433</v>
      </c>
      <c r="I16">
        <v>433</v>
      </c>
      <c r="J16">
        <v>434</v>
      </c>
      <c r="K16">
        <v>433</v>
      </c>
      <c r="L16">
        <v>433</v>
      </c>
      <c r="M16">
        <v>433</v>
      </c>
      <c r="N16">
        <v>433</v>
      </c>
      <c r="O16">
        <v>434</v>
      </c>
      <c r="P16">
        <v>434</v>
      </c>
      <c r="Q16">
        <v>433</v>
      </c>
      <c r="R16">
        <v>433</v>
      </c>
      <c r="S16">
        <v>433</v>
      </c>
      <c r="T16">
        <v>433</v>
      </c>
      <c r="U16">
        <v>433</v>
      </c>
      <c r="V16">
        <v>474</v>
      </c>
      <c r="W16">
        <v>473</v>
      </c>
      <c r="X16">
        <v>473</v>
      </c>
      <c r="Y16">
        <v>473</v>
      </c>
      <c r="Z16">
        <v>474</v>
      </c>
      <c r="AA16">
        <v>476</v>
      </c>
      <c r="AB16">
        <v>475</v>
      </c>
      <c r="AC16">
        <v>475</v>
      </c>
      <c r="AD16">
        <v>475</v>
      </c>
      <c r="AE16">
        <v>474</v>
      </c>
      <c r="AF16">
        <v>473</v>
      </c>
      <c r="AG16">
        <v>473</v>
      </c>
      <c r="AH16">
        <v>473</v>
      </c>
      <c r="AI16">
        <v>473</v>
      </c>
      <c r="AJ16">
        <v>473</v>
      </c>
      <c r="AK16">
        <v>473</v>
      </c>
      <c r="AL16">
        <v>434</v>
      </c>
      <c r="AM16">
        <v>435</v>
      </c>
      <c r="AN16">
        <v>436</v>
      </c>
      <c r="AO16">
        <v>438</v>
      </c>
      <c r="AP16">
        <v>439</v>
      </c>
      <c r="AQ16">
        <v>438</v>
      </c>
      <c r="AR16">
        <v>438</v>
      </c>
      <c r="AS16">
        <v>438</v>
      </c>
      <c r="AT16">
        <v>437</v>
      </c>
      <c r="AU16">
        <v>437</v>
      </c>
      <c r="AV16">
        <v>436</v>
      </c>
      <c r="AW16">
        <v>433</v>
      </c>
      <c r="AX16">
        <v>472</v>
      </c>
      <c r="AY16">
        <v>471</v>
      </c>
      <c r="AZ16">
        <v>475</v>
      </c>
      <c r="BA16">
        <v>474</v>
      </c>
      <c r="BB16">
        <v>474</v>
      </c>
      <c r="BC16">
        <v>474</v>
      </c>
      <c r="BD16">
        <v>473</v>
      </c>
      <c r="BE16">
        <v>473</v>
      </c>
      <c r="BF16">
        <v>473</v>
      </c>
      <c r="BG16">
        <v>474</v>
      </c>
      <c r="BH16">
        <v>474</v>
      </c>
      <c r="BI16">
        <v>541</v>
      </c>
      <c r="BJ16">
        <v>545</v>
      </c>
      <c r="BK16">
        <v>545</v>
      </c>
      <c r="BL16">
        <v>544</v>
      </c>
      <c r="BM16">
        <v>545</v>
      </c>
      <c r="BN16">
        <v>544</v>
      </c>
      <c r="BO16">
        <v>643</v>
      </c>
      <c r="BP16">
        <v>644</v>
      </c>
      <c r="BQ16">
        <v>643</v>
      </c>
      <c r="BR16">
        <v>646</v>
      </c>
      <c r="BS16">
        <v>630</v>
      </c>
      <c r="BT16">
        <v>552</v>
      </c>
      <c r="BU16">
        <v>553</v>
      </c>
      <c r="BV16">
        <v>553</v>
      </c>
      <c r="BW16">
        <v>553</v>
      </c>
      <c r="BX16">
        <v>553</v>
      </c>
      <c r="BY16">
        <v>552</v>
      </c>
      <c r="BZ16">
        <v>553</v>
      </c>
      <c r="CA16">
        <v>552</v>
      </c>
      <c r="CB16">
        <v>553</v>
      </c>
      <c r="CC16">
        <v>553</v>
      </c>
      <c r="CD16">
        <v>491</v>
      </c>
      <c r="CE16">
        <v>491</v>
      </c>
      <c r="CF16">
        <v>492</v>
      </c>
      <c r="CG16">
        <v>490</v>
      </c>
      <c r="CH16">
        <v>491</v>
      </c>
      <c r="CI16">
        <v>491</v>
      </c>
      <c r="CJ16">
        <v>491</v>
      </c>
      <c r="CK16">
        <v>491</v>
      </c>
      <c r="CL16">
        <v>490</v>
      </c>
      <c r="CM16">
        <v>495</v>
      </c>
      <c r="CN16">
        <v>513</v>
      </c>
      <c r="CO16">
        <v>447</v>
      </c>
      <c r="CP16">
        <v>447</v>
      </c>
      <c r="CQ16">
        <v>447</v>
      </c>
      <c r="CR16">
        <v>447</v>
      </c>
      <c r="CS16">
        <v>447</v>
      </c>
    </row>
    <row r="17" spans="1:97">
      <c r="A17" s="9">
        <v>46250</v>
      </c>
      <c r="B17">
        <v>504</v>
      </c>
      <c r="C17">
        <v>502</v>
      </c>
      <c r="D17">
        <v>505</v>
      </c>
      <c r="E17">
        <v>504</v>
      </c>
      <c r="F17">
        <v>544</v>
      </c>
      <c r="G17">
        <v>543</v>
      </c>
      <c r="H17">
        <v>544</v>
      </c>
      <c r="I17">
        <v>544</v>
      </c>
      <c r="J17">
        <v>544</v>
      </c>
      <c r="K17">
        <v>545</v>
      </c>
      <c r="L17">
        <v>544</v>
      </c>
      <c r="M17">
        <v>545</v>
      </c>
      <c r="N17">
        <v>545</v>
      </c>
      <c r="O17">
        <v>545</v>
      </c>
      <c r="P17">
        <v>544</v>
      </c>
      <c r="Q17">
        <v>544</v>
      </c>
      <c r="R17">
        <v>543</v>
      </c>
      <c r="S17">
        <v>544</v>
      </c>
      <c r="T17">
        <v>544</v>
      </c>
      <c r="U17">
        <v>544</v>
      </c>
      <c r="V17">
        <v>544</v>
      </c>
      <c r="W17">
        <v>544</v>
      </c>
      <c r="X17">
        <v>545</v>
      </c>
      <c r="Y17">
        <v>544</v>
      </c>
      <c r="Z17">
        <v>546</v>
      </c>
      <c r="AA17">
        <v>545</v>
      </c>
      <c r="AB17">
        <v>544</v>
      </c>
      <c r="AC17">
        <v>546</v>
      </c>
      <c r="AD17">
        <v>546</v>
      </c>
      <c r="AE17">
        <v>545</v>
      </c>
      <c r="AF17">
        <v>546</v>
      </c>
      <c r="AG17">
        <v>546</v>
      </c>
      <c r="AH17">
        <v>505</v>
      </c>
      <c r="AI17">
        <v>505</v>
      </c>
      <c r="AJ17">
        <v>507</v>
      </c>
      <c r="AK17">
        <v>506</v>
      </c>
      <c r="AL17">
        <v>445</v>
      </c>
      <c r="AM17">
        <v>444</v>
      </c>
      <c r="AN17">
        <v>444</v>
      </c>
      <c r="AO17">
        <v>444</v>
      </c>
      <c r="AP17">
        <v>445</v>
      </c>
      <c r="AQ17">
        <v>444</v>
      </c>
      <c r="AR17">
        <v>444</v>
      </c>
      <c r="AS17">
        <v>444</v>
      </c>
      <c r="AT17">
        <v>445</v>
      </c>
      <c r="AU17">
        <v>444</v>
      </c>
      <c r="AV17">
        <v>444</v>
      </c>
      <c r="AW17">
        <v>444</v>
      </c>
      <c r="AX17">
        <v>444</v>
      </c>
      <c r="AY17">
        <v>444</v>
      </c>
      <c r="AZ17">
        <v>445</v>
      </c>
      <c r="BA17">
        <v>444</v>
      </c>
      <c r="BB17">
        <v>484</v>
      </c>
      <c r="BC17">
        <v>507</v>
      </c>
      <c r="BD17">
        <v>507</v>
      </c>
      <c r="BE17">
        <v>507</v>
      </c>
      <c r="BF17">
        <v>507</v>
      </c>
      <c r="BG17">
        <v>508</v>
      </c>
      <c r="BH17">
        <v>507</v>
      </c>
      <c r="BI17">
        <v>507</v>
      </c>
      <c r="BJ17">
        <v>445</v>
      </c>
      <c r="BK17">
        <v>445</v>
      </c>
      <c r="BL17">
        <v>445</v>
      </c>
      <c r="BM17">
        <v>445</v>
      </c>
      <c r="BN17">
        <v>443</v>
      </c>
      <c r="BO17">
        <v>444</v>
      </c>
      <c r="BP17">
        <v>445</v>
      </c>
      <c r="BQ17">
        <v>445</v>
      </c>
      <c r="BR17">
        <v>444</v>
      </c>
      <c r="BS17">
        <v>445</v>
      </c>
      <c r="BT17">
        <v>445</v>
      </c>
      <c r="BU17">
        <v>444</v>
      </c>
      <c r="BV17">
        <v>505</v>
      </c>
      <c r="BW17">
        <v>505</v>
      </c>
      <c r="BX17">
        <v>446</v>
      </c>
      <c r="BY17">
        <v>446</v>
      </c>
      <c r="BZ17">
        <v>447</v>
      </c>
      <c r="CA17">
        <v>447</v>
      </c>
      <c r="CB17">
        <v>447</v>
      </c>
      <c r="CC17">
        <v>448</v>
      </c>
      <c r="CD17">
        <v>446</v>
      </c>
      <c r="CE17">
        <v>446</v>
      </c>
      <c r="CF17">
        <v>442</v>
      </c>
      <c r="CG17">
        <v>443</v>
      </c>
      <c r="CH17">
        <v>382</v>
      </c>
      <c r="CI17">
        <v>381</v>
      </c>
      <c r="CJ17">
        <v>380</v>
      </c>
      <c r="CK17">
        <v>381</v>
      </c>
      <c r="CL17">
        <v>381</v>
      </c>
      <c r="CM17">
        <v>381</v>
      </c>
      <c r="CN17">
        <v>381</v>
      </c>
      <c r="CO17">
        <v>382</v>
      </c>
      <c r="CP17">
        <v>381</v>
      </c>
      <c r="CQ17">
        <v>382</v>
      </c>
      <c r="CR17">
        <v>381</v>
      </c>
      <c r="CS17">
        <v>381</v>
      </c>
    </row>
    <row r="18" spans="1:97">
      <c r="A18" s="9">
        <v>46251</v>
      </c>
      <c r="B18">
        <v>499</v>
      </c>
      <c r="C18">
        <v>500</v>
      </c>
      <c r="D18">
        <v>500</v>
      </c>
      <c r="E18">
        <v>500</v>
      </c>
      <c r="F18">
        <v>500</v>
      </c>
      <c r="G18">
        <v>500</v>
      </c>
      <c r="H18">
        <v>500</v>
      </c>
      <c r="I18">
        <v>500</v>
      </c>
      <c r="J18">
        <v>541</v>
      </c>
      <c r="K18">
        <v>540</v>
      </c>
      <c r="L18">
        <v>540</v>
      </c>
      <c r="M18">
        <v>541</v>
      </c>
      <c r="N18">
        <v>541</v>
      </c>
      <c r="O18">
        <v>541</v>
      </c>
      <c r="P18">
        <v>542</v>
      </c>
      <c r="Q18">
        <v>543</v>
      </c>
      <c r="R18">
        <v>543</v>
      </c>
      <c r="S18">
        <v>544</v>
      </c>
      <c r="T18">
        <v>549</v>
      </c>
      <c r="U18">
        <v>550</v>
      </c>
      <c r="V18">
        <v>550</v>
      </c>
      <c r="W18">
        <v>542</v>
      </c>
      <c r="X18">
        <v>525</v>
      </c>
      <c r="Y18">
        <v>525</v>
      </c>
      <c r="Z18">
        <v>403</v>
      </c>
      <c r="AA18">
        <v>396</v>
      </c>
      <c r="AB18">
        <v>394</v>
      </c>
      <c r="AC18">
        <v>370</v>
      </c>
      <c r="AD18">
        <v>286</v>
      </c>
      <c r="AE18">
        <v>289</v>
      </c>
      <c r="AF18">
        <v>378</v>
      </c>
      <c r="AG18">
        <v>507</v>
      </c>
      <c r="AH18">
        <v>505</v>
      </c>
      <c r="AI18">
        <v>506</v>
      </c>
      <c r="AJ18">
        <v>507</v>
      </c>
      <c r="AK18">
        <v>506</v>
      </c>
      <c r="AL18">
        <v>506</v>
      </c>
      <c r="AM18">
        <v>506</v>
      </c>
      <c r="AN18">
        <v>507</v>
      </c>
      <c r="AO18">
        <v>507</v>
      </c>
      <c r="AP18">
        <v>507</v>
      </c>
      <c r="AQ18">
        <v>508</v>
      </c>
      <c r="AR18">
        <v>507</v>
      </c>
      <c r="AS18">
        <v>507</v>
      </c>
      <c r="AT18">
        <v>447</v>
      </c>
      <c r="AU18">
        <v>444</v>
      </c>
      <c r="AV18">
        <v>446</v>
      </c>
      <c r="AW18">
        <v>446</v>
      </c>
      <c r="AX18">
        <v>446</v>
      </c>
      <c r="AY18">
        <v>446</v>
      </c>
      <c r="AZ18">
        <v>446</v>
      </c>
      <c r="BA18">
        <v>446</v>
      </c>
      <c r="BB18">
        <v>444</v>
      </c>
      <c r="BC18">
        <v>443</v>
      </c>
      <c r="BD18">
        <v>443</v>
      </c>
      <c r="BE18">
        <v>445</v>
      </c>
      <c r="BF18">
        <v>444</v>
      </c>
      <c r="BG18">
        <v>445</v>
      </c>
      <c r="BH18">
        <v>445</v>
      </c>
      <c r="BI18">
        <v>448</v>
      </c>
      <c r="BJ18">
        <v>448</v>
      </c>
      <c r="BK18">
        <v>446</v>
      </c>
      <c r="BL18">
        <v>447</v>
      </c>
      <c r="BM18">
        <v>446</v>
      </c>
      <c r="BN18">
        <v>654</v>
      </c>
      <c r="BO18">
        <v>652</v>
      </c>
      <c r="BP18">
        <v>652</v>
      </c>
      <c r="BQ18">
        <v>655</v>
      </c>
      <c r="BR18">
        <v>656</v>
      </c>
      <c r="BS18">
        <v>597</v>
      </c>
      <c r="BT18">
        <v>510</v>
      </c>
      <c r="BU18">
        <v>511</v>
      </c>
      <c r="BV18">
        <v>513</v>
      </c>
      <c r="BW18">
        <v>454</v>
      </c>
      <c r="BX18">
        <v>455</v>
      </c>
      <c r="BY18">
        <v>454</v>
      </c>
      <c r="BZ18">
        <v>455</v>
      </c>
      <c r="CA18">
        <v>454</v>
      </c>
      <c r="CB18">
        <v>455</v>
      </c>
      <c r="CC18">
        <v>454</v>
      </c>
      <c r="CD18">
        <v>454</v>
      </c>
      <c r="CE18">
        <v>454</v>
      </c>
      <c r="CF18">
        <v>455</v>
      </c>
      <c r="CG18">
        <v>455</v>
      </c>
      <c r="CH18">
        <v>393</v>
      </c>
      <c r="CI18">
        <v>392</v>
      </c>
      <c r="CJ18">
        <v>392</v>
      </c>
      <c r="CK18">
        <v>392</v>
      </c>
      <c r="CL18">
        <v>393</v>
      </c>
      <c r="CM18">
        <v>392</v>
      </c>
      <c r="CN18">
        <v>393</v>
      </c>
      <c r="CO18">
        <v>393</v>
      </c>
      <c r="CP18">
        <v>390</v>
      </c>
      <c r="CQ18">
        <v>390</v>
      </c>
      <c r="CR18">
        <v>389</v>
      </c>
      <c r="CS18">
        <v>389</v>
      </c>
    </row>
    <row r="19" spans="1:97">
      <c r="A19" s="9">
        <v>46252</v>
      </c>
      <c r="B19">
        <v>553</v>
      </c>
      <c r="C19">
        <v>553</v>
      </c>
      <c r="D19">
        <v>546</v>
      </c>
      <c r="E19">
        <v>547</v>
      </c>
      <c r="F19">
        <v>543</v>
      </c>
      <c r="G19">
        <v>545</v>
      </c>
      <c r="H19">
        <v>545</v>
      </c>
      <c r="I19">
        <v>544</v>
      </c>
      <c r="J19">
        <v>545</v>
      </c>
      <c r="K19">
        <v>545</v>
      </c>
      <c r="L19">
        <v>545</v>
      </c>
      <c r="M19">
        <v>545</v>
      </c>
      <c r="N19">
        <v>545</v>
      </c>
      <c r="O19">
        <v>545</v>
      </c>
      <c r="P19">
        <v>545</v>
      </c>
      <c r="Q19">
        <v>545</v>
      </c>
      <c r="R19">
        <v>545</v>
      </c>
      <c r="S19">
        <v>545</v>
      </c>
      <c r="T19">
        <v>545</v>
      </c>
      <c r="U19">
        <v>545</v>
      </c>
      <c r="V19">
        <v>545</v>
      </c>
      <c r="W19">
        <v>545</v>
      </c>
      <c r="X19">
        <v>545</v>
      </c>
      <c r="Y19">
        <v>545</v>
      </c>
      <c r="Z19">
        <v>483</v>
      </c>
      <c r="AA19">
        <v>483</v>
      </c>
      <c r="AB19">
        <v>484</v>
      </c>
      <c r="AC19">
        <v>483</v>
      </c>
      <c r="AD19">
        <v>486</v>
      </c>
      <c r="AE19">
        <v>483</v>
      </c>
      <c r="AF19">
        <v>483</v>
      </c>
      <c r="AG19">
        <v>483</v>
      </c>
      <c r="AH19">
        <v>545</v>
      </c>
      <c r="AI19">
        <v>545</v>
      </c>
      <c r="AJ19">
        <v>546</v>
      </c>
      <c r="AK19">
        <v>548</v>
      </c>
      <c r="AL19">
        <v>548</v>
      </c>
      <c r="AM19">
        <v>548</v>
      </c>
      <c r="AN19">
        <v>548</v>
      </c>
      <c r="AO19">
        <v>549</v>
      </c>
      <c r="AP19">
        <v>549</v>
      </c>
      <c r="AQ19">
        <v>548</v>
      </c>
      <c r="AR19">
        <v>549</v>
      </c>
      <c r="AS19">
        <v>549</v>
      </c>
      <c r="AT19">
        <v>549</v>
      </c>
      <c r="AU19">
        <v>550</v>
      </c>
      <c r="AV19">
        <v>549</v>
      </c>
      <c r="AW19">
        <v>549</v>
      </c>
      <c r="AX19">
        <v>550</v>
      </c>
      <c r="AY19">
        <v>511</v>
      </c>
      <c r="AZ19">
        <v>511</v>
      </c>
      <c r="BA19">
        <v>511</v>
      </c>
      <c r="BB19">
        <v>511</v>
      </c>
      <c r="BC19">
        <v>510</v>
      </c>
      <c r="BD19">
        <v>449</v>
      </c>
      <c r="BE19">
        <v>450</v>
      </c>
      <c r="BF19">
        <v>388</v>
      </c>
      <c r="BG19">
        <v>388</v>
      </c>
      <c r="BH19">
        <v>387</v>
      </c>
      <c r="BI19">
        <v>451</v>
      </c>
      <c r="BJ19">
        <v>449</v>
      </c>
      <c r="BK19">
        <v>451</v>
      </c>
      <c r="BL19">
        <v>451</v>
      </c>
      <c r="BM19">
        <v>451</v>
      </c>
      <c r="BN19">
        <v>450</v>
      </c>
      <c r="BO19">
        <v>388</v>
      </c>
      <c r="BP19">
        <v>387</v>
      </c>
      <c r="BQ19">
        <v>385</v>
      </c>
      <c r="BR19">
        <v>384</v>
      </c>
      <c r="BS19">
        <v>383</v>
      </c>
      <c r="BT19">
        <v>379</v>
      </c>
      <c r="BU19">
        <v>379</v>
      </c>
      <c r="BV19">
        <v>440</v>
      </c>
      <c r="BW19">
        <v>440</v>
      </c>
      <c r="BX19">
        <v>440</v>
      </c>
      <c r="BY19">
        <v>440</v>
      </c>
      <c r="BZ19">
        <v>440</v>
      </c>
      <c r="CA19">
        <v>440</v>
      </c>
      <c r="CB19">
        <v>440</v>
      </c>
      <c r="CC19">
        <v>441</v>
      </c>
      <c r="CD19">
        <v>440</v>
      </c>
      <c r="CE19">
        <v>440</v>
      </c>
      <c r="CF19">
        <v>440</v>
      </c>
      <c r="CG19">
        <v>439</v>
      </c>
      <c r="CH19">
        <v>379</v>
      </c>
      <c r="CI19">
        <v>379</v>
      </c>
      <c r="CJ19">
        <v>376</v>
      </c>
      <c r="CK19">
        <v>375</v>
      </c>
      <c r="CL19">
        <v>376</v>
      </c>
      <c r="CM19">
        <v>376</v>
      </c>
      <c r="CN19">
        <v>375</v>
      </c>
      <c r="CO19">
        <v>375</v>
      </c>
      <c r="CP19">
        <v>375</v>
      </c>
      <c r="CQ19">
        <v>375</v>
      </c>
      <c r="CR19">
        <v>376</v>
      </c>
      <c r="CS19">
        <v>375</v>
      </c>
    </row>
    <row r="20" spans="1:97">
      <c r="A20" s="9">
        <v>46253</v>
      </c>
      <c r="B20">
        <v>232</v>
      </c>
      <c r="C20">
        <v>227</v>
      </c>
      <c r="D20">
        <v>226</v>
      </c>
      <c r="E20">
        <v>219</v>
      </c>
      <c r="F20">
        <v>276</v>
      </c>
      <c r="G20">
        <v>427</v>
      </c>
      <c r="H20">
        <v>243</v>
      </c>
      <c r="I20">
        <v>218</v>
      </c>
      <c r="J20">
        <v>218</v>
      </c>
      <c r="K20">
        <v>218</v>
      </c>
      <c r="L20">
        <v>217</v>
      </c>
      <c r="M20">
        <v>216</v>
      </c>
      <c r="N20">
        <v>217</v>
      </c>
      <c r="O20">
        <v>216</v>
      </c>
      <c r="P20">
        <v>216</v>
      </c>
      <c r="Q20">
        <v>216</v>
      </c>
      <c r="R20">
        <v>211</v>
      </c>
      <c r="S20">
        <v>211</v>
      </c>
      <c r="T20">
        <v>211</v>
      </c>
      <c r="U20">
        <v>211</v>
      </c>
      <c r="V20">
        <v>213</v>
      </c>
      <c r="W20">
        <v>214</v>
      </c>
      <c r="X20">
        <v>214</v>
      </c>
      <c r="Y20">
        <v>213</v>
      </c>
      <c r="Z20">
        <v>151</v>
      </c>
      <c r="AA20">
        <v>151</v>
      </c>
      <c r="AB20">
        <v>151</v>
      </c>
      <c r="AC20">
        <v>151</v>
      </c>
      <c r="AD20">
        <v>153</v>
      </c>
      <c r="AE20">
        <v>153</v>
      </c>
      <c r="AF20">
        <v>153</v>
      </c>
      <c r="AG20">
        <v>153</v>
      </c>
      <c r="AH20">
        <v>130</v>
      </c>
      <c r="AI20">
        <v>79</v>
      </c>
      <c r="AJ20">
        <v>79</v>
      </c>
      <c r="AK20">
        <v>79</v>
      </c>
      <c r="AL20">
        <v>79</v>
      </c>
      <c r="AM20">
        <v>79</v>
      </c>
      <c r="AN20">
        <v>79</v>
      </c>
      <c r="AO20">
        <v>79</v>
      </c>
      <c r="AP20">
        <v>79</v>
      </c>
      <c r="AQ20">
        <v>79</v>
      </c>
      <c r="AR20">
        <v>79</v>
      </c>
      <c r="AS20">
        <v>79</v>
      </c>
      <c r="AT20">
        <v>79</v>
      </c>
      <c r="AU20">
        <v>79</v>
      </c>
      <c r="AV20">
        <v>79</v>
      </c>
      <c r="AW20">
        <v>79</v>
      </c>
      <c r="AX20">
        <v>79</v>
      </c>
      <c r="AY20">
        <v>79</v>
      </c>
      <c r="AZ20">
        <v>79</v>
      </c>
      <c r="BA20">
        <v>79</v>
      </c>
      <c r="BB20">
        <v>100</v>
      </c>
      <c r="BC20">
        <v>100</v>
      </c>
      <c r="BD20">
        <v>101</v>
      </c>
      <c r="BE20">
        <v>101</v>
      </c>
      <c r="BF20">
        <v>101</v>
      </c>
      <c r="BG20">
        <v>101</v>
      </c>
      <c r="BH20">
        <v>101</v>
      </c>
      <c r="BI20">
        <v>79</v>
      </c>
      <c r="BJ20">
        <v>76</v>
      </c>
      <c r="BK20">
        <v>76</v>
      </c>
      <c r="BL20">
        <v>76</v>
      </c>
      <c r="BM20">
        <v>76</v>
      </c>
      <c r="BN20">
        <v>76</v>
      </c>
      <c r="BO20">
        <v>76</v>
      </c>
      <c r="BP20">
        <v>114</v>
      </c>
      <c r="BQ20">
        <v>142</v>
      </c>
      <c r="BR20">
        <v>150</v>
      </c>
      <c r="BS20">
        <v>150</v>
      </c>
      <c r="BT20">
        <v>149</v>
      </c>
      <c r="BU20">
        <v>151</v>
      </c>
      <c r="BV20">
        <v>153</v>
      </c>
      <c r="BW20">
        <v>153</v>
      </c>
      <c r="BX20">
        <v>153</v>
      </c>
      <c r="BY20">
        <v>153</v>
      </c>
      <c r="BZ20">
        <v>157</v>
      </c>
      <c r="CA20">
        <v>157</v>
      </c>
      <c r="CB20">
        <v>157</v>
      </c>
      <c r="CC20">
        <v>157</v>
      </c>
      <c r="CD20">
        <v>89</v>
      </c>
      <c r="CE20">
        <v>84</v>
      </c>
      <c r="CF20">
        <v>83</v>
      </c>
      <c r="CG20">
        <v>83</v>
      </c>
      <c r="CH20">
        <v>83</v>
      </c>
      <c r="CI20">
        <v>83</v>
      </c>
      <c r="CJ20">
        <v>83</v>
      </c>
      <c r="CK20">
        <v>82</v>
      </c>
      <c r="CL20">
        <v>107</v>
      </c>
      <c r="CM20">
        <v>117</v>
      </c>
      <c r="CN20">
        <v>117</v>
      </c>
      <c r="CO20">
        <v>117</v>
      </c>
      <c r="CP20">
        <v>117</v>
      </c>
      <c r="CQ20">
        <v>116</v>
      </c>
      <c r="CR20">
        <v>116</v>
      </c>
      <c r="CS20">
        <v>116</v>
      </c>
    </row>
    <row r="21" spans="1:97">
      <c r="A21" s="9">
        <v>46254</v>
      </c>
      <c r="B21">
        <v>219</v>
      </c>
      <c r="C21">
        <v>216</v>
      </c>
      <c r="D21">
        <v>216</v>
      </c>
      <c r="E21">
        <v>216</v>
      </c>
      <c r="F21">
        <v>216</v>
      </c>
      <c r="G21">
        <v>216</v>
      </c>
      <c r="H21">
        <v>216</v>
      </c>
      <c r="I21">
        <v>216</v>
      </c>
      <c r="J21">
        <v>216</v>
      </c>
      <c r="K21">
        <v>216</v>
      </c>
      <c r="L21">
        <v>216</v>
      </c>
      <c r="M21">
        <v>216</v>
      </c>
      <c r="N21">
        <v>216</v>
      </c>
      <c r="O21">
        <v>216</v>
      </c>
      <c r="P21">
        <v>216</v>
      </c>
      <c r="Q21">
        <v>215</v>
      </c>
      <c r="R21">
        <v>215</v>
      </c>
      <c r="S21">
        <v>215</v>
      </c>
      <c r="T21">
        <v>215</v>
      </c>
      <c r="U21">
        <v>213</v>
      </c>
      <c r="V21">
        <v>211</v>
      </c>
      <c r="W21">
        <v>210</v>
      </c>
      <c r="X21">
        <v>210</v>
      </c>
      <c r="Y21">
        <v>210</v>
      </c>
      <c r="Z21">
        <v>209</v>
      </c>
      <c r="AA21">
        <v>208</v>
      </c>
      <c r="AB21">
        <v>144</v>
      </c>
      <c r="AC21">
        <v>144</v>
      </c>
      <c r="AD21">
        <v>143</v>
      </c>
      <c r="AE21">
        <v>143</v>
      </c>
      <c r="AF21">
        <v>143</v>
      </c>
      <c r="AG21">
        <v>142</v>
      </c>
      <c r="AH21">
        <v>106</v>
      </c>
      <c r="AI21">
        <v>99</v>
      </c>
      <c r="AJ21">
        <v>136</v>
      </c>
      <c r="AK21">
        <v>136</v>
      </c>
      <c r="AL21">
        <v>136</v>
      </c>
      <c r="AM21">
        <v>137</v>
      </c>
      <c r="AN21">
        <v>135</v>
      </c>
      <c r="AO21">
        <v>134</v>
      </c>
      <c r="AP21">
        <v>134</v>
      </c>
      <c r="AQ21">
        <v>134</v>
      </c>
      <c r="AR21">
        <v>134</v>
      </c>
      <c r="AS21">
        <v>130</v>
      </c>
      <c r="AT21">
        <v>130</v>
      </c>
      <c r="AU21">
        <v>130</v>
      </c>
      <c r="AV21">
        <v>65</v>
      </c>
      <c r="AW21">
        <v>65</v>
      </c>
      <c r="AX21">
        <v>65</v>
      </c>
      <c r="AY21">
        <v>65</v>
      </c>
      <c r="AZ21">
        <v>65</v>
      </c>
      <c r="BA21">
        <v>65</v>
      </c>
      <c r="BB21">
        <v>65</v>
      </c>
      <c r="BC21">
        <v>68</v>
      </c>
      <c r="BD21">
        <v>69</v>
      </c>
      <c r="BE21">
        <v>69</v>
      </c>
      <c r="BF21">
        <v>69</v>
      </c>
      <c r="BG21">
        <v>91</v>
      </c>
      <c r="BH21">
        <v>91</v>
      </c>
      <c r="BI21">
        <v>91</v>
      </c>
      <c r="BJ21">
        <v>91</v>
      </c>
      <c r="BK21">
        <v>91</v>
      </c>
      <c r="BL21">
        <v>90</v>
      </c>
      <c r="BM21">
        <v>90</v>
      </c>
      <c r="BN21">
        <v>70</v>
      </c>
      <c r="BO21">
        <v>70</v>
      </c>
      <c r="BP21">
        <v>70</v>
      </c>
      <c r="BQ21">
        <v>147</v>
      </c>
      <c r="BR21">
        <v>235</v>
      </c>
      <c r="BS21">
        <v>420</v>
      </c>
      <c r="BT21">
        <v>420</v>
      </c>
      <c r="BU21">
        <v>421</v>
      </c>
      <c r="BV21">
        <v>422</v>
      </c>
      <c r="BW21">
        <v>422</v>
      </c>
      <c r="BX21">
        <v>416</v>
      </c>
      <c r="BY21">
        <v>301</v>
      </c>
      <c r="BZ21">
        <v>301</v>
      </c>
      <c r="CA21">
        <v>162</v>
      </c>
      <c r="CB21">
        <v>157</v>
      </c>
      <c r="CC21">
        <v>154</v>
      </c>
      <c r="CD21">
        <v>153</v>
      </c>
      <c r="CE21">
        <v>88</v>
      </c>
      <c r="CF21">
        <v>76</v>
      </c>
      <c r="CG21">
        <v>76</v>
      </c>
      <c r="CH21">
        <v>78</v>
      </c>
      <c r="CI21">
        <v>75</v>
      </c>
      <c r="CJ21">
        <v>75</v>
      </c>
      <c r="CK21">
        <v>74</v>
      </c>
      <c r="CL21">
        <v>108</v>
      </c>
      <c r="CM21">
        <v>109</v>
      </c>
      <c r="CN21">
        <v>110</v>
      </c>
      <c r="CO21">
        <v>108</v>
      </c>
      <c r="CP21">
        <v>108</v>
      </c>
      <c r="CQ21">
        <v>108</v>
      </c>
      <c r="CR21">
        <v>108</v>
      </c>
      <c r="CS21">
        <v>108</v>
      </c>
    </row>
    <row r="22" spans="1:97">
      <c r="A22" s="9">
        <v>46255</v>
      </c>
      <c r="B22">
        <v>379</v>
      </c>
      <c r="C22">
        <v>393</v>
      </c>
      <c r="D22">
        <v>393</v>
      </c>
      <c r="E22">
        <v>395</v>
      </c>
      <c r="F22">
        <v>395</v>
      </c>
      <c r="G22">
        <v>394</v>
      </c>
      <c r="H22">
        <v>394</v>
      </c>
      <c r="I22">
        <v>399</v>
      </c>
      <c r="J22">
        <v>400</v>
      </c>
      <c r="K22">
        <v>400</v>
      </c>
      <c r="L22">
        <v>400</v>
      </c>
      <c r="M22">
        <v>400</v>
      </c>
      <c r="N22">
        <v>339</v>
      </c>
      <c r="O22">
        <v>339</v>
      </c>
      <c r="P22">
        <v>339</v>
      </c>
      <c r="Q22">
        <v>340</v>
      </c>
      <c r="R22">
        <v>340</v>
      </c>
      <c r="S22">
        <v>340</v>
      </c>
      <c r="T22">
        <v>340</v>
      </c>
      <c r="U22">
        <v>339</v>
      </c>
      <c r="V22">
        <v>340</v>
      </c>
      <c r="W22">
        <v>339</v>
      </c>
      <c r="X22">
        <v>339</v>
      </c>
      <c r="Y22">
        <v>339</v>
      </c>
      <c r="Z22">
        <v>300</v>
      </c>
      <c r="AA22">
        <v>300</v>
      </c>
      <c r="AB22">
        <v>300</v>
      </c>
      <c r="AC22">
        <v>300</v>
      </c>
      <c r="AD22">
        <v>299</v>
      </c>
      <c r="AE22">
        <v>300</v>
      </c>
      <c r="AF22">
        <v>300</v>
      </c>
      <c r="AG22">
        <v>301</v>
      </c>
      <c r="AH22">
        <v>300</v>
      </c>
      <c r="AI22">
        <v>224</v>
      </c>
      <c r="AJ22">
        <v>223</v>
      </c>
      <c r="AK22">
        <v>223</v>
      </c>
      <c r="AL22">
        <v>223</v>
      </c>
      <c r="AM22">
        <v>223</v>
      </c>
      <c r="AN22">
        <v>223</v>
      </c>
      <c r="AO22">
        <v>222</v>
      </c>
      <c r="AP22">
        <v>221</v>
      </c>
      <c r="AQ22">
        <v>221</v>
      </c>
      <c r="AR22">
        <v>221</v>
      </c>
      <c r="AS22">
        <v>221</v>
      </c>
      <c r="AT22">
        <v>221</v>
      </c>
      <c r="AU22">
        <v>220</v>
      </c>
      <c r="AV22">
        <v>219</v>
      </c>
      <c r="AW22">
        <v>219</v>
      </c>
      <c r="AX22">
        <v>220</v>
      </c>
      <c r="AY22">
        <v>219</v>
      </c>
      <c r="AZ22">
        <v>220</v>
      </c>
      <c r="BA22">
        <v>219</v>
      </c>
      <c r="BB22">
        <v>156</v>
      </c>
      <c r="BC22">
        <v>156</v>
      </c>
      <c r="BD22">
        <v>156</v>
      </c>
      <c r="BE22">
        <v>156</v>
      </c>
      <c r="BF22">
        <v>156</v>
      </c>
      <c r="BG22">
        <v>155</v>
      </c>
      <c r="BH22">
        <v>154</v>
      </c>
      <c r="BI22">
        <v>154</v>
      </c>
      <c r="BJ22">
        <v>154</v>
      </c>
      <c r="BK22">
        <v>154</v>
      </c>
      <c r="BL22">
        <v>154</v>
      </c>
      <c r="BM22">
        <v>154</v>
      </c>
      <c r="BN22">
        <v>217</v>
      </c>
      <c r="BO22">
        <v>218</v>
      </c>
      <c r="BP22">
        <v>218</v>
      </c>
      <c r="BQ22">
        <v>285</v>
      </c>
      <c r="BR22">
        <v>290</v>
      </c>
      <c r="BS22">
        <v>292</v>
      </c>
      <c r="BT22">
        <v>296</v>
      </c>
      <c r="BU22">
        <v>296</v>
      </c>
      <c r="BV22">
        <v>296</v>
      </c>
      <c r="BW22">
        <v>296</v>
      </c>
      <c r="BX22">
        <v>296</v>
      </c>
      <c r="BY22">
        <v>296</v>
      </c>
      <c r="BZ22">
        <v>296</v>
      </c>
      <c r="CA22">
        <v>296</v>
      </c>
      <c r="CB22">
        <v>296</v>
      </c>
      <c r="CC22">
        <v>297</v>
      </c>
      <c r="CD22">
        <v>299</v>
      </c>
      <c r="CE22">
        <v>299</v>
      </c>
      <c r="CF22">
        <v>300</v>
      </c>
      <c r="CG22">
        <v>299</v>
      </c>
      <c r="CH22">
        <v>299</v>
      </c>
      <c r="CI22">
        <v>299</v>
      </c>
      <c r="CJ22">
        <v>299</v>
      </c>
      <c r="CK22">
        <v>299</v>
      </c>
      <c r="CL22">
        <v>299</v>
      </c>
      <c r="CM22">
        <v>299</v>
      </c>
      <c r="CN22">
        <v>299</v>
      </c>
      <c r="CO22">
        <v>299</v>
      </c>
      <c r="CP22">
        <v>299</v>
      </c>
      <c r="CQ22">
        <v>299</v>
      </c>
      <c r="CR22">
        <v>300</v>
      </c>
      <c r="CS22">
        <v>299</v>
      </c>
    </row>
    <row r="23" spans="1:97">
      <c r="A23" s="9">
        <v>46256</v>
      </c>
      <c r="B23">
        <v>338</v>
      </c>
      <c r="C23">
        <v>341</v>
      </c>
      <c r="D23">
        <v>341</v>
      </c>
      <c r="E23">
        <v>341</v>
      </c>
      <c r="F23">
        <v>341</v>
      </c>
      <c r="G23">
        <v>342</v>
      </c>
      <c r="H23">
        <v>341</v>
      </c>
      <c r="I23">
        <v>341</v>
      </c>
      <c r="J23">
        <v>341</v>
      </c>
      <c r="K23">
        <v>342</v>
      </c>
      <c r="L23">
        <v>341</v>
      </c>
      <c r="M23">
        <v>341</v>
      </c>
      <c r="N23">
        <v>341</v>
      </c>
      <c r="O23">
        <v>340</v>
      </c>
      <c r="P23">
        <v>341</v>
      </c>
      <c r="Q23">
        <v>341</v>
      </c>
      <c r="R23">
        <v>341</v>
      </c>
      <c r="S23">
        <v>341</v>
      </c>
      <c r="T23">
        <v>341</v>
      </c>
      <c r="U23">
        <v>342</v>
      </c>
      <c r="V23">
        <v>341</v>
      </c>
      <c r="W23">
        <v>342</v>
      </c>
      <c r="X23">
        <v>342</v>
      </c>
      <c r="Y23">
        <v>342</v>
      </c>
      <c r="Z23">
        <v>347</v>
      </c>
      <c r="AA23">
        <v>347</v>
      </c>
      <c r="AB23">
        <v>347</v>
      </c>
      <c r="AC23">
        <v>346</v>
      </c>
      <c r="AD23">
        <v>346</v>
      </c>
      <c r="AE23">
        <v>346</v>
      </c>
      <c r="AF23">
        <v>281</v>
      </c>
      <c r="AG23">
        <v>280</v>
      </c>
      <c r="AH23">
        <v>273</v>
      </c>
      <c r="AI23">
        <v>273</v>
      </c>
      <c r="AJ23">
        <v>273</v>
      </c>
      <c r="AK23">
        <v>273</v>
      </c>
      <c r="AL23">
        <v>273</v>
      </c>
      <c r="AM23">
        <v>288</v>
      </c>
      <c r="AN23">
        <v>288</v>
      </c>
      <c r="AO23">
        <v>286</v>
      </c>
      <c r="AP23">
        <v>309</v>
      </c>
      <c r="AQ23">
        <v>326</v>
      </c>
      <c r="AR23">
        <v>326</v>
      </c>
      <c r="AS23">
        <v>325</v>
      </c>
      <c r="AT23">
        <v>326</v>
      </c>
      <c r="AU23">
        <v>324</v>
      </c>
      <c r="AV23">
        <v>322</v>
      </c>
      <c r="AW23">
        <v>324</v>
      </c>
      <c r="AX23">
        <v>283</v>
      </c>
      <c r="AY23">
        <v>282</v>
      </c>
      <c r="AZ23">
        <v>285</v>
      </c>
      <c r="BA23">
        <v>324</v>
      </c>
      <c r="BB23">
        <v>322</v>
      </c>
      <c r="BC23">
        <v>323</v>
      </c>
      <c r="BD23">
        <v>336</v>
      </c>
      <c r="BE23">
        <v>396</v>
      </c>
      <c r="BF23">
        <v>400</v>
      </c>
      <c r="BG23">
        <v>400</v>
      </c>
      <c r="BH23">
        <v>399</v>
      </c>
      <c r="BI23">
        <v>399</v>
      </c>
      <c r="BJ23">
        <v>400</v>
      </c>
      <c r="BK23">
        <v>400</v>
      </c>
      <c r="BL23">
        <v>401</v>
      </c>
      <c r="BM23">
        <v>400</v>
      </c>
      <c r="BN23">
        <v>401</v>
      </c>
      <c r="BO23">
        <v>401</v>
      </c>
      <c r="BP23">
        <v>401</v>
      </c>
      <c r="BQ23">
        <v>401</v>
      </c>
      <c r="BR23">
        <v>399</v>
      </c>
      <c r="BS23">
        <v>399</v>
      </c>
      <c r="BT23">
        <v>398</v>
      </c>
      <c r="BU23">
        <v>395</v>
      </c>
      <c r="BV23">
        <v>394</v>
      </c>
      <c r="BW23">
        <v>395</v>
      </c>
      <c r="BX23">
        <v>394</v>
      </c>
      <c r="BY23">
        <v>394</v>
      </c>
      <c r="BZ23">
        <v>394</v>
      </c>
      <c r="CA23">
        <v>395</v>
      </c>
      <c r="CB23">
        <v>394</v>
      </c>
      <c r="CC23">
        <v>394</v>
      </c>
      <c r="CD23">
        <v>394</v>
      </c>
      <c r="CE23">
        <v>395</v>
      </c>
      <c r="CF23">
        <v>395</v>
      </c>
      <c r="CG23">
        <v>394</v>
      </c>
      <c r="CH23">
        <v>394</v>
      </c>
      <c r="CI23">
        <v>393</v>
      </c>
      <c r="CJ23">
        <v>393</v>
      </c>
      <c r="CK23">
        <v>393</v>
      </c>
      <c r="CL23">
        <v>393</v>
      </c>
      <c r="CM23">
        <v>393</v>
      </c>
      <c r="CN23">
        <v>393</v>
      </c>
      <c r="CO23">
        <v>392</v>
      </c>
      <c r="CP23">
        <v>393</v>
      </c>
      <c r="CQ23">
        <v>393</v>
      </c>
      <c r="CR23">
        <v>394</v>
      </c>
      <c r="CS23">
        <v>394</v>
      </c>
    </row>
    <row r="24" spans="1:97">
      <c r="A24" s="9">
        <v>46257</v>
      </c>
      <c r="B24">
        <v>394</v>
      </c>
      <c r="C24">
        <v>393</v>
      </c>
      <c r="D24">
        <v>394</v>
      </c>
      <c r="E24">
        <v>394</v>
      </c>
      <c r="F24">
        <v>394</v>
      </c>
      <c r="G24">
        <v>395</v>
      </c>
      <c r="H24">
        <v>395</v>
      </c>
      <c r="I24">
        <v>395</v>
      </c>
      <c r="J24">
        <v>394</v>
      </c>
      <c r="K24">
        <v>394</v>
      </c>
      <c r="L24">
        <v>394</v>
      </c>
      <c r="M24">
        <v>394</v>
      </c>
      <c r="N24">
        <v>394</v>
      </c>
      <c r="O24">
        <v>393</v>
      </c>
      <c r="P24">
        <v>394</v>
      </c>
      <c r="Q24">
        <v>393</v>
      </c>
      <c r="R24">
        <v>392</v>
      </c>
      <c r="S24">
        <v>393</v>
      </c>
      <c r="T24">
        <v>393</v>
      </c>
      <c r="U24">
        <v>392</v>
      </c>
      <c r="V24">
        <v>393</v>
      </c>
      <c r="W24">
        <v>392</v>
      </c>
      <c r="X24">
        <v>392</v>
      </c>
      <c r="Y24">
        <v>391</v>
      </c>
      <c r="Z24">
        <v>392</v>
      </c>
      <c r="AA24">
        <v>392</v>
      </c>
      <c r="AB24">
        <v>392</v>
      </c>
      <c r="AC24">
        <v>391</v>
      </c>
      <c r="AD24">
        <v>391</v>
      </c>
      <c r="AE24">
        <v>391</v>
      </c>
      <c r="AF24">
        <v>391</v>
      </c>
      <c r="AG24">
        <v>387</v>
      </c>
      <c r="AH24">
        <v>387</v>
      </c>
      <c r="AI24">
        <v>387</v>
      </c>
      <c r="AJ24">
        <v>387</v>
      </c>
      <c r="AK24">
        <v>388</v>
      </c>
      <c r="AL24">
        <v>318</v>
      </c>
      <c r="AM24">
        <v>316</v>
      </c>
      <c r="AN24">
        <v>317</v>
      </c>
      <c r="AO24">
        <v>318</v>
      </c>
      <c r="AP24">
        <v>262</v>
      </c>
      <c r="AQ24">
        <v>262</v>
      </c>
      <c r="AR24">
        <v>262</v>
      </c>
      <c r="AS24">
        <v>262</v>
      </c>
      <c r="AT24">
        <v>256</v>
      </c>
      <c r="AU24">
        <v>256</v>
      </c>
      <c r="AV24">
        <v>256</v>
      </c>
      <c r="AW24">
        <v>257</v>
      </c>
      <c r="AX24">
        <v>257</v>
      </c>
      <c r="AY24">
        <v>260</v>
      </c>
      <c r="AZ24">
        <v>260</v>
      </c>
      <c r="BA24">
        <v>260</v>
      </c>
      <c r="BB24">
        <v>260</v>
      </c>
      <c r="BC24">
        <v>260</v>
      </c>
      <c r="BD24">
        <v>261</v>
      </c>
      <c r="BE24">
        <v>260</v>
      </c>
      <c r="BF24">
        <v>261</v>
      </c>
      <c r="BG24">
        <v>261</v>
      </c>
      <c r="BH24">
        <v>260</v>
      </c>
      <c r="BI24">
        <v>260</v>
      </c>
      <c r="BJ24">
        <v>261</v>
      </c>
      <c r="BK24">
        <v>260</v>
      </c>
      <c r="BL24">
        <v>260</v>
      </c>
      <c r="BM24">
        <v>262</v>
      </c>
      <c r="BN24">
        <v>262</v>
      </c>
      <c r="BO24">
        <v>262</v>
      </c>
      <c r="BP24">
        <v>261</v>
      </c>
      <c r="BQ24">
        <v>261</v>
      </c>
      <c r="BR24">
        <v>262</v>
      </c>
      <c r="BS24">
        <v>261</v>
      </c>
      <c r="BT24">
        <v>512</v>
      </c>
      <c r="BU24">
        <v>564</v>
      </c>
      <c r="BV24">
        <v>564</v>
      </c>
      <c r="BW24">
        <v>566</v>
      </c>
      <c r="BX24">
        <v>568</v>
      </c>
      <c r="BY24">
        <v>566</v>
      </c>
      <c r="BZ24">
        <v>566</v>
      </c>
      <c r="CA24">
        <v>569</v>
      </c>
      <c r="CB24">
        <v>576</v>
      </c>
      <c r="CC24">
        <v>575</v>
      </c>
      <c r="CD24">
        <v>582</v>
      </c>
      <c r="CE24">
        <v>582</v>
      </c>
      <c r="CF24">
        <v>581</v>
      </c>
      <c r="CG24">
        <v>582</v>
      </c>
      <c r="CH24">
        <v>429</v>
      </c>
      <c r="CI24">
        <v>429</v>
      </c>
      <c r="CJ24">
        <v>429</v>
      </c>
      <c r="CK24">
        <v>426</v>
      </c>
      <c r="CL24">
        <v>426</v>
      </c>
      <c r="CM24">
        <v>417</v>
      </c>
      <c r="CN24">
        <v>412</v>
      </c>
      <c r="CO24">
        <v>412</v>
      </c>
      <c r="CP24">
        <v>412</v>
      </c>
      <c r="CQ24">
        <v>412</v>
      </c>
      <c r="CR24">
        <v>411</v>
      </c>
      <c r="CS24">
        <v>411</v>
      </c>
    </row>
    <row r="25" spans="1:97">
      <c r="A25" s="9">
        <v>46258</v>
      </c>
      <c r="B25">
        <v>565</v>
      </c>
      <c r="C25">
        <v>622</v>
      </c>
      <c r="D25">
        <v>628</v>
      </c>
      <c r="E25">
        <v>628</v>
      </c>
      <c r="F25">
        <v>453</v>
      </c>
      <c r="G25">
        <v>455</v>
      </c>
      <c r="H25">
        <v>446</v>
      </c>
      <c r="I25">
        <v>446</v>
      </c>
      <c r="J25">
        <v>450</v>
      </c>
      <c r="K25">
        <v>444</v>
      </c>
      <c r="L25">
        <v>445</v>
      </c>
      <c r="M25">
        <v>443</v>
      </c>
      <c r="N25">
        <v>443</v>
      </c>
      <c r="O25">
        <v>443</v>
      </c>
      <c r="P25">
        <v>443</v>
      </c>
      <c r="Q25">
        <v>441</v>
      </c>
      <c r="R25">
        <v>439</v>
      </c>
      <c r="S25">
        <v>439</v>
      </c>
      <c r="T25">
        <v>437</v>
      </c>
      <c r="U25">
        <v>436</v>
      </c>
      <c r="V25">
        <v>436</v>
      </c>
      <c r="W25">
        <v>435</v>
      </c>
      <c r="X25">
        <v>436</v>
      </c>
      <c r="Y25">
        <v>434</v>
      </c>
      <c r="Z25">
        <v>434</v>
      </c>
      <c r="AA25">
        <v>435</v>
      </c>
      <c r="AB25">
        <v>435</v>
      </c>
      <c r="AC25">
        <v>434</v>
      </c>
      <c r="AD25">
        <v>434</v>
      </c>
      <c r="AE25">
        <v>434</v>
      </c>
      <c r="AF25">
        <v>433</v>
      </c>
      <c r="AG25">
        <v>433</v>
      </c>
      <c r="AH25">
        <v>433</v>
      </c>
      <c r="AI25">
        <v>430</v>
      </c>
      <c r="AJ25">
        <v>330</v>
      </c>
      <c r="AK25">
        <v>324</v>
      </c>
      <c r="AL25">
        <v>324</v>
      </c>
      <c r="AM25">
        <v>326</v>
      </c>
      <c r="AN25">
        <v>328</v>
      </c>
      <c r="AO25">
        <v>325</v>
      </c>
      <c r="AP25">
        <v>325</v>
      </c>
      <c r="AQ25">
        <v>325</v>
      </c>
      <c r="AR25">
        <v>323</v>
      </c>
      <c r="AS25">
        <v>322</v>
      </c>
      <c r="AT25">
        <v>323</v>
      </c>
      <c r="AU25">
        <v>322</v>
      </c>
      <c r="AV25">
        <v>322</v>
      </c>
      <c r="AW25">
        <v>322</v>
      </c>
      <c r="AX25">
        <v>325</v>
      </c>
      <c r="AY25">
        <v>325</v>
      </c>
      <c r="AZ25">
        <v>324</v>
      </c>
      <c r="BA25">
        <v>322</v>
      </c>
      <c r="BB25">
        <v>323</v>
      </c>
      <c r="BC25">
        <v>324</v>
      </c>
      <c r="BD25">
        <v>323</v>
      </c>
      <c r="BE25">
        <v>323</v>
      </c>
      <c r="BF25">
        <v>323</v>
      </c>
      <c r="BG25">
        <v>323</v>
      </c>
      <c r="BH25">
        <v>323</v>
      </c>
      <c r="BI25">
        <v>324</v>
      </c>
      <c r="BJ25">
        <v>322</v>
      </c>
      <c r="BK25">
        <v>323</v>
      </c>
      <c r="BL25">
        <v>323</v>
      </c>
      <c r="BM25">
        <v>324</v>
      </c>
      <c r="BN25">
        <v>328</v>
      </c>
      <c r="BO25">
        <v>328</v>
      </c>
      <c r="BP25">
        <v>217</v>
      </c>
      <c r="BQ25">
        <v>198</v>
      </c>
      <c r="BR25">
        <v>201</v>
      </c>
      <c r="BS25">
        <v>202</v>
      </c>
      <c r="BT25">
        <v>202</v>
      </c>
      <c r="BU25">
        <v>201</v>
      </c>
      <c r="BV25">
        <v>165</v>
      </c>
      <c r="BW25">
        <v>135</v>
      </c>
      <c r="BX25">
        <v>135</v>
      </c>
      <c r="BY25">
        <v>135</v>
      </c>
      <c r="BZ25">
        <v>133</v>
      </c>
      <c r="CA25">
        <v>93</v>
      </c>
      <c r="CB25">
        <v>93</v>
      </c>
      <c r="CC25">
        <v>93</v>
      </c>
      <c r="CD25">
        <v>93</v>
      </c>
      <c r="CE25">
        <v>93</v>
      </c>
      <c r="CF25">
        <v>92</v>
      </c>
      <c r="CG25">
        <v>92</v>
      </c>
      <c r="CH25">
        <v>92</v>
      </c>
      <c r="CI25">
        <v>92</v>
      </c>
      <c r="CJ25">
        <v>92</v>
      </c>
      <c r="CK25">
        <v>91</v>
      </c>
      <c r="CL25">
        <v>91</v>
      </c>
      <c r="CM25">
        <v>91</v>
      </c>
      <c r="CN25">
        <v>91</v>
      </c>
      <c r="CO25">
        <v>91</v>
      </c>
      <c r="CP25">
        <v>91</v>
      </c>
      <c r="CQ25">
        <v>91</v>
      </c>
      <c r="CR25">
        <v>216</v>
      </c>
      <c r="CS25">
        <v>217</v>
      </c>
    </row>
    <row r="26" spans="1:97">
      <c r="A26" s="9">
        <v>46259</v>
      </c>
      <c r="B26">
        <v>361</v>
      </c>
      <c r="C26">
        <v>321</v>
      </c>
      <c r="D26">
        <v>276</v>
      </c>
      <c r="E26">
        <v>276</v>
      </c>
      <c r="F26">
        <v>278</v>
      </c>
      <c r="G26">
        <v>280</v>
      </c>
      <c r="H26">
        <v>280</v>
      </c>
      <c r="I26">
        <v>281</v>
      </c>
      <c r="J26">
        <v>281</v>
      </c>
      <c r="K26">
        <v>281</v>
      </c>
      <c r="L26">
        <v>282</v>
      </c>
      <c r="M26">
        <v>282</v>
      </c>
      <c r="N26">
        <v>281</v>
      </c>
      <c r="O26">
        <v>282</v>
      </c>
      <c r="P26">
        <v>282</v>
      </c>
      <c r="Q26">
        <v>282</v>
      </c>
      <c r="R26">
        <v>282</v>
      </c>
      <c r="S26">
        <v>282</v>
      </c>
      <c r="T26">
        <v>282</v>
      </c>
      <c r="U26">
        <v>282</v>
      </c>
      <c r="V26">
        <v>282</v>
      </c>
      <c r="W26">
        <v>282</v>
      </c>
      <c r="X26">
        <v>283</v>
      </c>
      <c r="Y26">
        <v>282</v>
      </c>
      <c r="Z26">
        <v>283</v>
      </c>
      <c r="AA26">
        <v>283</v>
      </c>
      <c r="AB26">
        <v>313</v>
      </c>
      <c r="AC26">
        <v>347</v>
      </c>
      <c r="AD26">
        <v>347</v>
      </c>
      <c r="AE26">
        <v>348</v>
      </c>
      <c r="AF26">
        <v>348</v>
      </c>
      <c r="AG26">
        <v>348</v>
      </c>
      <c r="AH26">
        <v>348</v>
      </c>
      <c r="AI26">
        <v>348</v>
      </c>
      <c r="AJ26">
        <v>348</v>
      </c>
      <c r="AK26">
        <v>348</v>
      </c>
      <c r="AL26">
        <v>349</v>
      </c>
      <c r="AM26">
        <v>349</v>
      </c>
      <c r="AN26">
        <v>349</v>
      </c>
      <c r="AO26">
        <v>349</v>
      </c>
      <c r="AP26">
        <v>349</v>
      </c>
      <c r="AQ26">
        <v>349</v>
      </c>
      <c r="AR26">
        <v>322</v>
      </c>
      <c r="AS26">
        <v>322</v>
      </c>
      <c r="AT26">
        <v>318</v>
      </c>
      <c r="AU26">
        <v>318</v>
      </c>
      <c r="AV26">
        <v>318</v>
      </c>
      <c r="AW26">
        <v>319</v>
      </c>
      <c r="AX26">
        <v>319</v>
      </c>
      <c r="AY26">
        <v>319</v>
      </c>
      <c r="AZ26">
        <v>319</v>
      </c>
      <c r="BA26">
        <v>318</v>
      </c>
      <c r="BB26">
        <v>319</v>
      </c>
      <c r="BC26">
        <v>318</v>
      </c>
      <c r="BD26">
        <v>318</v>
      </c>
      <c r="BE26">
        <v>319</v>
      </c>
      <c r="BF26">
        <v>318</v>
      </c>
      <c r="BG26">
        <v>313</v>
      </c>
      <c r="BH26">
        <v>314</v>
      </c>
      <c r="BI26">
        <v>313</v>
      </c>
      <c r="BJ26">
        <v>354</v>
      </c>
      <c r="BK26">
        <v>354</v>
      </c>
      <c r="BL26">
        <v>354</v>
      </c>
      <c r="BM26">
        <v>353</v>
      </c>
      <c r="BN26">
        <v>355</v>
      </c>
      <c r="BO26">
        <v>354</v>
      </c>
      <c r="BP26">
        <v>354</v>
      </c>
      <c r="BQ26">
        <v>355</v>
      </c>
      <c r="BR26">
        <v>377</v>
      </c>
      <c r="BS26">
        <v>377</v>
      </c>
      <c r="BT26">
        <v>377</v>
      </c>
      <c r="BU26">
        <v>378</v>
      </c>
      <c r="BV26">
        <v>378</v>
      </c>
      <c r="BW26">
        <v>378</v>
      </c>
      <c r="BX26">
        <v>374</v>
      </c>
      <c r="BY26">
        <v>375</v>
      </c>
      <c r="BZ26">
        <v>375</v>
      </c>
      <c r="CA26">
        <v>375</v>
      </c>
      <c r="CB26">
        <v>376</v>
      </c>
      <c r="CC26">
        <v>376</v>
      </c>
      <c r="CD26">
        <v>375</v>
      </c>
      <c r="CE26">
        <v>375</v>
      </c>
      <c r="CF26">
        <v>375</v>
      </c>
      <c r="CG26">
        <v>375</v>
      </c>
      <c r="CH26">
        <v>313</v>
      </c>
      <c r="CI26">
        <v>313</v>
      </c>
      <c r="CJ26">
        <v>313</v>
      </c>
      <c r="CK26">
        <v>309</v>
      </c>
      <c r="CL26">
        <v>309</v>
      </c>
      <c r="CM26">
        <v>309</v>
      </c>
      <c r="CN26">
        <v>309</v>
      </c>
      <c r="CO26">
        <v>309</v>
      </c>
      <c r="CP26">
        <v>309</v>
      </c>
      <c r="CQ26">
        <v>309</v>
      </c>
      <c r="CR26">
        <v>310</v>
      </c>
      <c r="CS26">
        <v>309</v>
      </c>
    </row>
    <row r="27" spans="1:97">
      <c r="A27" s="9">
        <v>46260</v>
      </c>
      <c r="B27">
        <v>308</v>
      </c>
      <c r="C27">
        <v>308</v>
      </c>
      <c r="D27">
        <v>308</v>
      </c>
      <c r="E27">
        <v>308</v>
      </c>
      <c r="F27">
        <v>308</v>
      </c>
      <c r="G27">
        <v>308</v>
      </c>
      <c r="H27">
        <v>308</v>
      </c>
      <c r="I27">
        <v>307</v>
      </c>
      <c r="J27">
        <v>308</v>
      </c>
      <c r="K27">
        <v>307</v>
      </c>
      <c r="L27">
        <v>307</v>
      </c>
      <c r="M27">
        <v>307</v>
      </c>
      <c r="N27">
        <v>304</v>
      </c>
      <c r="O27">
        <v>303</v>
      </c>
      <c r="P27">
        <v>303</v>
      </c>
      <c r="Q27">
        <v>303</v>
      </c>
      <c r="R27">
        <v>303</v>
      </c>
      <c r="S27">
        <v>303</v>
      </c>
      <c r="T27">
        <v>303</v>
      </c>
      <c r="U27">
        <v>303</v>
      </c>
      <c r="V27">
        <v>303</v>
      </c>
      <c r="W27">
        <v>303</v>
      </c>
      <c r="X27">
        <v>303</v>
      </c>
      <c r="Y27">
        <v>303</v>
      </c>
      <c r="Z27">
        <v>305</v>
      </c>
      <c r="AA27">
        <v>306</v>
      </c>
      <c r="AB27">
        <v>306</v>
      </c>
      <c r="AC27">
        <v>306</v>
      </c>
      <c r="AD27">
        <v>305</v>
      </c>
      <c r="AE27">
        <v>305</v>
      </c>
      <c r="AF27">
        <v>306</v>
      </c>
      <c r="AG27">
        <v>305</v>
      </c>
      <c r="AH27">
        <v>306</v>
      </c>
      <c r="AI27">
        <v>306</v>
      </c>
      <c r="AJ27">
        <v>306</v>
      </c>
      <c r="AK27">
        <v>307</v>
      </c>
      <c r="AL27">
        <v>307</v>
      </c>
      <c r="AM27">
        <v>307</v>
      </c>
      <c r="AN27">
        <v>307</v>
      </c>
      <c r="AO27">
        <v>307</v>
      </c>
      <c r="AP27">
        <v>307</v>
      </c>
      <c r="AQ27">
        <v>308</v>
      </c>
      <c r="AR27">
        <v>308</v>
      </c>
      <c r="AS27">
        <v>307</v>
      </c>
      <c r="AT27">
        <v>307</v>
      </c>
      <c r="AU27">
        <v>308</v>
      </c>
      <c r="AV27">
        <v>307</v>
      </c>
      <c r="AW27">
        <v>307</v>
      </c>
      <c r="AX27">
        <v>307</v>
      </c>
      <c r="AY27">
        <v>306</v>
      </c>
      <c r="AZ27">
        <v>307</v>
      </c>
      <c r="BA27">
        <v>307</v>
      </c>
      <c r="BB27">
        <v>307</v>
      </c>
      <c r="BC27">
        <v>306</v>
      </c>
      <c r="BD27">
        <v>305</v>
      </c>
      <c r="BE27">
        <v>305</v>
      </c>
      <c r="BF27">
        <v>305</v>
      </c>
      <c r="BG27">
        <v>305</v>
      </c>
      <c r="BH27">
        <v>305</v>
      </c>
      <c r="BI27">
        <v>304</v>
      </c>
      <c r="BJ27">
        <v>305</v>
      </c>
      <c r="BK27">
        <v>310</v>
      </c>
      <c r="BL27">
        <v>310</v>
      </c>
      <c r="BM27">
        <v>308</v>
      </c>
      <c r="BN27">
        <v>309</v>
      </c>
      <c r="BO27">
        <v>308</v>
      </c>
      <c r="BP27">
        <v>308</v>
      </c>
      <c r="BQ27">
        <v>234</v>
      </c>
      <c r="BR27">
        <v>234</v>
      </c>
      <c r="BS27">
        <v>231</v>
      </c>
      <c r="BT27">
        <v>230</v>
      </c>
      <c r="BU27">
        <v>230</v>
      </c>
      <c r="BV27">
        <v>227</v>
      </c>
      <c r="BW27">
        <v>222</v>
      </c>
      <c r="BX27">
        <v>281</v>
      </c>
      <c r="BY27">
        <v>282</v>
      </c>
      <c r="BZ27">
        <v>277</v>
      </c>
      <c r="CA27">
        <v>278</v>
      </c>
      <c r="CB27">
        <v>278</v>
      </c>
      <c r="CC27">
        <v>278</v>
      </c>
      <c r="CD27">
        <v>278</v>
      </c>
      <c r="CE27">
        <v>279</v>
      </c>
      <c r="CF27">
        <v>278</v>
      </c>
      <c r="CG27">
        <v>278</v>
      </c>
      <c r="CH27">
        <v>277</v>
      </c>
      <c r="CI27">
        <v>277</v>
      </c>
      <c r="CJ27">
        <v>277</v>
      </c>
      <c r="CK27">
        <v>278</v>
      </c>
      <c r="CL27">
        <v>276</v>
      </c>
      <c r="CM27">
        <v>272</v>
      </c>
      <c r="CN27">
        <v>272</v>
      </c>
      <c r="CO27">
        <v>272</v>
      </c>
      <c r="CP27">
        <v>272</v>
      </c>
      <c r="CQ27">
        <v>272</v>
      </c>
      <c r="CR27">
        <v>272</v>
      </c>
      <c r="CS27">
        <v>272</v>
      </c>
    </row>
    <row r="28" spans="1:97">
      <c r="A28" s="9">
        <v>46261</v>
      </c>
      <c r="B28">
        <v>288</v>
      </c>
      <c r="C28">
        <v>296</v>
      </c>
      <c r="D28">
        <v>299</v>
      </c>
      <c r="E28">
        <v>300</v>
      </c>
      <c r="F28">
        <v>299</v>
      </c>
      <c r="G28">
        <v>299</v>
      </c>
      <c r="H28">
        <v>299</v>
      </c>
      <c r="I28">
        <v>299</v>
      </c>
      <c r="J28">
        <v>299</v>
      </c>
      <c r="K28">
        <v>299</v>
      </c>
      <c r="L28">
        <v>299</v>
      </c>
      <c r="M28">
        <v>300</v>
      </c>
      <c r="N28">
        <v>299</v>
      </c>
      <c r="O28">
        <v>299</v>
      </c>
      <c r="P28">
        <v>299</v>
      </c>
      <c r="Q28">
        <v>299</v>
      </c>
      <c r="R28">
        <v>300</v>
      </c>
      <c r="S28">
        <v>299</v>
      </c>
      <c r="T28">
        <v>299</v>
      </c>
      <c r="U28">
        <v>299</v>
      </c>
      <c r="V28">
        <v>300</v>
      </c>
      <c r="W28">
        <v>300</v>
      </c>
      <c r="X28">
        <v>300</v>
      </c>
      <c r="Y28">
        <v>299</v>
      </c>
      <c r="Z28">
        <v>300</v>
      </c>
      <c r="AA28">
        <v>300</v>
      </c>
      <c r="AB28">
        <v>300</v>
      </c>
      <c r="AC28">
        <v>299</v>
      </c>
      <c r="AD28">
        <v>300</v>
      </c>
      <c r="AE28">
        <v>299</v>
      </c>
      <c r="AF28">
        <v>300</v>
      </c>
      <c r="AG28">
        <v>300</v>
      </c>
      <c r="AH28">
        <v>300</v>
      </c>
      <c r="AI28">
        <v>300</v>
      </c>
      <c r="AJ28">
        <v>228</v>
      </c>
      <c r="AK28">
        <v>228</v>
      </c>
      <c r="AL28">
        <v>231</v>
      </c>
      <c r="AM28">
        <v>229</v>
      </c>
      <c r="AN28">
        <v>229</v>
      </c>
      <c r="AO28">
        <v>230</v>
      </c>
      <c r="AP28">
        <v>230</v>
      </c>
      <c r="AQ28">
        <v>227</v>
      </c>
      <c r="AR28">
        <v>227</v>
      </c>
      <c r="AS28">
        <v>225</v>
      </c>
      <c r="AT28">
        <v>225</v>
      </c>
      <c r="AU28">
        <v>225</v>
      </c>
      <c r="AV28">
        <v>226</v>
      </c>
      <c r="AW28">
        <v>229</v>
      </c>
      <c r="AX28">
        <v>230</v>
      </c>
      <c r="AY28">
        <v>229</v>
      </c>
      <c r="AZ28">
        <v>229</v>
      </c>
      <c r="BA28">
        <v>229</v>
      </c>
      <c r="BB28">
        <v>229</v>
      </c>
      <c r="BC28">
        <v>229</v>
      </c>
      <c r="BD28">
        <v>229</v>
      </c>
      <c r="BE28">
        <v>229</v>
      </c>
      <c r="BF28">
        <v>229</v>
      </c>
      <c r="BG28">
        <v>229</v>
      </c>
      <c r="BH28">
        <v>229</v>
      </c>
      <c r="BI28">
        <v>229</v>
      </c>
      <c r="BJ28">
        <v>229</v>
      </c>
      <c r="BK28">
        <v>228</v>
      </c>
      <c r="BL28">
        <v>229</v>
      </c>
      <c r="BM28">
        <v>290</v>
      </c>
      <c r="BN28">
        <v>327</v>
      </c>
      <c r="BO28">
        <v>327</v>
      </c>
      <c r="BP28">
        <v>388</v>
      </c>
      <c r="BQ28">
        <v>398</v>
      </c>
      <c r="BR28">
        <v>397</v>
      </c>
      <c r="BS28">
        <v>398</v>
      </c>
      <c r="BT28">
        <v>401</v>
      </c>
      <c r="BU28">
        <v>402</v>
      </c>
      <c r="BV28">
        <v>406</v>
      </c>
      <c r="BW28">
        <v>407</v>
      </c>
      <c r="BX28">
        <v>405</v>
      </c>
      <c r="BY28">
        <v>406</v>
      </c>
      <c r="BZ28">
        <v>346</v>
      </c>
      <c r="CA28">
        <v>345</v>
      </c>
      <c r="CB28">
        <v>346</v>
      </c>
      <c r="CC28">
        <v>345</v>
      </c>
      <c r="CD28">
        <v>310</v>
      </c>
      <c r="CE28">
        <v>311</v>
      </c>
      <c r="CF28">
        <v>311</v>
      </c>
      <c r="CG28">
        <v>310</v>
      </c>
      <c r="CH28">
        <v>310</v>
      </c>
      <c r="CI28">
        <v>310</v>
      </c>
      <c r="CJ28">
        <v>310</v>
      </c>
      <c r="CK28">
        <v>310</v>
      </c>
      <c r="CL28">
        <v>310</v>
      </c>
      <c r="CM28">
        <v>309</v>
      </c>
      <c r="CN28">
        <v>310</v>
      </c>
      <c r="CO28">
        <v>311</v>
      </c>
      <c r="CP28">
        <v>310</v>
      </c>
      <c r="CQ28">
        <v>311</v>
      </c>
      <c r="CR28">
        <v>311</v>
      </c>
      <c r="CS28">
        <v>311</v>
      </c>
    </row>
    <row r="29" spans="1:97">
      <c r="A29" s="9">
        <v>46262</v>
      </c>
      <c r="B29">
        <v>349</v>
      </c>
      <c r="C29">
        <v>348</v>
      </c>
      <c r="D29">
        <v>349</v>
      </c>
      <c r="E29">
        <v>348</v>
      </c>
      <c r="F29">
        <v>348</v>
      </c>
      <c r="G29">
        <v>349</v>
      </c>
      <c r="H29">
        <v>349</v>
      </c>
      <c r="I29">
        <v>349</v>
      </c>
      <c r="J29">
        <v>349</v>
      </c>
      <c r="K29">
        <v>349</v>
      </c>
      <c r="L29">
        <v>348</v>
      </c>
      <c r="M29">
        <v>349</v>
      </c>
      <c r="N29">
        <v>349</v>
      </c>
      <c r="O29">
        <v>348</v>
      </c>
      <c r="P29">
        <v>348</v>
      </c>
      <c r="Q29">
        <v>348</v>
      </c>
      <c r="R29">
        <v>348</v>
      </c>
      <c r="S29">
        <v>310</v>
      </c>
      <c r="T29">
        <v>310</v>
      </c>
      <c r="U29">
        <v>310</v>
      </c>
      <c r="V29">
        <v>310</v>
      </c>
      <c r="W29">
        <v>310</v>
      </c>
      <c r="X29">
        <v>311</v>
      </c>
      <c r="Y29">
        <v>310</v>
      </c>
      <c r="Z29">
        <v>311</v>
      </c>
      <c r="AA29">
        <v>310</v>
      </c>
      <c r="AB29">
        <v>311</v>
      </c>
      <c r="AC29">
        <v>311</v>
      </c>
      <c r="AD29">
        <v>310</v>
      </c>
      <c r="AE29">
        <v>310</v>
      </c>
      <c r="AF29">
        <v>310</v>
      </c>
      <c r="AG29">
        <v>310</v>
      </c>
      <c r="AH29">
        <v>236</v>
      </c>
      <c r="AI29">
        <v>237</v>
      </c>
      <c r="AJ29">
        <v>233</v>
      </c>
      <c r="AK29">
        <v>228</v>
      </c>
      <c r="AL29">
        <v>228</v>
      </c>
      <c r="AM29">
        <v>228</v>
      </c>
      <c r="AN29">
        <v>228</v>
      </c>
      <c r="AO29">
        <v>228</v>
      </c>
      <c r="AP29">
        <v>228</v>
      </c>
      <c r="AQ29">
        <v>228</v>
      </c>
      <c r="AR29">
        <v>230</v>
      </c>
      <c r="AS29">
        <v>230</v>
      </c>
      <c r="AT29">
        <v>230</v>
      </c>
      <c r="AU29">
        <v>230</v>
      </c>
      <c r="AV29">
        <v>230</v>
      </c>
      <c r="AW29">
        <v>230</v>
      </c>
      <c r="AX29">
        <v>230</v>
      </c>
      <c r="AY29">
        <v>230</v>
      </c>
      <c r="AZ29">
        <v>230</v>
      </c>
      <c r="BA29">
        <v>230</v>
      </c>
      <c r="BB29">
        <v>230</v>
      </c>
      <c r="BC29">
        <v>230</v>
      </c>
      <c r="BD29">
        <v>230</v>
      </c>
      <c r="BE29">
        <v>229</v>
      </c>
      <c r="BF29">
        <v>226</v>
      </c>
      <c r="BG29">
        <v>225</v>
      </c>
      <c r="BH29">
        <v>225</v>
      </c>
      <c r="BI29">
        <v>225</v>
      </c>
      <c r="BJ29">
        <v>225</v>
      </c>
      <c r="BK29">
        <v>225</v>
      </c>
      <c r="BL29">
        <v>225</v>
      </c>
      <c r="BM29">
        <v>225</v>
      </c>
      <c r="BN29">
        <v>225</v>
      </c>
      <c r="BO29">
        <v>224</v>
      </c>
      <c r="BP29">
        <v>225</v>
      </c>
      <c r="BQ29">
        <v>225</v>
      </c>
      <c r="BR29">
        <v>225</v>
      </c>
      <c r="BS29">
        <v>225</v>
      </c>
      <c r="BT29">
        <v>225</v>
      </c>
      <c r="BU29">
        <v>225</v>
      </c>
      <c r="BV29">
        <v>225</v>
      </c>
      <c r="BW29">
        <v>225</v>
      </c>
      <c r="BX29">
        <v>225</v>
      </c>
      <c r="BY29">
        <v>225</v>
      </c>
      <c r="BZ29">
        <v>225</v>
      </c>
      <c r="CA29">
        <v>225</v>
      </c>
      <c r="CB29">
        <v>225</v>
      </c>
      <c r="CC29">
        <v>225</v>
      </c>
      <c r="CD29">
        <v>225</v>
      </c>
      <c r="CE29">
        <v>224</v>
      </c>
      <c r="CF29">
        <v>224</v>
      </c>
      <c r="CG29">
        <v>225</v>
      </c>
      <c r="CH29">
        <v>224</v>
      </c>
      <c r="CI29">
        <v>224</v>
      </c>
      <c r="CJ29">
        <v>224</v>
      </c>
      <c r="CK29">
        <v>225</v>
      </c>
      <c r="CL29">
        <v>298</v>
      </c>
      <c r="CM29">
        <v>299</v>
      </c>
      <c r="CN29">
        <v>300</v>
      </c>
      <c r="CO29">
        <v>260</v>
      </c>
      <c r="CP29">
        <v>237</v>
      </c>
      <c r="CQ29">
        <v>237</v>
      </c>
      <c r="CR29">
        <v>237</v>
      </c>
      <c r="CS29">
        <v>237</v>
      </c>
    </row>
    <row r="30" spans="1:97">
      <c r="A30" s="9">
        <v>46263</v>
      </c>
      <c r="B30">
        <v>237</v>
      </c>
      <c r="C30">
        <v>237</v>
      </c>
      <c r="D30">
        <v>237</v>
      </c>
      <c r="E30">
        <v>237</v>
      </c>
      <c r="F30">
        <v>237</v>
      </c>
      <c r="G30">
        <v>237</v>
      </c>
      <c r="H30">
        <v>237</v>
      </c>
      <c r="I30">
        <v>237</v>
      </c>
      <c r="J30">
        <v>238</v>
      </c>
      <c r="K30">
        <v>238</v>
      </c>
      <c r="L30">
        <v>242</v>
      </c>
      <c r="M30">
        <v>242</v>
      </c>
      <c r="N30">
        <v>242</v>
      </c>
      <c r="O30">
        <v>242</v>
      </c>
      <c r="P30">
        <v>242</v>
      </c>
      <c r="Q30">
        <v>242</v>
      </c>
      <c r="R30">
        <v>243</v>
      </c>
      <c r="S30">
        <v>242</v>
      </c>
      <c r="T30">
        <v>242</v>
      </c>
      <c r="U30">
        <v>242</v>
      </c>
      <c r="V30">
        <v>242</v>
      </c>
      <c r="W30">
        <v>242</v>
      </c>
      <c r="X30">
        <v>242</v>
      </c>
      <c r="Y30">
        <v>242</v>
      </c>
      <c r="Z30">
        <v>242</v>
      </c>
      <c r="AA30">
        <v>242</v>
      </c>
      <c r="AB30">
        <v>242</v>
      </c>
      <c r="AC30">
        <v>242</v>
      </c>
      <c r="AD30">
        <v>242</v>
      </c>
      <c r="AE30">
        <v>242</v>
      </c>
      <c r="AF30">
        <v>242</v>
      </c>
      <c r="AG30">
        <v>242</v>
      </c>
      <c r="AH30">
        <v>242</v>
      </c>
      <c r="AI30">
        <v>239</v>
      </c>
      <c r="AJ30">
        <v>174</v>
      </c>
      <c r="AK30">
        <v>164</v>
      </c>
      <c r="AL30">
        <v>167</v>
      </c>
      <c r="AM30">
        <v>183</v>
      </c>
      <c r="AN30">
        <v>188</v>
      </c>
      <c r="AO30">
        <v>188</v>
      </c>
      <c r="AP30">
        <v>188</v>
      </c>
      <c r="AQ30">
        <v>310</v>
      </c>
      <c r="AR30">
        <v>511</v>
      </c>
      <c r="AS30">
        <v>653</v>
      </c>
      <c r="AT30">
        <v>653</v>
      </c>
      <c r="AU30">
        <v>654</v>
      </c>
      <c r="AV30">
        <v>655</v>
      </c>
      <c r="AW30">
        <v>654</v>
      </c>
      <c r="AX30">
        <v>659</v>
      </c>
      <c r="AY30">
        <v>663</v>
      </c>
      <c r="AZ30">
        <v>662</v>
      </c>
      <c r="BA30">
        <v>660</v>
      </c>
      <c r="BB30">
        <v>662</v>
      </c>
      <c r="BC30">
        <v>661</v>
      </c>
      <c r="BD30">
        <v>583</v>
      </c>
      <c r="BE30">
        <v>403</v>
      </c>
      <c r="BF30">
        <v>314</v>
      </c>
      <c r="BG30">
        <v>315</v>
      </c>
      <c r="BH30">
        <v>314</v>
      </c>
      <c r="BI30">
        <v>314</v>
      </c>
      <c r="BJ30">
        <v>293</v>
      </c>
      <c r="BK30">
        <v>279</v>
      </c>
      <c r="BL30">
        <v>280</v>
      </c>
      <c r="BM30">
        <v>284</v>
      </c>
      <c r="BN30">
        <v>282</v>
      </c>
      <c r="BO30">
        <v>282</v>
      </c>
      <c r="BP30">
        <v>282</v>
      </c>
      <c r="BQ30">
        <v>346</v>
      </c>
      <c r="BR30">
        <v>354</v>
      </c>
      <c r="BS30">
        <v>354</v>
      </c>
      <c r="BT30">
        <v>354</v>
      </c>
      <c r="BU30">
        <v>280</v>
      </c>
      <c r="BV30">
        <v>281</v>
      </c>
      <c r="BW30">
        <v>280</v>
      </c>
      <c r="BX30">
        <v>275</v>
      </c>
      <c r="BY30">
        <v>276</v>
      </c>
      <c r="BZ30">
        <v>275</v>
      </c>
      <c r="CA30">
        <v>275</v>
      </c>
      <c r="CB30">
        <v>275</v>
      </c>
      <c r="CC30">
        <v>253</v>
      </c>
      <c r="CD30">
        <v>237</v>
      </c>
      <c r="CE30">
        <v>237</v>
      </c>
      <c r="CF30">
        <v>234</v>
      </c>
      <c r="CG30">
        <v>234</v>
      </c>
      <c r="CH30">
        <v>234</v>
      </c>
      <c r="CI30">
        <v>306</v>
      </c>
      <c r="CJ30">
        <v>303</v>
      </c>
      <c r="CK30">
        <v>303</v>
      </c>
      <c r="CL30">
        <v>302</v>
      </c>
      <c r="CM30">
        <v>303</v>
      </c>
      <c r="CN30">
        <v>302</v>
      </c>
      <c r="CO30">
        <v>301</v>
      </c>
      <c r="CP30">
        <v>264</v>
      </c>
      <c r="CQ30">
        <v>264</v>
      </c>
      <c r="CR30">
        <v>263</v>
      </c>
      <c r="CS30">
        <v>263</v>
      </c>
    </row>
    <row r="31" spans="1:97">
      <c r="A31" s="9">
        <v>46264</v>
      </c>
      <c r="B31">
        <v>263</v>
      </c>
      <c r="C31">
        <v>263</v>
      </c>
      <c r="D31">
        <v>263</v>
      </c>
      <c r="E31">
        <v>263</v>
      </c>
      <c r="F31">
        <v>262</v>
      </c>
      <c r="G31">
        <v>262</v>
      </c>
      <c r="H31">
        <v>262</v>
      </c>
      <c r="I31">
        <v>263</v>
      </c>
      <c r="J31">
        <v>261</v>
      </c>
      <c r="K31">
        <v>261</v>
      </c>
      <c r="L31">
        <v>261</v>
      </c>
      <c r="M31">
        <v>261</v>
      </c>
      <c r="N31">
        <v>261</v>
      </c>
      <c r="O31">
        <v>261</v>
      </c>
      <c r="P31">
        <v>262</v>
      </c>
      <c r="Q31">
        <v>261</v>
      </c>
      <c r="R31">
        <v>252</v>
      </c>
      <c r="S31">
        <v>228</v>
      </c>
      <c r="T31">
        <v>229</v>
      </c>
      <c r="U31">
        <v>229</v>
      </c>
      <c r="V31">
        <v>229</v>
      </c>
      <c r="W31">
        <v>229</v>
      </c>
      <c r="X31">
        <v>229</v>
      </c>
      <c r="Y31">
        <v>229</v>
      </c>
      <c r="Z31">
        <v>229</v>
      </c>
      <c r="AA31">
        <v>229</v>
      </c>
      <c r="AB31">
        <v>229</v>
      </c>
      <c r="AC31">
        <v>230</v>
      </c>
      <c r="AD31">
        <v>230</v>
      </c>
      <c r="AE31">
        <v>230</v>
      </c>
      <c r="AF31">
        <v>232</v>
      </c>
      <c r="AG31">
        <v>232</v>
      </c>
      <c r="AH31">
        <v>231</v>
      </c>
      <c r="AI31">
        <v>128</v>
      </c>
      <c r="AJ31">
        <v>125</v>
      </c>
      <c r="AK31">
        <v>122</v>
      </c>
      <c r="AL31">
        <v>122</v>
      </c>
      <c r="AM31">
        <v>100</v>
      </c>
      <c r="AN31">
        <v>99</v>
      </c>
      <c r="AO31">
        <v>92</v>
      </c>
      <c r="AP31">
        <v>92</v>
      </c>
      <c r="AQ31">
        <v>92</v>
      </c>
      <c r="AR31">
        <v>92</v>
      </c>
      <c r="AS31">
        <v>91</v>
      </c>
      <c r="AT31">
        <v>91</v>
      </c>
      <c r="AU31">
        <v>91</v>
      </c>
      <c r="AV31">
        <v>91</v>
      </c>
      <c r="AW31">
        <v>91</v>
      </c>
      <c r="AX31">
        <v>91</v>
      </c>
      <c r="AY31">
        <v>91</v>
      </c>
      <c r="AZ31">
        <v>91</v>
      </c>
      <c r="BA31">
        <v>91</v>
      </c>
      <c r="BB31">
        <v>90</v>
      </c>
      <c r="BC31">
        <v>90</v>
      </c>
      <c r="BD31">
        <v>90</v>
      </c>
      <c r="BE31">
        <v>90</v>
      </c>
      <c r="BF31">
        <v>87</v>
      </c>
      <c r="BG31">
        <v>83</v>
      </c>
      <c r="BH31">
        <v>87</v>
      </c>
      <c r="BI31">
        <v>188</v>
      </c>
      <c r="BJ31">
        <v>285</v>
      </c>
      <c r="BK31">
        <v>462</v>
      </c>
      <c r="BL31">
        <v>488</v>
      </c>
      <c r="BM31">
        <v>299</v>
      </c>
      <c r="BN31">
        <v>299</v>
      </c>
      <c r="BO31">
        <v>288</v>
      </c>
      <c r="BP31">
        <v>288</v>
      </c>
      <c r="BQ31">
        <v>288</v>
      </c>
      <c r="BR31">
        <v>286</v>
      </c>
      <c r="BS31">
        <v>285</v>
      </c>
      <c r="BT31">
        <v>286</v>
      </c>
      <c r="BU31">
        <v>286</v>
      </c>
      <c r="BV31">
        <v>286</v>
      </c>
      <c r="BW31">
        <v>287</v>
      </c>
      <c r="BX31">
        <v>286</v>
      </c>
      <c r="BY31">
        <v>286</v>
      </c>
      <c r="BZ31">
        <v>223</v>
      </c>
      <c r="CA31">
        <v>291</v>
      </c>
      <c r="CB31">
        <v>291</v>
      </c>
      <c r="CC31">
        <v>295</v>
      </c>
      <c r="CD31">
        <v>337</v>
      </c>
      <c r="CE31">
        <v>337</v>
      </c>
      <c r="CF31">
        <v>336</v>
      </c>
      <c r="CG31">
        <v>338</v>
      </c>
      <c r="CH31">
        <v>338</v>
      </c>
      <c r="CI31">
        <v>338</v>
      </c>
      <c r="CJ31">
        <v>341</v>
      </c>
      <c r="CK31">
        <v>341</v>
      </c>
      <c r="CL31">
        <v>344</v>
      </c>
      <c r="CM31">
        <v>343</v>
      </c>
      <c r="CN31">
        <v>343</v>
      </c>
      <c r="CO31">
        <v>343</v>
      </c>
      <c r="CP31">
        <v>343</v>
      </c>
      <c r="CQ31">
        <v>343</v>
      </c>
      <c r="CR31">
        <v>343</v>
      </c>
      <c r="CS31">
        <v>343</v>
      </c>
    </row>
    <row r="32" spans="1:97">
      <c r="A32" s="9">
        <v>46265</v>
      </c>
      <c r="B32">
        <v>207</v>
      </c>
      <c r="C32">
        <v>206</v>
      </c>
      <c r="D32">
        <v>196</v>
      </c>
      <c r="E32">
        <v>196</v>
      </c>
      <c r="F32">
        <v>196</v>
      </c>
      <c r="G32">
        <v>196</v>
      </c>
      <c r="H32">
        <v>197</v>
      </c>
      <c r="I32">
        <v>197</v>
      </c>
      <c r="J32">
        <v>239</v>
      </c>
      <c r="K32">
        <v>238</v>
      </c>
      <c r="L32">
        <v>238</v>
      </c>
      <c r="M32">
        <v>238</v>
      </c>
      <c r="N32">
        <v>237</v>
      </c>
      <c r="O32">
        <v>235</v>
      </c>
      <c r="P32">
        <v>235</v>
      </c>
      <c r="Q32">
        <v>235</v>
      </c>
      <c r="R32">
        <v>236</v>
      </c>
      <c r="S32">
        <v>235</v>
      </c>
      <c r="T32">
        <v>235</v>
      </c>
      <c r="U32">
        <v>236</v>
      </c>
      <c r="V32">
        <v>172</v>
      </c>
      <c r="W32">
        <v>173</v>
      </c>
      <c r="X32">
        <v>172</v>
      </c>
      <c r="Y32">
        <v>173</v>
      </c>
      <c r="Z32">
        <v>173</v>
      </c>
      <c r="AA32">
        <v>172</v>
      </c>
      <c r="AB32">
        <v>172</v>
      </c>
      <c r="AC32">
        <v>172</v>
      </c>
      <c r="AD32">
        <v>171</v>
      </c>
      <c r="AE32">
        <v>171</v>
      </c>
      <c r="AF32">
        <v>171</v>
      </c>
      <c r="AG32">
        <v>171</v>
      </c>
      <c r="AH32">
        <v>171</v>
      </c>
      <c r="AI32">
        <v>99</v>
      </c>
      <c r="AJ32">
        <v>99</v>
      </c>
      <c r="AK32">
        <v>99</v>
      </c>
      <c r="AL32">
        <v>97</v>
      </c>
      <c r="AM32">
        <v>97</v>
      </c>
      <c r="AN32">
        <v>97</v>
      </c>
      <c r="AO32">
        <v>97</v>
      </c>
      <c r="AP32">
        <v>97</v>
      </c>
      <c r="AQ32">
        <v>97</v>
      </c>
      <c r="AR32">
        <v>97</v>
      </c>
      <c r="AS32">
        <v>97</v>
      </c>
      <c r="AT32">
        <v>97</v>
      </c>
      <c r="AU32">
        <v>97</v>
      </c>
      <c r="AV32">
        <v>97</v>
      </c>
      <c r="AW32">
        <v>97</v>
      </c>
      <c r="AX32">
        <v>96</v>
      </c>
      <c r="AY32">
        <v>96</v>
      </c>
      <c r="AZ32">
        <v>96</v>
      </c>
      <c r="BA32">
        <v>95</v>
      </c>
      <c r="BB32">
        <v>95</v>
      </c>
      <c r="BC32">
        <v>96</v>
      </c>
      <c r="BD32">
        <v>93</v>
      </c>
      <c r="BE32">
        <v>92</v>
      </c>
      <c r="BF32">
        <v>93</v>
      </c>
      <c r="BG32">
        <v>92</v>
      </c>
      <c r="BH32">
        <v>92</v>
      </c>
      <c r="BI32">
        <v>92</v>
      </c>
      <c r="BJ32">
        <v>92</v>
      </c>
      <c r="BK32">
        <v>92</v>
      </c>
      <c r="BL32">
        <v>92</v>
      </c>
      <c r="BM32">
        <v>92</v>
      </c>
      <c r="BN32">
        <v>227</v>
      </c>
      <c r="BO32">
        <v>228</v>
      </c>
      <c r="BP32">
        <v>228</v>
      </c>
      <c r="BQ32">
        <v>246</v>
      </c>
      <c r="BR32">
        <v>269</v>
      </c>
      <c r="BS32">
        <v>269</v>
      </c>
      <c r="BT32">
        <v>269</v>
      </c>
      <c r="BU32">
        <v>269</v>
      </c>
      <c r="BV32">
        <v>269</v>
      </c>
      <c r="BW32">
        <v>268</v>
      </c>
      <c r="BX32">
        <v>269</v>
      </c>
      <c r="BY32">
        <v>268</v>
      </c>
      <c r="BZ32">
        <v>268</v>
      </c>
      <c r="CA32">
        <v>269</v>
      </c>
      <c r="CB32">
        <v>269</v>
      </c>
      <c r="CC32">
        <v>268</v>
      </c>
      <c r="CD32">
        <v>269</v>
      </c>
      <c r="CE32">
        <v>231</v>
      </c>
      <c r="CF32">
        <v>231</v>
      </c>
      <c r="CG32">
        <v>230</v>
      </c>
      <c r="CH32">
        <v>230</v>
      </c>
      <c r="CI32">
        <v>230</v>
      </c>
      <c r="CJ32">
        <v>230</v>
      </c>
      <c r="CK32">
        <v>230</v>
      </c>
      <c r="CL32">
        <v>230</v>
      </c>
      <c r="CM32">
        <v>230</v>
      </c>
      <c r="CN32">
        <v>230</v>
      </c>
      <c r="CO32">
        <v>230</v>
      </c>
      <c r="CP32">
        <v>250</v>
      </c>
      <c r="CQ32">
        <v>250</v>
      </c>
      <c r="CR32">
        <v>249</v>
      </c>
      <c r="CS32">
        <v>249</v>
      </c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CS32"/>
  <sheetViews>
    <sheetView workbookViewId="0">
      <selection activeCell="A2" sqref="$A2:$XFD2"/>
    </sheetView>
  </sheetViews>
  <sheetFormatPr defaultColWidth="8.89166666666667" defaultRowHeight="13.5"/>
  <cols>
    <col min="1" max="1" width="11.8916666666667" style="9" customWidth="1"/>
  </cols>
  <sheetData>
    <row r="1" spans="1:97">
      <c r="A1" s="9" t="s">
        <v>0</v>
      </c>
      <c r="B1" s="1">
        <v>0.0104166666666667</v>
      </c>
      <c r="C1" s="1">
        <v>0.0208333333333333</v>
      </c>
      <c r="D1" s="1">
        <v>0.03125</v>
      </c>
      <c r="E1" s="1">
        <v>0.0416666666666667</v>
      </c>
      <c r="F1" s="1">
        <v>0.0520833333333333</v>
      </c>
      <c r="G1" s="1">
        <v>0.0625</v>
      </c>
      <c r="H1" s="1">
        <v>0.0729166666666667</v>
      </c>
      <c r="I1" s="1">
        <v>0.0833333333333333</v>
      </c>
      <c r="J1" s="1">
        <v>0.09375</v>
      </c>
      <c r="K1" s="1">
        <v>0.104166666666667</v>
      </c>
      <c r="L1" s="1">
        <v>0.114583333333333</v>
      </c>
      <c r="M1" s="1">
        <v>0.125</v>
      </c>
      <c r="N1" s="1">
        <v>0.135416666666667</v>
      </c>
      <c r="O1" s="1">
        <v>0.145833333333333</v>
      </c>
      <c r="P1" s="1">
        <v>0.15625</v>
      </c>
      <c r="Q1" s="1">
        <v>0.166666666666667</v>
      </c>
      <c r="R1" s="1">
        <v>0.177083333333333</v>
      </c>
      <c r="S1" s="1">
        <v>0.1875</v>
      </c>
      <c r="T1" s="1">
        <v>0.197916666666667</v>
      </c>
      <c r="U1" s="1">
        <v>0.208333333333333</v>
      </c>
      <c r="V1" s="1">
        <v>0.21875</v>
      </c>
      <c r="W1" s="1">
        <v>0.229166666666667</v>
      </c>
      <c r="X1" s="1">
        <v>0.239583333333333</v>
      </c>
      <c r="Y1" s="1">
        <v>0.25</v>
      </c>
      <c r="Z1" s="1">
        <v>0.260416666666667</v>
      </c>
      <c r="AA1" s="1">
        <v>0.270833333333333</v>
      </c>
      <c r="AB1" s="1">
        <v>0.28125</v>
      </c>
      <c r="AC1" s="1">
        <v>0.291666666666667</v>
      </c>
      <c r="AD1" s="1">
        <v>0.302083333333333</v>
      </c>
      <c r="AE1" s="1">
        <v>0.3125</v>
      </c>
      <c r="AF1" s="1">
        <v>0.322916666666667</v>
      </c>
      <c r="AG1" s="1">
        <v>0.333333333333333</v>
      </c>
      <c r="AH1" s="1">
        <v>0.34375</v>
      </c>
      <c r="AI1" s="1">
        <v>0.354166666666667</v>
      </c>
      <c r="AJ1" s="1">
        <v>0.364583333333333</v>
      </c>
      <c r="AK1" s="1">
        <v>0.375</v>
      </c>
      <c r="AL1" s="1">
        <v>0.385416666666667</v>
      </c>
      <c r="AM1" s="1">
        <v>0.395833333333333</v>
      </c>
      <c r="AN1" s="1">
        <v>0.40625</v>
      </c>
      <c r="AO1" s="1">
        <v>0.416666666666667</v>
      </c>
      <c r="AP1" s="1">
        <v>0.427083333333333</v>
      </c>
      <c r="AQ1" s="1">
        <v>0.4375</v>
      </c>
      <c r="AR1" s="1">
        <v>0.447916666666667</v>
      </c>
      <c r="AS1" s="1">
        <v>0.458333333333333</v>
      </c>
      <c r="AT1" s="1">
        <v>0.46875</v>
      </c>
      <c r="AU1" s="1">
        <v>0.479166666666667</v>
      </c>
      <c r="AV1" s="1">
        <v>0.489583333333333</v>
      </c>
      <c r="AW1" s="1">
        <v>0.5</v>
      </c>
      <c r="AX1" s="1">
        <v>0.510416666666667</v>
      </c>
      <c r="AY1" s="1">
        <v>0.520833333333333</v>
      </c>
      <c r="AZ1" s="1">
        <v>0.53125</v>
      </c>
      <c r="BA1" s="1">
        <v>0.541666666666667</v>
      </c>
      <c r="BB1" s="1">
        <v>0.552083333333333</v>
      </c>
      <c r="BC1" s="1">
        <v>0.5625</v>
      </c>
      <c r="BD1" s="1">
        <v>0.572916666666667</v>
      </c>
      <c r="BE1" s="1">
        <v>0.583333333333333</v>
      </c>
      <c r="BF1" s="1">
        <v>0.59375</v>
      </c>
      <c r="BG1" s="1">
        <v>0.604166666666667</v>
      </c>
      <c r="BH1" s="1">
        <v>0.614583333333333</v>
      </c>
      <c r="BI1" s="1">
        <v>0.625</v>
      </c>
      <c r="BJ1" s="1">
        <v>0.635416666666667</v>
      </c>
      <c r="BK1" s="1">
        <v>0.645833333333333</v>
      </c>
      <c r="BL1" s="1">
        <v>0.65625</v>
      </c>
      <c r="BM1" s="1">
        <v>0.666666666666667</v>
      </c>
      <c r="BN1" s="1">
        <v>0.677083333333333</v>
      </c>
      <c r="BO1" s="1">
        <v>0.6875</v>
      </c>
      <c r="BP1" s="1">
        <v>0.697916666666667</v>
      </c>
      <c r="BQ1" s="1">
        <v>0.708333333333333</v>
      </c>
      <c r="BR1" s="1">
        <v>0.71875</v>
      </c>
      <c r="BS1" s="1">
        <v>0.729166666666667</v>
      </c>
      <c r="BT1" s="1">
        <v>0.739583333333333</v>
      </c>
      <c r="BU1" s="1">
        <v>0.75</v>
      </c>
      <c r="BV1" s="1">
        <v>0.760416666666667</v>
      </c>
      <c r="BW1" s="1">
        <v>0.770833333333333</v>
      </c>
      <c r="BX1" s="1">
        <v>0.78125</v>
      </c>
      <c r="BY1" s="1">
        <v>0.791666666666667</v>
      </c>
      <c r="BZ1" s="1">
        <v>0.802083333333333</v>
      </c>
      <c r="CA1" s="1">
        <v>0.8125</v>
      </c>
      <c r="CB1" s="1">
        <v>0.822916666666667</v>
      </c>
      <c r="CC1" s="1">
        <v>0.833333333333333</v>
      </c>
      <c r="CD1" s="1">
        <v>0.84375</v>
      </c>
      <c r="CE1" s="1">
        <v>0.854166666666667</v>
      </c>
      <c r="CF1" s="1">
        <v>0.864583333333333</v>
      </c>
      <c r="CG1" s="1">
        <v>0.875</v>
      </c>
      <c r="CH1" s="1">
        <v>0.885416666666667</v>
      </c>
      <c r="CI1" s="1">
        <v>0.895833333333333</v>
      </c>
      <c r="CJ1" s="1">
        <v>0.90625</v>
      </c>
      <c r="CK1" s="1">
        <v>0.916666666666667</v>
      </c>
      <c r="CL1" s="1">
        <v>0.927083333333333</v>
      </c>
      <c r="CM1" s="1">
        <v>0.9375</v>
      </c>
      <c r="CN1" s="1">
        <v>0.947916666666667</v>
      </c>
      <c r="CO1" s="1">
        <v>0.958333333333333</v>
      </c>
      <c r="CP1" s="1">
        <v>0.96875</v>
      </c>
      <c r="CQ1" s="1">
        <v>0.979166666666667</v>
      </c>
      <c r="CR1" s="1">
        <v>0.989583333333333</v>
      </c>
      <c r="CS1" s="1">
        <v>1</v>
      </c>
    </row>
    <row r="2" spans="1:97">
      <c r="A2" s="9">
        <v>46235</v>
      </c>
      <c r="B2">
        <v>6301.15</v>
      </c>
      <c r="C2">
        <v>6299.14</v>
      </c>
      <c r="D2">
        <v>6306.36</v>
      </c>
      <c r="E2">
        <v>6307.19</v>
      </c>
      <c r="F2">
        <v>6313.61</v>
      </c>
      <c r="G2">
        <v>6310.4</v>
      </c>
      <c r="H2">
        <v>6309.58</v>
      </c>
      <c r="I2">
        <v>6305.57</v>
      </c>
      <c r="J2">
        <v>6307.57</v>
      </c>
      <c r="K2">
        <v>6306.77</v>
      </c>
      <c r="L2">
        <v>6305.56</v>
      </c>
      <c r="M2">
        <v>6309.58</v>
      </c>
      <c r="N2">
        <v>6304.35</v>
      </c>
      <c r="O2">
        <v>6308.78</v>
      </c>
      <c r="P2">
        <v>6307.98</v>
      </c>
      <c r="Q2">
        <v>6305.98</v>
      </c>
      <c r="R2">
        <v>6308.38</v>
      </c>
      <c r="S2">
        <v>6309.99</v>
      </c>
      <c r="T2">
        <v>6311.6</v>
      </c>
      <c r="U2">
        <v>6302.35</v>
      </c>
      <c r="V2">
        <v>6316.02</v>
      </c>
      <c r="W2">
        <v>6298.73</v>
      </c>
      <c r="X2">
        <v>6310</v>
      </c>
      <c r="Y2">
        <v>6306.37</v>
      </c>
      <c r="Z2">
        <v>6299.14</v>
      </c>
      <c r="AA2">
        <v>6301.54</v>
      </c>
      <c r="AB2">
        <v>6313.21</v>
      </c>
      <c r="AC2">
        <v>6314</v>
      </c>
      <c r="AD2">
        <v>6301.95</v>
      </c>
      <c r="AE2">
        <v>6298.33</v>
      </c>
      <c r="AF2">
        <v>6305.17</v>
      </c>
      <c r="AG2">
        <v>6311.6</v>
      </c>
      <c r="AH2">
        <v>6303.57</v>
      </c>
      <c r="AI2">
        <v>6306.37</v>
      </c>
      <c r="AJ2">
        <v>6306.38</v>
      </c>
      <c r="AK2">
        <v>6302.34</v>
      </c>
      <c r="AL2">
        <v>6305.97</v>
      </c>
      <c r="AM2">
        <v>6301.94</v>
      </c>
      <c r="AN2">
        <v>6305.97</v>
      </c>
      <c r="AO2">
        <v>6305.97</v>
      </c>
      <c r="AP2">
        <v>6304.77</v>
      </c>
      <c r="AQ2">
        <v>6303.97</v>
      </c>
      <c r="AR2">
        <v>6303.56</v>
      </c>
      <c r="AS2">
        <v>6302.76</v>
      </c>
      <c r="AT2">
        <v>6308.79</v>
      </c>
      <c r="AU2">
        <v>6307.18</v>
      </c>
      <c r="AV2">
        <v>6303.15</v>
      </c>
      <c r="AW2">
        <v>6301.55</v>
      </c>
      <c r="AX2">
        <v>6304.36</v>
      </c>
      <c r="AY2">
        <v>6309.59</v>
      </c>
      <c r="AZ2">
        <v>6304.37</v>
      </c>
      <c r="BA2">
        <v>6308.38</v>
      </c>
      <c r="BB2">
        <v>6299.96</v>
      </c>
      <c r="BC2">
        <v>6296.33</v>
      </c>
      <c r="BD2">
        <v>6299.94</v>
      </c>
      <c r="BE2">
        <v>6297.92</v>
      </c>
      <c r="BF2">
        <v>6299.55</v>
      </c>
      <c r="BG2">
        <v>6292.72</v>
      </c>
      <c r="BH2">
        <v>6288.68</v>
      </c>
      <c r="BI2">
        <v>6288.69</v>
      </c>
      <c r="BJ2">
        <v>6288.28</v>
      </c>
      <c r="BK2">
        <v>6287.49</v>
      </c>
      <c r="BL2">
        <v>6289.09</v>
      </c>
      <c r="BM2">
        <v>6279.45</v>
      </c>
      <c r="BN2">
        <v>6278.65</v>
      </c>
      <c r="BO2">
        <v>6284.67</v>
      </c>
      <c r="BP2">
        <v>6288.28</v>
      </c>
      <c r="BQ2">
        <v>6288.69</v>
      </c>
      <c r="BR2">
        <v>6272.21</v>
      </c>
      <c r="BS2">
        <v>6276.23</v>
      </c>
      <c r="BT2">
        <v>6285.48</v>
      </c>
      <c r="BU2">
        <v>6285.87</v>
      </c>
      <c r="BV2">
        <v>6279.45</v>
      </c>
      <c r="BW2">
        <v>6282.26</v>
      </c>
      <c r="BX2">
        <v>6276.24</v>
      </c>
      <c r="BY2">
        <v>6288.3</v>
      </c>
      <c r="BZ2">
        <v>6276.63</v>
      </c>
      <c r="CA2">
        <v>6289.89</v>
      </c>
      <c r="CB2">
        <v>6283.46</v>
      </c>
      <c r="CC2">
        <v>6283.08</v>
      </c>
      <c r="CD2">
        <v>6285.48</v>
      </c>
      <c r="CE2">
        <v>6285.09</v>
      </c>
      <c r="CF2">
        <v>6281.85</v>
      </c>
      <c r="CG2">
        <v>6285.09</v>
      </c>
      <c r="CH2">
        <v>6283.47</v>
      </c>
      <c r="CI2">
        <v>6278.23</v>
      </c>
      <c r="CJ2">
        <v>6281.86</v>
      </c>
      <c r="CK2">
        <v>6284.27</v>
      </c>
      <c r="CL2">
        <v>6285.08</v>
      </c>
      <c r="CM2">
        <v>6281.87</v>
      </c>
      <c r="CN2">
        <v>6287.5</v>
      </c>
      <c r="CO2">
        <v>6283.47</v>
      </c>
      <c r="CP2">
        <v>6290.7</v>
      </c>
      <c r="CQ2">
        <v>6277.44</v>
      </c>
      <c r="CR2">
        <v>6283.07</v>
      </c>
      <c r="CS2">
        <v>6292.7</v>
      </c>
    </row>
    <row r="3" spans="1:97">
      <c r="A3" s="9">
        <v>46236</v>
      </c>
      <c r="B3">
        <v>6289.9</v>
      </c>
      <c r="C3">
        <v>6281.46</v>
      </c>
      <c r="D3">
        <v>6286.28</v>
      </c>
      <c r="E3">
        <v>6279.86</v>
      </c>
      <c r="F3">
        <v>6277.43</v>
      </c>
      <c r="G3">
        <v>6282.26</v>
      </c>
      <c r="H3">
        <v>6281.87</v>
      </c>
      <c r="I3">
        <v>6279.85</v>
      </c>
      <c r="J3">
        <v>6282.67</v>
      </c>
      <c r="K3">
        <v>6282.67</v>
      </c>
      <c r="L3">
        <v>6289.5</v>
      </c>
      <c r="M3">
        <v>6287.49</v>
      </c>
      <c r="N3">
        <v>6291.9</v>
      </c>
      <c r="O3">
        <v>6283.87</v>
      </c>
      <c r="P3">
        <v>6287.9</v>
      </c>
      <c r="Q3">
        <v>6286.68</v>
      </c>
      <c r="R3">
        <v>6283.45</v>
      </c>
      <c r="S3">
        <v>6278.65</v>
      </c>
      <c r="T3">
        <v>6281.46</v>
      </c>
      <c r="U3">
        <v>6292.3</v>
      </c>
      <c r="V3">
        <v>6287.48</v>
      </c>
      <c r="W3">
        <v>6283.47</v>
      </c>
      <c r="X3">
        <v>6287.09</v>
      </c>
      <c r="Y3">
        <v>6289.49</v>
      </c>
      <c r="Z3">
        <v>6281.85</v>
      </c>
      <c r="AA3">
        <v>6275.43</v>
      </c>
      <c r="AB3">
        <v>6281.06</v>
      </c>
      <c r="AC3">
        <v>6287.09</v>
      </c>
      <c r="AD3">
        <v>6285.88</v>
      </c>
      <c r="AE3">
        <v>6279.46</v>
      </c>
      <c r="AF3">
        <v>6277.43</v>
      </c>
      <c r="AG3">
        <v>6284.27</v>
      </c>
      <c r="AH3">
        <v>6278.24</v>
      </c>
      <c r="AI3">
        <v>6276.64</v>
      </c>
      <c r="AJ3">
        <v>6281.86</v>
      </c>
      <c r="AK3">
        <v>6283.06</v>
      </c>
      <c r="AL3">
        <v>6279.04</v>
      </c>
      <c r="AM3">
        <v>6285.88</v>
      </c>
      <c r="AN3">
        <v>6285.47</v>
      </c>
      <c r="AO3">
        <v>6282.66</v>
      </c>
      <c r="AP3">
        <v>6280.64</v>
      </c>
      <c r="AQ3">
        <v>6282.67</v>
      </c>
      <c r="AR3">
        <v>6277.03</v>
      </c>
      <c r="AS3">
        <v>6280.65</v>
      </c>
      <c r="AT3">
        <v>6278.25</v>
      </c>
      <c r="AU3">
        <v>6287.07</v>
      </c>
      <c r="AV3">
        <v>6292.3</v>
      </c>
      <c r="AW3">
        <v>6282.66</v>
      </c>
      <c r="AX3">
        <v>6283.06</v>
      </c>
      <c r="AY3">
        <v>6277.04</v>
      </c>
      <c r="AZ3">
        <v>6283.88</v>
      </c>
      <c r="BA3">
        <v>6284.68</v>
      </c>
      <c r="BB3">
        <v>6284.28</v>
      </c>
      <c r="BC3">
        <v>6277.44</v>
      </c>
      <c r="BD3">
        <v>6285.48</v>
      </c>
      <c r="BE3">
        <v>6277.84</v>
      </c>
      <c r="BF3">
        <v>6284.27</v>
      </c>
      <c r="BG3">
        <v>6287.09</v>
      </c>
      <c r="BH3">
        <v>6281.46</v>
      </c>
      <c r="BI3">
        <v>6291.1</v>
      </c>
      <c r="BJ3">
        <v>6285.49</v>
      </c>
      <c r="BK3">
        <v>6281.06</v>
      </c>
      <c r="BL3">
        <v>6273.03</v>
      </c>
      <c r="BM3">
        <v>6276.64</v>
      </c>
      <c r="BN3">
        <v>6268.6</v>
      </c>
      <c r="BO3">
        <v>6277.44</v>
      </c>
      <c r="BP3">
        <v>6275.83</v>
      </c>
      <c r="BQ3">
        <v>6269</v>
      </c>
      <c r="BR3">
        <v>6270.62</v>
      </c>
      <c r="BS3">
        <v>6267.79</v>
      </c>
      <c r="BT3">
        <v>6270.21</v>
      </c>
      <c r="BU3">
        <v>6269.4</v>
      </c>
      <c r="BV3">
        <v>6271.41</v>
      </c>
      <c r="BW3">
        <v>6279.43</v>
      </c>
      <c r="BX3">
        <v>6273.43</v>
      </c>
      <c r="BY3">
        <v>6263.77</v>
      </c>
      <c r="BZ3">
        <v>6268.2</v>
      </c>
      <c r="CA3">
        <v>6264.58</v>
      </c>
      <c r="CB3">
        <v>6263.76</v>
      </c>
      <c r="CC3">
        <v>6269.41</v>
      </c>
      <c r="CD3">
        <v>6271.81</v>
      </c>
      <c r="CE3">
        <v>6262.97</v>
      </c>
      <c r="CF3">
        <v>6271.02</v>
      </c>
      <c r="CG3">
        <v>6267.8</v>
      </c>
      <c r="CH3">
        <v>6269.41</v>
      </c>
      <c r="CI3">
        <v>6274.22</v>
      </c>
      <c r="CJ3">
        <v>6273.01</v>
      </c>
      <c r="CK3">
        <v>6274.63</v>
      </c>
      <c r="CL3">
        <v>6272.21</v>
      </c>
      <c r="CM3">
        <v>6262.57</v>
      </c>
      <c r="CN3">
        <v>6268.59</v>
      </c>
      <c r="CO3">
        <v>6269.81</v>
      </c>
      <c r="CP3">
        <v>6270.61</v>
      </c>
      <c r="CQ3">
        <v>6272.61</v>
      </c>
      <c r="CR3">
        <v>6272.62</v>
      </c>
      <c r="CS3">
        <v>6268.99</v>
      </c>
    </row>
    <row r="4" spans="1:97">
      <c r="A4" s="9">
        <v>46237</v>
      </c>
      <c r="B4">
        <v>6275.43</v>
      </c>
      <c r="C4">
        <v>6275.04</v>
      </c>
      <c r="D4">
        <v>6270.61</v>
      </c>
      <c r="E4">
        <v>6275.43</v>
      </c>
      <c r="F4">
        <v>6276.23</v>
      </c>
      <c r="G4">
        <v>6271.81</v>
      </c>
      <c r="H4">
        <v>6277.04</v>
      </c>
      <c r="I4">
        <v>6267.78</v>
      </c>
      <c r="J4">
        <v>6278.65</v>
      </c>
      <c r="K4">
        <v>6277.44</v>
      </c>
      <c r="L4">
        <v>6272.61</v>
      </c>
      <c r="M4">
        <v>6271.81</v>
      </c>
      <c r="N4">
        <v>6274.61</v>
      </c>
      <c r="O4">
        <v>6270.2</v>
      </c>
      <c r="P4">
        <v>6272.22</v>
      </c>
      <c r="Q4">
        <v>6267.39</v>
      </c>
      <c r="R4">
        <v>6274.63</v>
      </c>
      <c r="S4">
        <v>6271.8</v>
      </c>
      <c r="T4">
        <v>6276.64</v>
      </c>
      <c r="U4">
        <v>6268.19</v>
      </c>
      <c r="V4">
        <v>6275.43</v>
      </c>
      <c r="W4">
        <v>6275.43</v>
      </c>
      <c r="X4">
        <v>6266.58</v>
      </c>
      <c r="Y4">
        <v>6274.22</v>
      </c>
      <c r="Z4">
        <v>6268.19</v>
      </c>
      <c r="AA4">
        <v>6270.61</v>
      </c>
      <c r="AB4">
        <v>6275.83</v>
      </c>
      <c r="AC4">
        <v>6271.41</v>
      </c>
      <c r="AD4">
        <v>6275.81</v>
      </c>
      <c r="AE4">
        <v>6271.01</v>
      </c>
      <c r="AF4">
        <v>6275.43</v>
      </c>
      <c r="AG4">
        <v>6267.79</v>
      </c>
      <c r="AH4">
        <v>6271.8</v>
      </c>
      <c r="AI4">
        <v>6269.81</v>
      </c>
      <c r="AJ4">
        <v>6262.18</v>
      </c>
      <c r="AK4">
        <v>6266.18</v>
      </c>
      <c r="AL4">
        <v>6267.79</v>
      </c>
      <c r="AM4">
        <v>6259.76</v>
      </c>
      <c r="AN4">
        <v>6268.58</v>
      </c>
      <c r="AO4">
        <v>6262.56</v>
      </c>
      <c r="AP4">
        <v>6263.37</v>
      </c>
      <c r="AQ4">
        <v>6266.2</v>
      </c>
      <c r="AR4">
        <v>6261.77</v>
      </c>
      <c r="AS4">
        <v>6268.21</v>
      </c>
      <c r="AT4">
        <v>6267</v>
      </c>
      <c r="AU4">
        <v>6267.79</v>
      </c>
      <c r="AV4">
        <v>6266.98</v>
      </c>
      <c r="AW4">
        <v>6271.01</v>
      </c>
      <c r="AX4">
        <v>6269</v>
      </c>
      <c r="AY4">
        <v>6270.21</v>
      </c>
      <c r="AZ4">
        <v>6268.6</v>
      </c>
      <c r="BA4">
        <v>6277.44</v>
      </c>
      <c r="BB4">
        <v>6263.78</v>
      </c>
      <c r="BC4">
        <v>6269.81</v>
      </c>
      <c r="BD4">
        <v>6273.01</v>
      </c>
      <c r="BE4">
        <v>6269.8</v>
      </c>
      <c r="BF4">
        <v>6269</v>
      </c>
      <c r="BG4">
        <v>6269.8</v>
      </c>
      <c r="BH4">
        <v>6268.59</v>
      </c>
      <c r="BI4">
        <v>6262.96</v>
      </c>
      <c r="BJ4">
        <v>6270.2</v>
      </c>
      <c r="BK4">
        <v>6273.82</v>
      </c>
      <c r="BL4">
        <v>6271.82</v>
      </c>
      <c r="BM4">
        <v>6270.2</v>
      </c>
      <c r="BN4">
        <v>6262.57</v>
      </c>
      <c r="BO4">
        <v>6260.95</v>
      </c>
      <c r="BP4">
        <v>6262.16</v>
      </c>
      <c r="BQ4">
        <v>6265.78</v>
      </c>
      <c r="BR4">
        <v>6260.16</v>
      </c>
      <c r="BS4">
        <v>6260.96</v>
      </c>
      <c r="BT4">
        <v>6257.74</v>
      </c>
      <c r="BU4">
        <v>6273.01</v>
      </c>
      <c r="BV4">
        <v>6261.77</v>
      </c>
      <c r="BW4">
        <v>6258.95</v>
      </c>
      <c r="BX4">
        <v>6256.54</v>
      </c>
      <c r="BY4">
        <v>6265.38</v>
      </c>
      <c r="BZ4">
        <v>6263.78</v>
      </c>
      <c r="CA4">
        <v>6254.52</v>
      </c>
      <c r="CB4">
        <v>6260.96</v>
      </c>
      <c r="CC4">
        <v>6260.95</v>
      </c>
      <c r="CD4">
        <v>6252.51</v>
      </c>
      <c r="CE4">
        <v>6254.13</v>
      </c>
      <c r="CF4">
        <v>6253.72</v>
      </c>
      <c r="CG4">
        <v>6263.77</v>
      </c>
      <c r="CH4">
        <v>6259.35</v>
      </c>
      <c r="CI4">
        <v>6267.79</v>
      </c>
      <c r="CJ4">
        <v>6256.13</v>
      </c>
      <c r="CK4">
        <v>6265.79</v>
      </c>
      <c r="CL4">
        <v>6256.95</v>
      </c>
      <c r="CM4">
        <v>6262.97</v>
      </c>
      <c r="CN4">
        <v>6258.15</v>
      </c>
      <c r="CO4">
        <v>6262.96</v>
      </c>
      <c r="CP4">
        <v>6266.59</v>
      </c>
      <c r="CQ4">
        <v>6264.19</v>
      </c>
      <c r="CR4">
        <v>6258.95</v>
      </c>
      <c r="CS4">
        <v>6259.75</v>
      </c>
    </row>
    <row r="5" spans="1:97">
      <c r="A5" s="9">
        <v>46238</v>
      </c>
      <c r="B5">
        <v>6268.18</v>
      </c>
      <c r="C5">
        <v>6264.99</v>
      </c>
      <c r="D5">
        <v>6263.78</v>
      </c>
      <c r="E5">
        <v>6265.79</v>
      </c>
      <c r="F5">
        <v>6262.57</v>
      </c>
      <c r="G5">
        <v>6263.78</v>
      </c>
      <c r="H5">
        <v>6258.95</v>
      </c>
      <c r="I5">
        <v>6259.34</v>
      </c>
      <c r="J5">
        <v>6260.55</v>
      </c>
      <c r="K5">
        <v>6265.38</v>
      </c>
      <c r="L5">
        <v>6264.98</v>
      </c>
      <c r="M5">
        <v>6263.37</v>
      </c>
      <c r="N5">
        <v>6271.82</v>
      </c>
      <c r="O5">
        <v>6269.8</v>
      </c>
      <c r="P5">
        <v>6267.39</v>
      </c>
      <c r="Q5">
        <v>6260.16</v>
      </c>
      <c r="R5">
        <v>6257.75</v>
      </c>
      <c r="S5">
        <v>6268.61</v>
      </c>
      <c r="T5">
        <v>6262.97</v>
      </c>
      <c r="U5">
        <v>6266.59</v>
      </c>
      <c r="V5">
        <v>6262.17</v>
      </c>
      <c r="W5">
        <v>6262.98</v>
      </c>
      <c r="X5">
        <v>6263.37</v>
      </c>
      <c r="Y5">
        <v>6264.17</v>
      </c>
      <c r="Z5">
        <v>6264.17</v>
      </c>
      <c r="AA5">
        <v>6267.78</v>
      </c>
      <c r="AB5">
        <v>6266.58</v>
      </c>
      <c r="AC5">
        <v>6268.99</v>
      </c>
      <c r="AD5">
        <v>6264.99</v>
      </c>
      <c r="AE5">
        <v>6260.56</v>
      </c>
      <c r="AF5">
        <v>6255.73</v>
      </c>
      <c r="AG5">
        <v>6263.37</v>
      </c>
      <c r="AH5">
        <v>6256.54</v>
      </c>
      <c r="AI5">
        <v>6261.36</v>
      </c>
      <c r="AJ5">
        <v>6260.96</v>
      </c>
      <c r="AK5">
        <v>6270.61</v>
      </c>
      <c r="AL5">
        <v>6260.56</v>
      </c>
      <c r="AM5">
        <v>6267.4</v>
      </c>
      <c r="AN5">
        <v>6265.38</v>
      </c>
      <c r="AO5">
        <v>6260.97</v>
      </c>
      <c r="AP5">
        <v>6259.77</v>
      </c>
      <c r="AQ5">
        <v>6265.78</v>
      </c>
      <c r="AR5">
        <v>6263.37</v>
      </c>
      <c r="AS5">
        <v>6260.55</v>
      </c>
      <c r="AT5">
        <v>6258.55</v>
      </c>
      <c r="AU5">
        <v>6260.55</v>
      </c>
      <c r="AV5">
        <v>6259.75</v>
      </c>
      <c r="AW5">
        <v>6259.76</v>
      </c>
      <c r="AX5">
        <v>6268.18</v>
      </c>
      <c r="AY5">
        <v>6263.38</v>
      </c>
      <c r="AZ5">
        <v>6260.97</v>
      </c>
      <c r="BA5">
        <v>6262.17</v>
      </c>
      <c r="BB5">
        <v>6254.55</v>
      </c>
      <c r="BC5">
        <v>6254.94</v>
      </c>
      <c r="BD5">
        <v>6269.4</v>
      </c>
      <c r="BE5">
        <v>6259.35</v>
      </c>
      <c r="BF5">
        <v>6265.38</v>
      </c>
      <c r="BG5">
        <v>6259.36</v>
      </c>
      <c r="BH5">
        <v>6262.17</v>
      </c>
      <c r="BI5">
        <v>6263.37</v>
      </c>
      <c r="BJ5">
        <v>6266.6</v>
      </c>
      <c r="BK5">
        <v>6260.96</v>
      </c>
      <c r="BL5">
        <v>6262.97</v>
      </c>
      <c r="BM5">
        <v>6262.97</v>
      </c>
      <c r="BN5">
        <v>6262.17</v>
      </c>
      <c r="BO5">
        <v>6265.79</v>
      </c>
      <c r="BP5">
        <v>6271.41</v>
      </c>
      <c r="BQ5">
        <v>6260.96</v>
      </c>
      <c r="BR5">
        <v>6262.18</v>
      </c>
      <c r="BS5">
        <v>6253.72</v>
      </c>
      <c r="BT5">
        <v>6258.95</v>
      </c>
      <c r="BU5">
        <v>6262.17</v>
      </c>
      <c r="BV5">
        <v>6252.12</v>
      </c>
      <c r="BW5">
        <v>6255.74</v>
      </c>
      <c r="BX5">
        <v>6255.32</v>
      </c>
      <c r="BY5">
        <v>6253.31</v>
      </c>
      <c r="BZ5">
        <v>6250.92</v>
      </c>
      <c r="CA5">
        <v>6248.1</v>
      </c>
      <c r="CB5">
        <v>6254.93</v>
      </c>
      <c r="CC5">
        <v>6254.52</v>
      </c>
      <c r="CD5">
        <v>6256.54</v>
      </c>
      <c r="CE5">
        <v>6258.15</v>
      </c>
      <c r="CF5">
        <v>6257.34</v>
      </c>
      <c r="CG5">
        <v>6254.13</v>
      </c>
      <c r="CH5">
        <v>6256.94</v>
      </c>
      <c r="CI5">
        <v>6250.9</v>
      </c>
      <c r="CJ5">
        <v>6258.55</v>
      </c>
      <c r="CK5">
        <v>6256.94</v>
      </c>
      <c r="CL5">
        <v>6255.73</v>
      </c>
      <c r="CM5">
        <v>6251.72</v>
      </c>
      <c r="CN5">
        <v>6257.74</v>
      </c>
      <c r="CO5">
        <v>6254.93</v>
      </c>
      <c r="CP5">
        <v>6254.14</v>
      </c>
      <c r="CQ5">
        <v>6258.15</v>
      </c>
      <c r="CR5">
        <v>6257.74</v>
      </c>
      <c r="CS5">
        <v>6263.38</v>
      </c>
    </row>
    <row r="6" spans="1:97">
      <c r="A6" s="9">
        <v>46239</v>
      </c>
      <c r="B6">
        <v>6246.09</v>
      </c>
      <c r="C6">
        <v>6258.15</v>
      </c>
      <c r="D6">
        <v>6255.34</v>
      </c>
      <c r="E6">
        <v>6250.51</v>
      </c>
      <c r="F6">
        <v>6257.35</v>
      </c>
      <c r="G6">
        <v>6259.76</v>
      </c>
      <c r="H6">
        <v>6254.94</v>
      </c>
      <c r="I6">
        <v>6264.17</v>
      </c>
      <c r="J6">
        <v>6259.76</v>
      </c>
      <c r="K6">
        <v>6252.53</v>
      </c>
      <c r="L6">
        <v>6259.35</v>
      </c>
      <c r="M6">
        <v>6260.56</v>
      </c>
      <c r="N6">
        <v>6256.53</v>
      </c>
      <c r="O6">
        <v>6255.33</v>
      </c>
      <c r="P6">
        <v>6257.35</v>
      </c>
      <c r="Q6">
        <v>6263.37</v>
      </c>
      <c r="R6">
        <v>6265.39</v>
      </c>
      <c r="S6">
        <v>6257.34</v>
      </c>
      <c r="T6">
        <v>6261.76</v>
      </c>
      <c r="U6">
        <v>6263.37</v>
      </c>
      <c r="V6">
        <v>6257.75</v>
      </c>
      <c r="W6">
        <v>6256.94</v>
      </c>
      <c r="X6">
        <v>6256.94</v>
      </c>
      <c r="Y6">
        <v>6255.75</v>
      </c>
      <c r="Z6">
        <v>6257.34</v>
      </c>
      <c r="AA6">
        <v>6256.96</v>
      </c>
      <c r="AB6">
        <v>6253.72</v>
      </c>
      <c r="AC6">
        <v>6257.75</v>
      </c>
      <c r="AD6">
        <v>6253.33</v>
      </c>
      <c r="AE6">
        <v>6257.75</v>
      </c>
      <c r="AF6">
        <v>6255.34</v>
      </c>
      <c r="AG6">
        <v>6251.32</v>
      </c>
      <c r="AH6">
        <v>6249.7</v>
      </c>
      <c r="AI6">
        <v>6254.94</v>
      </c>
      <c r="AJ6">
        <v>6250.52</v>
      </c>
      <c r="AK6">
        <v>6258.54</v>
      </c>
      <c r="AL6">
        <v>6256.94</v>
      </c>
      <c r="AM6">
        <v>6252.92</v>
      </c>
      <c r="AN6">
        <v>6262.17</v>
      </c>
      <c r="AO6">
        <v>6255.74</v>
      </c>
      <c r="AP6">
        <v>6261.36</v>
      </c>
      <c r="AQ6">
        <v>6252.52</v>
      </c>
      <c r="AR6">
        <v>6259.76</v>
      </c>
      <c r="AS6">
        <v>6259.36</v>
      </c>
      <c r="AT6">
        <v>6250.11</v>
      </c>
      <c r="AU6">
        <v>6262.16</v>
      </c>
      <c r="AV6">
        <v>6255.34</v>
      </c>
      <c r="AW6">
        <v>6252.54</v>
      </c>
      <c r="AX6">
        <v>6257.75</v>
      </c>
      <c r="AY6">
        <v>6256.94</v>
      </c>
      <c r="AZ6">
        <v>6256.14</v>
      </c>
      <c r="BA6">
        <v>6252.91</v>
      </c>
      <c r="BB6">
        <v>6256.96</v>
      </c>
      <c r="BC6">
        <v>6249.31</v>
      </c>
      <c r="BD6">
        <v>6256.14</v>
      </c>
      <c r="BE6">
        <v>6252.12</v>
      </c>
      <c r="BF6">
        <v>6256.95</v>
      </c>
      <c r="BG6">
        <v>6254.12</v>
      </c>
      <c r="BH6">
        <v>6253.34</v>
      </c>
      <c r="BI6">
        <v>6247.3</v>
      </c>
      <c r="BJ6">
        <v>6253.72</v>
      </c>
      <c r="BK6">
        <v>6250.12</v>
      </c>
      <c r="BL6">
        <v>6251.72</v>
      </c>
      <c r="BM6">
        <v>6257.35</v>
      </c>
      <c r="BN6">
        <v>6246.1</v>
      </c>
      <c r="BO6">
        <v>6259.36</v>
      </c>
      <c r="BP6">
        <v>6255.73</v>
      </c>
      <c r="BQ6">
        <v>6248.52</v>
      </c>
      <c r="BR6">
        <v>6251.73</v>
      </c>
      <c r="BS6">
        <v>6257.75</v>
      </c>
      <c r="BT6">
        <v>6256.14</v>
      </c>
      <c r="BU6">
        <v>6252.93</v>
      </c>
      <c r="BV6">
        <v>6253.33</v>
      </c>
      <c r="BW6">
        <v>6248.9</v>
      </c>
      <c r="BX6">
        <v>6247.69</v>
      </c>
      <c r="BY6">
        <v>6250.12</v>
      </c>
      <c r="BZ6">
        <v>6254.13</v>
      </c>
      <c r="CA6">
        <v>6252.93</v>
      </c>
      <c r="CB6">
        <v>6245.28</v>
      </c>
      <c r="CC6">
        <v>6250.51</v>
      </c>
      <c r="CD6">
        <v>6244.49</v>
      </c>
      <c r="CE6">
        <v>6251.31</v>
      </c>
      <c r="CF6">
        <v>6253.74</v>
      </c>
      <c r="CG6">
        <v>6251.71</v>
      </c>
      <c r="CH6">
        <v>6255.34</v>
      </c>
      <c r="CI6">
        <v>6254.52</v>
      </c>
      <c r="CJ6">
        <v>6252.93</v>
      </c>
      <c r="CK6">
        <v>6238.05</v>
      </c>
      <c r="CL6">
        <v>6244.89</v>
      </c>
      <c r="CM6">
        <v>6253.33</v>
      </c>
      <c r="CN6">
        <v>6253.31</v>
      </c>
      <c r="CO6">
        <v>6245.68</v>
      </c>
      <c r="CP6">
        <v>6254.94</v>
      </c>
      <c r="CQ6">
        <v>6245.29</v>
      </c>
      <c r="CR6">
        <v>6252.93</v>
      </c>
      <c r="CS6">
        <v>6250.12</v>
      </c>
    </row>
    <row r="7" spans="1:97">
      <c r="A7" s="9">
        <v>46240</v>
      </c>
      <c r="B7">
        <v>6251.72</v>
      </c>
      <c r="C7">
        <v>6251.71</v>
      </c>
      <c r="D7">
        <v>6250.11</v>
      </c>
      <c r="E7">
        <v>6252.11</v>
      </c>
      <c r="F7">
        <v>6252.93</v>
      </c>
      <c r="G7">
        <v>6246.09</v>
      </c>
      <c r="H7">
        <v>6250.51</v>
      </c>
      <c r="I7">
        <v>6250.11</v>
      </c>
      <c r="J7">
        <v>6247.69</v>
      </c>
      <c r="K7">
        <v>6251.31</v>
      </c>
      <c r="L7">
        <v>6244.08</v>
      </c>
      <c r="M7">
        <v>6250.91</v>
      </c>
      <c r="N7">
        <v>6246.09</v>
      </c>
      <c r="O7">
        <v>6256.55</v>
      </c>
      <c r="P7">
        <v>6244.07</v>
      </c>
      <c r="Q7">
        <v>6242.47</v>
      </c>
      <c r="R7">
        <v>6250.92</v>
      </c>
      <c r="S7">
        <v>6246.9</v>
      </c>
      <c r="T7">
        <v>6256.95</v>
      </c>
      <c r="U7">
        <v>6246.49</v>
      </c>
      <c r="V7">
        <v>6250.52</v>
      </c>
      <c r="W7">
        <v>6253.33</v>
      </c>
      <c r="X7">
        <v>6250.11</v>
      </c>
      <c r="Y7">
        <v>6250.92</v>
      </c>
      <c r="Z7">
        <v>6242.47</v>
      </c>
      <c r="AA7">
        <v>6244.49</v>
      </c>
      <c r="AB7">
        <v>6249.31</v>
      </c>
      <c r="AC7">
        <v>6252.52</v>
      </c>
      <c r="AD7">
        <v>6242.07</v>
      </c>
      <c r="AE7">
        <v>6250.11</v>
      </c>
      <c r="AF7">
        <v>6254.93</v>
      </c>
      <c r="AG7">
        <v>6249.72</v>
      </c>
      <c r="AH7">
        <v>6255.34</v>
      </c>
      <c r="AI7">
        <v>6247.71</v>
      </c>
      <c r="AJ7">
        <v>6249.31</v>
      </c>
      <c r="AK7">
        <v>6256.14</v>
      </c>
      <c r="AL7">
        <v>6253.33</v>
      </c>
      <c r="AM7">
        <v>6250.51</v>
      </c>
      <c r="AN7">
        <v>6242.47</v>
      </c>
      <c r="AO7">
        <v>6240.87</v>
      </c>
      <c r="AP7">
        <v>6244.5</v>
      </c>
      <c r="AQ7">
        <v>6247.7</v>
      </c>
      <c r="AR7">
        <v>6241.27</v>
      </c>
      <c r="AS7">
        <v>6244.08</v>
      </c>
      <c r="AT7">
        <v>6253.33</v>
      </c>
      <c r="AU7">
        <v>6245.3</v>
      </c>
      <c r="AV7">
        <v>6247.3</v>
      </c>
      <c r="AW7">
        <v>6250.92</v>
      </c>
      <c r="AX7">
        <v>6247.29</v>
      </c>
      <c r="AY7">
        <v>6242.47</v>
      </c>
      <c r="AZ7">
        <v>6242.08</v>
      </c>
      <c r="BA7">
        <v>6249.31</v>
      </c>
      <c r="BB7">
        <v>6250.52</v>
      </c>
      <c r="BC7">
        <v>6258.95</v>
      </c>
      <c r="BD7">
        <v>6249.71</v>
      </c>
      <c r="BE7">
        <v>6256.53</v>
      </c>
      <c r="BF7">
        <v>6246.89</v>
      </c>
      <c r="BG7">
        <v>6250.52</v>
      </c>
      <c r="BH7">
        <v>6254.14</v>
      </c>
      <c r="BI7">
        <v>6259.34</v>
      </c>
      <c r="BJ7">
        <v>6255.34</v>
      </c>
      <c r="BK7">
        <v>6248.9</v>
      </c>
      <c r="BL7">
        <v>6254.93</v>
      </c>
      <c r="BM7">
        <v>6250.92</v>
      </c>
      <c r="BN7">
        <v>6250.52</v>
      </c>
      <c r="BO7">
        <v>6247.3</v>
      </c>
      <c r="BP7">
        <v>6250.11</v>
      </c>
      <c r="BQ7">
        <v>6246.1</v>
      </c>
      <c r="BR7">
        <v>6253.32</v>
      </c>
      <c r="BS7">
        <v>6250.51</v>
      </c>
      <c r="BT7">
        <v>6248.5</v>
      </c>
      <c r="BU7">
        <v>6254.13</v>
      </c>
      <c r="BV7">
        <v>6250.91</v>
      </c>
      <c r="BW7">
        <v>6256.55</v>
      </c>
      <c r="BX7">
        <v>6262.17</v>
      </c>
      <c r="BY7">
        <v>6261.76</v>
      </c>
      <c r="BZ7">
        <v>6254.53</v>
      </c>
      <c r="CA7">
        <v>6248.49</v>
      </c>
      <c r="CB7">
        <v>6253.73</v>
      </c>
      <c r="CC7">
        <v>6252.52</v>
      </c>
      <c r="CD7">
        <v>6259.35</v>
      </c>
      <c r="CE7">
        <v>6253.73</v>
      </c>
      <c r="CF7">
        <v>6257.75</v>
      </c>
      <c r="CG7">
        <v>6255.74</v>
      </c>
      <c r="CH7">
        <v>6256.14</v>
      </c>
      <c r="CI7">
        <v>6260.15</v>
      </c>
      <c r="CJ7">
        <v>6252.52</v>
      </c>
      <c r="CK7">
        <v>6249.71</v>
      </c>
      <c r="CL7">
        <v>6253.33</v>
      </c>
      <c r="CM7">
        <v>6250.11</v>
      </c>
      <c r="CN7">
        <v>6258.94</v>
      </c>
      <c r="CO7">
        <v>6253.73</v>
      </c>
      <c r="CP7">
        <v>6253.32</v>
      </c>
      <c r="CQ7">
        <v>6257.35</v>
      </c>
      <c r="CR7">
        <v>6255.74</v>
      </c>
      <c r="CS7">
        <v>6251.71</v>
      </c>
    </row>
    <row r="8" spans="1:97">
      <c r="A8" s="9">
        <v>46241</v>
      </c>
      <c r="B8">
        <v>6250.51</v>
      </c>
      <c r="C8">
        <v>6258.15</v>
      </c>
      <c r="D8">
        <v>6251.72</v>
      </c>
      <c r="E8">
        <v>6252.91</v>
      </c>
      <c r="F8">
        <v>6254.94</v>
      </c>
      <c r="G8">
        <v>6254.53</v>
      </c>
      <c r="H8">
        <v>6259.35</v>
      </c>
      <c r="I8">
        <v>6247.69</v>
      </c>
      <c r="J8">
        <v>6256.14</v>
      </c>
      <c r="K8">
        <v>6252.12</v>
      </c>
      <c r="L8">
        <v>6262.16</v>
      </c>
      <c r="M8">
        <v>6254.14</v>
      </c>
      <c r="N8">
        <v>6253.74</v>
      </c>
      <c r="O8">
        <v>6248.5</v>
      </c>
      <c r="P8">
        <v>6252.92</v>
      </c>
      <c r="Q8">
        <v>6258.14</v>
      </c>
      <c r="R8">
        <v>6256.94</v>
      </c>
      <c r="S8">
        <v>6259.35</v>
      </c>
      <c r="T8">
        <v>6255.74</v>
      </c>
      <c r="U8">
        <v>6256.53</v>
      </c>
      <c r="V8">
        <v>6265.78</v>
      </c>
      <c r="W8">
        <v>6262.17</v>
      </c>
      <c r="X8">
        <v>6257.75</v>
      </c>
      <c r="Y8">
        <v>6264.58</v>
      </c>
      <c r="Z8">
        <v>6262.97</v>
      </c>
      <c r="AA8">
        <v>6255.74</v>
      </c>
      <c r="AB8">
        <v>6265.79</v>
      </c>
      <c r="AC8">
        <v>6261.76</v>
      </c>
      <c r="AD8">
        <v>6256.95</v>
      </c>
      <c r="AE8">
        <v>6260.17</v>
      </c>
      <c r="AF8">
        <v>6262.57</v>
      </c>
      <c r="AG8">
        <v>6254.11</v>
      </c>
      <c r="AH8">
        <v>6263.37</v>
      </c>
      <c r="AI8">
        <v>6253.72</v>
      </c>
      <c r="AJ8">
        <v>6249.31</v>
      </c>
      <c r="AK8">
        <v>6251.73</v>
      </c>
      <c r="AL8">
        <v>6254.14</v>
      </c>
      <c r="AM8">
        <v>6261.77</v>
      </c>
      <c r="AN8">
        <v>6255.34</v>
      </c>
      <c r="AO8">
        <v>6252.12</v>
      </c>
      <c r="AP8">
        <v>6246.89</v>
      </c>
      <c r="AQ8">
        <v>6249.31</v>
      </c>
      <c r="AR8">
        <v>6251.32</v>
      </c>
      <c r="AS8">
        <v>6256.95</v>
      </c>
      <c r="AT8">
        <v>6249.71</v>
      </c>
      <c r="AU8">
        <v>6260.57</v>
      </c>
      <c r="AV8">
        <v>6248.9</v>
      </c>
      <c r="AW8">
        <v>6257.76</v>
      </c>
      <c r="AX8">
        <v>6258.95</v>
      </c>
      <c r="AY8">
        <v>6261.78</v>
      </c>
      <c r="AZ8">
        <v>6256.14</v>
      </c>
      <c r="BA8">
        <v>6257.35</v>
      </c>
      <c r="BB8">
        <v>6260.56</v>
      </c>
      <c r="BC8">
        <v>6254.93</v>
      </c>
      <c r="BD8">
        <v>6253.31</v>
      </c>
      <c r="BE8">
        <v>6255.75</v>
      </c>
      <c r="BF8">
        <v>6256.14</v>
      </c>
      <c r="BG8">
        <v>6250.52</v>
      </c>
      <c r="BH8">
        <v>6254.13</v>
      </c>
      <c r="BI8">
        <v>6254.14</v>
      </c>
      <c r="BJ8">
        <v>6254.53</v>
      </c>
      <c r="BK8">
        <v>6260.16</v>
      </c>
      <c r="BL8">
        <v>6251.31</v>
      </c>
      <c r="BM8">
        <v>6264.58</v>
      </c>
      <c r="BN8">
        <v>6249.3</v>
      </c>
      <c r="BO8">
        <v>6259.35</v>
      </c>
      <c r="BP8">
        <v>6254.52</v>
      </c>
      <c r="BQ8">
        <v>6261.77</v>
      </c>
      <c r="BR8">
        <v>6260.56</v>
      </c>
      <c r="BS8">
        <v>6262.56</v>
      </c>
      <c r="BT8">
        <v>6257.33</v>
      </c>
      <c r="BU8">
        <v>6260.96</v>
      </c>
      <c r="BV8">
        <v>6251.31</v>
      </c>
      <c r="BW8">
        <v>6258.95</v>
      </c>
      <c r="BX8">
        <v>6259.34</v>
      </c>
      <c r="BY8">
        <v>6260.56</v>
      </c>
      <c r="BZ8">
        <v>6257.75</v>
      </c>
      <c r="CA8">
        <v>6261.36</v>
      </c>
      <c r="CB8">
        <v>6260.16</v>
      </c>
      <c r="CC8">
        <v>6258.55</v>
      </c>
      <c r="CD8">
        <v>6258.95</v>
      </c>
      <c r="CE8">
        <v>6258.55</v>
      </c>
      <c r="CF8">
        <v>6254.14</v>
      </c>
      <c r="CG8">
        <v>6258.94</v>
      </c>
      <c r="CH8">
        <v>6268.61</v>
      </c>
      <c r="CI8">
        <v>6262.57</v>
      </c>
      <c r="CJ8">
        <v>6263.77</v>
      </c>
      <c r="CK8">
        <v>6263.37</v>
      </c>
      <c r="CL8">
        <v>6268.6</v>
      </c>
      <c r="CM8">
        <v>6266.59</v>
      </c>
      <c r="CN8">
        <v>6266.58</v>
      </c>
      <c r="CO8">
        <v>6266.99</v>
      </c>
      <c r="CP8">
        <v>6262.97</v>
      </c>
      <c r="CQ8">
        <v>6263.77</v>
      </c>
      <c r="CR8">
        <v>6265.4</v>
      </c>
      <c r="CS8">
        <v>6267</v>
      </c>
    </row>
    <row r="9" spans="1:97">
      <c r="A9" s="9">
        <v>46242</v>
      </c>
      <c r="B9">
        <v>6258.96</v>
      </c>
      <c r="C9">
        <v>6266.18</v>
      </c>
      <c r="D9">
        <v>6269.81</v>
      </c>
      <c r="E9">
        <v>6271.01</v>
      </c>
      <c r="F9">
        <v>6271.02</v>
      </c>
      <c r="G9">
        <v>6268.99</v>
      </c>
      <c r="H9">
        <v>6258.55</v>
      </c>
      <c r="I9">
        <v>6264.58</v>
      </c>
      <c r="J9">
        <v>6265.78</v>
      </c>
      <c r="K9">
        <v>6260.97</v>
      </c>
      <c r="L9">
        <v>6272.61</v>
      </c>
      <c r="M9">
        <v>6271.01</v>
      </c>
      <c r="N9">
        <v>6263.77</v>
      </c>
      <c r="O9">
        <v>6270.61</v>
      </c>
      <c r="P9">
        <v>6270.61</v>
      </c>
      <c r="Q9">
        <v>6275.42</v>
      </c>
      <c r="R9">
        <v>6279.06</v>
      </c>
      <c r="S9">
        <v>6273.42</v>
      </c>
      <c r="T9">
        <v>6274.23</v>
      </c>
      <c r="U9">
        <v>6284.67</v>
      </c>
      <c r="V9">
        <v>6280.26</v>
      </c>
      <c r="W9">
        <v>6273.01</v>
      </c>
      <c r="X9">
        <v>6281.05</v>
      </c>
      <c r="Y9">
        <v>6281.45</v>
      </c>
      <c r="Z9">
        <v>6279.05</v>
      </c>
      <c r="AA9">
        <v>6278.64</v>
      </c>
      <c r="AB9">
        <v>6278.25</v>
      </c>
      <c r="AC9">
        <v>6277.84</v>
      </c>
      <c r="AD9">
        <v>6287.09</v>
      </c>
      <c r="AE9">
        <v>6284.66</v>
      </c>
      <c r="AF9">
        <v>6283.47</v>
      </c>
      <c r="AG9">
        <v>6283.06</v>
      </c>
      <c r="AH9">
        <v>6289.09</v>
      </c>
      <c r="AI9">
        <v>6288.69</v>
      </c>
      <c r="AJ9">
        <v>6286.27</v>
      </c>
      <c r="AK9">
        <v>6304.76</v>
      </c>
      <c r="AL9">
        <v>6290.3</v>
      </c>
      <c r="AM9">
        <v>6291.1</v>
      </c>
      <c r="AN9">
        <v>6293.52</v>
      </c>
      <c r="AO9">
        <v>6295.12</v>
      </c>
      <c r="AP9">
        <v>6287.07</v>
      </c>
      <c r="AQ9">
        <v>6290.31</v>
      </c>
      <c r="AR9">
        <v>6285.88</v>
      </c>
      <c r="AS9">
        <v>6292.3</v>
      </c>
      <c r="AT9">
        <v>6280.25</v>
      </c>
      <c r="AU9">
        <v>6297.14</v>
      </c>
      <c r="AV9">
        <v>6295.13</v>
      </c>
      <c r="AW9">
        <v>6295.13</v>
      </c>
      <c r="AX9">
        <v>6290.29</v>
      </c>
      <c r="AY9">
        <v>6289.5</v>
      </c>
      <c r="AZ9">
        <v>6293.12</v>
      </c>
      <c r="BA9">
        <v>6285.07</v>
      </c>
      <c r="BB9">
        <v>6291.1</v>
      </c>
      <c r="BC9">
        <v>6282.25</v>
      </c>
      <c r="BD9">
        <v>6289.1</v>
      </c>
      <c r="BE9">
        <v>6291.9</v>
      </c>
      <c r="BF9">
        <v>6289.91</v>
      </c>
      <c r="BG9">
        <v>6290.29</v>
      </c>
      <c r="BH9">
        <v>6291.91</v>
      </c>
      <c r="BI9">
        <v>6287.08</v>
      </c>
      <c r="BJ9">
        <v>6290.69</v>
      </c>
      <c r="BK9">
        <v>6286.28</v>
      </c>
      <c r="BL9">
        <v>6292.71</v>
      </c>
      <c r="BM9">
        <v>6291.5</v>
      </c>
      <c r="BN9">
        <v>6291.91</v>
      </c>
      <c r="BO9">
        <v>6293.11</v>
      </c>
      <c r="BP9">
        <v>6285.88</v>
      </c>
      <c r="BQ9">
        <v>6291.1</v>
      </c>
      <c r="BR9">
        <v>6302.75</v>
      </c>
      <c r="BS9">
        <v>6283.88</v>
      </c>
      <c r="BT9">
        <v>6287.09</v>
      </c>
      <c r="BU9">
        <v>6298.74</v>
      </c>
      <c r="BV9">
        <v>6293.11</v>
      </c>
      <c r="BW9">
        <v>6294.73</v>
      </c>
      <c r="BX9">
        <v>6296.33</v>
      </c>
      <c r="BY9">
        <v>6291.9</v>
      </c>
      <c r="BZ9">
        <v>6287.08</v>
      </c>
      <c r="CA9">
        <v>6287.08</v>
      </c>
      <c r="CB9">
        <v>6287.47</v>
      </c>
      <c r="CC9">
        <v>6294.72</v>
      </c>
      <c r="CD9">
        <v>6286.69</v>
      </c>
      <c r="CE9">
        <v>6303.16</v>
      </c>
      <c r="CF9">
        <v>6288.69</v>
      </c>
      <c r="CG9">
        <v>6294.32</v>
      </c>
      <c r="CH9">
        <v>6291.5</v>
      </c>
      <c r="CI9">
        <v>6288.29</v>
      </c>
      <c r="CJ9">
        <v>6289.9</v>
      </c>
      <c r="CK9">
        <v>6296.34</v>
      </c>
      <c r="CL9">
        <v>6292.7</v>
      </c>
      <c r="CM9">
        <v>6290.69</v>
      </c>
      <c r="CN9">
        <v>6289.5</v>
      </c>
      <c r="CO9">
        <v>6292.71</v>
      </c>
      <c r="CP9">
        <v>6291.9</v>
      </c>
      <c r="CQ9">
        <v>6292.7</v>
      </c>
      <c r="CR9">
        <v>6293.92</v>
      </c>
      <c r="CS9">
        <v>6289.5</v>
      </c>
    </row>
    <row r="10" spans="1:97">
      <c r="A10" s="9">
        <v>46243</v>
      </c>
      <c r="B10">
        <v>6294.71</v>
      </c>
      <c r="C10">
        <v>6288.69</v>
      </c>
      <c r="D10">
        <v>6291.91</v>
      </c>
      <c r="E10">
        <v>6295.12</v>
      </c>
      <c r="F10">
        <v>6294.72</v>
      </c>
      <c r="G10">
        <v>6294.72</v>
      </c>
      <c r="H10">
        <v>6293.92</v>
      </c>
      <c r="I10">
        <v>6291.1</v>
      </c>
      <c r="J10">
        <v>6292.3</v>
      </c>
      <c r="K10">
        <v>6291.91</v>
      </c>
      <c r="L10">
        <v>6294.32</v>
      </c>
      <c r="M10">
        <v>6293.11</v>
      </c>
      <c r="N10">
        <v>6291.9</v>
      </c>
      <c r="O10">
        <v>6293.51</v>
      </c>
      <c r="P10">
        <v>6292.3</v>
      </c>
      <c r="Q10">
        <v>6298.73</v>
      </c>
      <c r="R10">
        <v>6301.95</v>
      </c>
      <c r="S10">
        <v>6300.34</v>
      </c>
      <c r="T10">
        <v>6300.33</v>
      </c>
      <c r="U10">
        <v>6296.33</v>
      </c>
      <c r="V10">
        <v>6297.93</v>
      </c>
      <c r="W10">
        <v>6299.14</v>
      </c>
      <c r="X10">
        <v>6301.15</v>
      </c>
      <c r="Y10">
        <v>6299.15</v>
      </c>
      <c r="Z10">
        <v>6310.79</v>
      </c>
      <c r="AA10">
        <v>6295.92</v>
      </c>
      <c r="AB10">
        <v>6297.54</v>
      </c>
      <c r="AC10">
        <v>6303.96</v>
      </c>
      <c r="AD10">
        <v>6310</v>
      </c>
      <c r="AE10">
        <v>6304.36</v>
      </c>
      <c r="AF10">
        <v>6310.8</v>
      </c>
      <c r="AG10">
        <v>6311.2</v>
      </c>
      <c r="AH10">
        <v>6306.38</v>
      </c>
      <c r="AI10">
        <v>6301.95</v>
      </c>
      <c r="AJ10">
        <v>6301.95</v>
      </c>
      <c r="AK10">
        <v>6303.16</v>
      </c>
      <c r="AL10">
        <v>6316.02</v>
      </c>
      <c r="AM10">
        <v>6311.99</v>
      </c>
      <c r="AN10">
        <v>6307.18</v>
      </c>
      <c r="AO10">
        <v>6318.83</v>
      </c>
      <c r="AP10">
        <v>6318.04</v>
      </c>
      <c r="AQ10">
        <v>6308.39</v>
      </c>
      <c r="AR10">
        <v>6309.59</v>
      </c>
      <c r="AS10">
        <v>6313.63</v>
      </c>
      <c r="AT10">
        <v>6308.79</v>
      </c>
      <c r="AU10">
        <v>6312.42</v>
      </c>
      <c r="AV10">
        <v>6314.41</v>
      </c>
      <c r="AW10">
        <v>6318.42</v>
      </c>
      <c r="AX10">
        <v>6312.41</v>
      </c>
      <c r="AY10">
        <v>6315.6</v>
      </c>
      <c r="AZ10">
        <v>6310</v>
      </c>
      <c r="BA10">
        <v>6312.01</v>
      </c>
      <c r="BB10">
        <v>6317.63</v>
      </c>
      <c r="BC10">
        <v>6307.18</v>
      </c>
      <c r="BD10">
        <v>6310</v>
      </c>
      <c r="BE10">
        <v>6309.98</v>
      </c>
      <c r="BF10">
        <v>6330.08</v>
      </c>
      <c r="BG10">
        <v>6315.62</v>
      </c>
      <c r="BH10">
        <v>6317.22</v>
      </c>
      <c r="BI10">
        <v>6323.65</v>
      </c>
      <c r="BJ10">
        <v>6312.4</v>
      </c>
      <c r="BK10">
        <v>6318.43</v>
      </c>
      <c r="BL10">
        <v>6326.47</v>
      </c>
      <c r="BM10">
        <v>6326.06</v>
      </c>
      <c r="BN10">
        <v>6336.11</v>
      </c>
      <c r="BO10">
        <v>6323.64</v>
      </c>
      <c r="BP10">
        <v>6329.67</v>
      </c>
      <c r="BQ10">
        <v>6325.27</v>
      </c>
      <c r="BR10">
        <v>6328.87</v>
      </c>
      <c r="BS10">
        <v>6332.09</v>
      </c>
      <c r="BT10">
        <v>6319.64</v>
      </c>
      <c r="BU10">
        <v>6324.87</v>
      </c>
      <c r="BV10">
        <v>6331.27</v>
      </c>
      <c r="BW10">
        <v>6333.7</v>
      </c>
      <c r="BX10">
        <v>6339.32</v>
      </c>
      <c r="BY10">
        <v>6343.74</v>
      </c>
      <c r="BZ10">
        <v>6344.55</v>
      </c>
      <c r="CA10">
        <v>6342.93</v>
      </c>
      <c r="CB10">
        <v>6349.78</v>
      </c>
      <c r="CC10">
        <v>6346.96</v>
      </c>
      <c r="CD10">
        <v>6338.13</v>
      </c>
      <c r="CE10">
        <v>6339.33</v>
      </c>
      <c r="CF10">
        <v>6339.73</v>
      </c>
      <c r="CG10">
        <v>6353.79</v>
      </c>
      <c r="CH10">
        <v>6346.16</v>
      </c>
      <c r="CI10">
        <v>6349.78</v>
      </c>
      <c r="CJ10">
        <v>6336.12</v>
      </c>
      <c r="CK10">
        <v>6357.01</v>
      </c>
      <c r="CL10">
        <v>6343.35</v>
      </c>
      <c r="CM10">
        <v>6344.96</v>
      </c>
      <c r="CN10">
        <v>6351.38</v>
      </c>
      <c r="CO10">
        <v>6348.17</v>
      </c>
      <c r="CP10">
        <v>6342.14</v>
      </c>
      <c r="CQ10">
        <v>6346.17</v>
      </c>
      <c r="CR10">
        <v>6338.53</v>
      </c>
      <c r="CS10">
        <v>6353.4</v>
      </c>
    </row>
    <row r="11" spans="1:97">
      <c r="A11" s="9">
        <v>46244</v>
      </c>
      <c r="B11">
        <v>6348.97</v>
      </c>
      <c r="C11">
        <v>6344.55</v>
      </c>
      <c r="D11">
        <v>6343.74</v>
      </c>
      <c r="E11">
        <v>6344.14</v>
      </c>
      <c r="F11">
        <v>6344.55</v>
      </c>
      <c r="G11">
        <v>6343.74</v>
      </c>
      <c r="H11">
        <v>6344.95</v>
      </c>
      <c r="I11">
        <v>6345.77</v>
      </c>
      <c r="J11">
        <v>6340.94</v>
      </c>
      <c r="K11">
        <v>6343.75</v>
      </c>
      <c r="L11">
        <v>6337.33</v>
      </c>
      <c r="M11">
        <v>6348.17</v>
      </c>
      <c r="N11">
        <v>6338.12</v>
      </c>
      <c r="O11">
        <v>6346.56</v>
      </c>
      <c r="P11">
        <v>6341.34</v>
      </c>
      <c r="Q11">
        <v>6347.77</v>
      </c>
      <c r="R11">
        <v>6351.39</v>
      </c>
      <c r="S11">
        <v>6348.57</v>
      </c>
      <c r="T11">
        <v>6348.16</v>
      </c>
      <c r="U11">
        <v>6349.37</v>
      </c>
      <c r="V11">
        <v>6342.54</v>
      </c>
      <c r="W11">
        <v>6351.39</v>
      </c>
      <c r="X11">
        <v>6344.15</v>
      </c>
      <c r="Y11">
        <v>6345.36</v>
      </c>
      <c r="Z11">
        <v>6349.39</v>
      </c>
      <c r="AA11">
        <v>6344.95</v>
      </c>
      <c r="AB11">
        <v>6347.76</v>
      </c>
      <c r="AC11">
        <v>6343.73</v>
      </c>
      <c r="AD11">
        <v>6340.94</v>
      </c>
      <c r="AE11">
        <v>6351.79</v>
      </c>
      <c r="AF11">
        <v>6348.96</v>
      </c>
      <c r="AG11">
        <v>6351.78</v>
      </c>
      <c r="AH11">
        <v>6350.18</v>
      </c>
      <c r="AI11">
        <v>6341.73</v>
      </c>
      <c r="AJ11">
        <v>6348.98</v>
      </c>
      <c r="AK11">
        <v>6346.96</v>
      </c>
      <c r="AL11">
        <v>6344.16</v>
      </c>
      <c r="AM11">
        <v>6350.18</v>
      </c>
      <c r="AN11">
        <v>6347.37</v>
      </c>
      <c r="AO11">
        <v>6349.77</v>
      </c>
      <c r="AP11">
        <v>6342.14</v>
      </c>
      <c r="AQ11">
        <v>6342.54</v>
      </c>
      <c r="AR11">
        <v>6346.97</v>
      </c>
      <c r="AS11">
        <v>6346.57</v>
      </c>
      <c r="AT11">
        <v>6349.77</v>
      </c>
      <c r="AU11">
        <v>6348.57</v>
      </c>
      <c r="AV11">
        <v>6344.95</v>
      </c>
      <c r="AW11">
        <v>6346.97</v>
      </c>
      <c r="AX11">
        <v>6346.16</v>
      </c>
      <c r="AY11">
        <v>6344.55</v>
      </c>
      <c r="AZ11">
        <v>6335.72</v>
      </c>
      <c r="BA11">
        <v>6347.77</v>
      </c>
      <c r="BB11">
        <v>6344.15</v>
      </c>
      <c r="BC11">
        <v>6342.54</v>
      </c>
      <c r="BD11">
        <v>6338.93</v>
      </c>
      <c r="BE11">
        <v>6344.55</v>
      </c>
      <c r="BF11">
        <v>6346.55</v>
      </c>
      <c r="BG11">
        <v>6347.36</v>
      </c>
      <c r="BH11">
        <v>6336.92</v>
      </c>
      <c r="BI11">
        <v>6342.13</v>
      </c>
      <c r="BJ11">
        <v>6346.16</v>
      </c>
      <c r="BK11">
        <v>6342.94</v>
      </c>
      <c r="BL11">
        <v>6345.77</v>
      </c>
      <c r="BM11">
        <v>6342.14</v>
      </c>
      <c r="BN11">
        <v>6347.37</v>
      </c>
      <c r="BO11">
        <v>6344.96</v>
      </c>
      <c r="BP11">
        <v>6343.35</v>
      </c>
      <c r="BQ11">
        <v>6351.8</v>
      </c>
      <c r="BR11">
        <v>6342.15</v>
      </c>
      <c r="BS11">
        <v>6345.76</v>
      </c>
      <c r="BT11">
        <v>6341.34</v>
      </c>
      <c r="BU11">
        <v>6337.33</v>
      </c>
      <c r="BV11">
        <v>6346.56</v>
      </c>
      <c r="BW11">
        <v>6338.51</v>
      </c>
      <c r="BX11">
        <v>6342.53</v>
      </c>
      <c r="BY11">
        <v>6347.36</v>
      </c>
      <c r="BZ11">
        <v>6346.97</v>
      </c>
      <c r="CA11">
        <v>6342.96</v>
      </c>
      <c r="CB11">
        <v>6346.56</v>
      </c>
      <c r="CC11">
        <v>6344.57</v>
      </c>
      <c r="CD11">
        <v>6344.95</v>
      </c>
      <c r="CE11">
        <v>6340.13</v>
      </c>
      <c r="CF11">
        <v>6348.98</v>
      </c>
      <c r="CG11">
        <v>6351.38</v>
      </c>
      <c r="CH11">
        <v>6345.35</v>
      </c>
      <c r="CI11">
        <v>6356.21</v>
      </c>
      <c r="CJ11">
        <v>6338.92</v>
      </c>
      <c r="CK11">
        <v>6344.14</v>
      </c>
      <c r="CL11">
        <v>6350.58</v>
      </c>
      <c r="CM11">
        <v>6343.34</v>
      </c>
      <c r="CN11">
        <v>6352.19</v>
      </c>
      <c r="CO11">
        <v>6349.38</v>
      </c>
      <c r="CP11">
        <v>6344.95</v>
      </c>
      <c r="CQ11">
        <v>6348.98</v>
      </c>
      <c r="CR11">
        <v>6341.34</v>
      </c>
      <c r="CS11">
        <v>6347.78</v>
      </c>
    </row>
    <row r="12" spans="1:97">
      <c r="A12" s="9">
        <v>46245</v>
      </c>
      <c r="B12">
        <v>6346.97</v>
      </c>
      <c r="C12">
        <v>6344.96</v>
      </c>
      <c r="D12">
        <v>6349.38</v>
      </c>
      <c r="E12">
        <v>6351.39</v>
      </c>
      <c r="F12">
        <v>6350.17</v>
      </c>
      <c r="G12">
        <v>6346.17</v>
      </c>
      <c r="H12">
        <v>6343.34</v>
      </c>
      <c r="I12">
        <v>6346.17</v>
      </c>
      <c r="J12">
        <v>6352.19</v>
      </c>
      <c r="K12">
        <v>6343.75</v>
      </c>
      <c r="L12">
        <v>6341.74</v>
      </c>
      <c r="M12">
        <v>6339.73</v>
      </c>
      <c r="N12">
        <v>6350.98</v>
      </c>
      <c r="O12">
        <v>6343.76</v>
      </c>
      <c r="P12">
        <v>6348.57</v>
      </c>
      <c r="Q12">
        <v>6340.93</v>
      </c>
      <c r="R12">
        <v>6342.94</v>
      </c>
      <c r="S12">
        <v>6340.13</v>
      </c>
      <c r="T12">
        <v>6350.18</v>
      </c>
      <c r="U12">
        <v>6344.14</v>
      </c>
      <c r="V12">
        <v>6347.36</v>
      </c>
      <c r="W12">
        <v>6348.17</v>
      </c>
      <c r="X12">
        <v>6345.76</v>
      </c>
      <c r="Y12">
        <v>6345.36</v>
      </c>
      <c r="Z12">
        <v>6344.55</v>
      </c>
      <c r="AA12">
        <v>6346.97</v>
      </c>
      <c r="AB12">
        <v>6344.15</v>
      </c>
      <c r="AC12">
        <v>6346.57</v>
      </c>
      <c r="AD12">
        <v>6343.76</v>
      </c>
      <c r="AE12">
        <v>6346.55</v>
      </c>
      <c r="AF12">
        <v>6352.19</v>
      </c>
      <c r="AG12">
        <v>6349.38</v>
      </c>
      <c r="AH12">
        <v>6344.56</v>
      </c>
      <c r="AI12">
        <v>6341.33</v>
      </c>
      <c r="AJ12">
        <v>6347.35</v>
      </c>
      <c r="AK12">
        <v>6350.58</v>
      </c>
      <c r="AL12">
        <v>6347.37</v>
      </c>
      <c r="AM12">
        <v>6353.39</v>
      </c>
      <c r="AN12">
        <v>6339.34</v>
      </c>
      <c r="AO12">
        <v>6338.93</v>
      </c>
      <c r="AP12">
        <v>6349.38</v>
      </c>
      <c r="AQ12">
        <v>6350.59</v>
      </c>
      <c r="AR12">
        <v>6350.98</v>
      </c>
      <c r="AS12">
        <v>6348.98</v>
      </c>
      <c r="AT12">
        <v>6348.98</v>
      </c>
      <c r="AU12">
        <v>6345.77</v>
      </c>
      <c r="AV12">
        <v>6341.34</v>
      </c>
      <c r="AW12">
        <v>6343.35</v>
      </c>
      <c r="AX12">
        <v>6338.92</v>
      </c>
      <c r="AY12">
        <v>6341.34</v>
      </c>
      <c r="AZ12">
        <v>6342.14</v>
      </c>
      <c r="BA12">
        <v>6337.72</v>
      </c>
      <c r="BB12">
        <v>6334.1</v>
      </c>
      <c r="BC12">
        <v>6345.76</v>
      </c>
      <c r="BD12">
        <v>6343.35</v>
      </c>
      <c r="BE12">
        <v>6343.35</v>
      </c>
      <c r="BF12">
        <v>6334.91</v>
      </c>
      <c r="BG12">
        <v>6340.94</v>
      </c>
      <c r="BH12">
        <v>6345.76</v>
      </c>
      <c r="BI12">
        <v>6344.56</v>
      </c>
      <c r="BJ12">
        <v>6336.92</v>
      </c>
      <c r="BK12">
        <v>6336.92</v>
      </c>
      <c r="BL12">
        <v>6338.11</v>
      </c>
      <c r="BM12">
        <v>6340.93</v>
      </c>
      <c r="BN12">
        <v>6334.5</v>
      </c>
      <c r="BO12">
        <v>6339.74</v>
      </c>
      <c r="BP12">
        <v>6344.55</v>
      </c>
      <c r="BQ12">
        <v>6336.92</v>
      </c>
      <c r="BR12">
        <v>6339.73</v>
      </c>
      <c r="BS12">
        <v>6339.73</v>
      </c>
      <c r="BT12">
        <v>6341.34</v>
      </c>
      <c r="BU12">
        <v>6343.75</v>
      </c>
      <c r="BV12">
        <v>6335.3</v>
      </c>
      <c r="BW12">
        <v>6340.95</v>
      </c>
      <c r="BX12">
        <v>6336.51</v>
      </c>
      <c r="BY12">
        <v>6339.33</v>
      </c>
      <c r="BZ12">
        <v>6342.94</v>
      </c>
      <c r="CA12">
        <v>6344.55</v>
      </c>
      <c r="CB12">
        <v>6346.16</v>
      </c>
      <c r="CC12">
        <v>6344.96</v>
      </c>
      <c r="CD12">
        <v>6339.33</v>
      </c>
      <c r="CE12">
        <v>6341.73</v>
      </c>
      <c r="CF12">
        <v>6349.77</v>
      </c>
      <c r="CG12">
        <v>6340.93</v>
      </c>
      <c r="CH12">
        <v>6351.38</v>
      </c>
      <c r="CI12">
        <v>6345.76</v>
      </c>
      <c r="CJ12">
        <v>6331.7</v>
      </c>
      <c r="CK12">
        <v>6353</v>
      </c>
      <c r="CL12">
        <v>6341.74</v>
      </c>
      <c r="CM12">
        <v>6345.75</v>
      </c>
      <c r="CN12">
        <v>6338.52</v>
      </c>
      <c r="CO12">
        <v>6344.54</v>
      </c>
      <c r="CP12">
        <v>6344.95</v>
      </c>
      <c r="CQ12">
        <v>6344.54</v>
      </c>
      <c r="CR12">
        <v>6341.32</v>
      </c>
      <c r="CS12">
        <v>6350.18</v>
      </c>
    </row>
    <row r="13" spans="1:97">
      <c r="A13" s="9">
        <v>46246</v>
      </c>
      <c r="B13">
        <v>6346.97</v>
      </c>
      <c r="C13">
        <v>6344.56</v>
      </c>
      <c r="D13">
        <v>6346.97</v>
      </c>
      <c r="E13">
        <v>6352.19</v>
      </c>
      <c r="F13">
        <v>6336.52</v>
      </c>
      <c r="G13">
        <v>6338.52</v>
      </c>
      <c r="H13">
        <v>6336.92</v>
      </c>
      <c r="I13">
        <v>6339.32</v>
      </c>
      <c r="J13">
        <v>6340.53</v>
      </c>
      <c r="K13">
        <v>6341.34</v>
      </c>
      <c r="L13">
        <v>6344.95</v>
      </c>
      <c r="M13">
        <v>6344.56</v>
      </c>
      <c r="N13">
        <v>6340.53</v>
      </c>
      <c r="O13">
        <v>6349.37</v>
      </c>
      <c r="P13">
        <v>6338.93</v>
      </c>
      <c r="Q13">
        <v>6352.59</v>
      </c>
      <c r="R13">
        <v>6350.18</v>
      </c>
      <c r="S13">
        <v>6340.12</v>
      </c>
      <c r="T13">
        <v>6332.5</v>
      </c>
      <c r="U13">
        <v>6345.36</v>
      </c>
      <c r="V13">
        <v>6352.99</v>
      </c>
      <c r="W13">
        <v>6344.94</v>
      </c>
      <c r="X13">
        <v>6340.14</v>
      </c>
      <c r="Y13">
        <v>6339.34</v>
      </c>
      <c r="Z13">
        <v>6340.13</v>
      </c>
      <c r="AA13">
        <v>6350.98</v>
      </c>
      <c r="AB13">
        <v>6341.74</v>
      </c>
      <c r="AC13">
        <v>6345.76</v>
      </c>
      <c r="AD13">
        <v>6335.72</v>
      </c>
      <c r="AE13">
        <v>6337.71</v>
      </c>
      <c r="AF13">
        <v>6345.75</v>
      </c>
      <c r="AG13">
        <v>6348.58</v>
      </c>
      <c r="AH13">
        <v>6338.52</v>
      </c>
      <c r="AI13">
        <v>6342.54</v>
      </c>
      <c r="AJ13">
        <v>6342.15</v>
      </c>
      <c r="AK13">
        <v>6343.35</v>
      </c>
      <c r="AL13">
        <v>6343.74</v>
      </c>
      <c r="AM13">
        <v>6346.96</v>
      </c>
      <c r="AN13">
        <v>6346.56</v>
      </c>
      <c r="AO13">
        <v>6344.94</v>
      </c>
      <c r="AP13">
        <v>6342.14</v>
      </c>
      <c r="AQ13">
        <v>6334.1</v>
      </c>
      <c r="AR13">
        <v>6319.23</v>
      </c>
      <c r="AS13">
        <v>6314.41</v>
      </c>
      <c r="AT13">
        <v>6328.07</v>
      </c>
      <c r="AU13">
        <v>6314.41</v>
      </c>
      <c r="AV13">
        <v>6315.61</v>
      </c>
      <c r="AW13">
        <v>6346.15</v>
      </c>
      <c r="AX13">
        <v>6346.96</v>
      </c>
      <c r="AY13">
        <v>6344.56</v>
      </c>
      <c r="AZ13">
        <v>6338.52</v>
      </c>
      <c r="BA13">
        <v>6342.95</v>
      </c>
      <c r="BB13">
        <v>6331.7</v>
      </c>
      <c r="BC13">
        <v>6338.53</v>
      </c>
      <c r="BD13">
        <v>6338.52</v>
      </c>
      <c r="BE13">
        <v>6340.92</v>
      </c>
      <c r="BF13">
        <v>6334.91</v>
      </c>
      <c r="BG13">
        <v>6329.68</v>
      </c>
      <c r="BH13">
        <v>6333.7</v>
      </c>
      <c r="BI13">
        <v>6335.71</v>
      </c>
      <c r="BJ13">
        <v>6320.84</v>
      </c>
      <c r="BK13">
        <v>6329.68</v>
      </c>
      <c r="BL13">
        <v>6334.49</v>
      </c>
      <c r="BM13">
        <v>6311.2</v>
      </c>
      <c r="BN13">
        <v>6303.16</v>
      </c>
      <c r="BO13">
        <v>6308.39</v>
      </c>
      <c r="BP13">
        <v>6292.72</v>
      </c>
      <c r="BQ13">
        <v>6314.41</v>
      </c>
      <c r="BR13">
        <v>6314.81</v>
      </c>
      <c r="BS13">
        <v>6327.69</v>
      </c>
      <c r="BT13">
        <v>6328.08</v>
      </c>
      <c r="BU13">
        <v>6332.5</v>
      </c>
      <c r="BV13">
        <v>6322.45</v>
      </c>
      <c r="BW13">
        <v>6329.68</v>
      </c>
      <c r="BX13">
        <v>6332.5</v>
      </c>
      <c r="BY13">
        <v>6337.72</v>
      </c>
      <c r="BZ13">
        <v>6326.47</v>
      </c>
      <c r="CA13">
        <v>6328.89</v>
      </c>
      <c r="CB13">
        <v>6322.05</v>
      </c>
      <c r="CC13">
        <v>6330.48</v>
      </c>
      <c r="CD13">
        <v>6337.31</v>
      </c>
      <c r="CE13">
        <v>6338.12</v>
      </c>
      <c r="CF13">
        <v>6334.9</v>
      </c>
      <c r="CG13">
        <v>6331.29</v>
      </c>
      <c r="CH13">
        <v>6334.1</v>
      </c>
      <c r="CI13">
        <v>6336.91</v>
      </c>
      <c r="CJ13">
        <v>6337.72</v>
      </c>
      <c r="CK13">
        <v>6337.72</v>
      </c>
      <c r="CL13">
        <v>6337.31</v>
      </c>
      <c r="CM13">
        <v>6336.93</v>
      </c>
      <c r="CN13">
        <v>6336.51</v>
      </c>
      <c r="CO13">
        <v>6333.29</v>
      </c>
      <c r="CP13">
        <v>6334.5</v>
      </c>
      <c r="CQ13">
        <v>6334.9</v>
      </c>
      <c r="CR13">
        <v>6336.5</v>
      </c>
      <c r="CS13">
        <v>6331.28</v>
      </c>
    </row>
    <row r="14" spans="1:97">
      <c r="A14" s="9">
        <v>46247</v>
      </c>
      <c r="B14">
        <v>6334.51</v>
      </c>
      <c r="C14">
        <v>6337.72</v>
      </c>
      <c r="D14">
        <v>6334.9</v>
      </c>
      <c r="E14">
        <v>6332.9</v>
      </c>
      <c r="F14">
        <v>6331.29</v>
      </c>
      <c r="G14">
        <v>6329.69</v>
      </c>
      <c r="H14">
        <v>6332.9</v>
      </c>
      <c r="I14">
        <v>6338.92</v>
      </c>
      <c r="J14">
        <v>6333.3</v>
      </c>
      <c r="K14">
        <v>6336.51</v>
      </c>
      <c r="L14">
        <v>6342.95</v>
      </c>
      <c r="M14">
        <v>6338.14</v>
      </c>
      <c r="N14">
        <v>6331.29</v>
      </c>
      <c r="O14">
        <v>6338.53</v>
      </c>
      <c r="P14">
        <v>6330.09</v>
      </c>
      <c r="Q14">
        <v>6332.9</v>
      </c>
      <c r="R14">
        <v>6336.11</v>
      </c>
      <c r="S14">
        <v>6333.3</v>
      </c>
      <c r="T14">
        <v>6340.13</v>
      </c>
      <c r="U14">
        <v>6337.72</v>
      </c>
      <c r="V14">
        <v>6338.52</v>
      </c>
      <c r="W14">
        <v>6335.3</v>
      </c>
      <c r="X14">
        <v>6328.87</v>
      </c>
      <c r="Y14">
        <v>6337.73</v>
      </c>
      <c r="Z14">
        <v>6338.92</v>
      </c>
      <c r="AA14">
        <v>6340.94</v>
      </c>
      <c r="AB14">
        <v>6329.69</v>
      </c>
      <c r="AC14">
        <v>6338.92</v>
      </c>
      <c r="AD14">
        <v>6330.09</v>
      </c>
      <c r="AE14">
        <v>6330.08</v>
      </c>
      <c r="AF14">
        <v>6340.94</v>
      </c>
      <c r="AG14">
        <v>6336.11</v>
      </c>
      <c r="AH14">
        <v>6336.53</v>
      </c>
      <c r="AI14">
        <v>6335.71</v>
      </c>
      <c r="AJ14">
        <v>6337.73</v>
      </c>
      <c r="AK14">
        <v>6337.72</v>
      </c>
      <c r="AL14">
        <v>6332.09</v>
      </c>
      <c r="AM14">
        <v>6324.05</v>
      </c>
      <c r="AN14">
        <v>6328.47</v>
      </c>
      <c r="AO14">
        <v>6322.44</v>
      </c>
      <c r="AP14">
        <v>6314.81</v>
      </c>
      <c r="AQ14">
        <v>6314.01</v>
      </c>
      <c r="AR14">
        <v>6295.11</v>
      </c>
      <c r="AS14">
        <v>6305.56</v>
      </c>
      <c r="AT14">
        <v>6329.69</v>
      </c>
      <c r="AU14">
        <v>6326.46</v>
      </c>
      <c r="AV14">
        <v>6334.5</v>
      </c>
      <c r="AW14">
        <v>6324.06</v>
      </c>
      <c r="AX14">
        <v>6340.93</v>
      </c>
      <c r="AY14">
        <v>6338.13</v>
      </c>
      <c r="AZ14">
        <v>6336.51</v>
      </c>
      <c r="BA14">
        <v>6334.9</v>
      </c>
      <c r="BB14">
        <v>6338.94</v>
      </c>
      <c r="BC14">
        <v>6336.9</v>
      </c>
      <c r="BD14">
        <v>6335.71</v>
      </c>
      <c r="BE14">
        <v>6334.51</v>
      </c>
      <c r="BF14">
        <v>6336.11</v>
      </c>
      <c r="BG14">
        <v>6333.31</v>
      </c>
      <c r="BH14">
        <v>6335.31</v>
      </c>
      <c r="BI14">
        <v>6335.3</v>
      </c>
      <c r="BJ14">
        <v>6332.1</v>
      </c>
      <c r="BK14">
        <v>6335.32</v>
      </c>
      <c r="BL14">
        <v>6332.09</v>
      </c>
      <c r="BM14">
        <v>6336.52</v>
      </c>
      <c r="BN14">
        <v>6337.71</v>
      </c>
      <c r="BO14">
        <v>6340.53</v>
      </c>
      <c r="BP14">
        <v>6331.29</v>
      </c>
      <c r="BQ14">
        <v>6332.08</v>
      </c>
      <c r="BR14">
        <v>6333.29</v>
      </c>
      <c r="BS14">
        <v>6337.31</v>
      </c>
      <c r="BT14">
        <v>6333.7</v>
      </c>
      <c r="BU14">
        <v>6339.33</v>
      </c>
      <c r="BV14">
        <v>6334.51</v>
      </c>
      <c r="BW14">
        <v>6326.07</v>
      </c>
      <c r="BX14">
        <v>6333.7</v>
      </c>
      <c r="BY14">
        <v>6343.35</v>
      </c>
      <c r="BZ14">
        <v>6342.55</v>
      </c>
      <c r="CA14">
        <v>6335.3</v>
      </c>
      <c r="CB14">
        <v>6337.71</v>
      </c>
      <c r="CC14">
        <v>6336.12</v>
      </c>
      <c r="CD14">
        <v>6325.67</v>
      </c>
      <c r="CE14">
        <v>6333.29</v>
      </c>
      <c r="CF14">
        <v>6337.32</v>
      </c>
      <c r="CG14">
        <v>6334.5</v>
      </c>
      <c r="CH14">
        <v>6334.5</v>
      </c>
      <c r="CI14">
        <v>6336.92</v>
      </c>
      <c r="CJ14">
        <v>6331.29</v>
      </c>
      <c r="CK14">
        <v>6336.52</v>
      </c>
      <c r="CL14">
        <v>6332.9</v>
      </c>
      <c r="CM14">
        <v>6338.11</v>
      </c>
      <c r="CN14">
        <v>6331.7</v>
      </c>
      <c r="CO14">
        <v>6334.91</v>
      </c>
      <c r="CP14">
        <v>6334.11</v>
      </c>
      <c r="CQ14">
        <v>6334.51</v>
      </c>
      <c r="CR14">
        <v>6334.1</v>
      </c>
      <c r="CS14">
        <v>6337.32</v>
      </c>
    </row>
    <row r="15" spans="1:97">
      <c r="A15" s="9">
        <v>46248</v>
      </c>
      <c r="B15">
        <v>6332.1</v>
      </c>
      <c r="C15">
        <v>6338.11</v>
      </c>
      <c r="D15">
        <v>6331.69</v>
      </c>
      <c r="E15">
        <v>6334.1</v>
      </c>
      <c r="F15">
        <v>6333.3</v>
      </c>
      <c r="G15">
        <v>6337.72</v>
      </c>
      <c r="H15">
        <v>6333.71</v>
      </c>
      <c r="I15">
        <v>6335.71</v>
      </c>
      <c r="J15">
        <v>6340.93</v>
      </c>
      <c r="K15">
        <v>6335.31</v>
      </c>
      <c r="L15">
        <v>6336.11</v>
      </c>
      <c r="M15">
        <v>6326.88</v>
      </c>
      <c r="N15">
        <v>6339.34</v>
      </c>
      <c r="O15">
        <v>6334.9</v>
      </c>
      <c r="P15">
        <v>6345.35</v>
      </c>
      <c r="Q15">
        <v>6330.08</v>
      </c>
      <c r="R15">
        <v>6335.3</v>
      </c>
      <c r="S15">
        <v>6334.9</v>
      </c>
      <c r="T15">
        <v>6339.33</v>
      </c>
      <c r="U15">
        <v>6335.72</v>
      </c>
      <c r="V15">
        <v>6335.3</v>
      </c>
      <c r="W15">
        <v>6336.1</v>
      </c>
      <c r="X15">
        <v>6338.93</v>
      </c>
      <c r="Y15">
        <v>6334.9</v>
      </c>
      <c r="Z15">
        <v>6335.71</v>
      </c>
      <c r="AA15">
        <v>6334.9</v>
      </c>
      <c r="AB15">
        <v>6346.56</v>
      </c>
      <c r="AC15">
        <v>6328.88</v>
      </c>
      <c r="AD15">
        <v>6337.32</v>
      </c>
      <c r="AE15">
        <v>6340.14</v>
      </c>
      <c r="AF15">
        <v>6334.5</v>
      </c>
      <c r="AG15">
        <v>6337.72</v>
      </c>
      <c r="AH15">
        <v>6333.71</v>
      </c>
      <c r="AI15">
        <v>6336.91</v>
      </c>
      <c r="AJ15">
        <v>6336.11</v>
      </c>
      <c r="AK15">
        <v>6332.5</v>
      </c>
      <c r="AL15">
        <v>6337.73</v>
      </c>
      <c r="AM15">
        <v>6337.72</v>
      </c>
      <c r="AN15">
        <v>6333.29</v>
      </c>
      <c r="AO15">
        <v>6333.29</v>
      </c>
      <c r="AP15">
        <v>6338.93</v>
      </c>
      <c r="AQ15">
        <v>6334.5</v>
      </c>
      <c r="AR15">
        <v>6331.29</v>
      </c>
      <c r="AS15">
        <v>6331.7</v>
      </c>
      <c r="AT15">
        <v>6338.12</v>
      </c>
      <c r="AU15">
        <v>6328.08</v>
      </c>
      <c r="AV15">
        <v>6339.34</v>
      </c>
      <c r="AW15">
        <v>6336.51</v>
      </c>
      <c r="AX15">
        <v>6335.31</v>
      </c>
      <c r="AY15">
        <v>6334.91</v>
      </c>
      <c r="AZ15">
        <v>6332.5</v>
      </c>
      <c r="BA15">
        <v>6338.12</v>
      </c>
      <c r="BB15">
        <v>6331.69</v>
      </c>
      <c r="BC15">
        <v>6333.31</v>
      </c>
      <c r="BD15">
        <v>6328.08</v>
      </c>
      <c r="BE15">
        <v>6339.33</v>
      </c>
      <c r="BF15">
        <v>6311.6</v>
      </c>
      <c r="BG15">
        <v>6321.24</v>
      </c>
      <c r="BH15">
        <v>6329.28</v>
      </c>
      <c r="BI15">
        <v>6327.27</v>
      </c>
      <c r="BJ15">
        <v>6329.68</v>
      </c>
      <c r="BK15">
        <v>6322.85</v>
      </c>
      <c r="BL15">
        <v>6317.64</v>
      </c>
      <c r="BM15">
        <v>6317.22</v>
      </c>
      <c r="BN15">
        <v>6316.02</v>
      </c>
      <c r="BO15">
        <v>6320.84</v>
      </c>
      <c r="BP15">
        <v>6318.02</v>
      </c>
      <c r="BQ15">
        <v>6317.22</v>
      </c>
      <c r="BR15">
        <v>6319.64</v>
      </c>
      <c r="BS15">
        <v>6318.03</v>
      </c>
      <c r="BT15">
        <v>6329.68</v>
      </c>
      <c r="BU15">
        <v>6323.24</v>
      </c>
      <c r="BV15">
        <v>6320.04</v>
      </c>
      <c r="BW15">
        <v>6318.83</v>
      </c>
      <c r="BX15">
        <v>6325.67</v>
      </c>
      <c r="BY15">
        <v>6322.45</v>
      </c>
      <c r="BZ15">
        <v>6326.07</v>
      </c>
      <c r="CA15">
        <v>6326.47</v>
      </c>
      <c r="CB15">
        <v>6324.45</v>
      </c>
      <c r="CC15">
        <v>6322.46</v>
      </c>
      <c r="CD15">
        <v>6326.47</v>
      </c>
      <c r="CE15">
        <v>6328.09</v>
      </c>
      <c r="CF15">
        <v>6325.66</v>
      </c>
      <c r="CG15">
        <v>6328.48</v>
      </c>
      <c r="CH15">
        <v>6328.09</v>
      </c>
      <c r="CI15">
        <v>6322.45</v>
      </c>
      <c r="CJ15">
        <v>6328.87</v>
      </c>
      <c r="CK15">
        <v>6331.29</v>
      </c>
      <c r="CL15">
        <v>6330.9</v>
      </c>
      <c r="CM15">
        <v>6323.65</v>
      </c>
      <c r="CN15">
        <v>6326.46</v>
      </c>
      <c r="CO15">
        <v>6321.64</v>
      </c>
      <c r="CP15">
        <v>6332.5</v>
      </c>
      <c r="CQ15">
        <v>6318.45</v>
      </c>
      <c r="CR15">
        <v>6322.44</v>
      </c>
      <c r="CS15">
        <v>6328.07</v>
      </c>
    </row>
    <row r="16" spans="1:97">
      <c r="A16" s="9">
        <v>46249</v>
      </c>
      <c r="B16">
        <v>6320.84</v>
      </c>
      <c r="C16">
        <v>6320.05</v>
      </c>
      <c r="D16">
        <v>6328.87</v>
      </c>
      <c r="E16">
        <v>6322.86</v>
      </c>
      <c r="F16">
        <v>6327.27</v>
      </c>
      <c r="G16">
        <v>6331.69</v>
      </c>
      <c r="H16">
        <v>6332.09</v>
      </c>
      <c r="I16">
        <v>6321.25</v>
      </c>
      <c r="J16">
        <v>6330.1</v>
      </c>
      <c r="K16">
        <v>6331.69</v>
      </c>
      <c r="L16">
        <v>6333.7</v>
      </c>
      <c r="M16">
        <v>6335.32</v>
      </c>
      <c r="N16">
        <v>6327.67</v>
      </c>
      <c r="O16">
        <v>6334.91</v>
      </c>
      <c r="P16">
        <v>6327.26</v>
      </c>
      <c r="Q16">
        <v>6324.85</v>
      </c>
      <c r="R16">
        <v>6324.85</v>
      </c>
      <c r="S16">
        <v>6330.88</v>
      </c>
      <c r="T16">
        <v>6326.05</v>
      </c>
      <c r="U16">
        <v>6324.86</v>
      </c>
      <c r="V16">
        <v>6324.87</v>
      </c>
      <c r="W16">
        <v>6324.46</v>
      </c>
      <c r="X16">
        <v>6330.48</v>
      </c>
      <c r="Y16">
        <v>6330.89</v>
      </c>
      <c r="Z16">
        <v>6327.66</v>
      </c>
      <c r="AA16">
        <v>6319.24</v>
      </c>
      <c r="AB16">
        <v>6314.42</v>
      </c>
      <c r="AC16">
        <v>6326.07</v>
      </c>
      <c r="AD16">
        <v>6324.86</v>
      </c>
      <c r="AE16">
        <v>6322.44</v>
      </c>
      <c r="AF16">
        <v>6327.27</v>
      </c>
      <c r="AG16">
        <v>6326.88</v>
      </c>
      <c r="AH16">
        <v>6320.03</v>
      </c>
      <c r="AI16">
        <v>6318.04</v>
      </c>
      <c r="AJ16">
        <v>6322.06</v>
      </c>
      <c r="AK16">
        <v>6335.31</v>
      </c>
      <c r="AL16">
        <v>6327.27</v>
      </c>
      <c r="AM16">
        <v>6329.69</v>
      </c>
      <c r="AN16">
        <v>6336.9</v>
      </c>
      <c r="AO16">
        <v>6329.68</v>
      </c>
      <c r="AP16">
        <v>6326.07</v>
      </c>
      <c r="AQ16">
        <v>6328.88</v>
      </c>
      <c r="AR16">
        <v>6327.68</v>
      </c>
      <c r="AS16">
        <v>6324.46</v>
      </c>
      <c r="AT16">
        <v>6327.68</v>
      </c>
      <c r="AU16">
        <v>6319.65</v>
      </c>
      <c r="AV16">
        <v>6327.68</v>
      </c>
      <c r="AW16">
        <v>6333.7</v>
      </c>
      <c r="AX16">
        <v>6328.88</v>
      </c>
      <c r="AY16">
        <v>6332.9</v>
      </c>
      <c r="AZ16">
        <v>6327.67</v>
      </c>
      <c r="BA16">
        <v>6320.43</v>
      </c>
      <c r="BB16">
        <v>6325.25</v>
      </c>
      <c r="BC16">
        <v>6328.08</v>
      </c>
      <c r="BD16">
        <v>6330.08</v>
      </c>
      <c r="BE16">
        <v>6328.48</v>
      </c>
      <c r="BF16">
        <v>6329.28</v>
      </c>
      <c r="BG16">
        <v>6324.46</v>
      </c>
      <c r="BH16">
        <v>6323.65</v>
      </c>
      <c r="BI16">
        <v>6326.47</v>
      </c>
      <c r="BJ16">
        <v>6323.26</v>
      </c>
      <c r="BK16">
        <v>6314.81</v>
      </c>
      <c r="BL16">
        <v>6329.69</v>
      </c>
      <c r="BM16">
        <v>6320.45</v>
      </c>
      <c r="BN16">
        <v>6318.83</v>
      </c>
      <c r="BO16">
        <v>6322.86</v>
      </c>
      <c r="BP16">
        <v>6318.03</v>
      </c>
      <c r="BQ16">
        <v>6326.86</v>
      </c>
      <c r="BR16">
        <v>6332.09</v>
      </c>
      <c r="BS16">
        <v>6325.66</v>
      </c>
      <c r="BT16">
        <v>6315.2</v>
      </c>
      <c r="BU16">
        <v>6323.65</v>
      </c>
      <c r="BV16">
        <v>6330.88</v>
      </c>
      <c r="BW16">
        <v>6325.27</v>
      </c>
      <c r="BX16">
        <v>6324.87</v>
      </c>
      <c r="BY16">
        <v>6322.04</v>
      </c>
      <c r="BZ16">
        <v>6324.47</v>
      </c>
      <c r="CA16">
        <v>6327.28</v>
      </c>
      <c r="CB16">
        <v>6329.68</v>
      </c>
      <c r="CC16">
        <v>6326.06</v>
      </c>
      <c r="CD16">
        <v>6322.86</v>
      </c>
      <c r="CE16">
        <v>6328.47</v>
      </c>
      <c r="CF16">
        <v>6321.25</v>
      </c>
      <c r="CG16">
        <v>6326.07</v>
      </c>
      <c r="CH16">
        <v>6329.28</v>
      </c>
      <c r="CI16">
        <v>6332.09</v>
      </c>
      <c r="CJ16">
        <v>6328.08</v>
      </c>
      <c r="CK16">
        <v>6325.27</v>
      </c>
      <c r="CL16">
        <v>6325.27</v>
      </c>
      <c r="CM16">
        <v>6321.25</v>
      </c>
      <c r="CN16">
        <v>6323.26</v>
      </c>
      <c r="CO16">
        <v>6331.28</v>
      </c>
      <c r="CP16">
        <v>6326.47</v>
      </c>
      <c r="CQ16">
        <v>6331.28</v>
      </c>
      <c r="CR16">
        <v>6327.27</v>
      </c>
      <c r="CS16">
        <v>6327.67</v>
      </c>
    </row>
    <row r="17" spans="1:97">
      <c r="A17" s="9">
        <v>46250</v>
      </c>
      <c r="B17">
        <v>6328.88</v>
      </c>
      <c r="C17">
        <v>6318.83</v>
      </c>
      <c r="D17">
        <v>6324.47</v>
      </c>
      <c r="E17">
        <v>6328.07</v>
      </c>
      <c r="F17">
        <v>6318.44</v>
      </c>
      <c r="G17">
        <v>6321.64</v>
      </c>
      <c r="H17">
        <v>6328.87</v>
      </c>
      <c r="I17">
        <v>6320.43</v>
      </c>
      <c r="J17">
        <v>6326.06</v>
      </c>
      <c r="K17">
        <v>6330.09</v>
      </c>
      <c r="L17">
        <v>6322.04</v>
      </c>
      <c r="M17">
        <v>6326.47</v>
      </c>
      <c r="N17">
        <v>6325.27</v>
      </c>
      <c r="O17">
        <v>6314.41</v>
      </c>
      <c r="P17">
        <v>6320.44</v>
      </c>
      <c r="Q17">
        <v>6324.87</v>
      </c>
      <c r="R17">
        <v>6322.86</v>
      </c>
      <c r="S17">
        <v>6318.03</v>
      </c>
      <c r="T17">
        <v>6322.45</v>
      </c>
      <c r="U17">
        <v>6322.45</v>
      </c>
      <c r="V17">
        <v>6328.08</v>
      </c>
      <c r="W17">
        <v>6321.65</v>
      </c>
      <c r="X17">
        <v>6323.24</v>
      </c>
      <c r="Y17">
        <v>6327.28</v>
      </c>
      <c r="Z17">
        <v>6326.88</v>
      </c>
      <c r="AA17">
        <v>6323.66</v>
      </c>
      <c r="AB17">
        <v>6336.91</v>
      </c>
      <c r="AC17">
        <v>6321.64</v>
      </c>
      <c r="AD17">
        <v>6317.23</v>
      </c>
      <c r="AE17">
        <v>6325.28</v>
      </c>
      <c r="AF17">
        <v>6327.27</v>
      </c>
      <c r="AG17">
        <v>6322.86</v>
      </c>
      <c r="AH17">
        <v>6327.67</v>
      </c>
      <c r="AI17">
        <v>6322.85</v>
      </c>
      <c r="AJ17">
        <v>6320.04</v>
      </c>
      <c r="AK17">
        <v>6329.68</v>
      </c>
      <c r="AL17">
        <v>6325.67</v>
      </c>
      <c r="AM17">
        <v>6329.69</v>
      </c>
      <c r="AN17">
        <v>6325.25</v>
      </c>
      <c r="AO17">
        <v>6320.84</v>
      </c>
      <c r="AP17">
        <v>6319.64</v>
      </c>
      <c r="AQ17">
        <v>6333.3</v>
      </c>
      <c r="AR17">
        <v>6328.08</v>
      </c>
      <c r="AS17">
        <v>6330.48</v>
      </c>
      <c r="AT17">
        <v>6332.9</v>
      </c>
      <c r="AU17">
        <v>6331.3</v>
      </c>
      <c r="AV17">
        <v>6324.46</v>
      </c>
      <c r="AW17">
        <v>6329.28</v>
      </c>
      <c r="AX17">
        <v>6326.07</v>
      </c>
      <c r="AY17">
        <v>6321.65</v>
      </c>
      <c r="AZ17">
        <v>6320.04</v>
      </c>
      <c r="BA17">
        <v>6326.46</v>
      </c>
      <c r="BB17">
        <v>6332.49</v>
      </c>
      <c r="BC17">
        <v>6322.44</v>
      </c>
      <c r="BD17">
        <v>6332.49</v>
      </c>
      <c r="BE17">
        <v>6332.1</v>
      </c>
      <c r="BF17">
        <v>6333.7</v>
      </c>
      <c r="BG17">
        <v>6330.08</v>
      </c>
      <c r="BH17">
        <v>6322.04</v>
      </c>
      <c r="BI17">
        <v>6330.09</v>
      </c>
      <c r="BJ17">
        <v>6328.07</v>
      </c>
      <c r="BK17">
        <v>6319.23</v>
      </c>
      <c r="BL17">
        <v>6322.46</v>
      </c>
      <c r="BM17">
        <v>6332.9</v>
      </c>
      <c r="BN17">
        <v>6328.47</v>
      </c>
      <c r="BO17">
        <v>6317.22</v>
      </c>
      <c r="BP17">
        <v>6328.08</v>
      </c>
      <c r="BQ17">
        <v>6319.24</v>
      </c>
      <c r="BR17">
        <v>6319.24</v>
      </c>
      <c r="BS17">
        <v>6316.43</v>
      </c>
      <c r="BT17">
        <v>6317.62</v>
      </c>
      <c r="BU17">
        <v>6328.88</v>
      </c>
      <c r="BV17">
        <v>6319.63</v>
      </c>
      <c r="BW17">
        <v>6323.25</v>
      </c>
      <c r="BX17">
        <v>6325.26</v>
      </c>
      <c r="BY17">
        <v>6312.41</v>
      </c>
      <c r="BZ17">
        <v>6322.04</v>
      </c>
      <c r="CA17">
        <v>6320.44</v>
      </c>
      <c r="CB17">
        <v>6316.02</v>
      </c>
      <c r="CC17">
        <v>6318.83</v>
      </c>
      <c r="CD17">
        <v>6317.23</v>
      </c>
      <c r="CE17">
        <v>6323.26</v>
      </c>
      <c r="CF17">
        <v>6319.63</v>
      </c>
      <c r="CG17">
        <v>6314.82</v>
      </c>
      <c r="CH17">
        <v>6322.05</v>
      </c>
      <c r="CI17">
        <v>6318.83</v>
      </c>
      <c r="CJ17">
        <v>6320.04</v>
      </c>
      <c r="CK17">
        <v>6316.43</v>
      </c>
      <c r="CL17">
        <v>6319.64</v>
      </c>
      <c r="CM17">
        <v>6321.65</v>
      </c>
      <c r="CN17">
        <v>6323.66</v>
      </c>
      <c r="CO17">
        <v>6326.88</v>
      </c>
      <c r="CP17">
        <v>6317.63</v>
      </c>
      <c r="CQ17">
        <v>6319.23</v>
      </c>
      <c r="CR17">
        <v>6321.64</v>
      </c>
      <c r="CS17">
        <v>6317.63</v>
      </c>
    </row>
    <row r="18" spans="1:97">
      <c r="A18" s="9">
        <v>46251</v>
      </c>
      <c r="B18">
        <v>6323.25</v>
      </c>
      <c r="C18">
        <v>6319.64</v>
      </c>
      <c r="D18">
        <v>6324.07</v>
      </c>
      <c r="E18">
        <v>6323.26</v>
      </c>
      <c r="F18">
        <v>6324.46</v>
      </c>
      <c r="G18">
        <v>6316.83</v>
      </c>
      <c r="H18">
        <v>6321.24</v>
      </c>
      <c r="I18">
        <v>6318.03</v>
      </c>
      <c r="J18">
        <v>6320.84</v>
      </c>
      <c r="K18">
        <v>6322.84</v>
      </c>
      <c r="L18">
        <v>6327.27</v>
      </c>
      <c r="M18">
        <v>6320.04</v>
      </c>
      <c r="N18">
        <v>6318.84</v>
      </c>
      <c r="O18">
        <v>6328.08</v>
      </c>
      <c r="P18">
        <v>6322.45</v>
      </c>
      <c r="Q18">
        <v>6320.04</v>
      </c>
      <c r="R18">
        <v>6327.27</v>
      </c>
      <c r="S18">
        <v>6324.87</v>
      </c>
      <c r="T18">
        <v>6317.23</v>
      </c>
      <c r="U18">
        <v>6313.21</v>
      </c>
      <c r="V18">
        <v>6322.05</v>
      </c>
      <c r="W18">
        <v>6308.79</v>
      </c>
      <c r="X18">
        <v>6326.06</v>
      </c>
      <c r="Y18">
        <v>6313.62</v>
      </c>
      <c r="Z18">
        <v>6315.61</v>
      </c>
      <c r="AA18">
        <v>6309.19</v>
      </c>
      <c r="AB18">
        <v>6325.26</v>
      </c>
      <c r="AC18">
        <v>6316.01</v>
      </c>
      <c r="AD18">
        <v>6326.47</v>
      </c>
      <c r="AE18">
        <v>6319.24</v>
      </c>
      <c r="AF18">
        <v>6320.44</v>
      </c>
      <c r="AG18">
        <v>6320.04</v>
      </c>
      <c r="AH18">
        <v>6323.26</v>
      </c>
      <c r="AI18">
        <v>6319.23</v>
      </c>
      <c r="AJ18">
        <v>6316.83</v>
      </c>
      <c r="AK18">
        <v>6319.23</v>
      </c>
      <c r="AL18">
        <v>6318.42</v>
      </c>
      <c r="AM18">
        <v>6315.23</v>
      </c>
      <c r="AN18">
        <v>6319.24</v>
      </c>
      <c r="AO18">
        <v>6312.01</v>
      </c>
      <c r="AP18">
        <v>6311.6</v>
      </c>
      <c r="AQ18">
        <v>6316.03</v>
      </c>
      <c r="AR18">
        <v>6316.02</v>
      </c>
      <c r="AS18">
        <v>6314.41</v>
      </c>
      <c r="AT18">
        <v>6325.65</v>
      </c>
      <c r="AU18">
        <v>6323.26</v>
      </c>
      <c r="AV18">
        <v>6325.26</v>
      </c>
      <c r="AW18">
        <v>6315.22</v>
      </c>
      <c r="AX18">
        <v>6316.42</v>
      </c>
      <c r="AY18">
        <v>6323.25</v>
      </c>
      <c r="AZ18">
        <v>6318.83</v>
      </c>
      <c r="BA18">
        <v>6327.28</v>
      </c>
      <c r="BB18">
        <v>6315.61</v>
      </c>
      <c r="BC18">
        <v>6318.43</v>
      </c>
      <c r="BD18">
        <v>6318.83</v>
      </c>
      <c r="BE18">
        <v>6310.8</v>
      </c>
      <c r="BF18">
        <v>6319.63</v>
      </c>
      <c r="BG18">
        <v>6321.65</v>
      </c>
      <c r="BH18">
        <v>6326.47</v>
      </c>
      <c r="BI18">
        <v>6313.6</v>
      </c>
      <c r="BJ18">
        <v>6322.46</v>
      </c>
      <c r="BK18">
        <v>6325.25</v>
      </c>
      <c r="BL18">
        <v>6324.85</v>
      </c>
      <c r="BM18">
        <v>6320.43</v>
      </c>
      <c r="BN18">
        <v>6329.68</v>
      </c>
      <c r="BO18">
        <v>6325.67</v>
      </c>
      <c r="BP18">
        <v>6311.2</v>
      </c>
      <c r="BQ18">
        <v>6316.82</v>
      </c>
      <c r="BR18">
        <v>6318.43</v>
      </c>
      <c r="BS18">
        <v>6321.64</v>
      </c>
      <c r="BT18">
        <v>6321.64</v>
      </c>
      <c r="BU18">
        <v>6316.02</v>
      </c>
      <c r="BV18">
        <v>6314</v>
      </c>
      <c r="BW18">
        <v>6320.44</v>
      </c>
      <c r="BX18">
        <v>6312</v>
      </c>
      <c r="BY18">
        <v>6319.22</v>
      </c>
      <c r="BZ18">
        <v>6312.79</v>
      </c>
      <c r="CA18">
        <v>6326.07</v>
      </c>
      <c r="CB18">
        <v>6317.22</v>
      </c>
      <c r="CC18">
        <v>6319.23</v>
      </c>
      <c r="CD18">
        <v>6318.03</v>
      </c>
      <c r="CE18">
        <v>6323.25</v>
      </c>
      <c r="CF18">
        <v>6320.84</v>
      </c>
      <c r="CG18">
        <v>6323.26</v>
      </c>
      <c r="CH18">
        <v>6314.81</v>
      </c>
      <c r="CI18">
        <v>6314.81</v>
      </c>
      <c r="CJ18">
        <v>6315.2</v>
      </c>
      <c r="CK18">
        <v>6314.82</v>
      </c>
      <c r="CL18">
        <v>6317.23</v>
      </c>
      <c r="CM18">
        <v>6307.58</v>
      </c>
      <c r="CN18">
        <v>6313.21</v>
      </c>
      <c r="CO18">
        <v>6318.03</v>
      </c>
      <c r="CP18">
        <v>6318.83</v>
      </c>
      <c r="CQ18">
        <v>6317.23</v>
      </c>
      <c r="CR18">
        <v>6326.07</v>
      </c>
      <c r="CS18">
        <v>6317.62</v>
      </c>
    </row>
    <row r="19" spans="1:97">
      <c r="A19" s="9">
        <v>46252</v>
      </c>
      <c r="B19">
        <v>6320.03</v>
      </c>
      <c r="C19">
        <v>6319.63</v>
      </c>
      <c r="D19">
        <v>6322.85</v>
      </c>
      <c r="E19">
        <v>6320.84</v>
      </c>
      <c r="F19">
        <v>6321.65</v>
      </c>
      <c r="G19">
        <v>6322.45</v>
      </c>
      <c r="H19">
        <v>6324.46</v>
      </c>
      <c r="I19">
        <v>6322.85</v>
      </c>
      <c r="J19">
        <v>6332.1</v>
      </c>
      <c r="K19">
        <v>6331.3</v>
      </c>
      <c r="L19">
        <v>6323.25</v>
      </c>
      <c r="M19">
        <v>6338.53</v>
      </c>
      <c r="N19">
        <v>6324.46</v>
      </c>
      <c r="O19">
        <v>6328.08</v>
      </c>
      <c r="P19">
        <v>6328.88</v>
      </c>
      <c r="Q19">
        <v>6336.52</v>
      </c>
      <c r="R19">
        <v>6325.67</v>
      </c>
      <c r="S19">
        <v>6332.49</v>
      </c>
      <c r="T19">
        <v>6324.86</v>
      </c>
      <c r="U19">
        <v>6320.04</v>
      </c>
      <c r="V19">
        <v>6332.1</v>
      </c>
      <c r="W19">
        <v>6333.3</v>
      </c>
      <c r="X19">
        <v>6321.64</v>
      </c>
      <c r="Y19">
        <v>6326.88</v>
      </c>
      <c r="Z19">
        <v>6322.45</v>
      </c>
      <c r="AA19">
        <v>6320.85</v>
      </c>
      <c r="AB19">
        <v>6329.68</v>
      </c>
      <c r="AC19">
        <v>6324.05</v>
      </c>
      <c r="AD19">
        <v>6322.45</v>
      </c>
      <c r="AE19">
        <v>6327.28</v>
      </c>
      <c r="AF19">
        <v>6322.45</v>
      </c>
      <c r="AG19">
        <v>6338.11</v>
      </c>
      <c r="AH19">
        <v>6329.28</v>
      </c>
      <c r="AI19">
        <v>6325.26</v>
      </c>
      <c r="AJ19">
        <v>6323.25</v>
      </c>
      <c r="AK19">
        <v>6318.43</v>
      </c>
      <c r="AL19">
        <v>6318.03</v>
      </c>
      <c r="AM19">
        <v>6319.63</v>
      </c>
      <c r="AN19">
        <v>6329.28</v>
      </c>
      <c r="AO19">
        <v>6326.87</v>
      </c>
      <c r="AP19">
        <v>6325.27</v>
      </c>
      <c r="AQ19">
        <v>6328.89</v>
      </c>
      <c r="AR19">
        <v>6327.27</v>
      </c>
      <c r="AS19">
        <v>6319.22</v>
      </c>
      <c r="AT19">
        <v>6322.45</v>
      </c>
      <c r="AU19">
        <v>6322.06</v>
      </c>
      <c r="AV19">
        <v>6321.24</v>
      </c>
      <c r="AW19">
        <v>6322.46</v>
      </c>
      <c r="AX19">
        <v>6316.41</v>
      </c>
      <c r="AY19">
        <v>6323.25</v>
      </c>
      <c r="AZ19">
        <v>6320.84</v>
      </c>
      <c r="BA19">
        <v>6316.83</v>
      </c>
      <c r="BB19">
        <v>6325.68</v>
      </c>
      <c r="BC19">
        <v>6327.28</v>
      </c>
      <c r="BD19">
        <v>6320.43</v>
      </c>
      <c r="BE19">
        <v>6316.43</v>
      </c>
      <c r="BF19">
        <v>6320.43</v>
      </c>
      <c r="BG19">
        <v>6314.41</v>
      </c>
      <c r="BH19">
        <v>6326.07</v>
      </c>
      <c r="BI19">
        <v>6324.07</v>
      </c>
      <c r="BJ19">
        <v>6319.23</v>
      </c>
      <c r="BK19">
        <v>6320.45</v>
      </c>
      <c r="BL19">
        <v>6330.48</v>
      </c>
      <c r="BM19">
        <v>6320.03</v>
      </c>
      <c r="BN19">
        <v>6330.48</v>
      </c>
      <c r="BO19">
        <v>6323.66</v>
      </c>
      <c r="BP19">
        <v>6323.65</v>
      </c>
      <c r="BQ19">
        <v>6328.49</v>
      </c>
      <c r="BR19">
        <v>6323.26</v>
      </c>
      <c r="BS19">
        <v>6324.86</v>
      </c>
      <c r="BT19">
        <v>6313.21</v>
      </c>
      <c r="BU19">
        <v>6317.62</v>
      </c>
      <c r="BV19">
        <v>6323.26</v>
      </c>
      <c r="BW19">
        <v>6321.65</v>
      </c>
      <c r="BX19">
        <v>6323.25</v>
      </c>
      <c r="BY19">
        <v>6318.83</v>
      </c>
      <c r="BZ19">
        <v>6320.84</v>
      </c>
      <c r="CA19">
        <v>6324.45</v>
      </c>
      <c r="CB19">
        <v>6318.03</v>
      </c>
      <c r="CC19">
        <v>6315.22</v>
      </c>
      <c r="CD19">
        <v>6326.08</v>
      </c>
      <c r="CE19">
        <v>6323.25</v>
      </c>
      <c r="CF19">
        <v>6324.87</v>
      </c>
      <c r="CG19">
        <v>6323.65</v>
      </c>
      <c r="CH19">
        <v>6320.04</v>
      </c>
      <c r="CI19">
        <v>6322.85</v>
      </c>
      <c r="CJ19">
        <v>6330.08</v>
      </c>
      <c r="CK19">
        <v>6324.86</v>
      </c>
      <c r="CL19">
        <v>6322.86</v>
      </c>
      <c r="CM19">
        <v>6328.48</v>
      </c>
      <c r="CN19">
        <v>6327.29</v>
      </c>
      <c r="CO19">
        <v>6327.27</v>
      </c>
      <c r="CP19">
        <v>6329.27</v>
      </c>
      <c r="CQ19">
        <v>6321.24</v>
      </c>
      <c r="CR19">
        <v>6316.02</v>
      </c>
      <c r="CS19">
        <v>6321.64</v>
      </c>
    </row>
    <row r="20" spans="1:97">
      <c r="A20" s="9">
        <v>46253</v>
      </c>
      <c r="B20">
        <v>6323.65</v>
      </c>
      <c r="C20">
        <v>6321.65</v>
      </c>
      <c r="D20">
        <v>6329.28</v>
      </c>
      <c r="E20">
        <v>6320.04</v>
      </c>
      <c r="F20">
        <v>6328.08</v>
      </c>
      <c r="G20">
        <v>6323.25</v>
      </c>
      <c r="H20">
        <v>6328.88</v>
      </c>
      <c r="I20">
        <v>6321.24</v>
      </c>
      <c r="J20">
        <v>6318.83</v>
      </c>
      <c r="K20">
        <v>6326.46</v>
      </c>
      <c r="L20">
        <v>6321.24</v>
      </c>
      <c r="M20">
        <v>6318.02</v>
      </c>
      <c r="N20">
        <v>6320.03</v>
      </c>
      <c r="O20">
        <v>6324.87</v>
      </c>
      <c r="P20">
        <v>6316.42</v>
      </c>
      <c r="Q20">
        <v>6332.51</v>
      </c>
      <c r="R20">
        <v>6324.06</v>
      </c>
      <c r="S20">
        <v>6324.87</v>
      </c>
      <c r="T20">
        <v>6313.2</v>
      </c>
      <c r="U20">
        <v>6326.08</v>
      </c>
      <c r="V20">
        <v>6325.67</v>
      </c>
      <c r="W20">
        <v>6325.68</v>
      </c>
      <c r="X20">
        <v>6323.66</v>
      </c>
      <c r="Y20">
        <v>6324.45</v>
      </c>
      <c r="Z20">
        <v>6328.49</v>
      </c>
      <c r="AA20">
        <v>6326.47</v>
      </c>
      <c r="AB20">
        <v>6329.68</v>
      </c>
      <c r="AC20">
        <v>6325.66</v>
      </c>
      <c r="AD20">
        <v>6320.44</v>
      </c>
      <c r="AE20">
        <v>6320.04</v>
      </c>
      <c r="AF20">
        <v>6324.46</v>
      </c>
      <c r="AG20">
        <v>6324.87</v>
      </c>
      <c r="AH20">
        <v>6322.85</v>
      </c>
      <c r="AI20">
        <v>6324.46</v>
      </c>
      <c r="AJ20">
        <v>6326.87</v>
      </c>
      <c r="AK20">
        <v>6321.64</v>
      </c>
      <c r="AL20">
        <v>6324.06</v>
      </c>
      <c r="AM20">
        <v>6322.44</v>
      </c>
      <c r="AN20">
        <v>6326.07</v>
      </c>
      <c r="AO20">
        <v>6318.43</v>
      </c>
      <c r="AP20">
        <v>6314.41</v>
      </c>
      <c r="AQ20">
        <v>6317.23</v>
      </c>
      <c r="AR20">
        <v>6323.24</v>
      </c>
      <c r="AS20">
        <v>6324.45</v>
      </c>
      <c r="AT20">
        <v>6329.69</v>
      </c>
      <c r="AU20">
        <v>6319.65</v>
      </c>
      <c r="AV20">
        <v>6318.03</v>
      </c>
      <c r="AW20">
        <v>6324.87</v>
      </c>
      <c r="AX20">
        <v>6321.25</v>
      </c>
      <c r="AY20">
        <v>6318.04</v>
      </c>
      <c r="AZ20">
        <v>6318.03</v>
      </c>
      <c r="BA20">
        <v>6322.85</v>
      </c>
      <c r="BB20">
        <v>6325.67</v>
      </c>
      <c r="BC20">
        <v>6316.42</v>
      </c>
      <c r="BD20">
        <v>6319.22</v>
      </c>
      <c r="BE20">
        <v>6319.65</v>
      </c>
      <c r="BF20">
        <v>6320.84</v>
      </c>
      <c r="BG20">
        <v>6326.88</v>
      </c>
      <c r="BH20">
        <v>6327.29</v>
      </c>
      <c r="BI20">
        <v>6323.25</v>
      </c>
      <c r="BJ20">
        <v>6317.63</v>
      </c>
      <c r="BK20">
        <v>6325.67</v>
      </c>
      <c r="BL20">
        <v>6317.22</v>
      </c>
      <c r="BM20">
        <v>6322.86</v>
      </c>
      <c r="BN20">
        <v>6317.23</v>
      </c>
      <c r="BO20">
        <v>6323.67</v>
      </c>
      <c r="BP20">
        <v>6325.67</v>
      </c>
      <c r="BQ20">
        <v>6317.23</v>
      </c>
      <c r="BR20">
        <v>6318.84</v>
      </c>
      <c r="BS20">
        <v>6322.05</v>
      </c>
      <c r="BT20">
        <v>6321.65</v>
      </c>
      <c r="BU20">
        <v>6312.81</v>
      </c>
      <c r="BV20">
        <v>6322.45</v>
      </c>
      <c r="BW20">
        <v>6311.6</v>
      </c>
      <c r="BX20">
        <v>6318.83</v>
      </c>
      <c r="BY20">
        <v>6317.23</v>
      </c>
      <c r="BZ20">
        <v>6326.87</v>
      </c>
      <c r="CA20">
        <v>6329.27</v>
      </c>
      <c r="CB20">
        <v>6329.28</v>
      </c>
      <c r="CC20">
        <v>6320.03</v>
      </c>
      <c r="CD20">
        <v>6333.71</v>
      </c>
      <c r="CE20">
        <v>6322.84</v>
      </c>
      <c r="CF20">
        <v>6316.82</v>
      </c>
      <c r="CG20">
        <v>6326.08</v>
      </c>
      <c r="CH20">
        <v>6320.44</v>
      </c>
      <c r="CI20">
        <v>6322.04</v>
      </c>
      <c r="CJ20">
        <v>6317.21</v>
      </c>
      <c r="CK20">
        <v>6326.87</v>
      </c>
      <c r="CL20">
        <v>6332.49</v>
      </c>
      <c r="CM20">
        <v>6328.09</v>
      </c>
      <c r="CN20">
        <v>6328.48</v>
      </c>
      <c r="CO20">
        <v>6321.64</v>
      </c>
      <c r="CP20">
        <v>6320.44</v>
      </c>
      <c r="CQ20">
        <v>6316.03</v>
      </c>
      <c r="CR20">
        <v>6328.88</v>
      </c>
      <c r="CS20">
        <v>6324.85</v>
      </c>
    </row>
    <row r="21" spans="1:97">
      <c r="A21" s="9">
        <v>46254</v>
      </c>
      <c r="B21">
        <v>6325.68</v>
      </c>
      <c r="C21">
        <v>6326.47</v>
      </c>
      <c r="D21">
        <v>6325.66</v>
      </c>
      <c r="E21">
        <v>6317.23</v>
      </c>
      <c r="F21">
        <v>6315.62</v>
      </c>
      <c r="G21">
        <v>6322.44</v>
      </c>
      <c r="H21">
        <v>6322.45</v>
      </c>
      <c r="I21">
        <v>6318.84</v>
      </c>
      <c r="J21">
        <v>6328.08</v>
      </c>
      <c r="K21">
        <v>6336.12</v>
      </c>
      <c r="L21">
        <v>6319.64</v>
      </c>
      <c r="M21">
        <v>6323.27</v>
      </c>
      <c r="N21">
        <v>6338.53</v>
      </c>
      <c r="O21">
        <v>6325.27</v>
      </c>
      <c r="P21">
        <v>6324.06</v>
      </c>
      <c r="Q21">
        <v>6322.45</v>
      </c>
      <c r="R21">
        <v>6328.88</v>
      </c>
      <c r="S21">
        <v>6331.28</v>
      </c>
      <c r="T21">
        <v>6325.26</v>
      </c>
      <c r="U21">
        <v>6330.48</v>
      </c>
      <c r="V21">
        <v>6333.7</v>
      </c>
      <c r="W21">
        <v>6326.07</v>
      </c>
      <c r="X21">
        <v>6322.85</v>
      </c>
      <c r="Y21">
        <v>6330.08</v>
      </c>
      <c r="Z21">
        <v>6340.54</v>
      </c>
      <c r="AA21">
        <v>6333.3</v>
      </c>
      <c r="AB21">
        <v>6325.67</v>
      </c>
      <c r="AC21">
        <v>6326.45</v>
      </c>
      <c r="AD21">
        <v>6326.07</v>
      </c>
      <c r="AE21">
        <v>6323.67</v>
      </c>
      <c r="AF21">
        <v>6326.86</v>
      </c>
      <c r="AG21">
        <v>6324.04</v>
      </c>
      <c r="AH21">
        <v>6330.9</v>
      </c>
      <c r="AI21">
        <v>6324.05</v>
      </c>
      <c r="AJ21">
        <v>6328.09</v>
      </c>
      <c r="AK21">
        <v>6333.3</v>
      </c>
      <c r="AL21">
        <v>6328.88</v>
      </c>
      <c r="AM21">
        <v>6322.85</v>
      </c>
      <c r="AN21">
        <v>6334.9</v>
      </c>
      <c r="AO21">
        <v>6335.71</v>
      </c>
      <c r="AP21">
        <v>6324.06</v>
      </c>
      <c r="AQ21">
        <v>6312.41</v>
      </c>
      <c r="AR21">
        <v>6317.64</v>
      </c>
      <c r="AS21">
        <v>6310.8</v>
      </c>
      <c r="AT21">
        <v>6318.04</v>
      </c>
      <c r="AU21">
        <v>6320.03</v>
      </c>
      <c r="AV21">
        <v>6323.23</v>
      </c>
      <c r="AW21">
        <v>6324.46</v>
      </c>
      <c r="AX21">
        <v>6326.46</v>
      </c>
      <c r="AY21">
        <v>6328.88</v>
      </c>
      <c r="AZ21">
        <v>6324.46</v>
      </c>
      <c r="BA21">
        <v>6320.84</v>
      </c>
      <c r="BB21">
        <v>6330.49</v>
      </c>
      <c r="BC21">
        <v>6338.11</v>
      </c>
      <c r="BD21">
        <v>6329.68</v>
      </c>
      <c r="BE21">
        <v>6337.72</v>
      </c>
      <c r="BF21">
        <v>6334.1</v>
      </c>
      <c r="BG21">
        <v>6338.92</v>
      </c>
      <c r="BH21">
        <v>6326.89</v>
      </c>
      <c r="BI21">
        <v>6323.66</v>
      </c>
      <c r="BJ21">
        <v>6346.55</v>
      </c>
      <c r="BK21">
        <v>6331.29</v>
      </c>
      <c r="BL21">
        <v>6330.49</v>
      </c>
      <c r="BM21">
        <v>6333.7</v>
      </c>
      <c r="BN21">
        <v>6329.29</v>
      </c>
      <c r="BO21">
        <v>6330.48</v>
      </c>
      <c r="BP21">
        <v>6334.91</v>
      </c>
      <c r="BQ21">
        <v>6328.48</v>
      </c>
      <c r="BR21">
        <v>6333.29</v>
      </c>
      <c r="BS21">
        <v>6336.92</v>
      </c>
      <c r="BT21">
        <v>6340.13</v>
      </c>
      <c r="BU21">
        <v>6335.32</v>
      </c>
      <c r="BV21">
        <v>6336.51</v>
      </c>
      <c r="BW21">
        <v>6337.72</v>
      </c>
      <c r="BX21">
        <v>6340.13</v>
      </c>
      <c r="BY21">
        <v>6342.55</v>
      </c>
      <c r="BZ21">
        <v>6330.09</v>
      </c>
      <c r="CA21">
        <v>6334.92</v>
      </c>
      <c r="CB21">
        <v>6332.89</v>
      </c>
      <c r="CC21">
        <v>6334.1</v>
      </c>
      <c r="CD21">
        <v>6336.51</v>
      </c>
      <c r="CE21">
        <v>6339.74</v>
      </c>
      <c r="CF21">
        <v>6336.52</v>
      </c>
      <c r="CG21">
        <v>6334.51</v>
      </c>
      <c r="CH21">
        <v>6334.51</v>
      </c>
      <c r="CI21">
        <v>6325.66</v>
      </c>
      <c r="CJ21">
        <v>6334.51</v>
      </c>
      <c r="CK21">
        <v>6334.5</v>
      </c>
      <c r="CL21">
        <v>6324.86</v>
      </c>
      <c r="CM21">
        <v>6333.3</v>
      </c>
      <c r="CN21">
        <v>6336.51</v>
      </c>
      <c r="CO21">
        <v>6333.7</v>
      </c>
      <c r="CP21">
        <v>6324.86</v>
      </c>
      <c r="CQ21">
        <v>6330.49</v>
      </c>
      <c r="CR21">
        <v>6332.9</v>
      </c>
      <c r="CS21">
        <v>6336.92</v>
      </c>
    </row>
    <row r="22" spans="1:97">
      <c r="A22" s="9">
        <v>46255</v>
      </c>
      <c r="B22">
        <v>6326.68</v>
      </c>
      <c r="C22">
        <v>6327.47</v>
      </c>
      <c r="D22">
        <v>6326.66</v>
      </c>
      <c r="E22">
        <v>6318.23</v>
      </c>
      <c r="F22">
        <v>6316.62</v>
      </c>
      <c r="G22">
        <v>6323.44</v>
      </c>
      <c r="H22">
        <v>6323.45</v>
      </c>
      <c r="I22">
        <v>6319.84</v>
      </c>
      <c r="J22">
        <v>6329.08</v>
      </c>
      <c r="K22">
        <v>6337.12</v>
      </c>
      <c r="L22">
        <v>6320.64</v>
      </c>
      <c r="M22">
        <v>6324.27</v>
      </c>
      <c r="N22">
        <v>6339.53</v>
      </c>
      <c r="O22">
        <v>6326.27</v>
      </c>
      <c r="P22">
        <v>6325.06</v>
      </c>
      <c r="Q22">
        <v>6323.45</v>
      </c>
      <c r="R22">
        <v>6329.88</v>
      </c>
      <c r="S22">
        <v>6332.28</v>
      </c>
      <c r="T22">
        <v>6326.26</v>
      </c>
      <c r="U22">
        <v>6331.48</v>
      </c>
      <c r="V22">
        <v>6334.7</v>
      </c>
      <c r="W22">
        <v>6327.07</v>
      </c>
      <c r="X22">
        <v>6323.85</v>
      </c>
      <c r="Y22">
        <v>6331.08</v>
      </c>
      <c r="Z22">
        <v>6341.54</v>
      </c>
      <c r="AA22">
        <v>6334.3</v>
      </c>
      <c r="AB22">
        <v>6326.67</v>
      </c>
      <c r="AC22">
        <v>6327.45</v>
      </c>
      <c r="AD22">
        <v>6327.07</v>
      </c>
      <c r="AE22">
        <v>6324.67</v>
      </c>
      <c r="AF22">
        <v>6327.86</v>
      </c>
      <c r="AG22">
        <v>6325.04</v>
      </c>
      <c r="AH22">
        <v>6331.9</v>
      </c>
      <c r="AI22">
        <v>6325.05</v>
      </c>
      <c r="AJ22">
        <v>6329.09</v>
      </c>
      <c r="AK22">
        <v>6334.3</v>
      </c>
      <c r="AL22">
        <v>6329.88</v>
      </c>
      <c r="AM22">
        <v>6323.85</v>
      </c>
      <c r="AN22">
        <v>6335.9</v>
      </c>
      <c r="AO22">
        <v>6336.71</v>
      </c>
      <c r="AP22">
        <v>6325.06</v>
      </c>
      <c r="AQ22">
        <v>6313.41</v>
      </c>
      <c r="AR22">
        <v>6318.64</v>
      </c>
      <c r="AS22">
        <v>6311.8</v>
      </c>
      <c r="AT22">
        <v>6319.04</v>
      </c>
      <c r="AU22">
        <v>6321.03</v>
      </c>
      <c r="AV22">
        <v>6324.23</v>
      </c>
      <c r="AW22">
        <v>6325.46</v>
      </c>
      <c r="AX22">
        <v>6327.46</v>
      </c>
      <c r="AY22">
        <v>6329.88</v>
      </c>
      <c r="AZ22">
        <v>6325.46</v>
      </c>
      <c r="BA22">
        <v>6321.84</v>
      </c>
      <c r="BB22">
        <v>6331.49</v>
      </c>
      <c r="BC22">
        <v>6339.11</v>
      </c>
      <c r="BD22">
        <v>6330.68</v>
      </c>
      <c r="BE22">
        <v>6338.72</v>
      </c>
      <c r="BF22">
        <v>6335.1</v>
      </c>
      <c r="BG22">
        <v>6339.92</v>
      </c>
      <c r="BH22">
        <v>6327.89</v>
      </c>
      <c r="BI22">
        <v>6324.66</v>
      </c>
      <c r="BJ22">
        <v>6347.55</v>
      </c>
      <c r="BK22">
        <v>6332.29</v>
      </c>
      <c r="BL22">
        <v>6331.49</v>
      </c>
      <c r="BM22">
        <v>6334.7</v>
      </c>
      <c r="BN22">
        <v>6330.29</v>
      </c>
      <c r="BO22">
        <v>6331.48</v>
      </c>
      <c r="BP22">
        <v>6335.91</v>
      </c>
      <c r="BQ22">
        <v>6329.48</v>
      </c>
      <c r="BR22">
        <v>6334.29</v>
      </c>
      <c r="BS22">
        <v>6337.92</v>
      </c>
      <c r="BT22">
        <v>6341.13</v>
      </c>
      <c r="BU22">
        <v>6336.32</v>
      </c>
      <c r="BV22">
        <v>6337.51</v>
      </c>
      <c r="BW22">
        <v>6338.72</v>
      </c>
      <c r="BX22">
        <v>6341.13</v>
      </c>
      <c r="BY22">
        <v>6343.55</v>
      </c>
      <c r="BZ22">
        <v>6331.09</v>
      </c>
      <c r="CA22">
        <v>6335.92</v>
      </c>
      <c r="CB22">
        <v>6333.89</v>
      </c>
      <c r="CC22">
        <v>6335.1</v>
      </c>
      <c r="CD22">
        <v>6337.51</v>
      </c>
      <c r="CE22">
        <v>6340.74</v>
      </c>
      <c r="CF22">
        <v>6337.52</v>
      </c>
      <c r="CG22">
        <v>6335.51</v>
      </c>
      <c r="CH22">
        <v>6335.51</v>
      </c>
      <c r="CI22">
        <v>6326.66</v>
      </c>
      <c r="CJ22">
        <v>6335.51</v>
      </c>
      <c r="CK22">
        <v>6335.5</v>
      </c>
      <c r="CL22">
        <v>6325.86</v>
      </c>
      <c r="CM22">
        <v>6334.3</v>
      </c>
      <c r="CN22">
        <v>6337.51</v>
      </c>
      <c r="CO22">
        <v>6334.7</v>
      </c>
      <c r="CP22">
        <v>6325.86</v>
      </c>
      <c r="CQ22">
        <v>6331.49</v>
      </c>
      <c r="CR22">
        <v>6333.9</v>
      </c>
      <c r="CS22">
        <v>6337.92</v>
      </c>
    </row>
    <row r="23" spans="1:97">
      <c r="A23" s="9">
        <v>46256</v>
      </c>
      <c r="B23">
        <v>6354.59</v>
      </c>
      <c r="C23">
        <v>6340.94</v>
      </c>
      <c r="D23">
        <v>6352.19</v>
      </c>
      <c r="E23">
        <v>6338.13</v>
      </c>
      <c r="F23">
        <v>6346.96</v>
      </c>
      <c r="G23">
        <v>6336.92</v>
      </c>
      <c r="H23">
        <v>6338.92</v>
      </c>
      <c r="I23">
        <v>6344.96</v>
      </c>
      <c r="J23">
        <v>6355.8</v>
      </c>
      <c r="K23">
        <v>6342.14</v>
      </c>
      <c r="L23">
        <v>6347.78</v>
      </c>
      <c r="M23">
        <v>6347.36</v>
      </c>
      <c r="N23">
        <v>6350.59</v>
      </c>
      <c r="O23">
        <v>6337.33</v>
      </c>
      <c r="P23">
        <v>6343.34</v>
      </c>
      <c r="Q23">
        <v>6346.97</v>
      </c>
      <c r="R23">
        <v>6346.17</v>
      </c>
      <c r="S23">
        <v>6347.77</v>
      </c>
      <c r="T23">
        <v>6345.76</v>
      </c>
      <c r="U23">
        <v>6344.55</v>
      </c>
      <c r="V23">
        <v>6350.18</v>
      </c>
      <c r="W23">
        <v>6348.17</v>
      </c>
      <c r="X23">
        <v>6343.36</v>
      </c>
      <c r="Y23">
        <v>6339.72</v>
      </c>
      <c r="Z23">
        <v>6346.56</v>
      </c>
      <c r="AA23">
        <v>6348.17</v>
      </c>
      <c r="AB23">
        <v>6343.75</v>
      </c>
      <c r="AC23">
        <v>6344.17</v>
      </c>
      <c r="AD23">
        <v>6346.96</v>
      </c>
      <c r="AE23">
        <v>6342.14</v>
      </c>
      <c r="AF23">
        <v>6340.94</v>
      </c>
      <c r="AG23">
        <v>6348.57</v>
      </c>
      <c r="AH23">
        <v>6340.13</v>
      </c>
      <c r="AI23">
        <v>6348.18</v>
      </c>
      <c r="AJ23">
        <v>6354.6</v>
      </c>
      <c r="AK23">
        <v>6352.18</v>
      </c>
      <c r="AL23">
        <v>6341.35</v>
      </c>
      <c r="AM23">
        <v>6349.78</v>
      </c>
      <c r="AN23">
        <v>6350.98</v>
      </c>
      <c r="AO23">
        <v>6349.38</v>
      </c>
      <c r="AP23">
        <v>6348.97</v>
      </c>
      <c r="AQ23">
        <v>6341.34</v>
      </c>
      <c r="AR23">
        <v>6343.75</v>
      </c>
      <c r="AS23">
        <v>6346.56</v>
      </c>
      <c r="AT23">
        <v>6352.99</v>
      </c>
      <c r="AU23">
        <v>6350.19</v>
      </c>
      <c r="AV23">
        <v>6342.13</v>
      </c>
      <c r="AW23">
        <v>6346.97</v>
      </c>
      <c r="AX23">
        <v>6351.79</v>
      </c>
      <c r="AY23">
        <v>6346.57</v>
      </c>
      <c r="AZ23">
        <v>6351.78</v>
      </c>
      <c r="BA23">
        <v>6338.12</v>
      </c>
      <c r="BB23">
        <v>6353.79</v>
      </c>
      <c r="BC23">
        <v>6341.73</v>
      </c>
      <c r="BD23">
        <v>6356.2</v>
      </c>
      <c r="BE23">
        <v>6344.15</v>
      </c>
      <c r="BF23">
        <v>6349.37</v>
      </c>
      <c r="BG23">
        <v>6342.14</v>
      </c>
      <c r="BH23">
        <v>6337.72</v>
      </c>
      <c r="BI23">
        <v>6351.38</v>
      </c>
      <c r="BJ23">
        <v>6343.34</v>
      </c>
      <c r="BK23">
        <v>6353.8</v>
      </c>
      <c r="BL23">
        <v>6339.74</v>
      </c>
      <c r="BM23">
        <v>6346.97</v>
      </c>
      <c r="BN23">
        <v>6349.77</v>
      </c>
      <c r="BO23">
        <v>6342.54</v>
      </c>
      <c r="BP23">
        <v>6345.36</v>
      </c>
      <c r="BQ23">
        <v>6345.76</v>
      </c>
      <c r="BR23">
        <v>6339.31</v>
      </c>
      <c r="BS23">
        <v>6351.39</v>
      </c>
      <c r="BT23">
        <v>6333.71</v>
      </c>
      <c r="BU23">
        <v>6344.57</v>
      </c>
      <c r="BV23">
        <v>6343.75</v>
      </c>
      <c r="BW23">
        <v>6347.76</v>
      </c>
      <c r="BX23">
        <v>6357.81</v>
      </c>
      <c r="BY23">
        <v>6342.94</v>
      </c>
      <c r="BZ23">
        <v>6341.74</v>
      </c>
      <c r="CA23">
        <v>6354.59</v>
      </c>
      <c r="CB23">
        <v>6352.99</v>
      </c>
      <c r="CC23">
        <v>6357.41</v>
      </c>
      <c r="CD23">
        <v>6354.6</v>
      </c>
      <c r="CE23">
        <v>6349.38</v>
      </c>
      <c r="CF23">
        <v>6341.34</v>
      </c>
      <c r="CG23">
        <v>6353.8</v>
      </c>
      <c r="CH23">
        <v>6348.58</v>
      </c>
      <c r="CI23">
        <v>6346.57</v>
      </c>
      <c r="CJ23">
        <v>6354.6</v>
      </c>
      <c r="CK23">
        <v>6352.6</v>
      </c>
      <c r="CL23">
        <v>6351.4</v>
      </c>
      <c r="CM23">
        <v>6343.34</v>
      </c>
      <c r="CN23">
        <v>6353.4</v>
      </c>
      <c r="CO23">
        <v>6343.75</v>
      </c>
      <c r="CP23">
        <v>6349.38</v>
      </c>
      <c r="CQ23">
        <v>6348.56</v>
      </c>
      <c r="CR23">
        <v>6353.4</v>
      </c>
      <c r="CS23">
        <v>6344.96</v>
      </c>
    </row>
    <row r="24" spans="1:97">
      <c r="A24" s="9">
        <v>46257</v>
      </c>
      <c r="B24">
        <v>6350.19</v>
      </c>
      <c r="C24">
        <v>6346.17</v>
      </c>
      <c r="D24">
        <v>6346.96</v>
      </c>
      <c r="E24">
        <v>6348.97</v>
      </c>
      <c r="F24">
        <v>6343.36</v>
      </c>
      <c r="G24">
        <v>6350.18</v>
      </c>
      <c r="H24">
        <v>6345.77</v>
      </c>
      <c r="I24">
        <v>6351.38</v>
      </c>
      <c r="J24">
        <v>6348.58</v>
      </c>
      <c r="K24">
        <v>6344.96</v>
      </c>
      <c r="L24">
        <v>6350.18</v>
      </c>
      <c r="M24">
        <v>6347.36</v>
      </c>
      <c r="N24">
        <v>6347.77</v>
      </c>
      <c r="O24">
        <v>6344.95</v>
      </c>
      <c r="P24">
        <v>6353.8</v>
      </c>
      <c r="Q24">
        <v>6348.18</v>
      </c>
      <c r="R24">
        <v>6342.14</v>
      </c>
      <c r="S24">
        <v>6346.96</v>
      </c>
      <c r="T24">
        <v>6349.78</v>
      </c>
      <c r="U24">
        <v>6337.32</v>
      </c>
      <c r="V24">
        <v>6346.16</v>
      </c>
      <c r="W24">
        <v>6347.37</v>
      </c>
      <c r="X24">
        <v>6351.39</v>
      </c>
      <c r="Y24">
        <v>6348.18</v>
      </c>
      <c r="Z24">
        <v>6348.17</v>
      </c>
      <c r="AA24">
        <v>6348.57</v>
      </c>
      <c r="AB24">
        <v>6342.94</v>
      </c>
      <c r="AC24">
        <v>6350.58</v>
      </c>
      <c r="AD24">
        <v>6349.77</v>
      </c>
      <c r="AE24">
        <v>6349.78</v>
      </c>
      <c r="AF24">
        <v>6347.78</v>
      </c>
      <c r="AG24">
        <v>6346.97</v>
      </c>
      <c r="AH24">
        <v>6355.8</v>
      </c>
      <c r="AI24">
        <v>6355.41</v>
      </c>
      <c r="AJ24">
        <v>6338.13</v>
      </c>
      <c r="AK24">
        <v>6350.58</v>
      </c>
      <c r="AL24">
        <v>6353.4</v>
      </c>
      <c r="AM24">
        <v>6350.98</v>
      </c>
      <c r="AN24">
        <v>6350.17</v>
      </c>
      <c r="AO24">
        <v>6346.98</v>
      </c>
      <c r="AP24">
        <v>6355.81</v>
      </c>
      <c r="AQ24">
        <v>6347.77</v>
      </c>
      <c r="AR24">
        <v>6341.35</v>
      </c>
      <c r="AS24">
        <v>6352.19</v>
      </c>
      <c r="AT24">
        <v>6342.14</v>
      </c>
      <c r="AU24">
        <v>6350.97</v>
      </c>
      <c r="AV24">
        <v>6343.36</v>
      </c>
      <c r="AW24">
        <v>6344.94</v>
      </c>
      <c r="AX24">
        <v>6346.16</v>
      </c>
      <c r="AY24">
        <v>6342.54</v>
      </c>
      <c r="AZ24">
        <v>6342.95</v>
      </c>
      <c r="BA24">
        <v>6355</v>
      </c>
      <c r="BB24">
        <v>6345.76</v>
      </c>
      <c r="BC24">
        <v>6346.56</v>
      </c>
      <c r="BD24">
        <v>6334.52</v>
      </c>
      <c r="BE24">
        <v>6342.53</v>
      </c>
      <c r="BF24">
        <v>6339.33</v>
      </c>
      <c r="BG24">
        <v>6342.14</v>
      </c>
      <c r="BH24">
        <v>6347.37</v>
      </c>
      <c r="BI24">
        <v>6339.33</v>
      </c>
      <c r="BJ24">
        <v>6343.75</v>
      </c>
      <c r="BK24">
        <v>6346.16</v>
      </c>
      <c r="BL24">
        <v>6342.94</v>
      </c>
      <c r="BM24">
        <v>6359.01</v>
      </c>
      <c r="BN24">
        <v>6336.93</v>
      </c>
      <c r="BO24">
        <v>6347.78</v>
      </c>
      <c r="BP24">
        <v>6342.54</v>
      </c>
      <c r="BQ24">
        <v>6343.76</v>
      </c>
      <c r="BR24">
        <v>6347.37</v>
      </c>
      <c r="BS24">
        <v>6344.94</v>
      </c>
      <c r="BT24">
        <v>6338.93</v>
      </c>
      <c r="BU24">
        <v>6338.94</v>
      </c>
      <c r="BV24">
        <v>6340.54</v>
      </c>
      <c r="BW24">
        <v>6349.78</v>
      </c>
      <c r="BX24">
        <v>6353.39</v>
      </c>
      <c r="BY24">
        <v>6347.76</v>
      </c>
      <c r="BZ24">
        <v>6346.58</v>
      </c>
      <c r="CA24">
        <v>6350.18</v>
      </c>
      <c r="CB24">
        <v>6339.33</v>
      </c>
      <c r="CC24">
        <v>6337.33</v>
      </c>
      <c r="CD24">
        <v>6343.36</v>
      </c>
      <c r="CE24">
        <v>6345.77</v>
      </c>
      <c r="CF24">
        <v>6347.77</v>
      </c>
      <c r="CG24">
        <v>6338.93</v>
      </c>
      <c r="CH24">
        <v>6345.75</v>
      </c>
      <c r="CI24">
        <v>6345.36</v>
      </c>
      <c r="CJ24">
        <v>6348.56</v>
      </c>
      <c r="CK24">
        <v>6344.54</v>
      </c>
      <c r="CL24">
        <v>6343.75</v>
      </c>
      <c r="CM24">
        <v>6343.34</v>
      </c>
      <c r="CN24">
        <v>6332.5</v>
      </c>
      <c r="CO24">
        <v>6344.55</v>
      </c>
      <c r="CP24">
        <v>6338.13</v>
      </c>
      <c r="CQ24">
        <v>6347.77</v>
      </c>
      <c r="CR24">
        <v>6342.55</v>
      </c>
      <c r="CS24">
        <v>6348.18</v>
      </c>
    </row>
    <row r="25" spans="1:97">
      <c r="A25" s="9">
        <v>46258</v>
      </c>
      <c r="B25">
        <v>6349.77</v>
      </c>
      <c r="C25">
        <v>6338.53</v>
      </c>
      <c r="D25">
        <v>6349.78</v>
      </c>
      <c r="E25">
        <v>6342.94</v>
      </c>
      <c r="F25">
        <v>6343.74</v>
      </c>
      <c r="G25">
        <v>6345.76</v>
      </c>
      <c r="H25">
        <v>6350.58</v>
      </c>
      <c r="I25">
        <v>6342.95</v>
      </c>
      <c r="J25">
        <v>6335.71</v>
      </c>
      <c r="K25">
        <v>6351.38</v>
      </c>
      <c r="L25">
        <v>6346.16</v>
      </c>
      <c r="M25">
        <v>6352.99</v>
      </c>
      <c r="N25">
        <v>6345.76</v>
      </c>
      <c r="O25">
        <v>6338.93</v>
      </c>
      <c r="P25">
        <v>6342.54</v>
      </c>
      <c r="Q25">
        <v>6345.75</v>
      </c>
      <c r="R25">
        <v>6348.97</v>
      </c>
      <c r="S25">
        <v>6348.98</v>
      </c>
      <c r="T25">
        <v>6348.17</v>
      </c>
      <c r="U25">
        <v>6349.38</v>
      </c>
      <c r="V25">
        <v>6345.77</v>
      </c>
      <c r="W25">
        <v>6352.98</v>
      </c>
      <c r="X25">
        <v>6345.76</v>
      </c>
      <c r="Y25">
        <v>6342.55</v>
      </c>
      <c r="Z25">
        <v>6341.74</v>
      </c>
      <c r="AA25">
        <v>6348.17</v>
      </c>
      <c r="AB25">
        <v>6340.94</v>
      </c>
      <c r="AC25">
        <v>6342.94</v>
      </c>
      <c r="AD25">
        <v>6339.33</v>
      </c>
      <c r="AE25">
        <v>6350.18</v>
      </c>
      <c r="AF25">
        <v>6345.77</v>
      </c>
      <c r="AG25">
        <v>6343.74</v>
      </c>
      <c r="AH25">
        <v>6346.97</v>
      </c>
      <c r="AI25">
        <v>6351.39</v>
      </c>
      <c r="AJ25">
        <v>6344.16</v>
      </c>
      <c r="AK25">
        <v>6344.15</v>
      </c>
      <c r="AL25">
        <v>6340.94</v>
      </c>
      <c r="AM25">
        <v>6344.16</v>
      </c>
      <c r="AN25">
        <v>6342.54</v>
      </c>
      <c r="AO25">
        <v>6336.93</v>
      </c>
      <c r="AP25">
        <v>6352.19</v>
      </c>
      <c r="AQ25">
        <v>6339.72</v>
      </c>
      <c r="AR25">
        <v>6331.7</v>
      </c>
      <c r="AS25">
        <v>6337.32</v>
      </c>
      <c r="AT25">
        <v>6351.39</v>
      </c>
      <c r="AU25">
        <v>6351.79</v>
      </c>
      <c r="AV25">
        <v>6348.18</v>
      </c>
      <c r="AW25">
        <v>6345.35</v>
      </c>
      <c r="AX25">
        <v>6346.16</v>
      </c>
      <c r="AY25">
        <v>6349.78</v>
      </c>
      <c r="AZ25">
        <v>6348.97</v>
      </c>
      <c r="BA25">
        <v>6341.74</v>
      </c>
      <c r="BB25">
        <v>6347.38</v>
      </c>
      <c r="BC25">
        <v>6350.99</v>
      </c>
      <c r="BD25">
        <v>6355</v>
      </c>
      <c r="BE25">
        <v>6343.75</v>
      </c>
      <c r="BF25">
        <v>6344.95</v>
      </c>
      <c r="BG25">
        <v>6343.34</v>
      </c>
      <c r="BH25">
        <v>6338.53</v>
      </c>
      <c r="BI25">
        <v>6350.58</v>
      </c>
      <c r="BJ25">
        <v>6350.18</v>
      </c>
      <c r="BK25">
        <v>6346.56</v>
      </c>
      <c r="BL25">
        <v>6356.21</v>
      </c>
      <c r="BM25">
        <v>6342.15</v>
      </c>
      <c r="BN25">
        <v>6340.13</v>
      </c>
      <c r="BO25">
        <v>6346.96</v>
      </c>
      <c r="BP25">
        <v>6357.83</v>
      </c>
      <c r="BQ25">
        <v>6359.84</v>
      </c>
      <c r="BR25">
        <v>6344.16</v>
      </c>
      <c r="BS25">
        <v>6348.17</v>
      </c>
      <c r="BT25">
        <v>6353.38</v>
      </c>
      <c r="BU25">
        <v>6354.19</v>
      </c>
      <c r="BV25">
        <v>6345.35</v>
      </c>
      <c r="BW25">
        <v>6346.56</v>
      </c>
      <c r="BX25">
        <v>6353.79</v>
      </c>
      <c r="BY25">
        <v>6348.17</v>
      </c>
      <c r="BZ25">
        <v>6339.73</v>
      </c>
      <c r="CA25">
        <v>6352.6</v>
      </c>
      <c r="CB25">
        <v>6348.97</v>
      </c>
      <c r="CC25">
        <v>6353.79</v>
      </c>
      <c r="CD25">
        <v>6352.99</v>
      </c>
      <c r="CE25">
        <v>6338.12</v>
      </c>
      <c r="CF25">
        <v>6354.61</v>
      </c>
      <c r="CG25">
        <v>6359.81</v>
      </c>
      <c r="CH25">
        <v>6355.41</v>
      </c>
      <c r="CI25">
        <v>6354.61</v>
      </c>
      <c r="CJ25">
        <v>6353.39</v>
      </c>
      <c r="CK25">
        <v>6352.59</v>
      </c>
      <c r="CL25">
        <v>6365.05</v>
      </c>
      <c r="CM25">
        <v>6347.77</v>
      </c>
      <c r="CN25">
        <v>6361.83</v>
      </c>
      <c r="CO25">
        <v>6352.19</v>
      </c>
      <c r="CP25">
        <v>6357.41</v>
      </c>
      <c r="CQ25">
        <v>6349.77</v>
      </c>
      <c r="CR25">
        <v>6350.58</v>
      </c>
      <c r="CS25">
        <v>6357.4</v>
      </c>
    </row>
    <row r="26" spans="1:97">
      <c r="A26" s="9">
        <v>46259</v>
      </c>
      <c r="B26">
        <v>6354.61</v>
      </c>
      <c r="C26">
        <v>6354.6</v>
      </c>
      <c r="D26">
        <v>6358.22</v>
      </c>
      <c r="E26">
        <v>6359.82</v>
      </c>
      <c r="F26">
        <v>6357</v>
      </c>
      <c r="G26">
        <v>6352.59</v>
      </c>
      <c r="H26">
        <v>6355.8</v>
      </c>
      <c r="I26">
        <v>6352.59</v>
      </c>
      <c r="J26">
        <v>6352.2</v>
      </c>
      <c r="K26">
        <v>6359.01</v>
      </c>
      <c r="L26">
        <v>6355.81</v>
      </c>
      <c r="M26">
        <v>6351.79</v>
      </c>
      <c r="N26">
        <v>6350.99</v>
      </c>
      <c r="O26">
        <v>6350.18</v>
      </c>
      <c r="P26">
        <v>6355</v>
      </c>
      <c r="Q26">
        <v>6351.79</v>
      </c>
      <c r="R26">
        <v>6348.57</v>
      </c>
      <c r="S26">
        <v>6347.36</v>
      </c>
      <c r="T26">
        <v>6341.33</v>
      </c>
      <c r="U26">
        <v>6352.99</v>
      </c>
      <c r="V26">
        <v>6357.41</v>
      </c>
      <c r="W26">
        <v>6359.01</v>
      </c>
      <c r="X26">
        <v>6349.78</v>
      </c>
      <c r="Y26">
        <v>6348.17</v>
      </c>
      <c r="Z26">
        <v>6344.15</v>
      </c>
      <c r="AA26">
        <v>6353.39</v>
      </c>
      <c r="AB26">
        <v>6357.41</v>
      </c>
      <c r="AC26">
        <v>6344.16</v>
      </c>
      <c r="AD26">
        <v>6348.18</v>
      </c>
      <c r="AE26">
        <v>6366.64</v>
      </c>
      <c r="AF26">
        <v>6350.19</v>
      </c>
      <c r="AG26">
        <v>6356.21</v>
      </c>
      <c r="AH26">
        <v>6350.59</v>
      </c>
      <c r="AI26">
        <v>6351.39</v>
      </c>
      <c r="AJ26">
        <v>6348.98</v>
      </c>
      <c r="AK26">
        <v>6361.84</v>
      </c>
      <c r="AL26">
        <v>6344.96</v>
      </c>
      <c r="AM26">
        <v>6355.41</v>
      </c>
      <c r="AN26">
        <v>6350.59</v>
      </c>
      <c r="AO26">
        <v>6356.21</v>
      </c>
      <c r="AP26">
        <v>6345.75</v>
      </c>
      <c r="AQ26">
        <v>6340.94</v>
      </c>
      <c r="AR26">
        <v>6344.56</v>
      </c>
      <c r="AS26">
        <v>6324.86</v>
      </c>
      <c r="AT26">
        <v>6326.48</v>
      </c>
      <c r="AU26">
        <v>6330.89</v>
      </c>
      <c r="AV26">
        <v>6329.68</v>
      </c>
      <c r="AW26">
        <v>6338.53</v>
      </c>
      <c r="AX26">
        <v>6341.75</v>
      </c>
      <c r="AY26">
        <v>6344.95</v>
      </c>
      <c r="AZ26">
        <v>6345.36</v>
      </c>
      <c r="BA26">
        <v>6348.98</v>
      </c>
      <c r="BB26">
        <v>6350.18</v>
      </c>
      <c r="BC26">
        <v>6342.94</v>
      </c>
      <c r="BD26">
        <v>6350.17</v>
      </c>
      <c r="BE26">
        <v>6352.19</v>
      </c>
      <c r="BF26">
        <v>6352.59</v>
      </c>
      <c r="BG26">
        <v>6343.35</v>
      </c>
      <c r="BH26">
        <v>6352.6</v>
      </c>
      <c r="BI26">
        <v>6350.58</v>
      </c>
      <c r="BJ26">
        <v>6349.37</v>
      </c>
      <c r="BK26">
        <v>6347.77</v>
      </c>
      <c r="BL26">
        <v>6343.35</v>
      </c>
      <c r="BM26">
        <v>6358.21</v>
      </c>
      <c r="BN26">
        <v>6354.2</v>
      </c>
      <c r="BO26">
        <v>6353.39</v>
      </c>
      <c r="BP26">
        <v>6350.17</v>
      </c>
      <c r="BQ26">
        <v>6346.56</v>
      </c>
      <c r="BR26">
        <v>6351.78</v>
      </c>
      <c r="BS26">
        <v>6352.58</v>
      </c>
      <c r="BT26">
        <v>6347.36</v>
      </c>
      <c r="BU26">
        <v>6353.4</v>
      </c>
      <c r="BV26">
        <v>6351.79</v>
      </c>
      <c r="BW26">
        <v>6349.77</v>
      </c>
      <c r="BX26">
        <v>6341.34</v>
      </c>
      <c r="BY26">
        <v>6348.57</v>
      </c>
      <c r="BZ26">
        <v>6352.59</v>
      </c>
      <c r="CA26">
        <v>6348.57</v>
      </c>
      <c r="CB26">
        <v>6355</v>
      </c>
      <c r="CC26">
        <v>6347.37</v>
      </c>
      <c r="CD26">
        <v>6346.16</v>
      </c>
      <c r="CE26">
        <v>6348.97</v>
      </c>
      <c r="CF26">
        <v>6346.97</v>
      </c>
      <c r="CG26">
        <v>6348.57</v>
      </c>
      <c r="CH26">
        <v>6346.17</v>
      </c>
      <c r="CI26">
        <v>6343.75</v>
      </c>
      <c r="CJ26">
        <v>6344.55</v>
      </c>
      <c r="CK26">
        <v>6342.15</v>
      </c>
      <c r="CL26">
        <v>6348.58</v>
      </c>
      <c r="CM26">
        <v>6347.76</v>
      </c>
      <c r="CN26">
        <v>6349.37</v>
      </c>
      <c r="CO26">
        <v>6351.38</v>
      </c>
      <c r="CP26">
        <v>6337.73</v>
      </c>
      <c r="CQ26">
        <v>6352.6</v>
      </c>
      <c r="CR26">
        <v>6345.36</v>
      </c>
      <c r="CS26">
        <v>6352.19</v>
      </c>
    </row>
    <row r="27" spans="1:97">
      <c r="A27" s="9">
        <v>46260</v>
      </c>
      <c r="B27">
        <v>6350.97</v>
      </c>
      <c r="C27">
        <v>6338.11</v>
      </c>
      <c r="D27">
        <v>6350.99</v>
      </c>
      <c r="E27">
        <v>6346.17</v>
      </c>
      <c r="F27">
        <v>6352.19</v>
      </c>
      <c r="G27">
        <v>6350.98</v>
      </c>
      <c r="H27">
        <v>6343.36</v>
      </c>
      <c r="I27">
        <v>6355</v>
      </c>
      <c r="J27">
        <v>6352.19</v>
      </c>
      <c r="K27">
        <v>6351.38</v>
      </c>
      <c r="L27">
        <v>6352.18</v>
      </c>
      <c r="M27">
        <v>6350.98</v>
      </c>
      <c r="N27">
        <v>6353.4</v>
      </c>
      <c r="O27">
        <v>6348.56</v>
      </c>
      <c r="P27">
        <v>6357.41</v>
      </c>
      <c r="Q27">
        <v>6349.78</v>
      </c>
      <c r="R27">
        <v>6355.81</v>
      </c>
      <c r="S27">
        <v>6342.95</v>
      </c>
      <c r="T27">
        <v>6353.39</v>
      </c>
      <c r="U27">
        <v>6352.19</v>
      </c>
      <c r="V27">
        <v>6355.41</v>
      </c>
      <c r="W27">
        <v>6350.18</v>
      </c>
      <c r="X27">
        <v>6362.64</v>
      </c>
      <c r="Y27">
        <v>6354.99</v>
      </c>
      <c r="Z27">
        <v>6344.95</v>
      </c>
      <c r="AA27">
        <v>6356.6</v>
      </c>
      <c r="AB27">
        <v>6347.36</v>
      </c>
      <c r="AC27">
        <v>6347.76</v>
      </c>
      <c r="AD27">
        <v>6342.94</v>
      </c>
      <c r="AE27">
        <v>6352.18</v>
      </c>
      <c r="AF27">
        <v>6350.98</v>
      </c>
      <c r="AG27">
        <v>6350.18</v>
      </c>
      <c r="AH27">
        <v>6349.78</v>
      </c>
      <c r="AI27">
        <v>6357.82</v>
      </c>
      <c r="AJ27">
        <v>6351.39</v>
      </c>
      <c r="AK27">
        <v>6349.78</v>
      </c>
      <c r="AL27">
        <v>6346.97</v>
      </c>
      <c r="AM27">
        <v>6347.37</v>
      </c>
      <c r="AN27">
        <v>6350.57</v>
      </c>
      <c r="AO27">
        <v>6346.16</v>
      </c>
      <c r="AP27">
        <v>6348.56</v>
      </c>
      <c r="AQ27">
        <v>6346.56</v>
      </c>
      <c r="AR27">
        <v>6350.99</v>
      </c>
      <c r="AS27">
        <v>6354.21</v>
      </c>
      <c r="AT27">
        <v>6341.75</v>
      </c>
      <c r="AU27">
        <v>6342.14</v>
      </c>
      <c r="AV27">
        <v>6353.81</v>
      </c>
      <c r="AW27">
        <v>6355.01</v>
      </c>
      <c r="AX27">
        <v>6344.96</v>
      </c>
      <c r="AY27">
        <v>6343.75</v>
      </c>
      <c r="AZ27">
        <v>6346.16</v>
      </c>
      <c r="BA27">
        <v>6346.96</v>
      </c>
      <c r="BB27">
        <v>6352.19</v>
      </c>
      <c r="BC27">
        <v>6342.55</v>
      </c>
      <c r="BD27">
        <v>6345.76</v>
      </c>
      <c r="BE27">
        <v>6349.37</v>
      </c>
      <c r="BF27">
        <v>6342.14</v>
      </c>
      <c r="BG27">
        <v>6342.55</v>
      </c>
      <c r="BH27">
        <v>6350.99</v>
      </c>
      <c r="BI27">
        <v>6348.97</v>
      </c>
      <c r="BJ27">
        <v>6346.16</v>
      </c>
      <c r="BK27">
        <v>6348.98</v>
      </c>
      <c r="BL27">
        <v>6337.31</v>
      </c>
      <c r="BM27">
        <v>6348.58</v>
      </c>
      <c r="BN27">
        <v>6348.98</v>
      </c>
      <c r="BO27">
        <v>6348.17</v>
      </c>
      <c r="BP27">
        <v>6347.75</v>
      </c>
      <c r="BQ27">
        <v>6353.39</v>
      </c>
      <c r="BR27">
        <v>6351.39</v>
      </c>
      <c r="BS27">
        <v>6358.22</v>
      </c>
      <c r="BT27">
        <v>6336.52</v>
      </c>
      <c r="BU27">
        <v>6339.32</v>
      </c>
      <c r="BV27">
        <v>6339.34</v>
      </c>
      <c r="BW27">
        <v>6348.97</v>
      </c>
      <c r="BX27">
        <v>6349.78</v>
      </c>
      <c r="BY27">
        <v>6346.56</v>
      </c>
      <c r="BZ27">
        <v>6346.57</v>
      </c>
      <c r="CA27">
        <v>6348.97</v>
      </c>
      <c r="CB27">
        <v>6344.56</v>
      </c>
      <c r="CC27">
        <v>6338.53</v>
      </c>
      <c r="CD27">
        <v>6337.32</v>
      </c>
      <c r="CE27">
        <v>6350.19</v>
      </c>
      <c r="CF27">
        <v>6348.97</v>
      </c>
      <c r="CG27">
        <v>6339.33</v>
      </c>
      <c r="CH27">
        <v>6358.22</v>
      </c>
      <c r="CI27">
        <v>6346.56</v>
      </c>
      <c r="CJ27">
        <v>6342.54</v>
      </c>
      <c r="CK27">
        <v>6350.58</v>
      </c>
      <c r="CL27">
        <v>6349.79</v>
      </c>
      <c r="CM27">
        <v>6347.78</v>
      </c>
      <c r="CN27">
        <v>6343.75</v>
      </c>
      <c r="CO27">
        <v>6349.37</v>
      </c>
      <c r="CP27">
        <v>6349.77</v>
      </c>
      <c r="CQ27">
        <v>6344.95</v>
      </c>
      <c r="CR27">
        <v>6349.37</v>
      </c>
      <c r="CS27">
        <v>6348.17</v>
      </c>
    </row>
    <row r="28" spans="1:97">
      <c r="A28" s="9">
        <v>46261</v>
      </c>
      <c r="B28">
        <v>6358.22</v>
      </c>
      <c r="C28">
        <v>6350.99</v>
      </c>
      <c r="D28">
        <v>6348.18</v>
      </c>
      <c r="E28">
        <v>6349.38</v>
      </c>
      <c r="F28">
        <v>6347.37</v>
      </c>
      <c r="G28">
        <v>6335.7</v>
      </c>
      <c r="H28">
        <v>6350.18</v>
      </c>
      <c r="I28">
        <v>6342.55</v>
      </c>
      <c r="J28">
        <v>6345.76</v>
      </c>
      <c r="K28">
        <v>6342.14</v>
      </c>
      <c r="L28">
        <v>6340.94</v>
      </c>
      <c r="M28">
        <v>6348.58</v>
      </c>
      <c r="N28">
        <v>6338.53</v>
      </c>
      <c r="O28">
        <v>6336.93</v>
      </c>
      <c r="P28">
        <v>6342.55</v>
      </c>
      <c r="Q28">
        <v>6351.39</v>
      </c>
      <c r="R28">
        <v>6344.55</v>
      </c>
      <c r="S28">
        <v>6350.59</v>
      </c>
      <c r="T28">
        <v>6350.98</v>
      </c>
      <c r="U28">
        <v>6343.35</v>
      </c>
      <c r="V28">
        <v>6350.58</v>
      </c>
      <c r="W28">
        <v>6352.99</v>
      </c>
      <c r="X28">
        <v>6349.78</v>
      </c>
      <c r="Y28">
        <v>6352.59</v>
      </c>
      <c r="Z28">
        <v>6345.76</v>
      </c>
      <c r="AA28">
        <v>6343.36</v>
      </c>
      <c r="AB28">
        <v>6347.76</v>
      </c>
      <c r="AC28">
        <v>6346.96</v>
      </c>
      <c r="AD28">
        <v>6348.97</v>
      </c>
      <c r="AE28">
        <v>6342.55</v>
      </c>
      <c r="AF28">
        <v>6348.58</v>
      </c>
      <c r="AG28">
        <v>6348.57</v>
      </c>
      <c r="AH28">
        <v>6345.36</v>
      </c>
      <c r="AI28">
        <v>6344.55</v>
      </c>
      <c r="AJ28">
        <v>6344.95</v>
      </c>
      <c r="AK28">
        <v>6349.38</v>
      </c>
      <c r="AL28">
        <v>6351.38</v>
      </c>
      <c r="AM28">
        <v>6344.56</v>
      </c>
      <c r="AN28">
        <v>6352.6</v>
      </c>
      <c r="AO28">
        <v>6343.34</v>
      </c>
      <c r="AP28">
        <v>6329.28</v>
      </c>
      <c r="AQ28">
        <v>6329.67</v>
      </c>
      <c r="AR28">
        <v>6330.48</v>
      </c>
      <c r="AS28">
        <v>6322.45</v>
      </c>
      <c r="AT28">
        <v>6342.94</v>
      </c>
      <c r="AU28">
        <v>6345.76</v>
      </c>
      <c r="AV28">
        <v>6344.14</v>
      </c>
      <c r="AW28">
        <v>6346.16</v>
      </c>
      <c r="AX28">
        <v>6346.97</v>
      </c>
      <c r="AY28">
        <v>6348.57</v>
      </c>
      <c r="AZ28">
        <v>6344.56</v>
      </c>
      <c r="BA28">
        <v>6346.16</v>
      </c>
      <c r="BB28">
        <v>6349.38</v>
      </c>
      <c r="BC28">
        <v>6343.34</v>
      </c>
      <c r="BD28">
        <v>6349.37</v>
      </c>
      <c r="BE28">
        <v>6345.36</v>
      </c>
      <c r="BF28">
        <v>6348.56</v>
      </c>
      <c r="BG28">
        <v>6348.17</v>
      </c>
      <c r="BH28">
        <v>6347.78</v>
      </c>
      <c r="BI28">
        <v>6348.18</v>
      </c>
      <c r="BJ28">
        <v>6346.56</v>
      </c>
      <c r="BK28">
        <v>6342.56</v>
      </c>
      <c r="BL28">
        <v>6345.76</v>
      </c>
      <c r="BM28">
        <v>6353.8</v>
      </c>
      <c r="BN28">
        <v>6338.52</v>
      </c>
      <c r="BO28">
        <v>6348.56</v>
      </c>
      <c r="BP28">
        <v>6337.72</v>
      </c>
      <c r="BQ28">
        <v>6341.35</v>
      </c>
      <c r="BR28">
        <v>6343.35</v>
      </c>
      <c r="BS28">
        <v>6347.37</v>
      </c>
      <c r="BT28">
        <v>6339.74</v>
      </c>
      <c r="BU28">
        <v>6343.75</v>
      </c>
      <c r="BV28">
        <v>6342.94</v>
      </c>
      <c r="BW28">
        <v>6342.55</v>
      </c>
      <c r="BX28">
        <v>6334.5</v>
      </c>
      <c r="BY28">
        <v>6346.17</v>
      </c>
      <c r="BZ28">
        <v>6341.74</v>
      </c>
      <c r="CA28">
        <v>6340.53</v>
      </c>
      <c r="CB28">
        <v>6343.35</v>
      </c>
      <c r="CC28">
        <v>6347.78</v>
      </c>
      <c r="CD28">
        <v>6340.12</v>
      </c>
      <c r="CE28">
        <v>6336.91</v>
      </c>
      <c r="CF28">
        <v>6349.38</v>
      </c>
      <c r="CG28">
        <v>6350.18</v>
      </c>
      <c r="CH28">
        <v>6343.35</v>
      </c>
      <c r="CI28">
        <v>6335.31</v>
      </c>
      <c r="CJ28">
        <v>6336.92</v>
      </c>
      <c r="CK28">
        <v>6342.14</v>
      </c>
      <c r="CL28">
        <v>6344.15</v>
      </c>
      <c r="CM28">
        <v>6350.58</v>
      </c>
      <c r="CN28">
        <v>6336.52</v>
      </c>
      <c r="CO28">
        <v>6340.13</v>
      </c>
      <c r="CP28">
        <v>6336.9</v>
      </c>
      <c r="CQ28">
        <v>6350.18</v>
      </c>
      <c r="CR28">
        <v>6342.55</v>
      </c>
      <c r="CS28">
        <v>6336.11</v>
      </c>
    </row>
    <row r="29" spans="1:97">
      <c r="A29" s="9">
        <v>46262</v>
      </c>
      <c r="B29">
        <v>6342.15</v>
      </c>
      <c r="C29">
        <v>6341.74</v>
      </c>
      <c r="D29">
        <v>6344.16</v>
      </c>
      <c r="E29">
        <v>6334.51</v>
      </c>
      <c r="F29">
        <v>6345.35</v>
      </c>
      <c r="G29">
        <v>6342.55</v>
      </c>
      <c r="H29">
        <v>6340.94</v>
      </c>
      <c r="I29">
        <v>6346.57</v>
      </c>
      <c r="J29">
        <v>6339.73</v>
      </c>
      <c r="K29">
        <v>6357.81</v>
      </c>
      <c r="L29">
        <v>6341.74</v>
      </c>
      <c r="M29">
        <v>6340.13</v>
      </c>
      <c r="N29">
        <v>6337.72</v>
      </c>
      <c r="O29">
        <v>6337.72</v>
      </c>
      <c r="P29">
        <v>6344.95</v>
      </c>
      <c r="Q29">
        <v>6340.53</v>
      </c>
      <c r="R29">
        <v>6345.36</v>
      </c>
      <c r="S29">
        <v>6341.74</v>
      </c>
      <c r="T29">
        <v>6338.12</v>
      </c>
      <c r="U29">
        <v>6341.75</v>
      </c>
      <c r="V29">
        <v>6344.55</v>
      </c>
      <c r="W29">
        <v>6342.54</v>
      </c>
      <c r="X29">
        <v>6336.11</v>
      </c>
      <c r="Y29">
        <v>6335.3</v>
      </c>
      <c r="Z29">
        <v>6340.13</v>
      </c>
      <c r="AA29">
        <v>6340.14</v>
      </c>
      <c r="AB29">
        <v>6334.1</v>
      </c>
      <c r="AC29">
        <v>6344.55</v>
      </c>
      <c r="AD29">
        <v>6336.52</v>
      </c>
      <c r="AE29">
        <v>6340.14</v>
      </c>
      <c r="AF29">
        <v>6340.54</v>
      </c>
      <c r="AG29">
        <v>6334.91</v>
      </c>
      <c r="AH29">
        <v>6334.12</v>
      </c>
      <c r="AI29">
        <v>6336.92</v>
      </c>
      <c r="AJ29">
        <v>6346.16</v>
      </c>
      <c r="AK29">
        <v>6344.14</v>
      </c>
      <c r="AL29">
        <v>6348.18</v>
      </c>
      <c r="AM29">
        <v>6339.73</v>
      </c>
      <c r="AN29">
        <v>6345.76</v>
      </c>
      <c r="AO29">
        <v>6338.93</v>
      </c>
      <c r="AP29">
        <v>6341.34</v>
      </c>
      <c r="AQ29">
        <v>6341.34</v>
      </c>
      <c r="AR29">
        <v>6340.93</v>
      </c>
      <c r="AS29">
        <v>6335.71</v>
      </c>
      <c r="AT29">
        <v>6334.51</v>
      </c>
      <c r="AU29">
        <v>6342.95</v>
      </c>
      <c r="AV29">
        <v>6336.91</v>
      </c>
      <c r="AW29">
        <v>6344.95</v>
      </c>
      <c r="AX29">
        <v>6341.34</v>
      </c>
      <c r="AY29">
        <v>6338.52</v>
      </c>
      <c r="AZ29">
        <v>6338.13</v>
      </c>
      <c r="BA29">
        <v>6336.91</v>
      </c>
      <c r="BB29">
        <v>6346.56</v>
      </c>
      <c r="BC29">
        <v>6341.74</v>
      </c>
      <c r="BD29">
        <v>6336.91</v>
      </c>
      <c r="BE29">
        <v>6346.55</v>
      </c>
      <c r="BF29">
        <v>6338.93</v>
      </c>
      <c r="BG29">
        <v>6337.32</v>
      </c>
      <c r="BH29">
        <v>6333.3</v>
      </c>
      <c r="BI29">
        <v>6340.14</v>
      </c>
      <c r="BJ29">
        <v>6332.9</v>
      </c>
      <c r="BK29">
        <v>6349.77</v>
      </c>
      <c r="BL29">
        <v>6350.57</v>
      </c>
      <c r="BM29">
        <v>6321.65</v>
      </c>
      <c r="BN29">
        <v>6340.13</v>
      </c>
      <c r="BO29">
        <v>6334.92</v>
      </c>
      <c r="BP29">
        <v>6342.95</v>
      </c>
      <c r="BQ29">
        <v>6337.72</v>
      </c>
      <c r="BR29">
        <v>6338.12</v>
      </c>
      <c r="BS29">
        <v>6344.55</v>
      </c>
      <c r="BT29">
        <v>6349.38</v>
      </c>
      <c r="BU29">
        <v>6339.73</v>
      </c>
      <c r="BV29">
        <v>6348.16</v>
      </c>
      <c r="BW29">
        <v>6332.09</v>
      </c>
      <c r="BX29">
        <v>6330.1</v>
      </c>
      <c r="BY29">
        <v>6336.11</v>
      </c>
      <c r="BZ29">
        <v>6332.49</v>
      </c>
      <c r="CA29">
        <v>6331.69</v>
      </c>
      <c r="CB29">
        <v>6345.76</v>
      </c>
      <c r="CC29">
        <v>6338.12</v>
      </c>
      <c r="CD29">
        <v>6340.54</v>
      </c>
      <c r="CE29">
        <v>6344.55</v>
      </c>
      <c r="CF29">
        <v>6343.74</v>
      </c>
      <c r="CG29">
        <v>6333.29</v>
      </c>
      <c r="CH29">
        <v>6344.14</v>
      </c>
      <c r="CI29">
        <v>6343.75</v>
      </c>
      <c r="CJ29">
        <v>6342.14</v>
      </c>
      <c r="CK29">
        <v>6344.15</v>
      </c>
      <c r="CL29">
        <v>6336.91</v>
      </c>
      <c r="CM29">
        <v>6335.32</v>
      </c>
      <c r="CN29">
        <v>6342.55</v>
      </c>
      <c r="CO29">
        <v>6332.49</v>
      </c>
      <c r="CP29">
        <v>6335.71</v>
      </c>
      <c r="CQ29">
        <v>6332.1</v>
      </c>
      <c r="CR29">
        <v>6335.3</v>
      </c>
      <c r="CS29">
        <v>6344.15</v>
      </c>
    </row>
    <row r="30" spans="1:97">
      <c r="A30" s="9">
        <v>46263</v>
      </c>
      <c r="B30">
        <v>6343.35</v>
      </c>
      <c r="C30">
        <v>6345.35</v>
      </c>
      <c r="D30">
        <v>6341.33</v>
      </c>
      <c r="E30">
        <v>6339.73</v>
      </c>
      <c r="F30">
        <v>6332.09</v>
      </c>
      <c r="G30">
        <v>6339.33</v>
      </c>
      <c r="H30">
        <v>6339.72</v>
      </c>
      <c r="I30">
        <v>6340.53</v>
      </c>
      <c r="J30">
        <v>6334.51</v>
      </c>
      <c r="K30">
        <v>6333.71</v>
      </c>
      <c r="L30">
        <v>6341.33</v>
      </c>
      <c r="M30">
        <v>6340.11</v>
      </c>
      <c r="N30">
        <v>6343.35</v>
      </c>
      <c r="O30">
        <v>6336.11</v>
      </c>
      <c r="P30">
        <v>6335.7</v>
      </c>
      <c r="Q30">
        <v>6339.74</v>
      </c>
      <c r="R30">
        <v>6339.73</v>
      </c>
      <c r="S30">
        <v>6332.91</v>
      </c>
      <c r="T30">
        <v>6340.14</v>
      </c>
      <c r="U30">
        <v>6336.11</v>
      </c>
      <c r="V30">
        <v>6341.74</v>
      </c>
      <c r="W30">
        <v>6338.92</v>
      </c>
      <c r="X30">
        <v>6348.18</v>
      </c>
      <c r="Y30">
        <v>6340.53</v>
      </c>
      <c r="Z30">
        <v>6338.13</v>
      </c>
      <c r="AA30">
        <v>6335.3</v>
      </c>
      <c r="AB30">
        <v>6338.52</v>
      </c>
      <c r="AC30">
        <v>6348.97</v>
      </c>
      <c r="AD30">
        <v>6350.18</v>
      </c>
      <c r="AE30">
        <v>6337.32</v>
      </c>
      <c r="AF30">
        <v>6338.13</v>
      </c>
      <c r="AG30">
        <v>6331.29</v>
      </c>
      <c r="AH30">
        <v>6334.91</v>
      </c>
      <c r="AI30">
        <v>6334.91</v>
      </c>
      <c r="AJ30">
        <v>6332.49</v>
      </c>
      <c r="AK30">
        <v>6341.33</v>
      </c>
      <c r="AL30">
        <v>6335.72</v>
      </c>
      <c r="AM30">
        <v>6333.7</v>
      </c>
      <c r="AN30">
        <v>6338.93</v>
      </c>
      <c r="AO30">
        <v>6326.87</v>
      </c>
      <c r="AP30">
        <v>6335.71</v>
      </c>
      <c r="AQ30">
        <v>6332.48</v>
      </c>
      <c r="AR30">
        <v>6331.7</v>
      </c>
      <c r="AS30">
        <v>6340.54</v>
      </c>
      <c r="AT30">
        <v>6334.92</v>
      </c>
      <c r="AU30">
        <v>6338.13</v>
      </c>
      <c r="AV30">
        <v>6333.29</v>
      </c>
      <c r="AW30">
        <v>6331.28</v>
      </c>
      <c r="AX30">
        <v>6344.56</v>
      </c>
      <c r="AY30">
        <v>6333.71</v>
      </c>
      <c r="AZ30">
        <v>6336.11</v>
      </c>
      <c r="BA30">
        <v>6340.14</v>
      </c>
      <c r="BB30">
        <v>6336.11</v>
      </c>
      <c r="BC30">
        <v>6345.76</v>
      </c>
      <c r="BD30">
        <v>6334.51</v>
      </c>
      <c r="BE30">
        <v>6338.12</v>
      </c>
      <c r="BF30">
        <v>6336.11</v>
      </c>
      <c r="BG30">
        <v>6334.5</v>
      </c>
      <c r="BH30">
        <v>6334.5</v>
      </c>
      <c r="BI30">
        <v>6334.11</v>
      </c>
      <c r="BJ30">
        <v>6332.89</v>
      </c>
      <c r="BK30">
        <v>6342.14</v>
      </c>
      <c r="BL30">
        <v>6335.31</v>
      </c>
      <c r="BM30">
        <v>6328.48</v>
      </c>
      <c r="BN30">
        <v>6329.28</v>
      </c>
      <c r="BO30">
        <v>6332.49</v>
      </c>
      <c r="BP30">
        <v>6331.29</v>
      </c>
      <c r="BQ30">
        <v>6333.3</v>
      </c>
      <c r="BR30">
        <v>6333.3</v>
      </c>
      <c r="BS30">
        <v>6339.32</v>
      </c>
      <c r="BT30">
        <v>6343.74</v>
      </c>
      <c r="BU30">
        <v>6333.29</v>
      </c>
      <c r="BV30">
        <v>6329.69</v>
      </c>
      <c r="BW30">
        <v>6323.25</v>
      </c>
      <c r="BX30">
        <v>6334.9</v>
      </c>
      <c r="BY30">
        <v>6340.93</v>
      </c>
      <c r="BZ30">
        <v>6326.86</v>
      </c>
      <c r="CA30">
        <v>6332.89</v>
      </c>
      <c r="CB30">
        <v>6331.28</v>
      </c>
      <c r="CC30">
        <v>6335.3</v>
      </c>
      <c r="CD30">
        <v>6334.51</v>
      </c>
      <c r="CE30">
        <v>6346.16</v>
      </c>
      <c r="CF30">
        <v>6334.5</v>
      </c>
      <c r="CG30">
        <v>6342.54</v>
      </c>
      <c r="CH30">
        <v>6334.91</v>
      </c>
      <c r="CI30">
        <v>6336.92</v>
      </c>
      <c r="CJ30">
        <v>6334.5</v>
      </c>
      <c r="CK30">
        <v>6335.71</v>
      </c>
      <c r="CL30">
        <v>6330.5</v>
      </c>
      <c r="CM30">
        <v>6335.31</v>
      </c>
      <c r="CN30">
        <v>6336.11</v>
      </c>
      <c r="CO30">
        <v>6326.47</v>
      </c>
      <c r="CP30">
        <v>6333.31</v>
      </c>
      <c r="CQ30">
        <v>6325.26</v>
      </c>
      <c r="CR30">
        <v>6324.06</v>
      </c>
      <c r="CS30">
        <v>6337.31</v>
      </c>
    </row>
    <row r="31" spans="1:97">
      <c r="A31" s="9">
        <v>46264</v>
      </c>
      <c r="B31">
        <v>6334.11</v>
      </c>
      <c r="C31">
        <v>6329.28</v>
      </c>
      <c r="D31">
        <v>6331.28</v>
      </c>
      <c r="E31">
        <v>6333.29</v>
      </c>
      <c r="F31">
        <v>6331.69</v>
      </c>
      <c r="G31">
        <v>6332.9</v>
      </c>
      <c r="H31">
        <v>6331.69</v>
      </c>
      <c r="I31">
        <v>6324.86</v>
      </c>
      <c r="J31">
        <v>6328.86</v>
      </c>
      <c r="K31">
        <v>6332.9</v>
      </c>
      <c r="L31">
        <v>6336.51</v>
      </c>
      <c r="M31">
        <v>6328.49</v>
      </c>
      <c r="N31">
        <v>6328.48</v>
      </c>
      <c r="O31">
        <v>6335.31</v>
      </c>
      <c r="P31">
        <v>6336.51</v>
      </c>
      <c r="Q31">
        <v>6334.1</v>
      </c>
      <c r="R31">
        <v>6337.72</v>
      </c>
      <c r="S31">
        <v>6334.5</v>
      </c>
      <c r="T31">
        <v>6336.5</v>
      </c>
      <c r="U31">
        <v>6327.27</v>
      </c>
      <c r="V31">
        <v>6330.48</v>
      </c>
      <c r="W31">
        <v>6327.27</v>
      </c>
      <c r="X31">
        <v>6332.09</v>
      </c>
      <c r="Y31">
        <v>6342.95</v>
      </c>
      <c r="Z31">
        <v>6328.88</v>
      </c>
      <c r="AA31">
        <v>6332.51</v>
      </c>
      <c r="AB31">
        <v>6335.7</v>
      </c>
      <c r="AC31">
        <v>6339.33</v>
      </c>
      <c r="AD31">
        <v>6339.74</v>
      </c>
      <c r="AE31">
        <v>6341.34</v>
      </c>
      <c r="AF31">
        <v>6333.29</v>
      </c>
      <c r="AG31">
        <v>6334.91</v>
      </c>
      <c r="AH31">
        <v>6334.1</v>
      </c>
      <c r="AI31">
        <v>6335.31</v>
      </c>
      <c r="AJ31">
        <v>6323.65</v>
      </c>
      <c r="AK31">
        <v>6331.69</v>
      </c>
      <c r="AL31">
        <v>6324.45</v>
      </c>
      <c r="AM31">
        <v>6331.69</v>
      </c>
      <c r="AN31">
        <v>6331.69</v>
      </c>
      <c r="AO31">
        <v>6324.86</v>
      </c>
      <c r="AP31">
        <v>6331.69</v>
      </c>
      <c r="AQ31">
        <v>6335.31</v>
      </c>
      <c r="AR31">
        <v>6338.53</v>
      </c>
      <c r="AS31">
        <v>6332.1</v>
      </c>
      <c r="AT31">
        <v>6335.32</v>
      </c>
      <c r="AU31">
        <v>6333.7</v>
      </c>
      <c r="AV31">
        <v>6329.28</v>
      </c>
      <c r="AW31">
        <v>6334.09</v>
      </c>
      <c r="AX31">
        <v>6332.49</v>
      </c>
      <c r="AY31">
        <v>6335.31</v>
      </c>
      <c r="AZ31">
        <v>6330.49</v>
      </c>
      <c r="BA31">
        <v>6336.11</v>
      </c>
      <c r="BB31">
        <v>6333.69</v>
      </c>
      <c r="BC31">
        <v>6333.29</v>
      </c>
      <c r="BD31">
        <v>6336.52</v>
      </c>
      <c r="BE31">
        <v>6341.75</v>
      </c>
      <c r="BF31">
        <v>6327.68</v>
      </c>
      <c r="BG31">
        <v>6329.28</v>
      </c>
      <c r="BH31">
        <v>6328.48</v>
      </c>
      <c r="BI31">
        <v>6330.89</v>
      </c>
      <c r="BJ31">
        <v>6334.91</v>
      </c>
      <c r="BK31">
        <v>6326.06</v>
      </c>
      <c r="BL31">
        <v>6334.91</v>
      </c>
      <c r="BM31">
        <v>6325.27</v>
      </c>
      <c r="BN31">
        <v>6334.51</v>
      </c>
      <c r="BO31">
        <v>6332.5</v>
      </c>
      <c r="BP31">
        <v>6340.54</v>
      </c>
      <c r="BQ31">
        <v>6333.7</v>
      </c>
      <c r="BR31">
        <v>6333.7</v>
      </c>
      <c r="BS31">
        <v>6332.5</v>
      </c>
      <c r="BT31">
        <v>6332.49</v>
      </c>
      <c r="BU31">
        <v>6324.06</v>
      </c>
      <c r="BV31">
        <v>6336.52</v>
      </c>
      <c r="BW31">
        <v>6334.09</v>
      </c>
      <c r="BX31">
        <v>6316.03</v>
      </c>
      <c r="BY31">
        <v>6332.91</v>
      </c>
      <c r="BZ31">
        <v>6327.67</v>
      </c>
      <c r="CA31">
        <v>6336.1</v>
      </c>
      <c r="CB31">
        <v>6328.07</v>
      </c>
      <c r="CC31">
        <v>6326.06</v>
      </c>
      <c r="CD31">
        <v>6338.12</v>
      </c>
      <c r="CE31">
        <v>6332.89</v>
      </c>
      <c r="CF31">
        <v>6320.05</v>
      </c>
      <c r="CG31">
        <v>6331.68</v>
      </c>
      <c r="CH31">
        <v>6329.68</v>
      </c>
      <c r="CI31">
        <v>6332.09</v>
      </c>
      <c r="CJ31">
        <v>6329.68</v>
      </c>
      <c r="CK31">
        <v>6334.9</v>
      </c>
      <c r="CL31">
        <v>6331.29</v>
      </c>
      <c r="CM31">
        <v>6328.87</v>
      </c>
      <c r="CN31">
        <v>6339.32</v>
      </c>
      <c r="CO31">
        <v>6337.31</v>
      </c>
      <c r="CP31">
        <v>6336.92</v>
      </c>
      <c r="CQ31">
        <v>6332.5</v>
      </c>
      <c r="CR31">
        <v>6333.29</v>
      </c>
      <c r="CS31">
        <v>6328.89</v>
      </c>
    </row>
    <row r="32" spans="1:97">
      <c r="A32" s="9">
        <v>46265</v>
      </c>
      <c r="B32">
        <v>6338.53</v>
      </c>
      <c r="C32">
        <v>6337.71</v>
      </c>
      <c r="D32">
        <v>6332.89</v>
      </c>
      <c r="E32">
        <v>6332.49</v>
      </c>
      <c r="F32">
        <v>6335.71</v>
      </c>
      <c r="G32">
        <v>6335.72</v>
      </c>
      <c r="H32">
        <v>6336.92</v>
      </c>
      <c r="I32">
        <v>6333.3</v>
      </c>
      <c r="J32">
        <v>6335.32</v>
      </c>
      <c r="K32">
        <v>6339.73</v>
      </c>
      <c r="L32">
        <v>6334.91</v>
      </c>
      <c r="M32">
        <v>6334.92</v>
      </c>
      <c r="N32">
        <v>6330.49</v>
      </c>
      <c r="O32">
        <v>6330.5</v>
      </c>
      <c r="P32">
        <v>6329.69</v>
      </c>
      <c r="Q32">
        <v>6325.27</v>
      </c>
      <c r="R32">
        <v>6330.5</v>
      </c>
      <c r="S32">
        <v>6330.89</v>
      </c>
      <c r="T32">
        <v>6325.66</v>
      </c>
      <c r="U32">
        <v>6328.06</v>
      </c>
      <c r="V32">
        <v>6337.32</v>
      </c>
      <c r="W32">
        <v>6330.08</v>
      </c>
      <c r="X32">
        <v>6332.1</v>
      </c>
      <c r="Y32">
        <v>6332.1</v>
      </c>
      <c r="Z32">
        <v>6332.91</v>
      </c>
      <c r="AA32">
        <v>6326.07</v>
      </c>
      <c r="AB32">
        <v>6328.88</v>
      </c>
      <c r="AC32">
        <v>6334.89</v>
      </c>
      <c r="AD32">
        <v>6322.05</v>
      </c>
      <c r="AE32">
        <v>6331.7</v>
      </c>
      <c r="AF32">
        <v>6332.89</v>
      </c>
      <c r="AG32">
        <v>6340.14</v>
      </c>
      <c r="AH32">
        <v>6330.88</v>
      </c>
      <c r="AI32">
        <v>6323.65</v>
      </c>
      <c r="AJ32">
        <v>6328.88</v>
      </c>
      <c r="AK32">
        <v>6324.85</v>
      </c>
      <c r="AL32">
        <v>6330.48</v>
      </c>
      <c r="AM32">
        <v>6329.68</v>
      </c>
      <c r="AN32">
        <v>6330.09</v>
      </c>
      <c r="AO32">
        <v>6330.49</v>
      </c>
      <c r="AP32">
        <v>6323.26</v>
      </c>
      <c r="AQ32">
        <v>6326.87</v>
      </c>
      <c r="AR32">
        <v>6332.51</v>
      </c>
      <c r="AS32">
        <v>6329.29</v>
      </c>
      <c r="AT32">
        <v>6335.71</v>
      </c>
      <c r="AU32">
        <v>6333.7</v>
      </c>
      <c r="AV32">
        <v>6341.74</v>
      </c>
      <c r="AW32">
        <v>6334.91</v>
      </c>
      <c r="AX32">
        <v>6331.69</v>
      </c>
      <c r="AY32">
        <v>6328.48</v>
      </c>
      <c r="AZ32">
        <v>6318.02</v>
      </c>
      <c r="BA32">
        <v>6332.09</v>
      </c>
      <c r="BB32">
        <v>6329.29</v>
      </c>
      <c r="BC32">
        <v>6327.67</v>
      </c>
      <c r="BD32">
        <v>6330.48</v>
      </c>
      <c r="BE32">
        <v>6330.48</v>
      </c>
      <c r="BF32">
        <v>6329.67</v>
      </c>
      <c r="BG32">
        <v>6336.51</v>
      </c>
      <c r="BH32">
        <v>6334.91</v>
      </c>
      <c r="BI32">
        <v>6342.95</v>
      </c>
      <c r="BJ32">
        <v>6332.49</v>
      </c>
      <c r="BK32">
        <v>6318.43</v>
      </c>
      <c r="BL32">
        <v>6339.32</v>
      </c>
      <c r="BM32">
        <v>6331.69</v>
      </c>
      <c r="BN32">
        <v>6340.14</v>
      </c>
      <c r="BO32">
        <v>6343.35</v>
      </c>
      <c r="BP32">
        <v>6339.33</v>
      </c>
      <c r="BQ32">
        <v>6343.35</v>
      </c>
      <c r="BR32">
        <v>6341.35</v>
      </c>
      <c r="BS32">
        <v>6328.08</v>
      </c>
      <c r="BT32">
        <v>6343.75</v>
      </c>
      <c r="BU32">
        <v>6336.91</v>
      </c>
      <c r="BV32">
        <v>6336.52</v>
      </c>
      <c r="BW32">
        <v>6331.28</v>
      </c>
      <c r="BX32">
        <v>6336.52</v>
      </c>
      <c r="BY32">
        <v>6345.36</v>
      </c>
      <c r="BZ32">
        <v>6330.89</v>
      </c>
      <c r="CA32">
        <v>6328.87</v>
      </c>
      <c r="CB32">
        <v>6339.74</v>
      </c>
      <c r="CC32">
        <v>6348.16</v>
      </c>
      <c r="CD32">
        <v>6334.51</v>
      </c>
      <c r="CE32">
        <v>6331.3</v>
      </c>
      <c r="CF32">
        <v>6333.3</v>
      </c>
      <c r="CG32">
        <v>6332.1</v>
      </c>
      <c r="CH32">
        <v>6335.31</v>
      </c>
      <c r="CI32">
        <v>6335.71</v>
      </c>
      <c r="CJ32">
        <v>6335.32</v>
      </c>
      <c r="CK32">
        <v>6336.11</v>
      </c>
      <c r="CL32">
        <v>6342.55</v>
      </c>
      <c r="CM32">
        <v>6335.71</v>
      </c>
      <c r="CN32">
        <v>6328.87</v>
      </c>
      <c r="CO32">
        <v>6338.53</v>
      </c>
      <c r="CP32">
        <v>6329.28</v>
      </c>
      <c r="CQ32">
        <v>6333.7</v>
      </c>
      <c r="CR32">
        <v>6334.09</v>
      </c>
      <c r="CS32">
        <v>6327.68</v>
      </c>
    </row>
  </sheetData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CS32"/>
  <sheetViews>
    <sheetView workbookViewId="0">
      <selection activeCell="A2" sqref="$A2:$XFD2"/>
    </sheetView>
  </sheetViews>
  <sheetFormatPr defaultColWidth="8.89166666666667" defaultRowHeight="13.5"/>
  <cols>
    <col min="1" max="1" width="11.8916666666667" style="9" customWidth="1"/>
  </cols>
  <sheetData>
    <row r="1" spans="1:97">
      <c r="A1" s="9" t="s">
        <v>0</v>
      </c>
      <c r="B1" s="1">
        <v>0.0104166666666667</v>
      </c>
      <c r="C1" s="1">
        <v>0.0208333333333333</v>
      </c>
      <c r="D1" s="1">
        <v>0.03125</v>
      </c>
      <c r="E1" s="1">
        <v>0.0416666666666667</v>
      </c>
      <c r="F1" s="1">
        <v>0.0520833333333333</v>
      </c>
      <c r="G1" s="1">
        <v>0.0625</v>
      </c>
      <c r="H1" s="1">
        <v>0.0729166666666667</v>
      </c>
      <c r="I1" s="1">
        <v>0.0833333333333333</v>
      </c>
      <c r="J1" s="1">
        <v>0.09375</v>
      </c>
      <c r="K1" s="1">
        <v>0.104166666666667</v>
      </c>
      <c r="L1" s="1">
        <v>0.114583333333333</v>
      </c>
      <c r="M1" s="1">
        <v>0.125</v>
      </c>
      <c r="N1" s="1">
        <v>0.135416666666667</v>
      </c>
      <c r="O1" s="1">
        <v>0.145833333333333</v>
      </c>
      <c r="P1" s="1">
        <v>0.15625</v>
      </c>
      <c r="Q1" s="1">
        <v>0.166666666666667</v>
      </c>
      <c r="R1" s="1">
        <v>0.177083333333333</v>
      </c>
      <c r="S1" s="1">
        <v>0.1875</v>
      </c>
      <c r="T1" s="1">
        <v>0.197916666666667</v>
      </c>
      <c r="U1" s="1">
        <v>0.208333333333333</v>
      </c>
      <c r="V1" s="1">
        <v>0.21875</v>
      </c>
      <c r="W1" s="1">
        <v>0.229166666666667</v>
      </c>
      <c r="X1" s="1">
        <v>0.239583333333333</v>
      </c>
      <c r="Y1" s="1">
        <v>0.25</v>
      </c>
      <c r="Z1" s="1">
        <v>0.260416666666667</v>
      </c>
      <c r="AA1" s="1">
        <v>0.270833333333333</v>
      </c>
      <c r="AB1" s="1">
        <v>0.28125</v>
      </c>
      <c r="AC1" s="1">
        <v>0.291666666666667</v>
      </c>
      <c r="AD1" s="1">
        <v>0.302083333333333</v>
      </c>
      <c r="AE1" s="1">
        <v>0.3125</v>
      </c>
      <c r="AF1" s="1">
        <v>0.322916666666667</v>
      </c>
      <c r="AG1" s="1">
        <v>0.333333333333333</v>
      </c>
      <c r="AH1" s="1">
        <v>0.34375</v>
      </c>
      <c r="AI1" s="1">
        <v>0.354166666666667</v>
      </c>
      <c r="AJ1" s="1">
        <v>0.364583333333333</v>
      </c>
      <c r="AK1" s="1">
        <v>0.375</v>
      </c>
      <c r="AL1" s="1">
        <v>0.385416666666667</v>
      </c>
      <c r="AM1" s="1">
        <v>0.395833333333333</v>
      </c>
      <c r="AN1" s="1">
        <v>0.40625</v>
      </c>
      <c r="AO1" s="1">
        <v>0.416666666666667</v>
      </c>
      <c r="AP1" s="1">
        <v>0.427083333333333</v>
      </c>
      <c r="AQ1" s="1">
        <v>0.4375</v>
      </c>
      <c r="AR1" s="1">
        <v>0.447916666666667</v>
      </c>
      <c r="AS1" s="1">
        <v>0.458333333333333</v>
      </c>
      <c r="AT1" s="1">
        <v>0.46875</v>
      </c>
      <c r="AU1" s="1">
        <v>0.479166666666667</v>
      </c>
      <c r="AV1" s="1">
        <v>0.489583333333333</v>
      </c>
      <c r="AW1" s="1">
        <v>0.5</v>
      </c>
      <c r="AX1" s="1">
        <v>0.510416666666667</v>
      </c>
      <c r="AY1" s="1">
        <v>0.520833333333333</v>
      </c>
      <c r="AZ1" s="1">
        <v>0.53125</v>
      </c>
      <c r="BA1" s="1">
        <v>0.541666666666667</v>
      </c>
      <c r="BB1" s="1">
        <v>0.552083333333333</v>
      </c>
      <c r="BC1" s="1">
        <v>0.5625</v>
      </c>
      <c r="BD1" s="1">
        <v>0.572916666666667</v>
      </c>
      <c r="BE1" s="1">
        <v>0.583333333333333</v>
      </c>
      <c r="BF1" s="1">
        <v>0.59375</v>
      </c>
      <c r="BG1" s="1">
        <v>0.604166666666667</v>
      </c>
      <c r="BH1" s="1">
        <v>0.614583333333333</v>
      </c>
      <c r="BI1" s="1">
        <v>0.625</v>
      </c>
      <c r="BJ1" s="1">
        <v>0.635416666666667</v>
      </c>
      <c r="BK1" s="1">
        <v>0.645833333333333</v>
      </c>
      <c r="BL1" s="1">
        <v>0.65625</v>
      </c>
      <c r="BM1" s="1">
        <v>0.666666666666667</v>
      </c>
      <c r="BN1" s="1">
        <v>0.677083333333333</v>
      </c>
      <c r="BO1" s="1">
        <v>0.6875</v>
      </c>
      <c r="BP1" s="1">
        <v>0.697916666666667</v>
      </c>
      <c r="BQ1" s="1">
        <v>0.708333333333333</v>
      </c>
      <c r="BR1" s="1">
        <v>0.71875</v>
      </c>
      <c r="BS1" s="1">
        <v>0.729166666666667</v>
      </c>
      <c r="BT1" s="1">
        <v>0.739583333333333</v>
      </c>
      <c r="BU1" s="1">
        <v>0.75</v>
      </c>
      <c r="BV1" s="1">
        <v>0.760416666666667</v>
      </c>
      <c r="BW1" s="1">
        <v>0.770833333333333</v>
      </c>
      <c r="BX1" s="1">
        <v>0.78125</v>
      </c>
      <c r="BY1" s="1">
        <v>0.791666666666667</v>
      </c>
      <c r="BZ1" s="1">
        <v>0.802083333333333</v>
      </c>
      <c r="CA1" s="1">
        <v>0.8125</v>
      </c>
      <c r="CB1" s="1">
        <v>0.822916666666667</v>
      </c>
      <c r="CC1" s="1">
        <v>0.833333333333333</v>
      </c>
      <c r="CD1" s="1">
        <v>0.84375</v>
      </c>
      <c r="CE1" s="1">
        <v>0.854166666666667</v>
      </c>
      <c r="CF1" s="1">
        <v>0.864583333333333</v>
      </c>
      <c r="CG1" s="1">
        <v>0.875</v>
      </c>
      <c r="CH1" s="1">
        <v>0.885416666666667</v>
      </c>
      <c r="CI1" s="1">
        <v>0.895833333333333</v>
      </c>
      <c r="CJ1" s="1">
        <v>0.90625</v>
      </c>
      <c r="CK1" s="1">
        <v>0.916666666666667</v>
      </c>
      <c r="CL1" s="1">
        <v>0.927083333333333</v>
      </c>
      <c r="CM1" s="1">
        <v>0.9375</v>
      </c>
      <c r="CN1" s="1">
        <v>0.947916666666667</v>
      </c>
      <c r="CO1" s="1">
        <v>0.958333333333333</v>
      </c>
      <c r="CP1" s="1">
        <v>0.96875</v>
      </c>
      <c r="CQ1" s="1">
        <v>0.979166666666667</v>
      </c>
      <c r="CR1" s="1">
        <v>0.989583333333333</v>
      </c>
      <c r="CS1" s="1">
        <v>1</v>
      </c>
    </row>
    <row r="2" spans="1:97">
      <c r="A2" s="9">
        <v>46235</v>
      </c>
      <c r="B2">
        <v>35.54</v>
      </c>
      <c r="C2">
        <v>35.7</v>
      </c>
      <c r="D2">
        <v>37.28</v>
      </c>
      <c r="E2">
        <v>35.98</v>
      </c>
      <c r="F2">
        <v>39.41</v>
      </c>
      <c r="G2">
        <v>39.97</v>
      </c>
      <c r="H2">
        <v>36.43</v>
      </c>
      <c r="I2">
        <v>36.79</v>
      </c>
      <c r="J2">
        <v>38.32</v>
      </c>
      <c r="K2">
        <v>38.43</v>
      </c>
      <c r="L2">
        <v>37.41</v>
      </c>
      <c r="M2">
        <v>36.45</v>
      </c>
      <c r="N2">
        <v>37.04</v>
      </c>
      <c r="O2">
        <v>37.75</v>
      </c>
      <c r="P2">
        <v>37.49</v>
      </c>
      <c r="Q2">
        <v>36.94</v>
      </c>
      <c r="R2">
        <v>36</v>
      </c>
      <c r="S2">
        <v>38.47</v>
      </c>
      <c r="T2">
        <v>39.75</v>
      </c>
      <c r="U2">
        <v>40.24</v>
      </c>
      <c r="V2">
        <v>39.14</v>
      </c>
      <c r="W2">
        <v>38.98</v>
      </c>
      <c r="X2">
        <v>38.28</v>
      </c>
      <c r="Y2">
        <v>39.45</v>
      </c>
      <c r="Z2">
        <v>40.84</v>
      </c>
      <c r="AA2">
        <v>40.33</v>
      </c>
      <c r="AB2">
        <v>38.99</v>
      </c>
      <c r="AC2">
        <v>38.43</v>
      </c>
      <c r="AD2">
        <v>38.52</v>
      </c>
      <c r="AE2">
        <v>40.14</v>
      </c>
      <c r="AF2">
        <v>39.08</v>
      </c>
      <c r="AG2">
        <v>40.51</v>
      </c>
      <c r="AH2">
        <v>41.3</v>
      </c>
      <c r="AI2">
        <v>41.05</v>
      </c>
      <c r="AJ2">
        <v>41.09</v>
      </c>
      <c r="AK2">
        <v>41.95</v>
      </c>
      <c r="AL2">
        <v>40.36</v>
      </c>
      <c r="AM2">
        <v>39.91</v>
      </c>
      <c r="AN2">
        <v>41.13</v>
      </c>
      <c r="AO2">
        <v>42.5</v>
      </c>
      <c r="AP2">
        <v>41.77</v>
      </c>
      <c r="AQ2">
        <v>39.14</v>
      </c>
      <c r="AR2">
        <v>37.4</v>
      </c>
      <c r="AS2">
        <v>38.91</v>
      </c>
      <c r="AT2">
        <v>37.22</v>
      </c>
      <c r="AU2">
        <v>38.4</v>
      </c>
      <c r="AV2">
        <v>36.75</v>
      </c>
      <c r="AW2">
        <v>37.07</v>
      </c>
      <c r="AX2">
        <v>38.3</v>
      </c>
      <c r="AY2">
        <v>37.74</v>
      </c>
      <c r="AZ2">
        <v>37.49</v>
      </c>
      <c r="BA2">
        <v>38</v>
      </c>
      <c r="BB2">
        <v>38.07</v>
      </c>
      <c r="BC2">
        <v>37.39</v>
      </c>
      <c r="BD2">
        <v>38.01</v>
      </c>
      <c r="BE2">
        <v>39.21</v>
      </c>
      <c r="BF2">
        <v>38.36</v>
      </c>
      <c r="BG2">
        <v>37.73</v>
      </c>
      <c r="BH2">
        <v>39.91</v>
      </c>
      <c r="BI2">
        <v>38.51</v>
      </c>
      <c r="BJ2">
        <v>37.84</v>
      </c>
      <c r="BK2">
        <v>39.4</v>
      </c>
      <c r="BL2">
        <v>41.64</v>
      </c>
      <c r="BM2">
        <v>40.92</v>
      </c>
      <c r="BN2">
        <v>42.84</v>
      </c>
      <c r="BO2">
        <v>42.6</v>
      </c>
      <c r="BP2">
        <v>43.73</v>
      </c>
      <c r="BQ2">
        <v>44.73</v>
      </c>
      <c r="BR2">
        <v>44.86</v>
      </c>
      <c r="BS2">
        <v>44.24</v>
      </c>
      <c r="BT2">
        <v>43.67</v>
      </c>
      <c r="BU2">
        <v>43.72</v>
      </c>
      <c r="BV2">
        <v>42.8</v>
      </c>
      <c r="BW2">
        <v>43.91</v>
      </c>
      <c r="BX2">
        <v>42.62</v>
      </c>
      <c r="BY2">
        <v>41.32</v>
      </c>
      <c r="BZ2">
        <v>41.37</v>
      </c>
      <c r="CA2">
        <v>42.18</v>
      </c>
      <c r="CB2">
        <v>41.81</v>
      </c>
      <c r="CC2">
        <v>43.37</v>
      </c>
      <c r="CD2">
        <v>43.21</v>
      </c>
      <c r="CE2">
        <v>44.27</v>
      </c>
      <c r="CF2">
        <v>45</v>
      </c>
      <c r="CG2">
        <v>45.38</v>
      </c>
      <c r="CH2">
        <v>44.15</v>
      </c>
      <c r="CI2">
        <v>42.68</v>
      </c>
      <c r="CJ2">
        <v>42.91</v>
      </c>
      <c r="CK2">
        <v>43.04</v>
      </c>
      <c r="CL2">
        <v>43.17</v>
      </c>
      <c r="CM2">
        <v>41.97</v>
      </c>
      <c r="CN2">
        <v>41.68</v>
      </c>
      <c r="CO2">
        <v>42.07</v>
      </c>
      <c r="CP2">
        <v>44.06</v>
      </c>
      <c r="CQ2">
        <v>43.42</v>
      </c>
      <c r="CR2">
        <v>43.61</v>
      </c>
      <c r="CS2">
        <v>42.09</v>
      </c>
    </row>
    <row r="3" spans="1:97">
      <c r="A3" s="9">
        <v>46236</v>
      </c>
      <c r="B3">
        <v>41.57</v>
      </c>
      <c r="C3">
        <v>40.93</v>
      </c>
      <c r="D3">
        <v>42.45</v>
      </c>
      <c r="E3">
        <v>40.82</v>
      </c>
      <c r="F3">
        <v>43.07</v>
      </c>
      <c r="G3">
        <v>42.99</v>
      </c>
      <c r="H3">
        <v>42.57</v>
      </c>
      <c r="I3">
        <v>43.18</v>
      </c>
      <c r="J3">
        <v>42.73</v>
      </c>
      <c r="K3">
        <v>42.8</v>
      </c>
      <c r="L3">
        <v>42.46</v>
      </c>
      <c r="M3">
        <v>43.13</v>
      </c>
      <c r="N3">
        <v>43.01</v>
      </c>
      <c r="O3">
        <v>42.76</v>
      </c>
      <c r="P3">
        <v>42.47</v>
      </c>
      <c r="Q3">
        <v>42.24</v>
      </c>
      <c r="R3">
        <v>42.56</v>
      </c>
      <c r="S3">
        <v>42.54</v>
      </c>
      <c r="T3">
        <v>42.41</v>
      </c>
      <c r="U3">
        <v>43.07</v>
      </c>
      <c r="V3">
        <v>42.64</v>
      </c>
      <c r="W3">
        <v>44.83</v>
      </c>
      <c r="X3">
        <v>44.65</v>
      </c>
      <c r="Y3">
        <v>42.75</v>
      </c>
      <c r="Z3">
        <v>41.33</v>
      </c>
      <c r="AA3">
        <v>42.68</v>
      </c>
      <c r="AB3">
        <v>43.53</v>
      </c>
      <c r="AC3">
        <v>42.1</v>
      </c>
      <c r="AD3">
        <v>42.08</v>
      </c>
      <c r="AE3">
        <v>43.56</v>
      </c>
      <c r="AF3">
        <v>43.03</v>
      </c>
      <c r="AG3">
        <v>43.24</v>
      </c>
      <c r="AH3">
        <v>42.4</v>
      </c>
      <c r="AI3">
        <v>41.98</v>
      </c>
      <c r="AJ3">
        <v>42.44</v>
      </c>
      <c r="AK3">
        <v>44.14</v>
      </c>
      <c r="AL3">
        <v>44.69</v>
      </c>
      <c r="AM3">
        <v>40.23</v>
      </c>
      <c r="AN3">
        <v>41.72</v>
      </c>
      <c r="AO3">
        <v>38.92</v>
      </c>
      <c r="AP3">
        <v>40.87</v>
      </c>
      <c r="AQ3">
        <v>42.48</v>
      </c>
      <c r="AR3">
        <v>42.07</v>
      </c>
      <c r="AS3">
        <v>41.17</v>
      </c>
      <c r="AT3">
        <v>42.12</v>
      </c>
      <c r="AU3">
        <v>40.33</v>
      </c>
      <c r="AV3">
        <v>41.35</v>
      </c>
      <c r="AW3">
        <v>44.02</v>
      </c>
      <c r="AX3">
        <v>42.16</v>
      </c>
      <c r="AY3">
        <v>43.01</v>
      </c>
      <c r="AZ3">
        <v>44.38</v>
      </c>
      <c r="BA3">
        <v>41.94</v>
      </c>
      <c r="BB3">
        <v>40.09</v>
      </c>
      <c r="BC3">
        <v>41.48</v>
      </c>
      <c r="BD3">
        <v>42.63</v>
      </c>
      <c r="BE3">
        <v>41.5</v>
      </c>
      <c r="BF3">
        <v>41.46</v>
      </c>
      <c r="BG3">
        <v>39</v>
      </c>
      <c r="BH3">
        <v>39.57</v>
      </c>
      <c r="BI3">
        <v>40.78</v>
      </c>
      <c r="BJ3">
        <v>41.16</v>
      </c>
      <c r="BK3">
        <v>41.58</v>
      </c>
      <c r="BL3">
        <v>41.16</v>
      </c>
      <c r="BM3">
        <v>41.86</v>
      </c>
      <c r="BN3">
        <v>40.49</v>
      </c>
      <c r="BO3">
        <v>41.02</v>
      </c>
      <c r="BP3">
        <v>41.19</v>
      </c>
      <c r="BQ3">
        <v>40.78</v>
      </c>
      <c r="BR3">
        <v>40.86</v>
      </c>
      <c r="BS3">
        <v>41.21</v>
      </c>
      <c r="BT3">
        <v>40.32</v>
      </c>
      <c r="BU3">
        <v>41.14</v>
      </c>
      <c r="BV3">
        <v>41.15</v>
      </c>
      <c r="BW3">
        <v>41.5</v>
      </c>
      <c r="BX3">
        <v>42.24</v>
      </c>
      <c r="BY3">
        <v>41</v>
      </c>
      <c r="BZ3">
        <v>39.94</v>
      </c>
      <c r="CA3">
        <v>40.05</v>
      </c>
      <c r="CB3">
        <v>39.65</v>
      </c>
      <c r="CC3">
        <v>38.42</v>
      </c>
      <c r="CD3">
        <v>39.33</v>
      </c>
      <c r="CE3">
        <v>36.59</v>
      </c>
      <c r="CF3">
        <v>36.51</v>
      </c>
      <c r="CG3">
        <v>36.7</v>
      </c>
      <c r="CH3">
        <v>38.86</v>
      </c>
      <c r="CI3">
        <v>39.06</v>
      </c>
      <c r="CJ3">
        <v>38.81</v>
      </c>
      <c r="CK3">
        <v>37.86</v>
      </c>
      <c r="CL3">
        <v>37.76</v>
      </c>
      <c r="CM3">
        <v>38.72</v>
      </c>
      <c r="CN3">
        <v>39.36</v>
      </c>
      <c r="CO3">
        <v>39.95</v>
      </c>
      <c r="CP3">
        <v>39.12</v>
      </c>
      <c r="CQ3">
        <v>38.18</v>
      </c>
      <c r="CR3">
        <v>38.48</v>
      </c>
      <c r="CS3">
        <v>38.97</v>
      </c>
    </row>
    <row r="4" spans="1:97">
      <c r="A4" s="9">
        <v>46237</v>
      </c>
      <c r="B4">
        <v>38.38</v>
      </c>
      <c r="C4">
        <v>38.87</v>
      </c>
      <c r="D4">
        <v>39.27</v>
      </c>
      <c r="E4">
        <v>38.54</v>
      </c>
      <c r="F4">
        <v>39.18</v>
      </c>
      <c r="G4">
        <v>38.82</v>
      </c>
      <c r="H4">
        <v>40.43</v>
      </c>
      <c r="I4">
        <v>40.04</v>
      </c>
      <c r="J4">
        <v>39.88</v>
      </c>
      <c r="K4">
        <v>38.69</v>
      </c>
      <c r="L4">
        <v>38.26</v>
      </c>
      <c r="M4">
        <v>37.97</v>
      </c>
      <c r="N4">
        <v>37.9</v>
      </c>
      <c r="O4">
        <v>39.19</v>
      </c>
      <c r="P4">
        <v>39</v>
      </c>
      <c r="Q4">
        <v>39.52</v>
      </c>
      <c r="R4">
        <v>38.35</v>
      </c>
      <c r="S4">
        <v>39.19</v>
      </c>
      <c r="T4">
        <v>40.75</v>
      </c>
      <c r="U4">
        <v>40.4</v>
      </c>
      <c r="V4">
        <v>38.95</v>
      </c>
      <c r="W4">
        <v>39.3</v>
      </c>
      <c r="X4">
        <v>39.87</v>
      </c>
      <c r="Y4">
        <v>40.28</v>
      </c>
      <c r="Z4">
        <v>40.31</v>
      </c>
      <c r="AA4">
        <v>39.62</v>
      </c>
      <c r="AB4">
        <v>40.12</v>
      </c>
      <c r="AC4">
        <v>40.25</v>
      </c>
      <c r="AD4">
        <v>39.38</v>
      </c>
      <c r="AE4">
        <v>39.87</v>
      </c>
      <c r="AF4">
        <v>41.06</v>
      </c>
      <c r="AG4">
        <v>38.55</v>
      </c>
      <c r="AH4">
        <v>38.93</v>
      </c>
      <c r="AI4">
        <v>37.84</v>
      </c>
      <c r="AJ4">
        <v>38.42</v>
      </c>
      <c r="AK4">
        <v>38.16</v>
      </c>
      <c r="AL4">
        <v>40.21</v>
      </c>
      <c r="AM4">
        <v>41.93</v>
      </c>
      <c r="AN4">
        <v>41.99</v>
      </c>
      <c r="AO4">
        <v>40.42</v>
      </c>
      <c r="AP4">
        <v>41.03</v>
      </c>
      <c r="AQ4">
        <v>41.53</v>
      </c>
      <c r="AR4">
        <v>42.34</v>
      </c>
      <c r="AS4">
        <v>41.32</v>
      </c>
      <c r="AT4">
        <v>40.06</v>
      </c>
      <c r="AU4">
        <v>40.68</v>
      </c>
      <c r="AV4">
        <v>38.61</v>
      </c>
      <c r="AW4">
        <v>41.41</v>
      </c>
      <c r="AX4">
        <v>39.73</v>
      </c>
      <c r="AY4">
        <v>38.89</v>
      </c>
      <c r="AZ4">
        <v>37.76</v>
      </c>
      <c r="BA4">
        <v>41.54</v>
      </c>
      <c r="BB4">
        <v>42.26</v>
      </c>
      <c r="BC4">
        <v>38.21</v>
      </c>
      <c r="BD4">
        <v>36.84</v>
      </c>
      <c r="BE4">
        <v>38.55</v>
      </c>
      <c r="BF4">
        <v>38.25</v>
      </c>
      <c r="BG4">
        <v>38.05</v>
      </c>
      <c r="BH4">
        <v>38.08</v>
      </c>
      <c r="BI4">
        <v>40.14</v>
      </c>
      <c r="BJ4">
        <v>37.83</v>
      </c>
      <c r="BK4">
        <v>37.86</v>
      </c>
      <c r="BL4">
        <v>41.84</v>
      </c>
      <c r="BM4">
        <v>40.83</v>
      </c>
      <c r="BN4">
        <v>37.85</v>
      </c>
      <c r="BO4">
        <v>38.09</v>
      </c>
      <c r="BP4">
        <v>38.09</v>
      </c>
      <c r="BQ4">
        <v>40.63</v>
      </c>
      <c r="BR4">
        <v>38.96</v>
      </c>
      <c r="BS4">
        <v>38.86</v>
      </c>
      <c r="BT4">
        <v>40.55</v>
      </c>
      <c r="BU4">
        <v>40.33</v>
      </c>
      <c r="BV4">
        <v>39.88</v>
      </c>
      <c r="BW4">
        <v>40.81</v>
      </c>
      <c r="BX4">
        <v>43.87</v>
      </c>
      <c r="BY4">
        <v>50.39</v>
      </c>
      <c r="BZ4">
        <v>51.69</v>
      </c>
      <c r="CA4">
        <v>51.59</v>
      </c>
      <c r="CB4">
        <v>51.34</v>
      </c>
      <c r="CC4">
        <v>47.53</v>
      </c>
      <c r="CD4">
        <v>42</v>
      </c>
      <c r="CE4">
        <v>40.95</v>
      </c>
      <c r="CF4">
        <v>40.26</v>
      </c>
      <c r="CG4">
        <v>41.42</v>
      </c>
      <c r="CH4">
        <v>41.75</v>
      </c>
      <c r="CI4">
        <v>40.67</v>
      </c>
      <c r="CJ4">
        <v>41.42</v>
      </c>
      <c r="CK4">
        <v>41.58</v>
      </c>
      <c r="CL4">
        <v>41.95</v>
      </c>
      <c r="CM4">
        <v>41.99</v>
      </c>
      <c r="CN4">
        <v>41.11</v>
      </c>
      <c r="CO4">
        <v>40.82</v>
      </c>
      <c r="CP4">
        <v>40.11</v>
      </c>
      <c r="CQ4">
        <v>39.55</v>
      </c>
      <c r="CR4">
        <v>38.64</v>
      </c>
      <c r="CS4">
        <v>38.96</v>
      </c>
    </row>
    <row r="5" spans="1:97">
      <c r="A5" s="9">
        <v>46238</v>
      </c>
      <c r="B5">
        <v>40.35</v>
      </c>
      <c r="C5">
        <v>39.54</v>
      </c>
      <c r="D5">
        <v>38.96</v>
      </c>
      <c r="E5">
        <v>39.68</v>
      </c>
      <c r="F5">
        <v>38.02</v>
      </c>
      <c r="G5">
        <v>42.26</v>
      </c>
      <c r="H5">
        <v>39.98</v>
      </c>
      <c r="I5">
        <v>40</v>
      </c>
      <c r="J5">
        <v>38.65</v>
      </c>
      <c r="K5">
        <v>39.9</v>
      </c>
      <c r="L5">
        <v>39.71</v>
      </c>
      <c r="M5">
        <v>39.38</v>
      </c>
      <c r="N5">
        <v>38.33</v>
      </c>
      <c r="O5">
        <v>38.38</v>
      </c>
      <c r="P5">
        <v>40.97</v>
      </c>
      <c r="Q5">
        <v>40.02</v>
      </c>
      <c r="R5">
        <v>40.52</v>
      </c>
      <c r="S5">
        <v>41.56</v>
      </c>
      <c r="T5">
        <v>41.15</v>
      </c>
      <c r="U5">
        <v>39.77</v>
      </c>
      <c r="V5">
        <v>40.56</v>
      </c>
      <c r="W5">
        <v>39</v>
      </c>
      <c r="X5">
        <v>38.52</v>
      </c>
      <c r="Y5">
        <v>36.73</v>
      </c>
      <c r="Z5">
        <v>37.34</v>
      </c>
      <c r="AA5">
        <v>38.44</v>
      </c>
      <c r="AB5">
        <v>39.54</v>
      </c>
      <c r="AC5">
        <v>39.74</v>
      </c>
      <c r="AD5">
        <v>39.32</v>
      </c>
      <c r="AE5">
        <v>39.17</v>
      </c>
      <c r="AF5">
        <v>39.62</v>
      </c>
      <c r="AG5">
        <v>39.41</v>
      </c>
      <c r="AH5">
        <v>39.81</v>
      </c>
      <c r="AI5">
        <v>39.7</v>
      </c>
      <c r="AJ5">
        <v>40.62</v>
      </c>
      <c r="AK5">
        <v>41.04</v>
      </c>
      <c r="AL5">
        <v>42.43</v>
      </c>
      <c r="AM5">
        <v>42.14</v>
      </c>
      <c r="AN5">
        <v>40.54</v>
      </c>
      <c r="AO5">
        <v>43.37</v>
      </c>
      <c r="AP5">
        <v>43.64</v>
      </c>
      <c r="AQ5">
        <v>44.05</v>
      </c>
      <c r="AR5">
        <v>43.57</v>
      </c>
      <c r="AS5">
        <v>42.98</v>
      </c>
      <c r="AT5">
        <v>41.12</v>
      </c>
      <c r="AU5">
        <v>40.19</v>
      </c>
      <c r="AV5">
        <v>42.59</v>
      </c>
      <c r="AW5">
        <v>42.35</v>
      </c>
      <c r="AX5">
        <v>41.36</v>
      </c>
      <c r="AY5">
        <v>42.18</v>
      </c>
      <c r="AZ5">
        <v>39.81</v>
      </c>
      <c r="BA5">
        <v>39.6</v>
      </c>
      <c r="BB5">
        <v>40.21</v>
      </c>
      <c r="BC5">
        <v>40.51</v>
      </c>
      <c r="BD5">
        <v>41.47</v>
      </c>
      <c r="BE5">
        <v>40.66</v>
      </c>
      <c r="BF5">
        <v>37.1</v>
      </c>
      <c r="BG5">
        <v>38.73</v>
      </c>
      <c r="BH5">
        <v>41</v>
      </c>
      <c r="BI5">
        <v>41.48</v>
      </c>
      <c r="BJ5">
        <v>41.18</v>
      </c>
      <c r="BK5">
        <v>41.37</v>
      </c>
      <c r="BL5">
        <v>41.93</v>
      </c>
      <c r="BM5">
        <v>42.73</v>
      </c>
      <c r="BN5">
        <v>41.56</v>
      </c>
      <c r="BO5">
        <v>42.54</v>
      </c>
      <c r="BP5">
        <v>43.2</v>
      </c>
      <c r="BQ5">
        <v>41.8</v>
      </c>
      <c r="BR5">
        <v>42</v>
      </c>
      <c r="BS5">
        <v>42.22</v>
      </c>
      <c r="BT5">
        <v>42.84</v>
      </c>
      <c r="BU5">
        <v>41.56</v>
      </c>
      <c r="BV5">
        <v>40.78</v>
      </c>
      <c r="BW5">
        <v>40.48</v>
      </c>
      <c r="BX5">
        <v>41.12</v>
      </c>
      <c r="BY5">
        <v>42.01</v>
      </c>
      <c r="BZ5">
        <v>41.25</v>
      </c>
      <c r="CA5">
        <v>41.95</v>
      </c>
      <c r="CB5">
        <v>42.13</v>
      </c>
      <c r="CC5">
        <v>42.51</v>
      </c>
      <c r="CD5">
        <v>43.26</v>
      </c>
      <c r="CE5">
        <v>43.52</v>
      </c>
      <c r="CF5">
        <v>42.48</v>
      </c>
      <c r="CG5">
        <v>41.97</v>
      </c>
      <c r="CH5">
        <v>41.14</v>
      </c>
      <c r="CI5">
        <v>40.51</v>
      </c>
      <c r="CJ5">
        <v>40.34</v>
      </c>
      <c r="CK5">
        <v>40.57</v>
      </c>
      <c r="CL5">
        <v>39.79</v>
      </c>
      <c r="CM5">
        <v>39.55</v>
      </c>
      <c r="CN5">
        <v>39.34</v>
      </c>
      <c r="CO5">
        <v>39.2</v>
      </c>
      <c r="CP5">
        <v>42.15</v>
      </c>
      <c r="CQ5">
        <v>41.1</v>
      </c>
      <c r="CR5">
        <v>40.88</v>
      </c>
      <c r="CS5">
        <v>46.94</v>
      </c>
    </row>
    <row r="6" spans="1:97">
      <c r="A6" s="9">
        <v>46239</v>
      </c>
      <c r="B6">
        <v>48.6</v>
      </c>
      <c r="C6">
        <v>46.85</v>
      </c>
      <c r="D6">
        <v>48.2</v>
      </c>
      <c r="E6">
        <v>49.15</v>
      </c>
      <c r="F6">
        <v>47.8</v>
      </c>
      <c r="G6">
        <v>46.62</v>
      </c>
      <c r="H6">
        <v>45.96</v>
      </c>
      <c r="I6">
        <v>46.18</v>
      </c>
      <c r="J6">
        <v>45.32</v>
      </c>
      <c r="K6">
        <v>44.81</v>
      </c>
      <c r="L6">
        <v>45.34</v>
      </c>
      <c r="M6">
        <v>48.36</v>
      </c>
      <c r="N6">
        <v>50.64</v>
      </c>
      <c r="O6">
        <v>51.57</v>
      </c>
      <c r="P6">
        <v>51.8</v>
      </c>
      <c r="Q6">
        <v>51.84</v>
      </c>
      <c r="R6">
        <v>52.56</v>
      </c>
      <c r="S6">
        <v>51.19</v>
      </c>
      <c r="T6">
        <v>52.15</v>
      </c>
      <c r="U6">
        <v>52.54</v>
      </c>
      <c r="V6">
        <v>50.86</v>
      </c>
      <c r="W6">
        <v>50.76</v>
      </c>
      <c r="X6">
        <v>50.32</v>
      </c>
      <c r="Y6">
        <v>51.46</v>
      </c>
      <c r="Z6">
        <v>51.83</v>
      </c>
      <c r="AA6">
        <v>53.9</v>
      </c>
      <c r="AB6">
        <v>53.21</v>
      </c>
      <c r="AC6">
        <v>54.5</v>
      </c>
      <c r="AD6">
        <v>55.04</v>
      </c>
      <c r="AE6">
        <v>53.52</v>
      </c>
      <c r="AF6">
        <v>52.59</v>
      </c>
      <c r="AG6">
        <v>52.57</v>
      </c>
      <c r="AH6">
        <v>51.9</v>
      </c>
      <c r="AI6">
        <v>53.03</v>
      </c>
      <c r="AJ6">
        <v>53.58</v>
      </c>
      <c r="AK6">
        <v>52.77</v>
      </c>
      <c r="AL6">
        <v>53.12</v>
      </c>
      <c r="AM6">
        <v>54.51</v>
      </c>
      <c r="AN6">
        <v>53.24</v>
      </c>
      <c r="AO6">
        <v>54.13</v>
      </c>
      <c r="AP6">
        <v>53.77</v>
      </c>
      <c r="AQ6">
        <v>54.04</v>
      </c>
      <c r="AR6">
        <v>53.89</v>
      </c>
      <c r="AS6">
        <v>55.98</v>
      </c>
      <c r="AT6">
        <v>55.81</v>
      </c>
      <c r="AU6">
        <v>54.36</v>
      </c>
      <c r="AV6">
        <v>55.2</v>
      </c>
      <c r="AW6">
        <v>53.85</v>
      </c>
      <c r="AX6">
        <v>54.29</v>
      </c>
      <c r="AY6">
        <v>53.69</v>
      </c>
      <c r="AZ6">
        <v>53.54</v>
      </c>
      <c r="BA6">
        <v>53.2</v>
      </c>
      <c r="BB6">
        <v>54.42</v>
      </c>
      <c r="BC6">
        <v>56.49</v>
      </c>
      <c r="BD6">
        <v>58.6</v>
      </c>
      <c r="BE6">
        <v>58.89</v>
      </c>
      <c r="BF6">
        <v>61.33</v>
      </c>
      <c r="BG6">
        <v>63.24</v>
      </c>
      <c r="BH6">
        <v>63.75</v>
      </c>
      <c r="BI6">
        <v>66.21</v>
      </c>
      <c r="BJ6">
        <v>66.16</v>
      </c>
      <c r="BK6">
        <v>67.81</v>
      </c>
      <c r="BL6">
        <v>65.87</v>
      </c>
      <c r="BM6">
        <v>67.82</v>
      </c>
      <c r="BN6">
        <v>67.92</v>
      </c>
      <c r="BO6">
        <v>70.01</v>
      </c>
      <c r="BP6">
        <v>68.7</v>
      </c>
      <c r="BQ6">
        <v>68.94</v>
      </c>
      <c r="BR6">
        <v>66.71</v>
      </c>
      <c r="BS6">
        <v>67.89</v>
      </c>
      <c r="BT6">
        <v>68.25</v>
      </c>
      <c r="BU6">
        <v>68.01</v>
      </c>
      <c r="BV6">
        <v>66.82</v>
      </c>
      <c r="BW6">
        <v>68.95</v>
      </c>
      <c r="BX6">
        <v>67.34</v>
      </c>
      <c r="BY6">
        <v>67.29</v>
      </c>
      <c r="BZ6">
        <v>65.88</v>
      </c>
      <c r="CA6">
        <v>66.39</v>
      </c>
      <c r="CB6">
        <v>66.68</v>
      </c>
      <c r="CC6">
        <v>65.44</v>
      </c>
      <c r="CD6">
        <v>65.84</v>
      </c>
      <c r="CE6">
        <v>65.34</v>
      </c>
      <c r="CF6">
        <v>65.88</v>
      </c>
      <c r="CG6">
        <v>67.45</v>
      </c>
      <c r="CH6">
        <v>70.12</v>
      </c>
      <c r="CI6">
        <v>69.17</v>
      </c>
      <c r="CJ6">
        <v>69.28</v>
      </c>
      <c r="CK6">
        <v>69.08</v>
      </c>
      <c r="CL6">
        <v>72.57</v>
      </c>
      <c r="CM6">
        <v>71.3</v>
      </c>
      <c r="CN6">
        <v>71.68</v>
      </c>
      <c r="CO6">
        <v>69.43</v>
      </c>
      <c r="CP6">
        <v>72.34</v>
      </c>
      <c r="CQ6">
        <v>72.15</v>
      </c>
      <c r="CR6">
        <v>73.72</v>
      </c>
      <c r="CS6">
        <v>75.14</v>
      </c>
    </row>
    <row r="7" spans="1:97">
      <c r="A7" s="9">
        <v>46240</v>
      </c>
      <c r="B7">
        <v>74.04</v>
      </c>
      <c r="C7">
        <v>73.82</v>
      </c>
      <c r="D7">
        <v>76.69</v>
      </c>
      <c r="E7">
        <v>76.23</v>
      </c>
      <c r="F7">
        <v>76.36</v>
      </c>
      <c r="G7">
        <v>75.72</v>
      </c>
      <c r="H7">
        <v>76.88</v>
      </c>
      <c r="I7">
        <v>76.58</v>
      </c>
      <c r="J7">
        <v>75.87</v>
      </c>
      <c r="K7">
        <v>75.63</v>
      </c>
      <c r="L7">
        <v>75.78</v>
      </c>
      <c r="M7">
        <v>76.3</v>
      </c>
      <c r="N7">
        <v>76.18</v>
      </c>
      <c r="O7">
        <v>76.64</v>
      </c>
      <c r="P7">
        <v>76.77</v>
      </c>
      <c r="Q7">
        <v>77.03</v>
      </c>
      <c r="R7">
        <v>77.54</v>
      </c>
      <c r="S7">
        <v>76.36</v>
      </c>
      <c r="T7">
        <v>75.45</v>
      </c>
      <c r="U7">
        <v>75.68</v>
      </c>
      <c r="V7">
        <v>74.18</v>
      </c>
      <c r="W7">
        <v>76.13</v>
      </c>
      <c r="X7">
        <v>76.53</v>
      </c>
      <c r="Y7">
        <v>76.5</v>
      </c>
      <c r="Z7">
        <v>75.97</v>
      </c>
      <c r="AA7">
        <v>76.56</v>
      </c>
      <c r="AB7">
        <v>77.7</v>
      </c>
      <c r="AC7">
        <v>79.16</v>
      </c>
      <c r="AD7">
        <v>78.37</v>
      </c>
      <c r="AE7">
        <v>78.82</v>
      </c>
      <c r="AF7">
        <v>78.72</v>
      </c>
      <c r="AG7">
        <v>81.12</v>
      </c>
      <c r="AH7">
        <v>80.49</v>
      </c>
      <c r="AI7">
        <v>79.34</v>
      </c>
      <c r="AJ7">
        <v>78.87</v>
      </c>
      <c r="AK7">
        <v>79.23</v>
      </c>
      <c r="AL7">
        <v>78.01</v>
      </c>
      <c r="AM7">
        <v>79.17</v>
      </c>
      <c r="AN7">
        <v>79.92</v>
      </c>
      <c r="AO7">
        <v>78.54</v>
      </c>
      <c r="AP7">
        <v>79.87</v>
      </c>
      <c r="AQ7">
        <v>79.79</v>
      </c>
      <c r="AR7">
        <v>80.02</v>
      </c>
      <c r="AS7">
        <v>79.41</v>
      </c>
      <c r="AT7">
        <v>81.28</v>
      </c>
      <c r="AU7">
        <v>81.85</v>
      </c>
      <c r="AV7">
        <v>82.26</v>
      </c>
      <c r="AW7">
        <v>83.15</v>
      </c>
      <c r="AX7">
        <v>80.83</v>
      </c>
      <c r="AY7">
        <v>80.95</v>
      </c>
      <c r="AZ7">
        <v>80.6</v>
      </c>
      <c r="BA7">
        <v>82.24</v>
      </c>
      <c r="BB7">
        <v>84.74</v>
      </c>
      <c r="BC7">
        <v>84.1</v>
      </c>
      <c r="BD7">
        <v>81.28</v>
      </c>
      <c r="BE7">
        <v>80.9</v>
      </c>
      <c r="BF7">
        <v>83.26</v>
      </c>
      <c r="BG7">
        <v>82.65</v>
      </c>
      <c r="BH7">
        <v>82.5</v>
      </c>
      <c r="BI7">
        <v>83.72</v>
      </c>
      <c r="BJ7">
        <v>82.12</v>
      </c>
      <c r="BK7">
        <v>80.95</v>
      </c>
      <c r="BL7">
        <v>81.05</v>
      </c>
      <c r="BM7">
        <v>81.59</v>
      </c>
      <c r="BN7">
        <v>82.6</v>
      </c>
      <c r="BO7">
        <v>82.85</v>
      </c>
      <c r="BP7">
        <v>83.37</v>
      </c>
      <c r="BQ7">
        <v>82.65</v>
      </c>
      <c r="BR7">
        <v>81.87</v>
      </c>
      <c r="BS7">
        <v>81.18</v>
      </c>
      <c r="BT7">
        <v>79.66</v>
      </c>
      <c r="BU7">
        <v>80.5</v>
      </c>
      <c r="BV7">
        <v>80.1</v>
      </c>
      <c r="BW7">
        <v>79.99</v>
      </c>
      <c r="BX7">
        <v>81.89</v>
      </c>
      <c r="BY7">
        <v>81.4</v>
      </c>
      <c r="BZ7">
        <v>81.23</v>
      </c>
      <c r="CA7">
        <v>81.26</v>
      </c>
      <c r="CB7">
        <v>80.78</v>
      </c>
      <c r="CC7">
        <v>80.62</v>
      </c>
      <c r="CD7">
        <v>81.94</v>
      </c>
      <c r="CE7">
        <v>82.5</v>
      </c>
      <c r="CF7">
        <v>82.57</v>
      </c>
      <c r="CG7">
        <v>81.98</v>
      </c>
      <c r="CH7">
        <v>83.95</v>
      </c>
      <c r="CI7">
        <v>84.13</v>
      </c>
      <c r="CJ7">
        <v>83.57</v>
      </c>
      <c r="CK7">
        <v>82.92</v>
      </c>
      <c r="CL7">
        <v>82.81</v>
      </c>
      <c r="CM7">
        <v>81.78</v>
      </c>
      <c r="CN7">
        <v>82.51</v>
      </c>
      <c r="CO7">
        <v>81.96</v>
      </c>
      <c r="CP7">
        <v>81.25</v>
      </c>
      <c r="CQ7">
        <v>80.51</v>
      </c>
      <c r="CR7">
        <v>80.35</v>
      </c>
      <c r="CS7">
        <v>80.34</v>
      </c>
    </row>
    <row r="8" spans="1:97">
      <c r="A8" s="9">
        <v>46241</v>
      </c>
      <c r="B8">
        <v>79.15</v>
      </c>
      <c r="C8">
        <v>79.33</v>
      </c>
      <c r="D8">
        <v>80.72</v>
      </c>
      <c r="E8">
        <v>79.45</v>
      </c>
      <c r="F8">
        <v>80.24</v>
      </c>
      <c r="G8">
        <v>80.14</v>
      </c>
      <c r="H8">
        <v>81.45</v>
      </c>
      <c r="I8">
        <v>79.56</v>
      </c>
      <c r="J8">
        <v>80.07</v>
      </c>
      <c r="K8">
        <v>80.03</v>
      </c>
      <c r="L8">
        <v>79.71</v>
      </c>
      <c r="M8">
        <v>79.63</v>
      </c>
      <c r="N8">
        <v>78.88</v>
      </c>
      <c r="O8">
        <v>78.64</v>
      </c>
      <c r="P8">
        <v>80.81</v>
      </c>
      <c r="Q8">
        <v>80.91</v>
      </c>
      <c r="R8">
        <v>81.72</v>
      </c>
      <c r="S8">
        <v>81.31</v>
      </c>
      <c r="T8">
        <v>80.03</v>
      </c>
      <c r="U8">
        <v>79.98</v>
      </c>
      <c r="V8">
        <v>80.37</v>
      </c>
      <c r="W8">
        <v>80.57</v>
      </c>
      <c r="X8">
        <v>80.29</v>
      </c>
      <c r="Y8">
        <v>80.32</v>
      </c>
      <c r="Z8">
        <v>79.86</v>
      </c>
      <c r="AA8">
        <v>80.57</v>
      </c>
      <c r="AB8">
        <v>80.45</v>
      </c>
      <c r="AC8">
        <v>80.52</v>
      </c>
      <c r="AD8">
        <v>81.67</v>
      </c>
      <c r="AE8">
        <v>82.96</v>
      </c>
      <c r="AF8">
        <v>82.16</v>
      </c>
      <c r="AG8">
        <v>82.27</v>
      </c>
      <c r="AH8">
        <v>81.96</v>
      </c>
      <c r="AI8">
        <v>81.01</v>
      </c>
      <c r="AJ8">
        <v>80.67</v>
      </c>
      <c r="AK8">
        <v>79.52</v>
      </c>
      <c r="AL8">
        <v>69.36</v>
      </c>
      <c r="AM8">
        <v>70.99</v>
      </c>
      <c r="AN8">
        <v>65.75</v>
      </c>
      <c r="AO8">
        <v>68.97</v>
      </c>
      <c r="AP8">
        <v>69.03</v>
      </c>
      <c r="AQ8">
        <v>69.6</v>
      </c>
      <c r="AR8">
        <v>67.11</v>
      </c>
      <c r="AS8">
        <v>67.89</v>
      </c>
      <c r="AT8">
        <v>66.07</v>
      </c>
      <c r="AU8">
        <v>63.56</v>
      </c>
      <c r="AV8">
        <v>63.07</v>
      </c>
      <c r="AW8">
        <v>64.98</v>
      </c>
      <c r="AX8">
        <v>64.84</v>
      </c>
      <c r="AY8">
        <v>61.98</v>
      </c>
      <c r="AZ8">
        <v>62.25</v>
      </c>
      <c r="BA8">
        <v>60.07</v>
      </c>
      <c r="BB8">
        <v>50.95</v>
      </c>
      <c r="BC8">
        <v>45.23</v>
      </c>
      <c r="BD8">
        <v>46.2</v>
      </c>
      <c r="BE8">
        <v>40.6</v>
      </c>
      <c r="BF8">
        <v>37.72</v>
      </c>
      <c r="BG8">
        <v>36.5</v>
      </c>
      <c r="BH8">
        <v>38.1</v>
      </c>
      <c r="BI8">
        <v>39.98</v>
      </c>
      <c r="BJ8">
        <v>41.09</v>
      </c>
      <c r="BK8">
        <v>41.13</v>
      </c>
      <c r="BL8">
        <v>39.92</v>
      </c>
      <c r="BM8">
        <v>40</v>
      </c>
      <c r="BN8">
        <v>39.74</v>
      </c>
      <c r="BO8">
        <v>39.95</v>
      </c>
      <c r="BP8">
        <v>39.67</v>
      </c>
      <c r="BQ8">
        <v>41.24</v>
      </c>
      <c r="BR8">
        <v>41.7</v>
      </c>
      <c r="BS8">
        <v>42.44</v>
      </c>
      <c r="BT8">
        <v>41.49</v>
      </c>
      <c r="BU8">
        <v>40.07</v>
      </c>
      <c r="BV8">
        <v>39.5</v>
      </c>
      <c r="BW8">
        <v>40.37</v>
      </c>
      <c r="BX8">
        <v>38.4</v>
      </c>
      <c r="BY8">
        <v>39.04</v>
      </c>
      <c r="BZ8">
        <v>40.02</v>
      </c>
      <c r="CA8">
        <v>39.83</v>
      </c>
      <c r="CB8">
        <v>40.59</v>
      </c>
      <c r="CC8">
        <v>39.58</v>
      </c>
      <c r="CD8">
        <v>40.01</v>
      </c>
      <c r="CE8">
        <v>40.87</v>
      </c>
      <c r="CF8">
        <v>39.38</v>
      </c>
      <c r="CG8">
        <v>40.78</v>
      </c>
      <c r="CH8">
        <v>40.1</v>
      </c>
      <c r="CI8">
        <v>39.28</v>
      </c>
      <c r="CJ8">
        <v>39.29</v>
      </c>
      <c r="CK8">
        <v>40.85</v>
      </c>
      <c r="CL8">
        <v>39.72</v>
      </c>
      <c r="CM8">
        <v>39.63</v>
      </c>
      <c r="CN8">
        <v>37.45</v>
      </c>
      <c r="CO8">
        <v>37.58</v>
      </c>
      <c r="CP8">
        <v>38.95</v>
      </c>
      <c r="CQ8">
        <v>40.15</v>
      </c>
      <c r="CR8">
        <v>39.3</v>
      </c>
      <c r="CS8">
        <v>40.7</v>
      </c>
    </row>
    <row r="9" spans="1:97">
      <c r="A9" s="9">
        <v>46242</v>
      </c>
      <c r="B9">
        <v>39.81</v>
      </c>
      <c r="C9">
        <v>39.46</v>
      </c>
      <c r="D9">
        <v>38.97</v>
      </c>
      <c r="E9">
        <v>39.39</v>
      </c>
      <c r="F9">
        <v>38.48</v>
      </c>
      <c r="G9">
        <v>37.15</v>
      </c>
      <c r="H9">
        <v>37.57</v>
      </c>
      <c r="I9">
        <v>38.27</v>
      </c>
      <c r="J9">
        <v>37.95</v>
      </c>
      <c r="K9">
        <v>38.57</v>
      </c>
      <c r="L9">
        <v>39.19</v>
      </c>
      <c r="M9">
        <v>39.9</v>
      </c>
      <c r="N9">
        <v>39.45</v>
      </c>
      <c r="O9">
        <v>39.37</v>
      </c>
      <c r="P9">
        <v>39.54</v>
      </c>
      <c r="Q9">
        <v>39.2</v>
      </c>
      <c r="R9">
        <v>39.29</v>
      </c>
      <c r="S9">
        <v>39.21</v>
      </c>
      <c r="T9">
        <v>39.78</v>
      </c>
      <c r="U9">
        <v>38.41</v>
      </c>
      <c r="V9">
        <v>38.89</v>
      </c>
      <c r="W9">
        <v>39.02</v>
      </c>
      <c r="X9">
        <v>37.88</v>
      </c>
      <c r="Y9">
        <v>39.11</v>
      </c>
      <c r="Z9">
        <v>37.56</v>
      </c>
      <c r="AA9">
        <v>37.95</v>
      </c>
      <c r="AB9">
        <v>39.84</v>
      </c>
      <c r="AC9">
        <v>39.1</v>
      </c>
      <c r="AD9">
        <v>39.04</v>
      </c>
      <c r="AE9">
        <v>38.44</v>
      </c>
      <c r="AF9">
        <v>38.55</v>
      </c>
      <c r="AG9">
        <v>40.02</v>
      </c>
      <c r="AH9">
        <v>38.25</v>
      </c>
      <c r="AI9">
        <v>38.81</v>
      </c>
      <c r="AJ9">
        <v>37.82</v>
      </c>
      <c r="AK9">
        <v>39.13</v>
      </c>
      <c r="AL9">
        <v>39.71</v>
      </c>
      <c r="AM9">
        <v>39.69</v>
      </c>
      <c r="AN9">
        <v>39.93</v>
      </c>
      <c r="AO9">
        <v>38.57</v>
      </c>
      <c r="AP9">
        <v>38.41</v>
      </c>
      <c r="AQ9">
        <v>38.95</v>
      </c>
      <c r="AR9">
        <v>39.45</v>
      </c>
      <c r="AS9">
        <v>36.68</v>
      </c>
      <c r="AT9">
        <v>36.1</v>
      </c>
      <c r="AU9">
        <v>35.63</v>
      </c>
      <c r="AV9">
        <v>37.53</v>
      </c>
      <c r="AW9">
        <v>38.09</v>
      </c>
      <c r="AX9">
        <v>36.69</v>
      </c>
      <c r="AY9">
        <v>37.48</v>
      </c>
      <c r="AZ9">
        <v>36.33</v>
      </c>
      <c r="BA9">
        <v>37.73</v>
      </c>
      <c r="BB9">
        <v>36.97</v>
      </c>
      <c r="BC9">
        <v>38.76</v>
      </c>
      <c r="BD9">
        <v>36.12</v>
      </c>
      <c r="BE9">
        <v>35.21</v>
      </c>
      <c r="BF9">
        <v>38.19</v>
      </c>
      <c r="BG9">
        <v>38.83</v>
      </c>
      <c r="BH9">
        <v>38.53</v>
      </c>
      <c r="BI9">
        <v>36.73</v>
      </c>
      <c r="BJ9">
        <v>37.88</v>
      </c>
      <c r="BK9">
        <v>39</v>
      </c>
      <c r="BL9">
        <v>40.79</v>
      </c>
      <c r="BM9">
        <v>39.56</v>
      </c>
      <c r="BN9">
        <v>39.6</v>
      </c>
      <c r="BO9">
        <v>39.05</v>
      </c>
      <c r="BP9">
        <v>37.57</v>
      </c>
      <c r="BQ9">
        <v>39.58</v>
      </c>
      <c r="BR9">
        <v>39.36</v>
      </c>
      <c r="BS9">
        <v>36.85</v>
      </c>
      <c r="BT9">
        <v>36.93</v>
      </c>
      <c r="BU9">
        <v>37.47</v>
      </c>
      <c r="BV9">
        <v>36.7</v>
      </c>
      <c r="BW9">
        <v>37.44</v>
      </c>
      <c r="BX9">
        <v>38.59</v>
      </c>
      <c r="BY9">
        <v>40.1</v>
      </c>
      <c r="BZ9">
        <v>39.36</v>
      </c>
      <c r="CA9">
        <v>39.66</v>
      </c>
      <c r="CB9">
        <v>38.13</v>
      </c>
      <c r="CC9">
        <v>37.12</v>
      </c>
      <c r="CD9">
        <v>36.55</v>
      </c>
      <c r="CE9">
        <v>35.71</v>
      </c>
      <c r="CF9">
        <v>35.81</v>
      </c>
      <c r="CG9">
        <v>35.12</v>
      </c>
      <c r="CH9">
        <v>34.87</v>
      </c>
      <c r="CI9">
        <v>36.19</v>
      </c>
      <c r="CJ9">
        <v>34.77</v>
      </c>
      <c r="CK9">
        <v>33.61</v>
      </c>
      <c r="CL9">
        <v>37.79</v>
      </c>
      <c r="CM9">
        <v>37.25</v>
      </c>
      <c r="CN9">
        <v>36.11</v>
      </c>
      <c r="CO9">
        <v>36.56</v>
      </c>
      <c r="CP9">
        <v>35.47</v>
      </c>
      <c r="CQ9">
        <v>34.78</v>
      </c>
      <c r="CR9">
        <v>35.99</v>
      </c>
      <c r="CS9">
        <v>36.52</v>
      </c>
    </row>
    <row r="10" spans="1:97">
      <c r="A10" s="9">
        <v>46243</v>
      </c>
      <c r="B10">
        <v>39.81</v>
      </c>
      <c r="C10">
        <v>39.46</v>
      </c>
      <c r="D10">
        <v>38.97</v>
      </c>
      <c r="E10">
        <v>39.39</v>
      </c>
      <c r="F10">
        <v>38.48</v>
      </c>
      <c r="G10">
        <v>37.15</v>
      </c>
      <c r="H10">
        <v>37.57</v>
      </c>
      <c r="I10">
        <v>38.27</v>
      </c>
      <c r="J10">
        <v>37.95</v>
      </c>
      <c r="K10">
        <v>38.57</v>
      </c>
      <c r="L10">
        <v>39.19</v>
      </c>
      <c r="M10">
        <v>39.9</v>
      </c>
      <c r="N10">
        <v>39.45</v>
      </c>
      <c r="O10">
        <v>39.37</v>
      </c>
      <c r="P10">
        <v>39.54</v>
      </c>
      <c r="Q10">
        <v>39.2</v>
      </c>
      <c r="R10">
        <v>39.29</v>
      </c>
      <c r="S10">
        <v>39.21</v>
      </c>
      <c r="T10">
        <v>39.78</v>
      </c>
      <c r="U10">
        <v>38.41</v>
      </c>
      <c r="V10">
        <v>38.89</v>
      </c>
      <c r="W10">
        <v>39.02</v>
      </c>
      <c r="X10">
        <v>37.88</v>
      </c>
      <c r="Y10">
        <v>39.11</v>
      </c>
      <c r="Z10">
        <v>37.56</v>
      </c>
      <c r="AA10">
        <v>37.95</v>
      </c>
      <c r="AB10">
        <v>39.84</v>
      </c>
      <c r="AC10">
        <v>39.1</v>
      </c>
      <c r="AD10">
        <v>39.04</v>
      </c>
      <c r="AE10">
        <v>38.44</v>
      </c>
      <c r="AF10">
        <v>38.55</v>
      </c>
      <c r="AG10">
        <v>40.02</v>
      </c>
      <c r="AH10">
        <v>38.25</v>
      </c>
      <c r="AI10">
        <v>38.81</v>
      </c>
      <c r="AJ10">
        <v>37.82</v>
      </c>
      <c r="AK10">
        <v>39.13</v>
      </c>
      <c r="AL10">
        <v>39.71</v>
      </c>
      <c r="AM10">
        <v>39.69</v>
      </c>
      <c r="AN10">
        <v>39.93</v>
      </c>
      <c r="AO10">
        <v>38.57</v>
      </c>
      <c r="AP10">
        <v>38.41</v>
      </c>
      <c r="AQ10">
        <v>38.95</v>
      </c>
      <c r="AR10">
        <v>39.45</v>
      </c>
      <c r="AS10">
        <v>36.68</v>
      </c>
      <c r="AT10">
        <v>36.1</v>
      </c>
      <c r="AU10">
        <v>35.63</v>
      </c>
      <c r="AV10">
        <v>37.53</v>
      </c>
      <c r="AW10">
        <v>38.09</v>
      </c>
      <c r="AX10">
        <v>36.69</v>
      </c>
      <c r="AY10">
        <v>37.48</v>
      </c>
      <c r="AZ10">
        <v>36.33</v>
      </c>
      <c r="BA10">
        <v>37.73</v>
      </c>
      <c r="BB10">
        <v>36.97</v>
      </c>
      <c r="BC10">
        <v>38.76</v>
      </c>
      <c r="BD10">
        <v>36.12</v>
      </c>
      <c r="BE10">
        <v>35.21</v>
      </c>
      <c r="BF10">
        <v>38.19</v>
      </c>
      <c r="BG10">
        <v>38.83</v>
      </c>
      <c r="BH10">
        <v>38.53</v>
      </c>
      <c r="BI10">
        <v>36.73</v>
      </c>
      <c r="BJ10">
        <v>37.88</v>
      </c>
      <c r="BK10">
        <v>39</v>
      </c>
      <c r="BL10">
        <v>40.79</v>
      </c>
      <c r="BM10">
        <v>39.56</v>
      </c>
      <c r="BN10">
        <v>39.6</v>
      </c>
      <c r="BO10">
        <v>39.05</v>
      </c>
      <c r="BP10">
        <v>37.57</v>
      </c>
      <c r="BQ10">
        <v>39.58</v>
      </c>
      <c r="BR10">
        <v>39.36</v>
      </c>
      <c r="BS10">
        <v>36.85</v>
      </c>
      <c r="BT10">
        <v>36.93</v>
      </c>
      <c r="BU10">
        <v>37.47</v>
      </c>
      <c r="BV10">
        <v>36.7</v>
      </c>
      <c r="BW10">
        <v>37.44</v>
      </c>
      <c r="BX10">
        <v>38.59</v>
      </c>
      <c r="BY10">
        <v>40.1</v>
      </c>
      <c r="BZ10">
        <v>39.36</v>
      </c>
      <c r="CA10">
        <v>39.66</v>
      </c>
      <c r="CB10">
        <v>38.13</v>
      </c>
      <c r="CC10">
        <v>37.12</v>
      </c>
      <c r="CD10">
        <v>36.55</v>
      </c>
      <c r="CE10">
        <v>35.71</v>
      </c>
      <c r="CF10">
        <v>35.81</v>
      </c>
      <c r="CG10">
        <v>35.12</v>
      </c>
      <c r="CH10">
        <v>34.87</v>
      </c>
      <c r="CI10">
        <v>36.19</v>
      </c>
      <c r="CJ10">
        <v>34.77</v>
      </c>
      <c r="CK10">
        <v>33.61</v>
      </c>
      <c r="CL10">
        <v>37.79</v>
      </c>
      <c r="CM10">
        <v>37.25</v>
      </c>
      <c r="CN10">
        <v>36.11</v>
      </c>
      <c r="CO10">
        <v>36.56</v>
      </c>
      <c r="CP10">
        <v>35.47</v>
      </c>
      <c r="CQ10">
        <v>34.78</v>
      </c>
      <c r="CR10">
        <v>35.99</v>
      </c>
      <c r="CS10">
        <v>36.52</v>
      </c>
    </row>
    <row r="11" spans="1:97">
      <c r="A11" s="9">
        <v>46244</v>
      </c>
      <c r="B11">
        <v>38.65</v>
      </c>
      <c r="C11">
        <v>37.94</v>
      </c>
      <c r="D11">
        <v>38.18</v>
      </c>
      <c r="E11">
        <v>37.99</v>
      </c>
      <c r="F11">
        <v>37.68</v>
      </c>
      <c r="G11">
        <v>37.3</v>
      </c>
      <c r="H11">
        <v>37.67</v>
      </c>
      <c r="I11">
        <v>37.7</v>
      </c>
      <c r="J11">
        <v>37.02</v>
      </c>
      <c r="K11">
        <v>37.76</v>
      </c>
      <c r="L11">
        <v>37.01</v>
      </c>
      <c r="M11">
        <v>39.34</v>
      </c>
      <c r="N11">
        <v>38.41</v>
      </c>
      <c r="O11">
        <v>38.64</v>
      </c>
      <c r="P11">
        <v>37.66</v>
      </c>
      <c r="Q11">
        <v>37.96</v>
      </c>
      <c r="R11">
        <v>38.84</v>
      </c>
      <c r="S11">
        <v>37.91</v>
      </c>
      <c r="T11">
        <v>37.44</v>
      </c>
      <c r="U11">
        <v>37.63</v>
      </c>
      <c r="V11">
        <v>39.11</v>
      </c>
      <c r="W11">
        <v>38.86</v>
      </c>
      <c r="X11">
        <v>39.06</v>
      </c>
      <c r="Y11">
        <v>39.36</v>
      </c>
      <c r="Z11">
        <v>39.01</v>
      </c>
      <c r="AA11">
        <v>40.17</v>
      </c>
      <c r="AB11">
        <v>40.18</v>
      </c>
      <c r="AC11">
        <v>40.4</v>
      </c>
      <c r="AD11">
        <v>40.63</v>
      </c>
      <c r="AE11">
        <v>39.18</v>
      </c>
      <c r="AF11">
        <v>39.12</v>
      </c>
      <c r="AG11">
        <v>38.86</v>
      </c>
      <c r="AH11">
        <v>39.32</v>
      </c>
      <c r="AI11">
        <v>38.86</v>
      </c>
      <c r="AJ11">
        <v>39.91</v>
      </c>
      <c r="AK11">
        <v>40.5</v>
      </c>
      <c r="AL11">
        <v>41.13</v>
      </c>
      <c r="AM11">
        <v>41.19</v>
      </c>
      <c r="AN11">
        <v>41.88</v>
      </c>
      <c r="AO11">
        <v>40.52</v>
      </c>
      <c r="AP11">
        <v>41.36</v>
      </c>
      <c r="AQ11">
        <v>40.61</v>
      </c>
      <c r="AR11">
        <v>39.61</v>
      </c>
      <c r="AS11">
        <v>38.55</v>
      </c>
      <c r="AT11">
        <v>38.16</v>
      </c>
      <c r="AU11">
        <v>40.33</v>
      </c>
      <c r="AV11">
        <v>39.34</v>
      </c>
      <c r="AW11">
        <v>39.82</v>
      </c>
      <c r="AX11">
        <v>40.67</v>
      </c>
      <c r="AY11">
        <v>38.41</v>
      </c>
      <c r="AZ11">
        <v>38.1</v>
      </c>
      <c r="BA11">
        <v>39.95</v>
      </c>
      <c r="BB11">
        <v>39.45</v>
      </c>
      <c r="BC11">
        <v>41.5</v>
      </c>
      <c r="BD11">
        <v>40.79</v>
      </c>
      <c r="BE11">
        <v>38.63</v>
      </c>
      <c r="BF11">
        <v>40.42</v>
      </c>
      <c r="BG11">
        <v>39.83</v>
      </c>
      <c r="BH11">
        <v>38.04</v>
      </c>
      <c r="BI11">
        <v>38.08</v>
      </c>
      <c r="BJ11">
        <v>40.37</v>
      </c>
      <c r="BK11">
        <v>43.8</v>
      </c>
      <c r="BL11">
        <v>43.41</v>
      </c>
      <c r="BM11">
        <v>41.44</v>
      </c>
      <c r="BN11">
        <v>41.79</v>
      </c>
      <c r="BO11">
        <v>42.03</v>
      </c>
      <c r="BP11">
        <v>40.93</v>
      </c>
      <c r="BQ11">
        <v>39.36</v>
      </c>
      <c r="BR11">
        <v>40.19</v>
      </c>
      <c r="BS11">
        <v>39.58</v>
      </c>
      <c r="BT11">
        <v>37.7</v>
      </c>
      <c r="BU11">
        <v>37.05</v>
      </c>
      <c r="BV11">
        <v>38.28</v>
      </c>
      <c r="BW11">
        <v>38.85</v>
      </c>
      <c r="BX11">
        <v>39.18</v>
      </c>
      <c r="BY11">
        <v>39.58</v>
      </c>
      <c r="BZ11">
        <v>39.58</v>
      </c>
      <c r="CA11">
        <v>39.56</v>
      </c>
      <c r="CB11">
        <v>39.57</v>
      </c>
      <c r="CC11">
        <v>39.42</v>
      </c>
      <c r="CD11">
        <v>40.39</v>
      </c>
      <c r="CE11">
        <v>38.97</v>
      </c>
      <c r="CF11">
        <v>38.88</v>
      </c>
      <c r="CG11">
        <v>37.62</v>
      </c>
      <c r="CH11">
        <v>36.87</v>
      </c>
      <c r="CI11">
        <v>38.45</v>
      </c>
      <c r="CJ11">
        <v>37.8</v>
      </c>
      <c r="CK11">
        <v>36.83</v>
      </c>
      <c r="CL11">
        <v>36.94</v>
      </c>
      <c r="CM11">
        <v>39.7</v>
      </c>
      <c r="CN11">
        <v>38.69</v>
      </c>
      <c r="CO11">
        <v>36.89</v>
      </c>
      <c r="CP11">
        <v>36.99</v>
      </c>
      <c r="CQ11">
        <v>37.16</v>
      </c>
      <c r="CR11">
        <v>37.95</v>
      </c>
      <c r="CS11">
        <v>37.3</v>
      </c>
    </row>
    <row r="12" spans="1:97">
      <c r="A12" s="9">
        <v>46245</v>
      </c>
      <c r="B12">
        <v>38.85</v>
      </c>
      <c r="C12">
        <v>39.47</v>
      </c>
      <c r="D12">
        <v>38.88</v>
      </c>
      <c r="E12">
        <v>38.23</v>
      </c>
      <c r="F12">
        <v>38.83</v>
      </c>
      <c r="G12">
        <v>39.21</v>
      </c>
      <c r="H12">
        <v>40.29</v>
      </c>
      <c r="I12">
        <v>40.06</v>
      </c>
      <c r="J12">
        <v>40.91</v>
      </c>
      <c r="K12">
        <v>41.77</v>
      </c>
      <c r="L12">
        <v>40.26</v>
      </c>
      <c r="M12">
        <v>38.61</v>
      </c>
      <c r="N12">
        <v>38.75</v>
      </c>
      <c r="O12">
        <v>39.75</v>
      </c>
      <c r="P12">
        <v>38.94</v>
      </c>
      <c r="Q12">
        <v>40.43</v>
      </c>
      <c r="R12">
        <v>39.66</v>
      </c>
      <c r="S12">
        <v>39.08</v>
      </c>
      <c r="T12">
        <v>38.97</v>
      </c>
      <c r="U12">
        <v>39.68</v>
      </c>
      <c r="V12">
        <v>38.83</v>
      </c>
      <c r="W12">
        <v>38.72</v>
      </c>
      <c r="X12">
        <v>39.32</v>
      </c>
      <c r="Y12">
        <v>38.42</v>
      </c>
      <c r="Z12">
        <v>39.26</v>
      </c>
      <c r="AA12">
        <v>37.88</v>
      </c>
      <c r="AB12">
        <v>38.65</v>
      </c>
      <c r="AC12">
        <v>38.7</v>
      </c>
      <c r="AD12">
        <v>41.39</v>
      </c>
      <c r="AE12">
        <v>40.75</v>
      </c>
      <c r="AF12">
        <v>40.06</v>
      </c>
      <c r="AG12">
        <v>40.06</v>
      </c>
      <c r="AH12">
        <v>39.5</v>
      </c>
      <c r="AI12">
        <v>39.56</v>
      </c>
      <c r="AJ12">
        <v>40.4</v>
      </c>
      <c r="AK12">
        <v>41</v>
      </c>
      <c r="AL12">
        <v>37.66</v>
      </c>
      <c r="AM12">
        <v>38</v>
      </c>
      <c r="AN12">
        <v>41.66</v>
      </c>
      <c r="AO12">
        <v>41.09</v>
      </c>
      <c r="AP12">
        <v>40.55</v>
      </c>
      <c r="AQ12">
        <v>42.32</v>
      </c>
      <c r="AR12">
        <v>41.8</v>
      </c>
      <c r="AS12">
        <v>40.48</v>
      </c>
      <c r="AT12">
        <v>40.04</v>
      </c>
      <c r="AU12">
        <v>40.11</v>
      </c>
      <c r="AV12">
        <v>39.95</v>
      </c>
      <c r="AW12">
        <v>41.62</v>
      </c>
      <c r="AX12">
        <v>40.7</v>
      </c>
      <c r="AY12">
        <v>39.9</v>
      </c>
      <c r="AZ12">
        <v>37.3</v>
      </c>
      <c r="BA12">
        <v>41.7</v>
      </c>
      <c r="BB12">
        <v>42.01</v>
      </c>
      <c r="BC12">
        <v>41.05</v>
      </c>
      <c r="BD12">
        <v>38.91</v>
      </c>
      <c r="BE12">
        <v>37.51</v>
      </c>
      <c r="BF12">
        <v>38.02</v>
      </c>
      <c r="BG12">
        <v>37.65</v>
      </c>
      <c r="BH12">
        <v>36.81</v>
      </c>
      <c r="BI12">
        <v>36.71</v>
      </c>
      <c r="BJ12">
        <v>36.85</v>
      </c>
      <c r="BK12">
        <v>36.73</v>
      </c>
      <c r="BL12">
        <v>41.8</v>
      </c>
      <c r="BM12">
        <v>41.22</v>
      </c>
      <c r="BN12">
        <v>41.47</v>
      </c>
      <c r="BO12">
        <v>42.17</v>
      </c>
      <c r="BP12">
        <v>42.19</v>
      </c>
      <c r="BQ12">
        <v>43.3</v>
      </c>
      <c r="BR12">
        <v>44.54</v>
      </c>
      <c r="BS12">
        <v>44</v>
      </c>
      <c r="BT12">
        <v>43.85</v>
      </c>
      <c r="BU12">
        <v>42.88</v>
      </c>
      <c r="BV12">
        <v>42.42</v>
      </c>
      <c r="BW12">
        <v>43.24</v>
      </c>
      <c r="BX12">
        <v>41.93</v>
      </c>
      <c r="BY12">
        <v>40.41</v>
      </c>
      <c r="BZ12">
        <v>42.29</v>
      </c>
      <c r="CA12">
        <v>41.33</v>
      </c>
      <c r="CB12">
        <v>41.05</v>
      </c>
      <c r="CC12">
        <v>43.55</v>
      </c>
      <c r="CD12">
        <v>42.35</v>
      </c>
      <c r="CE12">
        <v>43.04</v>
      </c>
      <c r="CF12">
        <v>43.88</v>
      </c>
      <c r="CG12">
        <v>43.13</v>
      </c>
      <c r="CH12">
        <v>42.73</v>
      </c>
      <c r="CI12">
        <v>41.69</v>
      </c>
      <c r="CJ12">
        <v>43.5</v>
      </c>
      <c r="CK12">
        <v>42.89</v>
      </c>
      <c r="CL12">
        <v>42.35</v>
      </c>
      <c r="CM12">
        <v>41.28</v>
      </c>
      <c r="CN12">
        <v>41.22</v>
      </c>
      <c r="CO12">
        <v>41.62</v>
      </c>
      <c r="CP12">
        <v>42.59</v>
      </c>
      <c r="CQ12">
        <v>43.64</v>
      </c>
      <c r="CR12">
        <v>43.61</v>
      </c>
      <c r="CS12">
        <v>43.32</v>
      </c>
    </row>
    <row r="13" spans="1:97">
      <c r="A13" s="9">
        <v>46246</v>
      </c>
      <c r="B13">
        <v>42.48</v>
      </c>
      <c r="C13">
        <v>42.92</v>
      </c>
      <c r="D13">
        <v>42.34</v>
      </c>
      <c r="E13">
        <v>41.18</v>
      </c>
      <c r="F13">
        <v>41.33</v>
      </c>
      <c r="G13">
        <v>40.43</v>
      </c>
      <c r="H13">
        <v>41.27</v>
      </c>
      <c r="I13">
        <v>41.07</v>
      </c>
      <c r="J13">
        <v>41.62</v>
      </c>
      <c r="K13">
        <v>41.49</v>
      </c>
      <c r="L13">
        <v>41.33</v>
      </c>
      <c r="M13">
        <v>41.43</v>
      </c>
      <c r="N13">
        <v>40.99</v>
      </c>
      <c r="O13">
        <v>40.79</v>
      </c>
      <c r="P13">
        <v>40.72</v>
      </c>
      <c r="Q13">
        <v>40.17</v>
      </c>
      <c r="R13">
        <v>40.73</v>
      </c>
      <c r="S13">
        <v>40.6</v>
      </c>
      <c r="T13">
        <v>39.89</v>
      </c>
      <c r="U13">
        <v>39.49</v>
      </c>
      <c r="V13">
        <v>41.08</v>
      </c>
      <c r="W13">
        <v>41.83</v>
      </c>
      <c r="X13">
        <v>43.12</v>
      </c>
      <c r="Y13">
        <v>43.37</v>
      </c>
      <c r="Z13">
        <v>42.57</v>
      </c>
      <c r="AA13">
        <v>42.72</v>
      </c>
      <c r="AB13">
        <v>42.16</v>
      </c>
      <c r="AC13">
        <v>42.2</v>
      </c>
      <c r="AD13">
        <v>43.37</v>
      </c>
      <c r="AE13">
        <v>42.07</v>
      </c>
      <c r="AF13">
        <v>41.96</v>
      </c>
      <c r="AG13">
        <v>42.69</v>
      </c>
      <c r="AH13">
        <v>41.82</v>
      </c>
      <c r="AI13">
        <v>43.74</v>
      </c>
      <c r="AJ13">
        <v>44.65</v>
      </c>
      <c r="AK13">
        <v>45.04</v>
      </c>
      <c r="AL13">
        <v>45.88</v>
      </c>
      <c r="AM13">
        <v>45.25</v>
      </c>
      <c r="AN13">
        <v>44.91</v>
      </c>
      <c r="AO13">
        <v>45.83</v>
      </c>
      <c r="AP13">
        <v>45.2</v>
      </c>
      <c r="AQ13">
        <v>44.35</v>
      </c>
      <c r="AR13">
        <v>44.13</v>
      </c>
      <c r="AS13">
        <v>44.89</v>
      </c>
      <c r="AT13">
        <v>43.4</v>
      </c>
      <c r="AU13">
        <v>43.64</v>
      </c>
      <c r="AV13">
        <v>44.53</v>
      </c>
      <c r="AW13">
        <v>44.28</v>
      </c>
      <c r="AX13">
        <v>45.38</v>
      </c>
      <c r="AY13">
        <v>43.64</v>
      </c>
      <c r="AZ13">
        <v>42.24</v>
      </c>
      <c r="BA13">
        <v>41.54</v>
      </c>
      <c r="BB13">
        <v>41.64</v>
      </c>
      <c r="BC13">
        <v>42.81</v>
      </c>
      <c r="BD13">
        <v>42.97</v>
      </c>
      <c r="BE13">
        <v>43.05</v>
      </c>
      <c r="BF13">
        <v>44.13</v>
      </c>
      <c r="BG13">
        <v>42.45</v>
      </c>
      <c r="BH13">
        <v>40.91</v>
      </c>
      <c r="BI13">
        <v>42.54</v>
      </c>
      <c r="BJ13">
        <v>42.95</v>
      </c>
      <c r="BK13">
        <v>44.97</v>
      </c>
      <c r="BL13">
        <v>45.31</v>
      </c>
      <c r="BM13">
        <v>43.55</v>
      </c>
      <c r="BN13">
        <v>42.47</v>
      </c>
      <c r="BO13">
        <v>42.31</v>
      </c>
      <c r="BP13">
        <v>43.24</v>
      </c>
      <c r="BQ13">
        <v>42.41</v>
      </c>
      <c r="BR13">
        <v>41.45</v>
      </c>
      <c r="BS13">
        <v>41.78</v>
      </c>
      <c r="BT13">
        <v>41.89</v>
      </c>
      <c r="BU13">
        <v>41.08</v>
      </c>
      <c r="BV13">
        <v>42.21</v>
      </c>
      <c r="BW13">
        <v>41.99</v>
      </c>
      <c r="BX13">
        <v>45.9</v>
      </c>
      <c r="BY13">
        <v>46.83</v>
      </c>
      <c r="BZ13">
        <v>50.65</v>
      </c>
      <c r="CA13">
        <v>51.95</v>
      </c>
      <c r="CB13">
        <v>48.93</v>
      </c>
      <c r="CC13">
        <v>41.39</v>
      </c>
      <c r="CD13">
        <v>43.26</v>
      </c>
      <c r="CE13">
        <v>41.62</v>
      </c>
      <c r="CF13">
        <v>42.09</v>
      </c>
      <c r="CG13">
        <v>41.03</v>
      </c>
      <c r="CH13">
        <v>40.37</v>
      </c>
      <c r="CI13">
        <v>40.81</v>
      </c>
      <c r="CJ13">
        <v>41.49</v>
      </c>
      <c r="CK13">
        <v>42.14</v>
      </c>
      <c r="CL13">
        <v>43.16</v>
      </c>
      <c r="CM13">
        <v>42.57</v>
      </c>
      <c r="CN13">
        <v>42.92</v>
      </c>
      <c r="CO13">
        <v>41.78</v>
      </c>
      <c r="CP13">
        <v>40.77</v>
      </c>
      <c r="CQ13">
        <v>41.05</v>
      </c>
      <c r="CR13">
        <v>40.57</v>
      </c>
      <c r="CS13">
        <v>42.25</v>
      </c>
    </row>
    <row r="14" spans="1:97">
      <c r="A14" s="9">
        <v>46247</v>
      </c>
      <c r="B14">
        <v>41.58</v>
      </c>
      <c r="C14">
        <v>42.03</v>
      </c>
      <c r="D14">
        <v>41.03</v>
      </c>
      <c r="E14">
        <v>41.45</v>
      </c>
      <c r="F14">
        <v>42.71</v>
      </c>
      <c r="G14">
        <v>43.84</v>
      </c>
      <c r="H14">
        <v>41.67</v>
      </c>
      <c r="I14">
        <v>42.43</v>
      </c>
      <c r="J14">
        <v>40.97</v>
      </c>
      <c r="K14">
        <v>41.64</v>
      </c>
      <c r="L14">
        <v>42.21</v>
      </c>
      <c r="M14">
        <v>41.6</v>
      </c>
      <c r="N14">
        <v>41.55</v>
      </c>
      <c r="O14">
        <v>42.49</v>
      </c>
      <c r="P14">
        <v>42.96</v>
      </c>
      <c r="Q14">
        <v>42.56</v>
      </c>
      <c r="R14">
        <v>42.11</v>
      </c>
      <c r="S14">
        <v>40.23</v>
      </c>
      <c r="T14">
        <v>43.35</v>
      </c>
      <c r="U14">
        <v>42.4</v>
      </c>
      <c r="V14">
        <v>42.9</v>
      </c>
      <c r="W14">
        <v>41.72</v>
      </c>
      <c r="X14">
        <v>41.44</v>
      </c>
      <c r="Y14">
        <v>42.47</v>
      </c>
      <c r="Z14">
        <v>42.99</v>
      </c>
      <c r="AA14">
        <v>42.16</v>
      </c>
      <c r="AB14">
        <v>42.56</v>
      </c>
      <c r="AC14">
        <v>42.44</v>
      </c>
      <c r="AD14">
        <v>44.28</v>
      </c>
      <c r="AE14">
        <v>44.54</v>
      </c>
      <c r="AF14">
        <v>43.13</v>
      </c>
      <c r="AG14">
        <v>43.1</v>
      </c>
      <c r="AH14">
        <v>42.71</v>
      </c>
      <c r="AI14">
        <v>43.51</v>
      </c>
      <c r="AJ14">
        <v>44.51</v>
      </c>
      <c r="AK14">
        <v>44.26</v>
      </c>
      <c r="AL14">
        <v>44.44</v>
      </c>
      <c r="AM14">
        <v>44.43</v>
      </c>
      <c r="AN14">
        <v>44.39</v>
      </c>
      <c r="AO14">
        <v>44.01</v>
      </c>
      <c r="AP14">
        <v>43.98</v>
      </c>
      <c r="AQ14">
        <v>43.86</v>
      </c>
      <c r="AR14">
        <v>44.62</v>
      </c>
      <c r="AS14">
        <v>44.25</v>
      </c>
      <c r="AT14">
        <v>42.34</v>
      </c>
      <c r="AU14">
        <v>41.57</v>
      </c>
      <c r="AV14">
        <v>40.88</v>
      </c>
      <c r="AW14">
        <v>42.35</v>
      </c>
      <c r="AX14">
        <v>40.43</v>
      </c>
      <c r="AY14">
        <v>40.66</v>
      </c>
      <c r="AZ14">
        <v>40.24</v>
      </c>
      <c r="BA14">
        <v>40.08</v>
      </c>
      <c r="BB14">
        <v>41.84</v>
      </c>
      <c r="BC14">
        <v>42.33</v>
      </c>
      <c r="BD14">
        <v>42.26</v>
      </c>
      <c r="BE14">
        <v>41.54</v>
      </c>
      <c r="BF14">
        <v>40.36</v>
      </c>
      <c r="BG14">
        <v>41.87</v>
      </c>
      <c r="BH14">
        <v>40.07</v>
      </c>
      <c r="BI14">
        <v>39.87</v>
      </c>
      <c r="BJ14">
        <v>42.86</v>
      </c>
      <c r="BK14">
        <v>43.84</v>
      </c>
      <c r="BL14">
        <v>44.78</v>
      </c>
      <c r="BM14">
        <v>44.57</v>
      </c>
      <c r="BN14">
        <v>43.79</v>
      </c>
      <c r="BO14">
        <v>44.57</v>
      </c>
      <c r="BP14">
        <v>44.31</v>
      </c>
      <c r="BQ14">
        <v>45.1</v>
      </c>
      <c r="BR14">
        <v>44.02</v>
      </c>
      <c r="BS14">
        <v>43.68</v>
      </c>
      <c r="BT14">
        <v>43.67</v>
      </c>
      <c r="BU14">
        <v>42.52</v>
      </c>
      <c r="BV14">
        <v>43.22</v>
      </c>
      <c r="BW14">
        <v>41.6</v>
      </c>
      <c r="BX14">
        <v>42.26</v>
      </c>
      <c r="BY14">
        <v>40.49</v>
      </c>
      <c r="BZ14">
        <v>41.18</v>
      </c>
      <c r="CA14">
        <v>42.57</v>
      </c>
      <c r="CB14">
        <v>42.5</v>
      </c>
      <c r="CC14">
        <v>42.35</v>
      </c>
      <c r="CD14">
        <v>42.34</v>
      </c>
      <c r="CE14">
        <v>43.87</v>
      </c>
      <c r="CF14">
        <v>42.98</v>
      </c>
      <c r="CG14">
        <v>42.79</v>
      </c>
      <c r="CH14">
        <v>42.9</v>
      </c>
      <c r="CI14">
        <v>43.14</v>
      </c>
      <c r="CJ14">
        <v>44.04</v>
      </c>
      <c r="CK14">
        <v>42.89</v>
      </c>
      <c r="CL14">
        <v>44.3</v>
      </c>
      <c r="CM14">
        <v>44.54</v>
      </c>
      <c r="CN14">
        <v>43.6</v>
      </c>
      <c r="CO14">
        <v>44.18</v>
      </c>
      <c r="CP14">
        <v>43.51</v>
      </c>
      <c r="CQ14">
        <v>41.77</v>
      </c>
      <c r="CR14">
        <v>41.45</v>
      </c>
      <c r="CS14">
        <v>41.87</v>
      </c>
    </row>
    <row r="15" spans="1:97">
      <c r="A15" s="9">
        <v>46248</v>
      </c>
      <c r="B15">
        <v>41.68</v>
      </c>
      <c r="C15">
        <v>42.7</v>
      </c>
      <c r="D15">
        <v>42.27</v>
      </c>
      <c r="E15">
        <v>41.86</v>
      </c>
      <c r="F15">
        <v>42.09</v>
      </c>
      <c r="G15">
        <v>42.65</v>
      </c>
      <c r="H15">
        <v>42.43</v>
      </c>
      <c r="I15">
        <v>41.49</v>
      </c>
      <c r="J15">
        <v>42.01</v>
      </c>
      <c r="K15">
        <v>42.12</v>
      </c>
      <c r="L15">
        <v>42.22</v>
      </c>
      <c r="M15">
        <v>42.1</v>
      </c>
      <c r="N15">
        <v>42.67</v>
      </c>
      <c r="O15">
        <v>41.94</v>
      </c>
      <c r="P15">
        <v>42.39</v>
      </c>
      <c r="Q15">
        <v>43</v>
      </c>
      <c r="R15">
        <v>42.68</v>
      </c>
      <c r="S15">
        <v>42.46</v>
      </c>
      <c r="T15">
        <v>43.07</v>
      </c>
      <c r="U15">
        <v>43.47</v>
      </c>
      <c r="V15">
        <v>42.76</v>
      </c>
      <c r="W15">
        <v>42.96</v>
      </c>
      <c r="X15">
        <v>42.36</v>
      </c>
      <c r="Y15">
        <v>42.68</v>
      </c>
      <c r="Z15">
        <v>42.69</v>
      </c>
      <c r="AA15">
        <v>43.63</v>
      </c>
      <c r="AB15">
        <v>44.35</v>
      </c>
      <c r="AC15">
        <v>42.71</v>
      </c>
      <c r="AD15">
        <v>43.31</v>
      </c>
      <c r="AE15">
        <v>43.53</v>
      </c>
      <c r="AF15">
        <v>43.65</v>
      </c>
      <c r="AG15">
        <v>43.88</v>
      </c>
      <c r="AH15">
        <v>41.93</v>
      </c>
      <c r="AI15">
        <v>43.06</v>
      </c>
      <c r="AJ15">
        <v>43.75</v>
      </c>
      <c r="AK15">
        <v>43.12</v>
      </c>
      <c r="AL15">
        <v>43.44</v>
      </c>
      <c r="AM15">
        <v>43.44</v>
      </c>
      <c r="AN15">
        <v>43.26</v>
      </c>
      <c r="AO15">
        <v>44.38</v>
      </c>
      <c r="AP15">
        <v>44.39</v>
      </c>
      <c r="AQ15">
        <v>44.65</v>
      </c>
      <c r="AR15">
        <v>43.37</v>
      </c>
      <c r="AS15">
        <v>44.63</v>
      </c>
      <c r="AT15">
        <v>44.39</v>
      </c>
      <c r="AU15">
        <v>43.81</v>
      </c>
      <c r="AV15">
        <v>41.75</v>
      </c>
      <c r="AW15">
        <v>42.48</v>
      </c>
      <c r="AX15">
        <v>41.91</v>
      </c>
      <c r="AY15">
        <v>43.02</v>
      </c>
      <c r="AZ15">
        <v>42.2</v>
      </c>
      <c r="BA15">
        <v>42.74</v>
      </c>
      <c r="BB15">
        <v>41.92</v>
      </c>
      <c r="BC15">
        <v>42.99</v>
      </c>
      <c r="BD15">
        <v>43.78</v>
      </c>
      <c r="BE15">
        <v>43.84</v>
      </c>
      <c r="BF15">
        <v>42.33</v>
      </c>
      <c r="BG15">
        <v>41.09</v>
      </c>
      <c r="BH15">
        <v>40.03</v>
      </c>
      <c r="BI15">
        <v>43.36</v>
      </c>
      <c r="BJ15">
        <v>44.25</v>
      </c>
      <c r="BK15">
        <v>42.96</v>
      </c>
      <c r="BL15">
        <v>43.24</v>
      </c>
      <c r="BM15">
        <v>42.59</v>
      </c>
      <c r="BN15">
        <v>43.35</v>
      </c>
      <c r="BO15">
        <v>43.77</v>
      </c>
      <c r="BP15">
        <v>42.62</v>
      </c>
      <c r="BQ15">
        <v>43.47</v>
      </c>
      <c r="BR15">
        <v>44.35</v>
      </c>
      <c r="BS15">
        <v>43.86</v>
      </c>
      <c r="BT15">
        <v>43.15</v>
      </c>
      <c r="BU15">
        <v>42.53</v>
      </c>
      <c r="BV15">
        <v>42.01</v>
      </c>
      <c r="BW15">
        <v>42.55</v>
      </c>
      <c r="BX15">
        <v>43.09</v>
      </c>
      <c r="BY15">
        <v>42.66</v>
      </c>
      <c r="BZ15">
        <v>42.49</v>
      </c>
      <c r="CA15">
        <v>43.36</v>
      </c>
      <c r="CB15">
        <v>42.87</v>
      </c>
      <c r="CC15">
        <v>43.07</v>
      </c>
      <c r="CD15">
        <v>43.59</v>
      </c>
      <c r="CE15">
        <v>42.61</v>
      </c>
      <c r="CF15">
        <v>42.4</v>
      </c>
      <c r="CG15">
        <v>43.22</v>
      </c>
      <c r="CH15">
        <v>42.1</v>
      </c>
      <c r="CI15">
        <v>43.17</v>
      </c>
      <c r="CJ15">
        <v>41.1</v>
      </c>
      <c r="CK15">
        <v>42.25</v>
      </c>
      <c r="CL15">
        <v>43.13</v>
      </c>
      <c r="CM15">
        <v>43.88</v>
      </c>
      <c r="CN15">
        <v>43.66</v>
      </c>
      <c r="CO15">
        <v>44.06</v>
      </c>
      <c r="CP15">
        <v>43.04</v>
      </c>
      <c r="CQ15">
        <v>41.48</v>
      </c>
      <c r="CR15">
        <v>42.19</v>
      </c>
      <c r="CS15">
        <v>42.51</v>
      </c>
    </row>
    <row r="16" spans="1:97">
      <c r="A16" s="9">
        <v>46249</v>
      </c>
      <c r="B16">
        <v>41.8</v>
      </c>
      <c r="C16">
        <v>42.61</v>
      </c>
      <c r="D16">
        <v>42.16</v>
      </c>
      <c r="E16">
        <v>42.14</v>
      </c>
      <c r="F16">
        <v>43.81</v>
      </c>
      <c r="G16">
        <v>43.05</v>
      </c>
      <c r="H16">
        <v>42.46</v>
      </c>
      <c r="I16">
        <v>43.27</v>
      </c>
      <c r="J16">
        <v>44.11</v>
      </c>
      <c r="K16">
        <v>43.6</v>
      </c>
      <c r="L16">
        <v>41.97</v>
      </c>
      <c r="M16">
        <v>42.33</v>
      </c>
      <c r="N16">
        <v>42.43</v>
      </c>
      <c r="O16">
        <v>43.28</v>
      </c>
      <c r="P16">
        <v>44.04</v>
      </c>
      <c r="Q16">
        <v>43.15</v>
      </c>
      <c r="R16">
        <v>42.73</v>
      </c>
      <c r="S16">
        <v>42.5</v>
      </c>
      <c r="T16">
        <v>43.95</v>
      </c>
      <c r="U16">
        <v>44.1</v>
      </c>
      <c r="V16">
        <v>44.7</v>
      </c>
      <c r="W16">
        <v>43.33</v>
      </c>
      <c r="X16">
        <v>44.27</v>
      </c>
      <c r="Y16">
        <v>43.86</v>
      </c>
      <c r="Z16">
        <v>44.15</v>
      </c>
      <c r="AA16">
        <v>43.21</v>
      </c>
      <c r="AB16">
        <v>42.61</v>
      </c>
      <c r="AC16">
        <v>43.19</v>
      </c>
      <c r="AD16">
        <v>43.13</v>
      </c>
      <c r="AE16">
        <v>44.17</v>
      </c>
      <c r="AF16">
        <v>44.2</v>
      </c>
      <c r="AG16">
        <v>43.54</v>
      </c>
      <c r="AH16">
        <v>42.57</v>
      </c>
      <c r="AI16">
        <v>42.88</v>
      </c>
      <c r="AJ16">
        <v>42.52</v>
      </c>
      <c r="AK16">
        <v>42.69</v>
      </c>
      <c r="AL16">
        <v>43.35</v>
      </c>
      <c r="AM16">
        <v>43.69</v>
      </c>
      <c r="AN16">
        <v>44.28</v>
      </c>
      <c r="AO16">
        <v>44.1</v>
      </c>
      <c r="AP16">
        <v>44.08</v>
      </c>
      <c r="AQ16">
        <v>43.3</v>
      </c>
      <c r="AR16">
        <v>44.33</v>
      </c>
      <c r="AS16">
        <v>44.76</v>
      </c>
      <c r="AT16">
        <v>44.22</v>
      </c>
      <c r="AU16">
        <v>43.12</v>
      </c>
      <c r="AV16">
        <v>41.99</v>
      </c>
      <c r="AW16">
        <v>41.35</v>
      </c>
      <c r="AX16">
        <v>42.18</v>
      </c>
      <c r="AY16">
        <v>41.82</v>
      </c>
      <c r="AZ16">
        <v>42.09</v>
      </c>
      <c r="BA16">
        <v>42.31</v>
      </c>
      <c r="BB16">
        <v>40.68</v>
      </c>
      <c r="BC16">
        <v>42.48</v>
      </c>
      <c r="BD16">
        <v>42.76</v>
      </c>
      <c r="BE16">
        <v>42.75</v>
      </c>
      <c r="BF16">
        <v>41.97</v>
      </c>
      <c r="BG16">
        <v>40.76</v>
      </c>
      <c r="BH16">
        <v>41.76</v>
      </c>
      <c r="BI16">
        <v>41.08</v>
      </c>
      <c r="BJ16">
        <v>41.41</v>
      </c>
      <c r="BK16">
        <v>42.28</v>
      </c>
      <c r="BL16">
        <v>42.83</v>
      </c>
      <c r="BM16">
        <v>43.28</v>
      </c>
      <c r="BN16">
        <v>41.67</v>
      </c>
      <c r="BO16">
        <v>42.14</v>
      </c>
      <c r="BP16">
        <v>42.68</v>
      </c>
      <c r="BQ16">
        <v>43.69</v>
      </c>
      <c r="BR16">
        <v>43.32</v>
      </c>
      <c r="BS16">
        <v>42.85</v>
      </c>
      <c r="BT16">
        <v>43.01</v>
      </c>
      <c r="BU16">
        <v>41.99</v>
      </c>
      <c r="BV16">
        <v>41.52</v>
      </c>
      <c r="BW16">
        <v>42.16</v>
      </c>
      <c r="BX16">
        <v>42.64</v>
      </c>
      <c r="BY16">
        <v>40.97</v>
      </c>
      <c r="BZ16">
        <v>41.07</v>
      </c>
      <c r="CA16">
        <v>42.24</v>
      </c>
      <c r="CB16">
        <v>42.95</v>
      </c>
      <c r="CC16">
        <v>42.23</v>
      </c>
      <c r="CD16">
        <v>41.37</v>
      </c>
      <c r="CE16">
        <v>40.9</v>
      </c>
      <c r="CF16">
        <v>39.77</v>
      </c>
      <c r="CG16">
        <v>40.67</v>
      </c>
      <c r="CH16">
        <v>39.49</v>
      </c>
      <c r="CI16">
        <v>40.03</v>
      </c>
      <c r="CJ16">
        <v>39.69</v>
      </c>
      <c r="CK16">
        <v>40.07</v>
      </c>
      <c r="CL16">
        <v>41.05</v>
      </c>
      <c r="CM16">
        <v>40.77</v>
      </c>
      <c r="CN16">
        <v>40.88</v>
      </c>
      <c r="CO16">
        <v>40.65</v>
      </c>
      <c r="CP16">
        <v>39.48</v>
      </c>
      <c r="CQ16">
        <v>39.59</v>
      </c>
      <c r="CR16">
        <v>39.46</v>
      </c>
      <c r="CS16">
        <v>40.01</v>
      </c>
    </row>
    <row r="17" spans="1:97">
      <c r="A17" s="9">
        <v>46250</v>
      </c>
      <c r="B17">
        <v>39.32</v>
      </c>
      <c r="C17">
        <v>39.52</v>
      </c>
      <c r="D17">
        <v>39.81</v>
      </c>
      <c r="E17">
        <v>39.02</v>
      </c>
      <c r="F17">
        <v>38.79</v>
      </c>
      <c r="G17">
        <v>39.91</v>
      </c>
      <c r="H17">
        <v>39.84</v>
      </c>
      <c r="I17">
        <v>40.13</v>
      </c>
      <c r="J17">
        <v>39.27</v>
      </c>
      <c r="K17">
        <v>39.19</v>
      </c>
      <c r="L17">
        <v>40.72</v>
      </c>
      <c r="M17">
        <v>39.65</v>
      </c>
      <c r="N17">
        <v>39.99</v>
      </c>
      <c r="O17">
        <v>39.02</v>
      </c>
      <c r="P17">
        <v>40.19</v>
      </c>
      <c r="Q17">
        <v>40.54</v>
      </c>
      <c r="R17">
        <v>39.74</v>
      </c>
      <c r="S17">
        <v>40.94</v>
      </c>
      <c r="T17">
        <v>41.23</v>
      </c>
      <c r="U17">
        <v>40.38</v>
      </c>
      <c r="V17">
        <v>40.26</v>
      </c>
      <c r="W17">
        <v>41.21</v>
      </c>
      <c r="X17">
        <v>41.53</v>
      </c>
      <c r="Y17">
        <v>40.47</v>
      </c>
      <c r="Z17">
        <v>41.6</v>
      </c>
      <c r="AA17">
        <v>40.29</v>
      </c>
      <c r="AB17">
        <v>40.92</v>
      </c>
      <c r="AC17">
        <v>42.13</v>
      </c>
      <c r="AD17">
        <v>40.99</v>
      </c>
      <c r="AE17">
        <v>43.66</v>
      </c>
      <c r="AF17">
        <v>43.35</v>
      </c>
      <c r="AG17">
        <v>43.44</v>
      </c>
      <c r="AH17">
        <v>43.74</v>
      </c>
      <c r="AI17">
        <v>43.32</v>
      </c>
      <c r="AJ17">
        <v>44.26</v>
      </c>
      <c r="AK17">
        <v>43.67</v>
      </c>
      <c r="AL17">
        <v>43.06</v>
      </c>
      <c r="AM17">
        <v>43.31</v>
      </c>
      <c r="AN17">
        <v>44.02</v>
      </c>
      <c r="AO17">
        <v>42.82</v>
      </c>
      <c r="AP17">
        <v>42.8</v>
      </c>
      <c r="AQ17">
        <v>43.63</v>
      </c>
      <c r="AR17">
        <v>43.53</v>
      </c>
      <c r="AS17">
        <v>42.87</v>
      </c>
      <c r="AT17">
        <v>43.88</v>
      </c>
      <c r="AU17">
        <v>43.42</v>
      </c>
      <c r="AV17">
        <v>43.51</v>
      </c>
      <c r="AW17">
        <v>42.43</v>
      </c>
      <c r="AX17">
        <v>41.71</v>
      </c>
      <c r="AY17">
        <v>42.28</v>
      </c>
      <c r="AZ17">
        <v>42.44</v>
      </c>
      <c r="BA17">
        <v>42.5</v>
      </c>
      <c r="BB17">
        <v>42.74</v>
      </c>
      <c r="BC17">
        <v>43.65</v>
      </c>
      <c r="BD17">
        <v>44.01</v>
      </c>
      <c r="BE17">
        <v>43.91</v>
      </c>
      <c r="BF17">
        <v>42.83</v>
      </c>
      <c r="BG17">
        <v>42.31</v>
      </c>
      <c r="BH17">
        <v>41.62</v>
      </c>
      <c r="BI17">
        <v>41.88</v>
      </c>
      <c r="BJ17">
        <v>41.5</v>
      </c>
      <c r="BK17">
        <v>43.26</v>
      </c>
      <c r="BL17">
        <v>42.38</v>
      </c>
      <c r="BM17">
        <v>42.67</v>
      </c>
      <c r="BN17">
        <v>42.52</v>
      </c>
      <c r="BO17">
        <v>44.44</v>
      </c>
      <c r="BP17">
        <v>43.25</v>
      </c>
      <c r="BQ17">
        <v>42.73</v>
      </c>
      <c r="BR17">
        <v>42.51</v>
      </c>
      <c r="BS17">
        <v>41.88</v>
      </c>
      <c r="BT17">
        <v>41.87</v>
      </c>
      <c r="BU17">
        <v>40.43</v>
      </c>
      <c r="BV17">
        <v>43.42</v>
      </c>
      <c r="BW17">
        <v>41.78</v>
      </c>
      <c r="BX17">
        <v>42.46</v>
      </c>
      <c r="BY17">
        <v>40.21</v>
      </c>
      <c r="BZ17">
        <v>42.89</v>
      </c>
      <c r="CA17">
        <v>43.71</v>
      </c>
      <c r="CB17">
        <v>43.93</v>
      </c>
      <c r="CC17">
        <v>42.04</v>
      </c>
      <c r="CD17">
        <v>41.95</v>
      </c>
      <c r="CE17">
        <v>41.77</v>
      </c>
      <c r="CF17">
        <v>40.87</v>
      </c>
      <c r="CG17">
        <v>41.48</v>
      </c>
      <c r="CH17">
        <v>41.58</v>
      </c>
      <c r="CI17">
        <v>41.22</v>
      </c>
      <c r="CJ17">
        <v>40.85</v>
      </c>
      <c r="CK17">
        <v>39.44</v>
      </c>
      <c r="CL17">
        <v>40.97</v>
      </c>
      <c r="CM17">
        <v>42.45</v>
      </c>
      <c r="CN17">
        <v>41.91</v>
      </c>
      <c r="CO17">
        <v>42.14</v>
      </c>
      <c r="CP17">
        <v>42.32</v>
      </c>
      <c r="CQ17">
        <v>42.01</v>
      </c>
      <c r="CR17">
        <v>38.17</v>
      </c>
      <c r="CS17">
        <v>38.97</v>
      </c>
    </row>
    <row r="18" spans="1:97">
      <c r="A18" s="9">
        <v>46251</v>
      </c>
      <c r="B18">
        <v>38.64</v>
      </c>
      <c r="C18">
        <v>37.98</v>
      </c>
      <c r="D18">
        <v>39.67</v>
      </c>
      <c r="E18">
        <v>37.32</v>
      </c>
      <c r="F18">
        <v>38.51</v>
      </c>
      <c r="G18">
        <v>38.97</v>
      </c>
      <c r="H18">
        <v>39.78</v>
      </c>
      <c r="I18">
        <v>40.06</v>
      </c>
      <c r="J18">
        <v>39.93</v>
      </c>
      <c r="K18">
        <v>40.25</v>
      </c>
      <c r="L18">
        <v>39.46</v>
      </c>
      <c r="M18">
        <v>38.05</v>
      </c>
      <c r="N18">
        <v>37.38</v>
      </c>
      <c r="O18">
        <v>37.09</v>
      </c>
      <c r="P18">
        <v>38.65</v>
      </c>
      <c r="Q18">
        <v>37.96</v>
      </c>
      <c r="R18">
        <v>40.72</v>
      </c>
      <c r="S18">
        <v>39.52</v>
      </c>
      <c r="T18">
        <v>40.47</v>
      </c>
      <c r="U18">
        <v>40.26</v>
      </c>
      <c r="V18">
        <v>39.57</v>
      </c>
      <c r="W18">
        <v>38.73</v>
      </c>
      <c r="X18">
        <v>39.99</v>
      </c>
      <c r="Y18">
        <v>40.18</v>
      </c>
      <c r="Z18">
        <v>40.44</v>
      </c>
      <c r="AA18">
        <v>41.36</v>
      </c>
      <c r="AB18">
        <v>41.89</v>
      </c>
      <c r="AC18">
        <v>41.38</v>
      </c>
      <c r="AD18">
        <v>41.71</v>
      </c>
      <c r="AE18">
        <v>42.53</v>
      </c>
      <c r="AF18">
        <v>41.57</v>
      </c>
      <c r="AG18">
        <v>41.05</v>
      </c>
      <c r="AH18">
        <v>40.54</v>
      </c>
      <c r="AI18">
        <v>41.59</v>
      </c>
      <c r="AJ18">
        <v>41.25</v>
      </c>
      <c r="AK18">
        <v>41.49</v>
      </c>
      <c r="AL18">
        <v>42.13</v>
      </c>
      <c r="AM18">
        <v>40.56</v>
      </c>
      <c r="AN18">
        <v>42.41</v>
      </c>
      <c r="AO18">
        <v>42.23</v>
      </c>
      <c r="AP18">
        <v>42.9</v>
      </c>
      <c r="AQ18">
        <v>43.02</v>
      </c>
      <c r="AR18">
        <v>42.7</v>
      </c>
      <c r="AS18">
        <v>43.16</v>
      </c>
      <c r="AT18">
        <v>43.3</v>
      </c>
      <c r="AU18">
        <v>42.54</v>
      </c>
      <c r="AV18">
        <v>40.86</v>
      </c>
      <c r="AW18">
        <v>42.77</v>
      </c>
      <c r="AX18">
        <v>42.17</v>
      </c>
      <c r="AY18">
        <v>43.25</v>
      </c>
      <c r="AZ18">
        <v>43.44</v>
      </c>
      <c r="BA18">
        <v>42.94</v>
      </c>
      <c r="BB18">
        <v>42.7</v>
      </c>
      <c r="BC18">
        <v>44.19</v>
      </c>
      <c r="BD18">
        <v>44.05</v>
      </c>
      <c r="BE18">
        <v>44.23</v>
      </c>
      <c r="BF18">
        <v>42.82</v>
      </c>
      <c r="BG18">
        <v>43.74</v>
      </c>
      <c r="BH18">
        <v>42.94</v>
      </c>
      <c r="BI18">
        <v>42.94</v>
      </c>
      <c r="BJ18">
        <v>43.24</v>
      </c>
      <c r="BK18">
        <v>42.1</v>
      </c>
      <c r="BL18">
        <v>43.81</v>
      </c>
      <c r="BM18">
        <v>43.43</v>
      </c>
      <c r="BN18">
        <v>43.34</v>
      </c>
      <c r="BO18">
        <v>42.58</v>
      </c>
      <c r="BP18">
        <v>43.47</v>
      </c>
      <c r="BQ18">
        <v>43.82</v>
      </c>
      <c r="BR18">
        <v>42.17</v>
      </c>
      <c r="BS18">
        <v>41.2</v>
      </c>
      <c r="BT18">
        <v>41.13</v>
      </c>
      <c r="BU18">
        <v>40.08</v>
      </c>
      <c r="BV18">
        <v>41.14</v>
      </c>
      <c r="BW18">
        <v>41.67</v>
      </c>
      <c r="BX18">
        <v>41.78</v>
      </c>
      <c r="BY18">
        <v>41.97</v>
      </c>
      <c r="BZ18">
        <v>39.88</v>
      </c>
      <c r="CA18">
        <v>38.93</v>
      </c>
      <c r="CB18">
        <v>39.37</v>
      </c>
      <c r="CC18">
        <v>39.81</v>
      </c>
      <c r="CD18">
        <v>39.29</v>
      </c>
      <c r="CE18">
        <v>39.22</v>
      </c>
      <c r="CF18">
        <v>38.05</v>
      </c>
      <c r="CG18">
        <v>38.05</v>
      </c>
      <c r="CH18">
        <v>38.12</v>
      </c>
      <c r="CI18">
        <v>38.81</v>
      </c>
      <c r="CJ18">
        <v>40.07</v>
      </c>
      <c r="CK18">
        <v>39.67</v>
      </c>
      <c r="CL18">
        <v>39.42</v>
      </c>
      <c r="CM18">
        <v>40.89</v>
      </c>
      <c r="CN18">
        <v>40.8</v>
      </c>
      <c r="CO18">
        <v>39.87</v>
      </c>
      <c r="CP18">
        <v>37.86</v>
      </c>
      <c r="CQ18">
        <v>38.08</v>
      </c>
      <c r="CR18">
        <v>37.53</v>
      </c>
      <c r="CS18">
        <v>36.92</v>
      </c>
    </row>
    <row r="19" spans="1:97">
      <c r="A19" s="9">
        <v>46252</v>
      </c>
      <c r="B19">
        <v>38.44</v>
      </c>
      <c r="C19">
        <v>37.73</v>
      </c>
      <c r="D19">
        <v>37.93</v>
      </c>
      <c r="E19">
        <v>36.76</v>
      </c>
      <c r="F19">
        <v>37.64</v>
      </c>
      <c r="G19">
        <v>38.44</v>
      </c>
      <c r="H19">
        <v>39.47</v>
      </c>
      <c r="I19">
        <v>40.23</v>
      </c>
      <c r="J19">
        <v>39.61</v>
      </c>
      <c r="K19">
        <v>38.39</v>
      </c>
      <c r="L19">
        <v>38.21</v>
      </c>
      <c r="M19">
        <v>38.81</v>
      </c>
      <c r="N19">
        <v>38.33</v>
      </c>
      <c r="O19">
        <v>38.03</v>
      </c>
      <c r="P19">
        <v>38.2</v>
      </c>
      <c r="Q19">
        <v>38.09</v>
      </c>
      <c r="R19">
        <v>38.09</v>
      </c>
      <c r="S19">
        <v>38.19</v>
      </c>
      <c r="T19">
        <v>39.3</v>
      </c>
      <c r="U19">
        <v>40.56</v>
      </c>
      <c r="V19">
        <v>39.5</v>
      </c>
      <c r="W19">
        <v>39.65</v>
      </c>
      <c r="X19">
        <v>40.16</v>
      </c>
      <c r="Y19">
        <v>39.54</v>
      </c>
      <c r="Z19">
        <v>39.35</v>
      </c>
      <c r="AA19">
        <v>40.02</v>
      </c>
      <c r="AB19">
        <v>40.14</v>
      </c>
      <c r="AC19">
        <v>40.71</v>
      </c>
      <c r="AD19">
        <v>41.25</v>
      </c>
      <c r="AE19">
        <v>42.42</v>
      </c>
      <c r="AF19">
        <v>42.99</v>
      </c>
      <c r="AG19">
        <v>43.01</v>
      </c>
      <c r="AH19">
        <v>41.45</v>
      </c>
      <c r="AI19">
        <v>41.63</v>
      </c>
      <c r="AJ19">
        <v>42.22</v>
      </c>
      <c r="AK19">
        <v>42.01</v>
      </c>
      <c r="AL19">
        <v>40.42</v>
      </c>
      <c r="AM19">
        <v>39.15</v>
      </c>
      <c r="AN19">
        <v>42.35</v>
      </c>
      <c r="AO19">
        <v>42.41</v>
      </c>
      <c r="AP19">
        <v>43</v>
      </c>
      <c r="AQ19">
        <v>43.24</v>
      </c>
      <c r="AR19">
        <v>41.25</v>
      </c>
      <c r="AS19">
        <v>41.49</v>
      </c>
      <c r="AT19">
        <v>40.86</v>
      </c>
      <c r="AU19">
        <v>41.95</v>
      </c>
      <c r="AV19">
        <v>40.65</v>
      </c>
      <c r="AW19">
        <v>41.94</v>
      </c>
      <c r="AX19">
        <v>40.88</v>
      </c>
      <c r="AY19">
        <v>41.29</v>
      </c>
      <c r="AZ19">
        <v>42.53</v>
      </c>
      <c r="BA19">
        <v>40.75</v>
      </c>
      <c r="BB19">
        <v>41.14</v>
      </c>
      <c r="BC19">
        <v>41.07</v>
      </c>
      <c r="BD19">
        <v>43.04</v>
      </c>
      <c r="BE19">
        <v>42.77</v>
      </c>
      <c r="BF19">
        <v>41.58</v>
      </c>
      <c r="BG19">
        <v>41.47</v>
      </c>
      <c r="BH19">
        <v>41.11</v>
      </c>
      <c r="BI19">
        <v>41.79</v>
      </c>
      <c r="BJ19">
        <v>41.9</v>
      </c>
      <c r="BK19">
        <v>41.95</v>
      </c>
      <c r="BL19">
        <v>41.68</v>
      </c>
      <c r="BM19">
        <v>42.55</v>
      </c>
      <c r="BN19">
        <v>41.19</v>
      </c>
      <c r="BO19">
        <v>41.75</v>
      </c>
      <c r="BP19">
        <v>41.83</v>
      </c>
      <c r="BQ19">
        <v>43.66</v>
      </c>
      <c r="BR19">
        <v>42.58</v>
      </c>
      <c r="BS19">
        <v>41.01</v>
      </c>
      <c r="BT19">
        <v>42.37</v>
      </c>
      <c r="BU19">
        <v>40.74</v>
      </c>
      <c r="BV19">
        <v>40.67</v>
      </c>
      <c r="BW19">
        <v>41.46</v>
      </c>
      <c r="BX19">
        <v>40.31</v>
      </c>
      <c r="BY19">
        <v>41.94</v>
      </c>
      <c r="BZ19">
        <v>40.85</v>
      </c>
      <c r="CA19">
        <v>40.76</v>
      </c>
      <c r="CB19">
        <v>41.14</v>
      </c>
      <c r="CC19">
        <v>41.23</v>
      </c>
      <c r="CD19">
        <v>41.63</v>
      </c>
      <c r="CE19">
        <v>40.69</v>
      </c>
      <c r="CF19">
        <v>40.36</v>
      </c>
      <c r="CG19">
        <v>40.53</v>
      </c>
      <c r="CH19">
        <v>41.22</v>
      </c>
      <c r="CI19">
        <v>40.58</v>
      </c>
      <c r="CJ19">
        <v>41.28</v>
      </c>
      <c r="CK19">
        <v>41.73</v>
      </c>
      <c r="CL19">
        <v>39.99</v>
      </c>
      <c r="CM19">
        <v>40.91</v>
      </c>
      <c r="CN19">
        <v>41.41</v>
      </c>
      <c r="CO19">
        <v>41.58</v>
      </c>
      <c r="CP19">
        <v>41.29</v>
      </c>
      <c r="CQ19">
        <v>39.79</v>
      </c>
      <c r="CR19">
        <v>39.96</v>
      </c>
      <c r="CS19">
        <v>39.1</v>
      </c>
    </row>
    <row r="20" spans="1:97">
      <c r="A20" s="9">
        <v>46253</v>
      </c>
      <c r="B20">
        <v>37.91</v>
      </c>
      <c r="C20">
        <v>37.55</v>
      </c>
      <c r="D20">
        <v>37.46</v>
      </c>
      <c r="E20">
        <v>37.46</v>
      </c>
      <c r="F20">
        <v>36.73</v>
      </c>
      <c r="G20">
        <v>39.56</v>
      </c>
      <c r="H20">
        <v>41.73</v>
      </c>
      <c r="I20">
        <v>42.13</v>
      </c>
      <c r="J20">
        <v>42.57</v>
      </c>
      <c r="K20">
        <v>39.76</v>
      </c>
      <c r="L20">
        <v>39.11</v>
      </c>
      <c r="M20">
        <v>40.09</v>
      </c>
      <c r="N20">
        <v>40.67</v>
      </c>
      <c r="O20">
        <v>40.44</v>
      </c>
      <c r="P20">
        <v>39.44</v>
      </c>
      <c r="Q20">
        <v>39.63</v>
      </c>
      <c r="R20">
        <v>40.16</v>
      </c>
      <c r="S20">
        <v>39.9</v>
      </c>
      <c r="T20">
        <v>39.46</v>
      </c>
      <c r="U20">
        <v>38.51</v>
      </c>
      <c r="V20">
        <v>39.96</v>
      </c>
      <c r="W20">
        <v>40.43</v>
      </c>
      <c r="X20">
        <v>40.61</v>
      </c>
      <c r="Y20">
        <v>40.65</v>
      </c>
      <c r="Z20">
        <v>40.39</v>
      </c>
      <c r="AA20">
        <v>40.36</v>
      </c>
      <c r="AB20">
        <v>40.26</v>
      </c>
      <c r="AC20">
        <v>40.13</v>
      </c>
      <c r="AD20">
        <v>40.66</v>
      </c>
      <c r="AE20">
        <v>40.69</v>
      </c>
      <c r="AF20">
        <v>40.94</v>
      </c>
      <c r="AG20">
        <v>40.64</v>
      </c>
      <c r="AH20">
        <v>39.8</v>
      </c>
      <c r="AI20">
        <v>40.08</v>
      </c>
      <c r="AJ20">
        <v>38.98</v>
      </c>
      <c r="AK20">
        <v>40.22</v>
      </c>
      <c r="AL20">
        <v>39.34</v>
      </c>
      <c r="AM20">
        <v>38.99</v>
      </c>
      <c r="AN20">
        <v>39.62</v>
      </c>
      <c r="AO20">
        <v>39.43</v>
      </c>
      <c r="AP20">
        <v>39.94</v>
      </c>
      <c r="AQ20">
        <v>41.06</v>
      </c>
      <c r="AR20">
        <v>41.31</v>
      </c>
      <c r="AS20">
        <v>41.61</v>
      </c>
      <c r="AT20">
        <v>43.94</v>
      </c>
      <c r="AU20">
        <v>43.97</v>
      </c>
      <c r="AV20">
        <v>43.03</v>
      </c>
      <c r="AW20">
        <v>42.99</v>
      </c>
      <c r="AX20">
        <v>40.01</v>
      </c>
      <c r="AY20">
        <v>41.86</v>
      </c>
      <c r="AZ20">
        <v>42.1</v>
      </c>
      <c r="BA20">
        <v>39.98</v>
      </c>
      <c r="BB20">
        <v>39.54</v>
      </c>
      <c r="BC20">
        <v>42.04</v>
      </c>
      <c r="BD20">
        <v>41.07</v>
      </c>
      <c r="BE20">
        <v>40.84</v>
      </c>
      <c r="BF20">
        <v>39.77</v>
      </c>
      <c r="BG20">
        <v>40.17</v>
      </c>
      <c r="BH20">
        <v>40.62</v>
      </c>
      <c r="BI20">
        <v>36.45</v>
      </c>
      <c r="BJ20">
        <v>41.49</v>
      </c>
      <c r="BK20">
        <v>41.25</v>
      </c>
      <c r="BL20">
        <v>40.44</v>
      </c>
      <c r="BM20">
        <v>40.41</v>
      </c>
      <c r="BN20">
        <v>40.36</v>
      </c>
      <c r="BO20">
        <v>42.56</v>
      </c>
      <c r="BP20">
        <v>43.21</v>
      </c>
      <c r="BQ20">
        <v>42.87</v>
      </c>
      <c r="BR20">
        <v>41.16</v>
      </c>
      <c r="BS20">
        <v>40.22</v>
      </c>
      <c r="BT20">
        <v>41.09</v>
      </c>
      <c r="BU20">
        <v>41.5</v>
      </c>
      <c r="BV20">
        <v>43.28</v>
      </c>
      <c r="BW20">
        <v>43.06</v>
      </c>
      <c r="BX20">
        <v>42.52</v>
      </c>
      <c r="BY20">
        <v>41.99</v>
      </c>
      <c r="BZ20">
        <v>42.43</v>
      </c>
      <c r="CA20">
        <v>41.41</v>
      </c>
      <c r="CB20">
        <v>41.48</v>
      </c>
      <c r="CC20">
        <v>40.39</v>
      </c>
      <c r="CD20">
        <v>40.04</v>
      </c>
      <c r="CE20">
        <v>40.61</v>
      </c>
      <c r="CF20">
        <v>40.85</v>
      </c>
      <c r="CG20">
        <v>40.49</v>
      </c>
      <c r="CH20">
        <v>41.12</v>
      </c>
      <c r="CI20">
        <v>39.71</v>
      </c>
      <c r="CJ20">
        <v>39.77</v>
      </c>
      <c r="CK20">
        <v>39.76</v>
      </c>
      <c r="CL20">
        <v>39.92</v>
      </c>
      <c r="CM20">
        <v>41.6</v>
      </c>
      <c r="CN20">
        <v>42.03</v>
      </c>
      <c r="CO20">
        <v>42.42</v>
      </c>
      <c r="CP20">
        <v>42.01</v>
      </c>
      <c r="CQ20">
        <v>40.89</v>
      </c>
      <c r="CR20">
        <v>39.66</v>
      </c>
      <c r="CS20">
        <v>39.44</v>
      </c>
    </row>
    <row r="21" spans="1:97">
      <c r="A21" s="9">
        <v>46254</v>
      </c>
      <c r="B21">
        <v>40.45</v>
      </c>
      <c r="C21">
        <v>39.54</v>
      </c>
      <c r="D21">
        <v>38.61</v>
      </c>
      <c r="E21">
        <v>38.94</v>
      </c>
      <c r="F21">
        <v>38.26</v>
      </c>
      <c r="G21">
        <v>37.43</v>
      </c>
      <c r="H21">
        <v>38.34</v>
      </c>
      <c r="I21">
        <v>39.09</v>
      </c>
      <c r="J21">
        <v>39.82</v>
      </c>
      <c r="K21">
        <v>39.96</v>
      </c>
      <c r="L21">
        <v>40.17</v>
      </c>
      <c r="M21">
        <v>40.16</v>
      </c>
      <c r="N21">
        <v>40.22</v>
      </c>
      <c r="O21">
        <v>39.95</v>
      </c>
      <c r="P21">
        <v>39.7</v>
      </c>
      <c r="Q21">
        <v>40.56</v>
      </c>
      <c r="R21">
        <v>40.26</v>
      </c>
      <c r="S21">
        <v>38.37</v>
      </c>
      <c r="T21">
        <v>39.74</v>
      </c>
      <c r="U21">
        <v>39.18</v>
      </c>
      <c r="V21">
        <v>39.67</v>
      </c>
      <c r="W21">
        <v>39.63</v>
      </c>
      <c r="X21">
        <v>39.71</v>
      </c>
      <c r="Y21">
        <v>40.75</v>
      </c>
      <c r="Z21">
        <v>39.98</v>
      </c>
      <c r="AA21">
        <v>40.13</v>
      </c>
      <c r="AB21">
        <v>40.28</v>
      </c>
      <c r="AC21">
        <v>40.4</v>
      </c>
      <c r="AD21">
        <v>40.36</v>
      </c>
      <c r="AE21">
        <v>40.63</v>
      </c>
      <c r="AF21">
        <v>40.64</v>
      </c>
      <c r="AG21">
        <v>41.11</v>
      </c>
      <c r="AH21">
        <v>41.18</v>
      </c>
      <c r="AI21">
        <v>40.61</v>
      </c>
      <c r="AJ21">
        <v>42.13</v>
      </c>
      <c r="AK21">
        <v>41.31</v>
      </c>
      <c r="AL21">
        <v>41.61</v>
      </c>
      <c r="AM21">
        <v>39.06</v>
      </c>
      <c r="AN21">
        <v>41.04</v>
      </c>
      <c r="AO21">
        <v>41.06</v>
      </c>
      <c r="AP21">
        <v>40.56</v>
      </c>
      <c r="AQ21">
        <v>40.46</v>
      </c>
      <c r="AR21">
        <v>41</v>
      </c>
      <c r="AS21">
        <v>42.84</v>
      </c>
      <c r="AT21">
        <v>41.42</v>
      </c>
      <c r="AU21">
        <v>40.68</v>
      </c>
      <c r="AV21">
        <v>41.6</v>
      </c>
      <c r="AW21">
        <v>38.28</v>
      </c>
      <c r="AX21">
        <v>38.05</v>
      </c>
      <c r="AY21">
        <v>38.09</v>
      </c>
      <c r="AZ21">
        <v>38.55</v>
      </c>
      <c r="BA21">
        <v>37.17</v>
      </c>
      <c r="BB21">
        <v>37.67</v>
      </c>
      <c r="BC21">
        <v>40.8</v>
      </c>
      <c r="BD21">
        <v>41.86</v>
      </c>
      <c r="BE21">
        <v>39.19</v>
      </c>
      <c r="BF21">
        <v>40.42</v>
      </c>
      <c r="BG21">
        <v>37.56</v>
      </c>
      <c r="BH21">
        <v>38.68</v>
      </c>
      <c r="BI21">
        <v>40.57</v>
      </c>
      <c r="BJ21">
        <v>39.6</v>
      </c>
      <c r="BK21">
        <v>39.23</v>
      </c>
      <c r="BL21">
        <v>39.46</v>
      </c>
      <c r="BM21">
        <v>38.14</v>
      </c>
      <c r="BN21">
        <v>39.33</v>
      </c>
      <c r="BO21">
        <v>40.47</v>
      </c>
      <c r="BP21">
        <v>37.07</v>
      </c>
      <c r="BQ21">
        <v>38.07</v>
      </c>
      <c r="BR21">
        <v>37.01</v>
      </c>
      <c r="BS21">
        <v>39.8</v>
      </c>
      <c r="BT21">
        <v>39.62</v>
      </c>
      <c r="BU21">
        <v>40.7</v>
      </c>
      <c r="BV21">
        <v>38.27</v>
      </c>
      <c r="BW21">
        <v>37.08</v>
      </c>
      <c r="BX21">
        <v>38.29</v>
      </c>
      <c r="BY21">
        <v>41.17</v>
      </c>
      <c r="BZ21">
        <v>41.32</v>
      </c>
      <c r="CA21">
        <v>39.43</v>
      </c>
      <c r="CB21">
        <v>40.76</v>
      </c>
      <c r="CC21">
        <v>39.89</v>
      </c>
      <c r="CD21">
        <v>38.79</v>
      </c>
      <c r="CE21">
        <v>40.62</v>
      </c>
      <c r="CF21">
        <v>37.3</v>
      </c>
      <c r="CG21">
        <v>38.42</v>
      </c>
      <c r="CH21">
        <v>36.62</v>
      </c>
      <c r="CI21">
        <v>38.27</v>
      </c>
      <c r="CJ21">
        <v>37.89</v>
      </c>
      <c r="CK21">
        <v>36.36</v>
      </c>
      <c r="CL21">
        <v>37.43</v>
      </c>
      <c r="CM21">
        <v>36.94</v>
      </c>
      <c r="CN21">
        <v>36.81</v>
      </c>
      <c r="CO21">
        <v>38.44</v>
      </c>
      <c r="CP21">
        <v>39.59</v>
      </c>
      <c r="CQ21">
        <v>38.65</v>
      </c>
      <c r="CR21">
        <v>39.21</v>
      </c>
      <c r="CS21">
        <v>38.03</v>
      </c>
    </row>
    <row r="22" spans="1:97">
      <c r="A22" s="9">
        <v>46255</v>
      </c>
      <c r="B22">
        <v>41.45</v>
      </c>
      <c r="C22">
        <v>40.54</v>
      </c>
      <c r="D22">
        <v>39.61</v>
      </c>
      <c r="E22">
        <v>39.94</v>
      </c>
      <c r="F22">
        <v>39.26</v>
      </c>
      <c r="G22">
        <v>38.43</v>
      </c>
      <c r="H22">
        <v>39.34</v>
      </c>
      <c r="I22">
        <v>40.09</v>
      </c>
      <c r="J22">
        <v>40.82</v>
      </c>
      <c r="K22">
        <v>40.96</v>
      </c>
      <c r="L22">
        <v>41.17</v>
      </c>
      <c r="M22">
        <v>41.16</v>
      </c>
      <c r="N22">
        <v>41.22</v>
      </c>
      <c r="O22">
        <v>40.95</v>
      </c>
      <c r="P22">
        <v>40.7</v>
      </c>
      <c r="Q22">
        <v>41.56</v>
      </c>
      <c r="R22">
        <v>41.26</v>
      </c>
      <c r="S22">
        <v>39.37</v>
      </c>
      <c r="T22">
        <v>40.74</v>
      </c>
      <c r="U22">
        <v>40.18</v>
      </c>
      <c r="V22">
        <v>40.67</v>
      </c>
      <c r="W22">
        <v>40.63</v>
      </c>
      <c r="X22">
        <v>40.71</v>
      </c>
      <c r="Y22">
        <v>41.75</v>
      </c>
      <c r="Z22">
        <v>40.98</v>
      </c>
      <c r="AA22">
        <v>41.13</v>
      </c>
      <c r="AB22">
        <v>41.28</v>
      </c>
      <c r="AC22">
        <v>41.4</v>
      </c>
      <c r="AD22">
        <v>41.36</v>
      </c>
      <c r="AE22">
        <v>41.63</v>
      </c>
      <c r="AF22">
        <v>41.64</v>
      </c>
      <c r="AG22">
        <v>42.11</v>
      </c>
      <c r="AH22">
        <v>42.18</v>
      </c>
      <c r="AI22">
        <v>41.61</v>
      </c>
      <c r="AJ22">
        <v>43.13</v>
      </c>
      <c r="AK22">
        <v>42.31</v>
      </c>
      <c r="AL22">
        <v>42.61</v>
      </c>
      <c r="AM22">
        <v>40.06</v>
      </c>
      <c r="AN22">
        <v>42.04</v>
      </c>
      <c r="AO22">
        <v>42.06</v>
      </c>
      <c r="AP22">
        <v>41.56</v>
      </c>
      <c r="AQ22">
        <v>41.46</v>
      </c>
      <c r="AR22">
        <v>42</v>
      </c>
      <c r="AS22">
        <v>43.84</v>
      </c>
      <c r="AT22">
        <v>42.42</v>
      </c>
      <c r="AU22">
        <v>41.68</v>
      </c>
      <c r="AV22">
        <v>42.6</v>
      </c>
      <c r="AW22">
        <v>39.28</v>
      </c>
      <c r="AX22">
        <v>39.05</v>
      </c>
      <c r="AY22">
        <v>39.09</v>
      </c>
      <c r="AZ22">
        <v>39.55</v>
      </c>
      <c r="BA22">
        <v>38.17</v>
      </c>
      <c r="BB22">
        <v>38.67</v>
      </c>
      <c r="BC22">
        <v>41.8</v>
      </c>
      <c r="BD22">
        <v>42.86</v>
      </c>
      <c r="BE22">
        <v>40.19</v>
      </c>
      <c r="BF22">
        <v>41.42</v>
      </c>
      <c r="BG22">
        <v>38.56</v>
      </c>
      <c r="BH22">
        <v>39.68</v>
      </c>
      <c r="BI22">
        <v>41.57</v>
      </c>
      <c r="BJ22">
        <v>40.6</v>
      </c>
      <c r="BK22">
        <v>40.23</v>
      </c>
      <c r="BL22">
        <v>40.46</v>
      </c>
      <c r="BM22">
        <v>39.14</v>
      </c>
      <c r="BN22">
        <v>40.33</v>
      </c>
      <c r="BO22">
        <v>41.47</v>
      </c>
      <c r="BP22">
        <v>38.07</v>
      </c>
      <c r="BQ22">
        <v>39.07</v>
      </c>
      <c r="BR22">
        <v>38.01</v>
      </c>
      <c r="BS22">
        <v>40.8</v>
      </c>
      <c r="BT22">
        <v>40.62</v>
      </c>
      <c r="BU22">
        <v>41.7</v>
      </c>
      <c r="BV22">
        <v>39.27</v>
      </c>
      <c r="BW22">
        <v>38.08</v>
      </c>
      <c r="BX22">
        <v>39.29</v>
      </c>
      <c r="BY22">
        <v>42.17</v>
      </c>
      <c r="BZ22">
        <v>42.32</v>
      </c>
      <c r="CA22">
        <v>40.43</v>
      </c>
      <c r="CB22">
        <v>41.76</v>
      </c>
      <c r="CC22">
        <v>40.89</v>
      </c>
      <c r="CD22">
        <v>39.79</v>
      </c>
      <c r="CE22">
        <v>41.62</v>
      </c>
      <c r="CF22">
        <v>38.3</v>
      </c>
      <c r="CG22">
        <v>39.42</v>
      </c>
      <c r="CH22">
        <v>37.62</v>
      </c>
      <c r="CI22">
        <v>39.27</v>
      </c>
      <c r="CJ22">
        <v>38.89</v>
      </c>
      <c r="CK22">
        <v>37.36</v>
      </c>
      <c r="CL22">
        <v>38.43</v>
      </c>
      <c r="CM22">
        <v>37.94</v>
      </c>
      <c r="CN22">
        <v>37.81</v>
      </c>
      <c r="CO22">
        <v>39.44</v>
      </c>
      <c r="CP22">
        <v>40.59</v>
      </c>
      <c r="CQ22">
        <v>39.65</v>
      </c>
      <c r="CR22">
        <v>40.21</v>
      </c>
      <c r="CS22">
        <v>39.03</v>
      </c>
    </row>
    <row r="23" spans="1:97">
      <c r="A23" s="9">
        <v>46256</v>
      </c>
      <c r="B23">
        <v>38.29</v>
      </c>
      <c r="C23">
        <v>39.28</v>
      </c>
      <c r="D23">
        <v>39.36</v>
      </c>
      <c r="E23">
        <v>39.64</v>
      </c>
      <c r="F23">
        <v>39.12</v>
      </c>
      <c r="G23">
        <v>38.14</v>
      </c>
      <c r="H23">
        <v>37.76</v>
      </c>
      <c r="I23">
        <v>37.72</v>
      </c>
      <c r="J23">
        <v>38.14</v>
      </c>
      <c r="K23">
        <v>38.61</v>
      </c>
      <c r="L23">
        <v>37.62</v>
      </c>
      <c r="M23">
        <v>37.58</v>
      </c>
      <c r="N23">
        <v>38.29</v>
      </c>
      <c r="O23">
        <v>37.96</v>
      </c>
      <c r="P23">
        <v>39.12</v>
      </c>
      <c r="Q23">
        <v>38.34</v>
      </c>
      <c r="R23">
        <v>35.67</v>
      </c>
      <c r="S23">
        <v>38.82</v>
      </c>
      <c r="T23">
        <v>38.14</v>
      </c>
      <c r="U23">
        <v>38.03</v>
      </c>
      <c r="V23">
        <v>39.55</v>
      </c>
      <c r="W23">
        <v>39.23</v>
      </c>
      <c r="X23">
        <v>38.35</v>
      </c>
      <c r="Y23">
        <v>38.96</v>
      </c>
      <c r="Z23">
        <v>38.56</v>
      </c>
      <c r="AA23">
        <v>38.62</v>
      </c>
      <c r="AB23">
        <v>38.2</v>
      </c>
      <c r="AC23">
        <v>37.98</v>
      </c>
      <c r="AD23">
        <v>38.43</v>
      </c>
      <c r="AE23">
        <v>39</v>
      </c>
      <c r="AF23">
        <v>38.54</v>
      </c>
      <c r="AG23">
        <v>37.05</v>
      </c>
      <c r="AH23">
        <v>41.52</v>
      </c>
      <c r="AI23">
        <v>41.06</v>
      </c>
      <c r="AJ23">
        <v>41.16</v>
      </c>
      <c r="AK23">
        <v>42.07</v>
      </c>
      <c r="AL23">
        <v>42.61</v>
      </c>
      <c r="AM23">
        <v>42.12</v>
      </c>
      <c r="AN23">
        <v>41.32</v>
      </c>
      <c r="AO23">
        <v>41.08</v>
      </c>
      <c r="AP23">
        <v>40.96</v>
      </c>
      <c r="AQ23">
        <v>42.64</v>
      </c>
      <c r="AR23">
        <v>40.89</v>
      </c>
      <c r="AS23">
        <v>41.32</v>
      </c>
      <c r="AT23">
        <v>39.9</v>
      </c>
      <c r="AU23">
        <v>39.41</v>
      </c>
      <c r="AV23">
        <v>38.63</v>
      </c>
      <c r="AW23">
        <v>37.9</v>
      </c>
      <c r="AX23">
        <v>40.75</v>
      </c>
      <c r="AY23">
        <v>40.05</v>
      </c>
      <c r="AZ23">
        <v>40.81</v>
      </c>
      <c r="BA23">
        <v>43.05</v>
      </c>
      <c r="BB23">
        <v>40.93</v>
      </c>
      <c r="BC23">
        <v>41.66</v>
      </c>
      <c r="BD23">
        <v>41.18</v>
      </c>
      <c r="BE23">
        <v>40.65</v>
      </c>
      <c r="BF23">
        <v>40.12</v>
      </c>
      <c r="BG23">
        <v>40.95</v>
      </c>
      <c r="BH23">
        <v>42.21</v>
      </c>
      <c r="BI23">
        <v>41.1</v>
      </c>
      <c r="BJ23">
        <v>40.28</v>
      </c>
      <c r="BK23">
        <v>41.08</v>
      </c>
      <c r="BL23">
        <v>41.02</v>
      </c>
      <c r="BM23">
        <v>40.41</v>
      </c>
      <c r="BN23">
        <v>40.06</v>
      </c>
      <c r="BO23">
        <v>40.69</v>
      </c>
      <c r="BP23">
        <v>41.18</v>
      </c>
      <c r="BQ23">
        <v>39.83</v>
      </c>
      <c r="BR23">
        <v>40.99</v>
      </c>
      <c r="BS23">
        <v>40.2</v>
      </c>
      <c r="BT23">
        <v>39.69</v>
      </c>
      <c r="BU23">
        <v>38.78</v>
      </c>
      <c r="BV23">
        <v>40.2</v>
      </c>
      <c r="BW23">
        <v>39.03</v>
      </c>
      <c r="BX23">
        <v>39.78</v>
      </c>
      <c r="BY23">
        <v>38.94</v>
      </c>
      <c r="BZ23">
        <v>38.53</v>
      </c>
      <c r="CA23">
        <v>38.73</v>
      </c>
      <c r="CB23">
        <v>38.46</v>
      </c>
      <c r="CC23">
        <v>37.43</v>
      </c>
      <c r="CD23">
        <v>38.55</v>
      </c>
      <c r="CE23">
        <v>38.26</v>
      </c>
      <c r="CF23">
        <v>38.86</v>
      </c>
      <c r="CG23">
        <v>38.33</v>
      </c>
      <c r="CH23">
        <v>38.08</v>
      </c>
      <c r="CI23">
        <v>38.35</v>
      </c>
      <c r="CJ23">
        <v>37.45</v>
      </c>
      <c r="CK23">
        <v>38.12</v>
      </c>
      <c r="CL23">
        <v>37.79</v>
      </c>
      <c r="CM23">
        <v>38.43</v>
      </c>
      <c r="CN23">
        <v>38.6</v>
      </c>
      <c r="CO23">
        <v>37.8</v>
      </c>
      <c r="CP23">
        <v>38.36</v>
      </c>
      <c r="CQ23">
        <v>38.13</v>
      </c>
      <c r="CR23">
        <v>38.55</v>
      </c>
      <c r="CS23">
        <v>38.66</v>
      </c>
    </row>
    <row r="24" spans="1:97">
      <c r="A24" s="9">
        <v>46257</v>
      </c>
      <c r="B24">
        <v>38.2</v>
      </c>
      <c r="C24">
        <v>37.57</v>
      </c>
      <c r="D24">
        <v>38.26</v>
      </c>
      <c r="E24">
        <v>38.18</v>
      </c>
      <c r="F24">
        <v>37.75</v>
      </c>
      <c r="G24">
        <v>37.01</v>
      </c>
      <c r="H24">
        <v>39.21</v>
      </c>
      <c r="I24">
        <v>38.93</v>
      </c>
      <c r="J24">
        <v>38.08</v>
      </c>
      <c r="K24">
        <v>39.42</v>
      </c>
      <c r="L24">
        <v>39.52</v>
      </c>
      <c r="M24">
        <v>38.73</v>
      </c>
      <c r="N24">
        <v>38.82</v>
      </c>
      <c r="O24">
        <v>38.5</v>
      </c>
      <c r="P24">
        <v>38.63</v>
      </c>
      <c r="Q24">
        <v>38.44</v>
      </c>
      <c r="R24">
        <v>38.29</v>
      </c>
      <c r="S24">
        <v>37.94</v>
      </c>
      <c r="T24">
        <v>37.9</v>
      </c>
      <c r="U24">
        <v>37.52</v>
      </c>
      <c r="V24">
        <v>38.35</v>
      </c>
      <c r="W24">
        <v>38.12</v>
      </c>
      <c r="X24">
        <v>38.48</v>
      </c>
      <c r="Y24">
        <v>39.5</v>
      </c>
      <c r="Z24">
        <v>39.2</v>
      </c>
      <c r="AA24">
        <v>38.83</v>
      </c>
      <c r="AB24">
        <v>38.24</v>
      </c>
      <c r="AC24">
        <v>38.16</v>
      </c>
      <c r="AD24">
        <v>38.75</v>
      </c>
      <c r="AE24">
        <v>38.14</v>
      </c>
      <c r="AF24">
        <v>38.11</v>
      </c>
      <c r="AG24">
        <v>37.71</v>
      </c>
      <c r="AH24">
        <v>38.64</v>
      </c>
      <c r="AI24">
        <v>40.13</v>
      </c>
      <c r="AJ24">
        <v>40.23</v>
      </c>
      <c r="AK24">
        <v>39.25</v>
      </c>
      <c r="AL24">
        <v>38.48</v>
      </c>
      <c r="AM24">
        <v>39.07</v>
      </c>
      <c r="AN24">
        <v>38.79</v>
      </c>
      <c r="AO24">
        <v>36.49</v>
      </c>
      <c r="AP24">
        <v>38.03</v>
      </c>
      <c r="AQ24">
        <v>36.95</v>
      </c>
      <c r="AR24">
        <v>35.88</v>
      </c>
      <c r="AS24">
        <v>35.47</v>
      </c>
      <c r="AT24">
        <v>35.32</v>
      </c>
      <c r="AU24">
        <v>39.64</v>
      </c>
      <c r="AV24">
        <v>39.49</v>
      </c>
      <c r="AW24">
        <v>38.4</v>
      </c>
      <c r="AX24">
        <v>40.51</v>
      </c>
      <c r="AY24">
        <v>40.2</v>
      </c>
      <c r="AZ24">
        <v>42.1</v>
      </c>
      <c r="BA24">
        <v>39.65</v>
      </c>
      <c r="BB24">
        <v>39.58</v>
      </c>
      <c r="BC24">
        <v>40.58</v>
      </c>
      <c r="BD24">
        <v>38.85</v>
      </c>
      <c r="BE24">
        <v>39.93</v>
      </c>
      <c r="BF24">
        <v>39.96</v>
      </c>
      <c r="BG24">
        <v>40.2</v>
      </c>
      <c r="BH24">
        <v>40.02</v>
      </c>
      <c r="BI24">
        <v>39.69</v>
      </c>
      <c r="BJ24">
        <v>39.97</v>
      </c>
      <c r="BK24">
        <v>39.78</v>
      </c>
      <c r="BL24">
        <v>39.99</v>
      </c>
      <c r="BM24">
        <v>40.47</v>
      </c>
      <c r="BN24">
        <v>39.61</v>
      </c>
      <c r="BO24">
        <v>40.47</v>
      </c>
      <c r="BP24">
        <v>40.42</v>
      </c>
      <c r="BQ24">
        <v>40.31</v>
      </c>
      <c r="BR24">
        <v>40.73</v>
      </c>
      <c r="BS24">
        <v>41.12</v>
      </c>
      <c r="BT24">
        <v>41.9</v>
      </c>
      <c r="BU24">
        <v>41.08</v>
      </c>
      <c r="BV24">
        <v>40.72</v>
      </c>
      <c r="BW24">
        <v>40.42</v>
      </c>
      <c r="BX24">
        <v>38.89</v>
      </c>
      <c r="BY24">
        <v>39.81</v>
      </c>
      <c r="BZ24">
        <v>39.84</v>
      </c>
      <c r="CA24">
        <v>39.51</v>
      </c>
      <c r="CB24">
        <v>39.26</v>
      </c>
      <c r="CC24">
        <v>38.59</v>
      </c>
      <c r="CD24">
        <v>38.95</v>
      </c>
      <c r="CE24">
        <v>39.42</v>
      </c>
      <c r="CF24">
        <v>40.1</v>
      </c>
      <c r="CG24">
        <v>40.04</v>
      </c>
      <c r="CH24">
        <v>40.21</v>
      </c>
      <c r="CI24">
        <v>40.33</v>
      </c>
      <c r="CJ24">
        <v>39.77</v>
      </c>
      <c r="CK24">
        <v>39.04</v>
      </c>
      <c r="CL24">
        <v>39.1</v>
      </c>
      <c r="CM24">
        <v>38.43</v>
      </c>
      <c r="CN24">
        <v>38.88</v>
      </c>
      <c r="CO24">
        <v>38.12</v>
      </c>
      <c r="CP24">
        <v>37.69</v>
      </c>
      <c r="CQ24">
        <v>39.7</v>
      </c>
      <c r="CR24">
        <v>39.64</v>
      </c>
      <c r="CS24">
        <v>40.13</v>
      </c>
    </row>
    <row r="25" spans="1:97">
      <c r="A25" s="9">
        <v>46258</v>
      </c>
      <c r="B25">
        <v>39.95</v>
      </c>
      <c r="C25">
        <v>39.25</v>
      </c>
      <c r="D25">
        <v>39.01</v>
      </c>
      <c r="E25">
        <v>38.7</v>
      </c>
      <c r="F25">
        <v>38.63</v>
      </c>
      <c r="G25">
        <v>39.2</v>
      </c>
      <c r="H25">
        <v>38.86</v>
      </c>
      <c r="I25">
        <v>39.05</v>
      </c>
      <c r="J25">
        <v>38.46</v>
      </c>
      <c r="K25">
        <v>39.1</v>
      </c>
      <c r="L25">
        <v>39.21</v>
      </c>
      <c r="M25">
        <v>38.44</v>
      </c>
      <c r="N25">
        <v>39.43</v>
      </c>
      <c r="O25">
        <v>39.61</v>
      </c>
      <c r="P25">
        <v>39.6</v>
      </c>
      <c r="Q25">
        <v>39.37</v>
      </c>
      <c r="R25">
        <v>38.83</v>
      </c>
      <c r="S25">
        <v>39.05</v>
      </c>
      <c r="T25">
        <v>38.85</v>
      </c>
      <c r="U25">
        <v>38.52</v>
      </c>
      <c r="V25">
        <v>38.92</v>
      </c>
      <c r="W25">
        <v>38.83</v>
      </c>
      <c r="X25">
        <v>38.79</v>
      </c>
      <c r="Y25">
        <v>39.23</v>
      </c>
      <c r="Z25">
        <v>39.6</v>
      </c>
      <c r="AA25">
        <v>38.2</v>
      </c>
      <c r="AB25">
        <v>38.86</v>
      </c>
      <c r="AC25">
        <v>38.6</v>
      </c>
      <c r="AD25">
        <v>40.04</v>
      </c>
      <c r="AE25">
        <v>41.44</v>
      </c>
      <c r="AF25">
        <v>41.99</v>
      </c>
      <c r="AG25">
        <v>42.98</v>
      </c>
      <c r="AH25">
        <v>43.27</v>
      </c>
      <c r="AI25">
        <v>45.28</v>
      </c>
      <c r="AJ25">
        <v>45.24</v>
      </c>
      <c r="AK25">
        <v>45.3</v>
      </c>
      <c r="AL25">
        <v>44.8</v>
      </c>
      <c r="AM25">
        <v>42.7</v>
      </c>
      <c r="AN25">
        <v>43.17</v>
      </c>
      <c r="AO25">
        <v>42.62</v>
      </c>
      <c r="AP25">
        <v>42.36</v>
      </c>
      <c r="AQ25">
        <v>44.06</v>
      </c>
      <c r="AR25">
        <v>43.73</v>
      </c>
      <c r="AS25">
        <v>42.67</v>
      </c>
      <c r="AT25">
        <v>42.73</v>
      </c>
      <c r="AU25">
        <v>42.91</v>
      </c>
      <c r="AV25">
        <v>43.4</v>
      </c>
      <c r="AW25">
        <v>42.83</v>
      </c>
      <c r="AX25">
        <v>41.85</v>
      </c>
      <c r="AY25">
        <v>44.41</v>
      </c>
      <c r="AZ25">
        <v>42.31</v>
      </c>
      <c r="BA25">
        <v>42.68</v>
      </c>
      <c r="BB25">
        <v>42.96</v>
      </c>
      <c r="BC25">
        <v>42.89</v>
      </c>
      <c r="BD25">
        <v>40.94</v>
      </c>
      <c r="BE25">
        <v>41.11</v>
      </c>
      <c r="BF25">
        <v>40.89</v>
      </c>
      <c r="BG25">
        <v>41.18</v>
      </c>
      <c r="BH25">
        <v>42.55</v>
      </c>
      <c r="BI25">
        <v>41.09</v>
      </c>
      <c r="BJ25">
        <v>39.92</v>
      </c>
      <c r="BK25">
        <v>40.45</v>
      </c>
      <c r="BL25">
        <v>41.12</v>
      </c>
      <c r="BM25">
        <v>41.65</v>
      </c>
      <c r="BN25">
        <v>40.44</v>
      </c>
      <c r="BO25">
        <v>40.95</v>
      </c>
      <c r="BP25">
        <v>41.27</v>
      </c>
      <c r="BQ25">
        <v>41.21</v>
      </c>
      <c r="BR25">
        <v>40.97</v>
      </c>
      <c r="BS25">
        <v>40.24</v>
      </c>
      <c r="BT25">
        <v>41.04</v>
      </c>
      <c r="BU25">
        <v>40.82</v>
      </c>
      <c r="BV25">
        <v>40.12</v>
      </c>
      <c r="BW25">
        <v>41.22</v>
      </c>
      <c r="BX25">
        <v>42.34</v>
      </c>
      <c r="BY25">
        <v>41.15</v>
      </c>
      <c r="BZ25">
        <v>41.12</v>
      </c>
      <c r="CA25">
        <v>41.43</v>
      </c>
      <c r="CB25">
        <v>41.52</v>
      </c>
      <c r="CC25">
        <v>41.37</v>
      </c>
      <c r="CD25">
        <v>41.06</v>
      </c>
      <c r="CE25">
        <v>40.96</v>
      </c>
      <c r="CF25">
        <v>41.56</v>
      </c>
      <c r="CG25">
        <v>41.67</v>
      </c>
      <c r="CH25">
        <v>40.64</v>
      </c>
      <c r="CI25">
        <v>40.79</v>
      </c>
      <c r="CJ25">
        <v>41.54</v>
      </c>
      <c r="CK25">
        <v>42.18</v>
      </c>
      <c r="CL25">
        <v>41.78</v>
      </c>
      <c r="CM25">
        <v>42.08</v>
      </c>
      <c r="CN25">
        <v>41.59</v>
      </c>
      <c r="CO25">
        <v>42.22</v>
      </c>
      <c r="CP25">
        <v>40.9</v>
      </c>
      <c r="CQ25">
        <v>40.26</v>
      </c>
      <c r="CR25">
        <v>40.28</v>
      </c>
      <c r="CS25">
        <v>40.95</v>
      </c>
    </row>
    <row r="26" spans="1:97">
      <c r="A26" s="9">
        <v>46259</v>
      </c>
      <c r="B26">
        <v>41.19</v>
      </c>
      <c r="C26">
        <v>41.57</v>
      </c>
      <c r="D26">
        <v>41.91</v>
      </c>
      <c r="E26">
        <v>42.35</v>
      </c>
      <c r="F26">
        <v>41.65</v>
      </c>
      <c r="G26">
        <v>39.9</v>
      </c>
      <c r="H26">
        <v>40.39</v>
      </c>
      <c r="I26">
        <v>39.97</v>
      </c>
      <c r="J26">
        <v>40</v>
      </c>
      <c r="K26">
        <v>41.58</v>
      </c>
      <c r="L26">
        <v>41.9</v>
      </c>
      <c r="M26">
        <v>41.38</v>
      </c>
      <c r="N26">
        <v>41.89</v>
      </c>
      <c r="O26">
        <v>41.98</v>
      </c>
      <c r="P26">
        <v>42.12</v>
      </c>
      <c r="Q26">
        <v>41.74</v>
      </c>
      <c r="R26">
        <v>40.07</v>
      </c>
      <c r="S26">
        <v>40.49</v>
      </c>
      <c r="T26">
        <v>40.72</v>
      </c>
      <c r="U26">
        <v>41.35</v>
      </c>
      <c r="V26">
        <v>40.92</v>
      </c>
      <c r="W26">
        <v>43.22</v>
      </c>
      <c r="X26">
        <v>42.8</v>
      </c>
      <c r="Y26">
        <v>41.94</v>
      </c>
      <c r="Z26">
        <v>42.87</v>
      </c>
      <c r="AA26">
        <v>42.61</v>
      </c>
      <c r="AB26">
        <v>42.77</v>
      </c>
      <c r="AC26">
        <v>42.57</v>
      </c>
      <c r="AD26">
        <v>41.86</v>
      </c>
      <c r="AE26">
        <v>42.33</v>
      </c>
      <c r="AF26">
        <v>42.01</v>
      </c>
      <c r="AG26">
        <v>42.29</v>
      </c>
      <c r="AH26">
        <v>41.15</v>
      </c>
      <c r="AI26">
        <v>42.76</v>
      </c>
      <c r="AJ26">
        <v>42.13</v>
      </c>
      <c r="AK26">
        <v>43.2</v>
      </c>
      <c r="AL26">
        <v>44.65</v>
      </c>
      <c r="AM26">
        <v>43.96</v>
      </c>
      <c r="AN26">
        <v>42.94</v>
      </c>
      <c r="AO26">
        <v>42.73</v>
      </c>
      <c r="AP26">
        <v>43.67</v>
      </c>
      <c r="AQ26">
        <v>43.12</v>
      </c>
      <c r="AR26">
        <v>42.46</v>
      </c>
      <c r="AS26">
        <v>43.2</v>
      </c>
      <c r="AT26">
        <v>41.64</v>
      </c>
      <c r="AU26">
        <v>41.45</v>
      </c>
      <c r="AV26">
        <v>40.21</v>
      </c>
      <c r="AW26">
        <v>40.02</v>
      </c>
      <c r="AX26">
        <v>42.39</v>
      </c>
      <c r="AY26">
        <v>40.03</v>
      </c>
      <c r="AZ26">
        <v>40.56</v>
      </c>
      <c r="BA26">
        <v>41.66</v>
      </c>
      <c r="BB26">
        <v>41.76</v>
      </c>
      <c r="BC26">
        <v>41.03</v>
      </c>
      <c r="BD26">
        <v>39.61</v>
      </c>
      <c r="BE26">
        <v>40.43</v>
      </c>
      <c r="BF26">
        <v>39.77</v>
      </c>
      <c r="BG26">
        <v>40.02</v>
      </c>
      <c r="BH26">
        <v>41.84</v>
      </c>
      <c r="BI26">
        <v>42.82</v>
      </c>
      <c r="BJ26">
        <v>42.29</v>
      </c>
      <c r="BK26">
        <v>41.71</v>
      </c>
      <c r="BL26">
        <v>43.02</v>
      </c>
      <c r="BM26">
        <v>42.89</v>
      </c>
      <c r="BN26">
        <v>41.88</v>
      </c>
      <c r="BO26">
        <v>42.24</v>
      </c>
      <c r="BP26">
        <v>41.32</v>
      </c>
      <c r="BQ26">
        <v>41.19</v>
      </c>
      <c r="BR26">
        <v>40.95</v>
      </c>
      <c r="BS26">
        <v>40.07</v>
      </c>
      <c r="BT26">
        <v>41.33</v>
      </c>
      <c r="BU26">
        <v>43.59</v>
      </c>
      <c r="BV26">
        <v>40.49</v>
      </c>
      <c r="BW26">
        <v>41.09</v>
      </c>
      <c r="BX26">
        <v>41.48</v>
      </c>
      <c r="BY26">
        <v>42.52</v>
      </c>
      <c r="BZ26">
        <v>41.97</v>
      </c>
      <c r="CA26">
        <v>41.58</v>
      </c>
      <c r="CB26">
        <v>40.73</v>
      </c>
      <c r="CC26">
        <v>40.22</v>
      </c>
      <c r="CD26">
        <v>40.08</v>
      </c>
      <c r="CE26">
        <v>39.39</v>
      </c>
      <c r="CF26">
        <v>39.44</v>
      </c>
      <c r="CG26">
        <v>40.46</v>
      </c>
      <c r="CH26">
        <v>42.35</v>
      </c>
      <c r="CI26">
        <v>41.81</v>
      </c>
      <c r="CJ26">
        <v>43.39</v>
      </c>
      <c r="CK26">
        <v>42.39</v>
      </c>
      <c r="CL26">
        <v>40.53</v>
      </c>
      <c r="CM26">
        <v>40.04</v>
      </c>
      <c r="CN26">
        <v>38.84</v>
      </c>
      <c r="CO26">
        <v>38.82</v>
      </c>
      <c r="CP26">
        <v>38.76</v>
      </c>
      <c r="CQ26">
        <v>38.94</v>
      </c>
      <c r="CR26">
        <v>37.64</v>
      </c>
      <c r="CS26">
        <v>38.98</v>
      </c>
    </row>
    <row r="27" spans="1:97">
      <c r="A27" s="9">
        <v>46260</v>
      </c>
      <c r="B27">
        <v>38.6</v>
      </c>
      <c r="C27">
        <v>38.97</v>
      </c>
      <c r="D27">
        <v>40.02</v>
      </c>
      <c r="E27">
        <v>40.01</v>
      </c>
      <c r="F27">
        <v>40.29</v>
      </c>
      <c r="G27">
        <v>40.27</v>
      </c>
      <c r="H27">
        <v>39.28</v>
      </c>
      <c r="I27">
        <v>38.99</v>
      </c>
      <c r="J27">
        <v>39.01</v>
      </c>
      <c r="K27">
        <v>38.95</v>
      </c>
      <c r="L27">
        <v>38.95</v>
      </c>
      <c r="M27">
        <v>38.71</v>
      </c>
      <c r="N27">
        <v>39.42</v>
      </c>
      <c r="O27">
        <v>39.46</v>
      </c>
      <c r="P27">
        <v>41.27</v>
      </c>
      <c r="Q27">
        <v>40.61</v>
      </c>
      <c r="R27">
        <v>40.5</v>
      </c>
      <c r="S27">
        <v>39.42</v>
      </c>
      <c r="T27">
        <v>39.68</v>
      </c>
      <c r="U27">
        <v>39.7</v>
      </c>
      <c r="V27">
        <v>40.01</v>
      </c>
      <c r="W27">
        <v>40.9</v>
      </c>
      <c r="X27">
        <v>42.2</v>
      </c>
      <c r="Y27">
        <v>40.46</v>
      </c>
      <c r="Z27">
        <v>41.72</v>
      </c>
      <c r="AA27">
        <v>41.2</v>
      </c>
      <c r="AB27">
        <v>41.61</v>
      </c>
      <c r="AC27">
        <v>43.31</v>
      </c>
      <c r="AD27">
        <v>43.27</v>
      </c>
      <c r="AE27">
        <v>43.1</v>
      </c>
      <c r="AF27">
        <v>42.25</v>
      </c>
      <c r="AG27">
        <v>41.25</v>
      </c>
      <c r="AH27">
        <v>41.03</v>
      </c>
      <c r="AI27">
        <v>41.1</v>
      </c>
      <c r="AJ27">
        <v>41.83</v>
      </c>
      <c r="AK27">
        <v>42.33</v>
      </c>
      <c r="AL27">
        <v>41.86</v>
      </c>
      <c r="AM27">
        <v>42.88</v>
      </c>
      <c r="AN27">
        <v>42.86</v>
      </c>
      <c r="AO27">
        <v>43.73</v>
      </c>
      <c r="AP27">
        <v>43.87</v>
      </c>
      <c r="AQ27">
        <v>44.19</v>
      </c>
      <c r="AR27">
        <v>45.5</v>
      </c>
      <c r="AS27">
        <v>42.76</v>
      </c>
      <c r="AT27">
        <v>41.89</v>
      </c>
      <c r="AU27">
        <v>42.54</v>
      </c>
      <c r="AV27">
        <v>42.08</v>
      </c>
      <c r="AW27">
        <v>39.77</v>
      </c>
      <c r="AX27">
        <v>38.05</v>
      </c>
      <c r="AY27">
        <v>39.56</v>
      </c>
      <c r="AZ27">
        <v>38.56</v>
      </c>
      <c r="BA27">
        <v>40.13</v>
      </c>
      <c r="BB27">
        <v>40.98</v>
      </c>
      <c r="BC27">
        <v>41.24</v>
      </c>
      <c r="BD27">
        <v>38.85</v>
      </c>
      <c r="BE27">
        <v>38.85</v>
      </c>
      <c r="BF27">
        <v>40.56</v>
      </c>
      <c r="BG27">
        <v>39.17</v>
      </c>
      <c r="BH27">
        <v>37.72</v>
      </c>
      <c r="BI27">
        <v>37.37</v>
      </c>
      <c r="BJ27">
        <v>40.34</v>
      </c>
      <c r="BK27">
        <v>39.99</v>
      </c>
      <c r="BL27">
        <v>40.62</v>
      </c>
      <c r="BM27">
        <v>39.95</v>
      </c>
      <c r="BN27">
        <v>41.69</v>
      </c>
      <c r="BO27">
        <v>41.4</v>
      </c>
      <c r="BP27">
        <v>42.78</v>
      </c>
      <c r="BQ27">
        <v>41.63</v>
      </c>
      <c r="BR27">
        <v>41.63</v>
      </c>
      <c r="BS27">
        <v>41.75</v>
      </c>
      <c r="BT27">
        <v>41.4</v>
      </c>
      <c r="BU27">
        <v>39.61</v>
      </c>
      <c r="BV27">
        <v>41.73</v>
      </c>
      <c r="BW27">
        <v>41.28</v>
      </c>
      <c r="BX27">
        <v>41.3</v>
      </c>
      <c r="BY27">
        <v>40.72</v>
      </c>
      <c r="BZ27">
        <v>41.04</v>
      </c>
      <c r="CA27">
        <v>40.14</v>
      </c>
      <c r="CB27">
        <v>41.1</v>
      </c>
      <c r="CC27">
        <v>40.83</v>
      </c>
      <c r="CD27">
        <v>41.19</v>
      </c>
      <c r="CE27">
        <v>40.51</v>
      </c>
      <c r="CF27">
        <v>39.94</v>
      </c>
      <c r="CG27">
        <v>40.22</v>
      </c>
      <c r="CH27">
        <v>39.7</v>
      </c>
      <c r="CI27">
        <v>39.48</v>
      </c>
      <c r="CJ27">
        <v>40.08</v>
      </c>
      <c r="CK27">
        <v>38.93</v>
      </c>
      <c r="CL27">
        <v>40.31</v>
      </c>
      <c r="CM27">
        <v>41.19</v>
      </c>
      <c r="CN27">
        <v>41.15</v>
      </c>
      <c r="CO27">
        <v>40.72</v>
      </c>
      <c r="CP27">
        <v>40.9</v>
      </c>
      <c r="CQ27">
        <v>40.71</v>
      </c>
      <c r="CR27">
        <v>40.22</v>
      </c>
      <c r="CS27">
        <v>40.05</v>
      </c>
    </row>
    <row r="28" spans="1:97">
      <c r="A28" s="9">
        <v>46261</v>
      </c>
      <c r="B28">
        <v>39.62</v>
      </c>
      <c r="C28">
        <v>39.42</v>
      </c>
      <c r="D28">
        <v>39.11</v>
      </c>
      <c r="E28">
        <v>38.78</v>
      </c>
      <c r="F28">
        <v>39.06</v>
      </c>
      <c r="G28">
        <v>39.28</v>
      </c>
      <c r="H28">
        <v>40.3</v>
      </c>
      <c r="I28">
        <v>41.5</v>
      </c>
      <c r="J28">
        <v>40.12</v>
      </c>
      <c r="K28">
        <v>40.02</v>
      </c>
      <c r="L28">
        <v>39.61</v>
      </c>
      <c r="M28">
        <v>39.21</v>
      </c>
      <c r="N28">
        <v>39.84</v>
      </c>
      <c r="O28">
        <v>39.76</v>
      </c>
      <c r="P28">
        <v>39.75</v>
      </c>
      <c r="Q28">
        <v>40.22</v>
      </c>
      <c r="R28">
        <v>39.77</v>
      </c>
      <c r="S28">
        <v>39.86</v>
      </c>
      <c r="T28">
        <v>40.66</v>
      </c>
      <c r="U28">
        <v>41.05</v>
      </c>
      <c r="V28">
        <v>41.56</v>
      </c>
      <c r="W28">
        <v>41.96</v>
      </c>
      <c r="X28">
        <v>41.4</v>
      </c>
      <c r="Y28">
        <v>40.64</v>
      </c>
      <c r="Z28">
        <v>40.65</v>
      </c>
      <c r="AA28">
        <v>40.28</v>
      </c>
      <c r="AB28">
        <v>39.88</v>
      </c>
      <c r="AC28">
        <v>40.31</v>
      </c>
      <c r="AD28">
        <v>40.1</v>
      </c>
      <c r="AE28">
        <v>40.64</v>
      </c>
      <c r="AF28">
        <v>41.1</v>
      </c>
      <c r="AG28">
        <v>41.31</v>
      </c>
      <c r="AH28">
        <v>41.82</v>
      </c>
      <c r="AI28">
        <v>42.03</v>
      </c>
      <c r="AJ28">
        <v>41.51</v>
      </c>
      <c r="AK28">
        <v>41.1</v>
      </c>
      <c r="AL28">
        <v>42.29</v>
      </c>
      <c r="AM28">
        <v>40.99</v>
      </c>
      <c r="AN28">
        <v>39.53</v>
      </c>
      <c r="AO28">
        <v>40.06</v>
      </c>
      <c r="AP28">
        <v>40.05</v>
      </c>
      <c r="AQ28">
        <v>37.96</v>
      </c>
      <c r="AR28">
        <v>39.57</v>
      </c>
      <c r="AS28">
        <v>39.47</v>
      </c>
      <c r="AT28">
        <v>40.04</v>
      </c>
      <c r="AU28">
        <v>44.19</v>
      </c>
      <c r="AV28">
        <v>42.77</v>
      </c>
      <c r="AW28">
        <v>40.3</v>
      </c>
      <c r="AX28">
        <v>39.97</v>
      </c>
      <c r="AY28">
        <v>40.05</v>
      </c>
      <c r="AZ28">
        <v>39.67</v>
      </c>
      <c r="BA28">
        <v>39.49</v>
      </c>
      <c r="BB28">
        <v>38.44</v>
      </c>
      <c r="BC28">
        <v>40.39</v>
      </c>
      <c r="BD28">
        <v>37.85</v>
      </c>
      <c r="BE28">
        <v>35.38</v>
      </c>
      <c r="BF28">
        <v>36.72</v>
      </c>
      <c r="BG28">
        <v>39.3</v>
      </c>
      <c r="BH28">
        <v>41</v>
      </c>
      <c r="BI28">
        <v>41.63</v>
      </c>
      <c r="BJ28">
        <v>40.93</v>
      </c>
      <c r="BK28">
        <v>40.76</v>
      </c>
      <c r="BL28">
        <v>41.18</v>
      </c>
      <c r="BM28">
        <v>42.06</v>
      </c>
      <c r="BN28">
        <v>40.7</v>
      </c>
      <c r="BO28">
        <v>40.6</v>
      </c>
      <c r="BP28">
        <v>40.48</v>
      </c>
      <c r="BQ28">
        <v>41.12</v>
      </c>
      <c r="BR28">
        <v>41.95</v>
      </c>
      <c r="BS28">
        <v>42.16</v>
      </c>
      <c r="BT28">
        <v>42.99</v>
      </c>
      <c r="BU28">
        <v>41.23</v>
      </c>
      <c r="BV28">
        <v>41.79</v>
      </c>
      <c r="BW28">
        <v>41.92</v>
      </c>
      <c r="BX28">
        <v>41.5</v>
      </c>
      <c r="BY28">
        <v>41.48</v>
      </c>
      <c r="BZ28">
        <v>41.4</v>
      </c>
      <c r="CA28">
        <v>40.67</v>
      </c>
      <c r="CB28">
        <v>39.85</v>
      </c>
      <c r="CC28">
        <v>38.93</v>
      </c>
      <c r="CD28">
        <v>39.26</v>
      </c>
      <c r="CE28">
        <v>41.7</v>
      </c>
      <c r="CF28">
        <v>41.29</v>
      </c>
      <c r="CG28">
        <v>41.28</v>
      </c>
      <c r="CH28">
        <v>39.68</v>
      </c>
      <c r="CI28">
        <v>39.14</v>
      </c>
      <c r="CJ28">
        <v>39.36</v>
      </c>
      <c r="CK28">
        <v>38.42</v>
      </c>
      <c r="CL28">
        <v>39.04</v>
      </c>
      <c r="CM28">
        <v>38.66</v>
      </c>
      <c r="CN28">
        <v>37.62</v>
      </c>
      <c r="CO28">
        <v>38.59</v>
      </c>
      <c r="CP28">
        <v>39.36</v>
      </c>
      <c r="CQ28">
        <v>39.59</v>
      </c>
      <c r="CR28">
        <v>40.83</v>
      </c>
      <c r="CS28">
        <v>40.05</v>
      </c>
    </row>
    <row r="29" spans="1:97">
      <c r="A29" s="9">
        <v>46262</v>
      </c>
      <c r="B29">
        <v>39.42</v>
      </c>
      <c r="C29">
        <v>39</v>
      </c>
      <c r="D29">
        <v>39.09</v>
      </c>
      <c r="E29">
        <v>38.76</v>
      </c>
      <c r="F29">
        <v>38.5</v>
      </c>
      <c r="G29">
        <v>38.85</v>
      </c>
      <c r="H29">
        <v>39.5</v>
      </c>
      <c r="I29">
        <v>39.59</v>
      </c>
      <c r="J29">
        <v>39.41</v>
      </c>
      <c r="K29">
        <v>38.92</v>
      </c>
      <c r="L29">
        <v>39.04</v>
      </c>
      <c r="M29">
        <v>39.1</v>
      </c>
      <c r="N29">
        <v>40.15</v>
      </c>
      <c r="O29">
        <v>40.5</v>
      </c>
      <c r="P29">
        <v>40.93</v>
      </c>
      <c r="Q29">
        <v>40.91</v>
      </c>
      <c r="R29">
        <v>40.84</v>
      </c>
      <c r="S29">
        <v>40.23</v>
      </c>
      <c r="T29">
        <v>39.85</v>
      </c>
      <c r="U29">
        <v>39.49</v>
      </c>
      <c r="V29">
        <v>39.13</v>
      </c>
      <c r="W29">
        <v>39.5</v>
      </c>
      <c r="X29">
        <v>39.81</v>
      </c>
      <c r="Y29">
        <v>40.24</v>
      </c>
      <c r="Z29">
        <v>41.11</v>
      </c>
      <c r="AA29">
        <v>42.15</v>
      </c>
      <c r="AB29">
        <v>41.46</v>
      </c>
      <c r="AC29">
        <v>40.66</v>
      </c>
      <c r="AD29">
        <v>40.58</v>
      </c>
      <c r="AE29">
        <v>40.4</v>
      </c>
      <c r="AF29">
        <v>39.89</v>
      </c>
      <c r="AG29">
        <v>40.54</v>
      </c>
      <c r="AH29">
        <v>40.75</v>
      </c>
      <c r="AI29">
        <v>41.79</v>
      </c>
      <c r="AJ29">
        <v>41.77</v>
      </c>
      <c r="AK29">
        <v>41.98</v>
      </c>
      <c r="AL29">
        <v>42.3</v>
      </c>
      <c r="AM29">
        <v>41.53</v>
      </c>
      <c r="AN29">
        <v>42.15</v>
      </c>
      <c r="AO29">
        <v>39.61</v>
      </c>
      <c r="AP29">
        <v>41.08</v>
      </c>
      <c r="AQ29">
        <v>41.27</v>
      </c>
      <c r="AR29">
        <v>40.9</v>
      </c>
      <c r="AS29">
        <v>40.74</v>
      </c>
      <c r="AT29">
        <v>41.08</v>
      </c>
      <c r="AU29">
        <v>41.81</v>
      </c>
      <c r="AV29">
        <v>41.12</v>
      </c>
      <c r="AW29">
        <v>39.9</v>
      </c>
      <c r="AX29">
        <v>40.7</v>
      </c>
      <c r="AY29">
        <v>41.02</v>
      </c>
      <c r="AZ29">
        <v>40</v>
      </c>
      <c r="BA29">
        <v>42.86</v>
      </c>
      <c r="BB29">
        <v>44.05</v>
      </c>
      <c r="BC29">
        <v>42.38</v>
      </c>
      <c r="BD29">
        <v>42</v>
      </c>
      <c r="BE29">
        <v>43.01</v>
      </c>
      <c r="BF29">
        <v>42.29</v>
      </c>
      <c r="BG29">
        <v>41.98</v>
      </c>
      <c r="BH29">
        <v>40.84</v>
      </c>
      <c r="BI29">
        <v>40.79</v>
      </c>
      <c r="BJ29">
        <v>40.91</v>
      </c>
      <c r="BK29">
        <v>42.29</v>
      </c>
      <c r="BL29">
        <v>44.73</v>
      </c>
      <c r="BM29">
        <v>44.99</v>
      </c>
      <c r="BN29">
        <v>44.51</v>
      </c>
      <c r="BO29">
        <v>44.73</v>
      </c>
      <c r="BP29">
        <v>43.7</v>
      </c>
      <c r="BQ29">
        <v>42.42</v>
      </c>
      <c r="BR29">
        <v>40.59</v>
      </c>
      <c r="BS29">
        <v>40.61</v>
      </c>
      <c r="BT29">
        <v>39.28</v>
      </c>
      <c r="BU29">
        <v>39.81</v>
      </c>
      <c r="BV29">
        <v>38.91</v>
      </c>
      <c r="BW29">
        <v>40.83</v>
      </c>
      <c r="BX29">
        <v>41.53</v>
      </c>
      <c r="BY29">
        <v>41.98</v>
      </c>
      <c r="BZ29">
        <v>40.95</v>
      </c>
      <c r="CA29">
        <v>41.31</v>
      </c>
      <c r="CB29">
        <v>40.46</v>
      </c>
      <c r="CC29">
        <v>39.56</v>
      </c>
      <c r="CD29">
        <v>38.67</v>
      </c>
      <c r="CE29">
        <v>38.35</v>
      </c>
      <c r="CF29">
        <v>38.55</v>
      </c>
      <c r="CG29">
        <v>37.41</v>
      </c>
      <c r="CH29">
        <v>37.41</v>
      </c>
      <c r="CI29">
        <v>37.41</v>
      </c>
      <c r="CJ29">
        <v>39.61</v>
      </c>
      <c r="CK29">
        <v>39.86</v>
      </c>
      <c r="CL29">
        <v>40.31</v>
      </c>
      <c r="CM29">
        <v>41.11</v>
      </c>
      <c r="CN29">
        <v>40.33</v>
      </c>
      <c r="CO29">
        <v>39.7</v>
      </c>
      <c r="CP29">
        <v>38.19</v>
      </c>
      <c r="CQ29">
        <v>38.32</v>
      </c>
      <c r="CR29">
        <v>37.84</v>
      </c>
      <c r="CS29">
        <v>37.22</v>
      </c>
    </row>
    <row r="30" spans="1:97">
      <c r="A30" s="9">
        <v>46263</v>
      </c>
      <c r="B30">
        <v>38.39</v>
      </c>
      <c r="C30">
        <v>37.38</v>
      </c>
      <c r="D30">
        <v>37.12</v>
      </c>
      <c r="E30">
        <v>36.64</v>
      </c>
      <c r="F30">
        <v>39.03</v>
      </c>
      <c r="G30">
        <v>38.55</v>
      </c>
      <c r="H30">
        <v>38.78</v>
      </c>
      <c r="I30">
        <v>38.47</v>
      </c>
      <c r="J30">
        <v>38</v>
      </c>
      <c r="K30">
        <v>37.77</v>
      </c>
      <c r="L30">
        <v>37.7</v>
      </c>
      <c r="M30">
        <v>37.65</v>
      </c>
      <c r="N30">
        <v>37.72</v>
      </c>
      <c r="O30">
        <v>37.7</v>
      </c>
      <c r="P30">
        <v>38.17</v>
      </c>
      <c r="Q30">
        <v>37.37</v>
      </c>
      <c r="R30">
        <v>38.86</v>
      </c>
      <c r="S30">
        <v>39.14</v>
      </c>
      <c r="T30">
        <v>39.12</v>
      </c>
      <c r="U30">
        <v>39.37</v>
      </c>
      <c r="V30">
        <v>39.03</v>
      </c>
      <c r="W30">
        <v>37.89</v>
      </c>
      <c r="X30">
        <v>38.02</v>
      </c>
      <c r="Y30">
        <v>37.5</v>
      </c>
      <c r="Z30">
        <v>37.29</v>
      </c>
      <c r="AA30">
        <v>36.72</v>
      </c>
      <c r="AB30">
        <v>35.77</v>
      </c>
      <c r="AC30">
        <v>37</v>
      </c>
      <c r="AD30">
        <v>38.6</v>
      </c>
      <c r="AE30">
        <v>40.73</v>
      </c>
      <c r="AF30">
        <v>41.22</v>
      </c>
      <c r="AG30">
        <v>40.87</v>
      </c>
      <c r="AH30">
        <v>41.01</v>
      </c>
      <c r="AI30">
        <v>39.7</v>
      </c>
      <c r="AJ30">
        <v>40.37</v>
      </c>
      <c r="AK30">
        <v>37.99</v>
      </c>
      <c r="AL30">
        <v>36.14</v>
      </c>
      <c r="AM30">
        <v>34.97</v>
      </c>
      <c r="AN30">
        <v>34.76</v>
      </c>
      <c r="AO30">
        <v>34.52</v>
      </c>
      <c r="AP30">
        <v>33.64</v>
      </c>
      <c r="AQ30">
        <v>37.21</v>
      </c>
      <c r="AR30">
        <v>38.43</v>
      </c>
      <c r="AS30">
        <v>38.12</v>
      </c>
      <c r="AT30">
        <v>37.57</v>
      </c>
      <c r="AU30">
        <v>36.09</v>
      </c>
      <c r="AV30">
        <v>39.39</v>
      </c>
      <c r="AW30">
        <v>36.99</v>
      </c>
      <c r="AX30">
        <v>38.58</v>
      </c>
      <c r="AY30">
        <v>37.51</v>
      </c>
      <c r="AZ30">
        <v>35.08</v>
      </c>
      <c r="BA30">
        <v>36.06</v>
      </c>
      <c r="BB30">
        <v>35.25</v>
      </c>
      <c r="BC30">
        <v>37.58</v>
      </c>
      <c r="BD30">
        <v>37.5</v>
      </c>
      <c r="BE30">
        <v>37.13</v>
      </c>
      <c r="BF30">
        <v>37.64</v>
      </c>
      <c r="BG30">
        <v>36.22</v>
      </c>
      <c r="BH30">
        <v>36.77</v>
      </c>
      <c r="BI30">
        <v>37.52</v>
      </c>
      <c r="BJ30">
        <v>36.47</v>
      </c>
      <c r="BK30">
        <v>38.67</v>
      </c>
      <c r="BL30">
        <v>37.12</v>
      </c>
      <c r="BM30">
        <v>35.74</v>
      </c>
      <c r="BN30">
        <v>34.33</v>
      </c>
      <c r="BO30">
        <v>34.5</v>
      </c>
      <c r="BP30">
        <v>36.41</v>
      </c>
      <c r="BQ30">
        <v>37.91</v>
      </c>
      <c r="BR30">
        <v>37.51</v>
      </c>
      <c r="BS30">
        <v>37</v>
      </c>
      <c r="BT30">
        <v>36.71</v>
      </c>
      <c r="BU30">
        <v>38.06</v>
      </c>
      <c r="BV30">
        <v>37.17</v>
      </c>
      <c r="BW30">
        <v>37.47</v>
      </c>
      <c r="BX30">
        <v>37.74</v>
      </c>
      <c r="BY30">
        <v>36.64</v>
      </c>
      <c r="BZ30">
        <v>36.62</v>
      </c>
      <c r="CA30">
        <v>37.61</v>
      </c>
      <c r="CB30">
        <v>36.27</v>
      </c>
      <c r="CC30">
        <v>37.91</v>
      </c>
      <c r="CD30">
        <v>37.7</v>
      </c>
      <c r="CE30">
        <v>37.83</v>
      </c>
      <c r="CF30">
        <v>37.43</v>
      </c>
      <c r="CG30">
        <v>36.4</v>
      </c>
      <c r="CH30">
        <v>36.71</v>
      </c>
      <c r="CI30">
        <v>36.7</v>
      </c>
      <c r="CJ30">
        <v>37.42</v>
      </c>
      <c r="CK30">
        <v>36.1</v>
      </c>
      <c r="CL30">
        <v>36.22</v>
      </c>
      <c r="CM30">
        <v>36.07</v>
      </c>
      <c r="CN30">
        <v>36.35</v>
      </c>
      <c r="CO30">
        <v>37.39</v>
      </c>
      <c r="CP30">
        <v>38.01</v>
      </c>
      <c r="CQ30">
        <v>37.85</v>
      </c>
      <c r="CR30">
        <v>36.67</v>
      </c>
      <c r="CS30">
        <v>37.34</v>
      </c>
    </row>
    <row r="31" spans="1:97">
      <c r="A31" s="9">
        <v>46264</v>
      </c>
      <c r="B31">
        <v>36.74</v>
      </c>
      <c r="C31">
        <v>36.9</v>
      </c>
      <c r="D31">
        <v>36.86</v>
      </c>
      <c r="E31">
        <v>36.96</v>
      </c>
      <c r="F31">
        <v>36.5</v>
      </c>
      <c r="G31">
        <v>36.67</v>
      </c>
      <c r="H31">
        <v>36.45</v>
      </c>
      <c r="I31">
        <v>37.18</v>
      </c>
      <c r="J31">
        <v>37.34</v>
      </c>
      <c r="K31">
        <v>37.32</v>
      </c>
      <c r="L31">
        <v>37.09</v>
      </c>
      <c r="M31">
        <v>37.72</v>
      </c>
      <c r="N31">
        <v>38.08</v>
      </c>
      <c r="O31">
        <v>37.15</v>
      </c>
      <c r="P31">
        <v>36.53</v>
      </c>
      <c r="Q31">
        <v>36.12</v>
      </c>
      <c r="R31">
        <v>36.09</v>
      </c>
      <c r="S31">
        <v>35.82</v>
      </c>
      <c r="T31">
        <v>36.44</v>
      </c>
      <c r="U31">
        <v>36.31</v>
      </c>
      <c r="V31">
        <v>35.83</v>
      </c>
      <c r="W31">
        <v>37.76</v>
      </c>
      <c r="X31">
        <v>38.29</v>
      </c>
      <c r="Y31">
        <v>38.03</v>
      </c>
      <c r="Z31">
        <v>37.51</v>
      </c>
      <c r="AA31">
        <v>37.51</v>
      </c>
      <c r="AB31">
        <v>37.67</v>
      </c>
      <c r="AC31">
        <v>37.37</v>
      </c>
      <c r="AD31">
        <v>36.98</v>
      </c>
      <c r="AE31">
        <v>37.14</v>
      </c>
      <c r="AF31">
        <v>37.35</v>
      </c>
      <c r="AG31">
        <v>37.04</v>
      </c>
      <c r="AH31">
        <v>37.55</v>
      </c>
      <c r="AI31">
        <v>39.66</v>
      </c>
      <c r="AJ31">
        <v>41.87</v>
      </c>
      <c r="AK31">
        <v>43.26</v>
      </c>
      <c r="AL31">
        <v>40.99</v>
      </c>
      <c r="AM31">
        <v>42.65</v>
      </c>
      <c r="AN31">
        <v>42.18</v>
      </c>
      <c r="AO31">
        <v>41.94</v>
      </c>
      <c r="AP31">
        <v>41.42</v>
      </c>
      <c r="AQ31">
        <v>40.76</v>
      </c>
      <c r="AR31">
        <v>41.02</v>
      </c>
      <c r="AS31">
        <v>41.11</v>
      </c>
      <c r="AT31">
        <v>39.3</v>
      </c>
      <c r="AU31">
        <v>40.08</v>
      </c>
      <c r="AV31">
        <v>39.77</v>
      </c>
      <c r="AW31">
        <v>39.95</v>
      </c>
      <c r="AX31">
        <v>42.66</v>
      </c>
      <c r="AY31">
        <v>42.54</v>
      </c>
      <c r="AZ31">
        <v>40.17</v>
      </c>
      <c r="BA31">
        <v>40.31</v>
      </c>
      <c r="BB31">
        <v>40.33</v>
      </c>
      <c r="BC31">
        <v>39.45</v>
      </c>
      <c r="BD31">
        <v>38.94</v>
      </c>
      <c r="BE31">
        <v>38.84</v>
      </c>
      <c r="BF31">
        <v>39.99</v>
      </c>
      <c r="BG31">
        <v>38.77</v>
      </c>
      <c r="BH31">
        <v>38.87</v>
      </c>
      <c r="BI31">
        <v>39.97</v>
      </c>
      <c r="BJ31">
        <v>39.42</v>
      </c>
      <c r="BK31">
        <v>39.8</v>
      </c>
      <c r="BL31">
        <v>42.05</v>
      </c>
      <c r="BM31">
        <v>40.88</v>
      </c>
      <c r="BN31">
        <v>40.68</v>
      </c>
      <c r="BO31">
        <v>39.31</v>
      </c>
      <c r="BP31">
        <v>40.56</v>
      </c>
      <c r="BQ31">
        <v>40.8</v>
      </c>
      <c r="BR31">
        <v>38.91</v>
      </c>
      <c r="BS31">
        <v>39.2</v>
      </c>
      <c r="BT31">
        <v>39.61</v>
      </c>
      <c r="BU31">
        <v>40.35</v>
      </c>
      <c r="BV31">
        <v>40.88</v>
      </c>
      <c r="BW31">
        <v>40.68</v>
      </c>
      <c r="BX31">
        <v>42.07</v>
      </c>
      <c r="BY31">
        <v>41.2</v>
      </c>
      <c r="BZ31">
        <v>40.55</v>
      </c>
      <c r="CA31">
        <v>40.1</v>
      </c>
      <c r="CB31">
        <v>40.09</v>
      </c>
      <c r="CC31">
        <v>39.95</v>
      </c>
      <c r="CD31">
        <v>39.94</v>
      </c>
      <c r="CE31">
        <v>39.45</v>
      </c>
      <c r="CF31">
        <v>39.71</v>
      </c>
      <c r="CG31">
        <v>39.55</v>
      </c>
      <c r="CH31">
        <v>40.84</v>
      </c>
      <c r="CI31">
        <v>40.91</v>
      </c>
      <c r="CJ31">
        <v>40.89</v>
      </c>
      <c r="CK31">
        <v>40.99</v>
      </c>
      <c r="CL31">
        <v>39.83</v>
      </c>
      <c r="CM31">
        <v>40.02</v>
      </c>
      <c r="CN31">
        <v>39.07</v>
      </c>
      <c r="CO31">
        <v>39.02</v>
      </c>
      <c r="CP31">
        <v>39.5</v>
      </c>
      <c r="CQ31">
        <v>39.78</v>
      </c>
      <c r="CR31">
        <v>39.85</v>
      </c>
      <c r="CS31">
        <v>39.2</v>
      </c>
    </row>
    <row r="32" spans="1:97">
      <c r="A32" s="9">
        <v>46265</v>
      </c>
      <c r="B32">
        <v>39.57</v>
      </c>
      <c r="C32">
        <v>40.3</v>
      </c>
      <c r="D32">
        <v>40.91</v>
      </c>
      <c r="E32">
        <v>40.24</v>
      </c>
      <c r="F32">
        <v>40.2</v>
      </c>
      <c r="G32">
        <v>39.64</v>
      </c>
      <c r="H32">
        <v>39.62</v>
      </c>
      <c r="I32">
        <v>39.81</v>
      </c>
      <c r="J32">
        <v>39.28</v>
      </c>
      <c r="K32">
        <v>39.08</v>
      </c>
      <c r="L32">
        <v>39.34</v>
      </c>
      <c r="M32">
        <v>40.52</v>
      </c>
      <c r="N32">
        <v>39.2</v>
      </c>
      <c r="O32">
        <v>40.33</v>
      </c>
      <c r="P32">
        <v>40.62</v>
      </c>
      <c r="Q32">
        <v>40.93</v>
      </c>
      <c r="R32">
        <v>41.2</v>
      </c>
      <c r="S32">
        <v>40.67</v>
      </c>
      <c r="T32">
        <v>40.01</v>
      </c>
      <c r="U32">
        <v>40.14</v>
      </c>
      <c r="V32">
        <v>40.07</v>
      </c>
      <c r="W32">
        <v>40.14</v>
      </c>
      <c r="X32">
        <v>40.68</v>
      </c>
      <c r="Y32">
        <v>40.59</v>
      </c>
      <c r="Z32">
        <v>40.57</v>
      </c>
      <c r="AA32">
        <v>40.12</v>
      </c>
      <c r="AB32">
        <v>40.74</v>
      </c>
      <c r="AC32">
        <v>42.07</v>
      </c>
      <c r="AD32">
        <v>41.76</v>
      </c>
      <c r="AE32">
        <v>41.94</v>
      </c>
      <c r="AF32">
        <v>42.28</v>
      </c>
      <c r="AG32">
        <v>42.4</v>
      </c>
      <c r="AH32">
        <v>40.72</v>
      </c>
      <c r="AI32">
        <v>40.75</v>
      </c>
      <c r="AJ32">
        <v>40.08</v>
      </c>
      <c r="AK32">
        <v>38.45</v>
      </c>
      <c r="AL32">
        <v>39.38</v>
      </c>
      <c r="AM32">
        <v>41.61</v>
      </c>
      <c r="AN32">
        <v>41.67</v>
      </c>
      <c r="AO32">
        <v>41.14</v>
      </c>
      <c r="AP32">
        <v>39.53</v>
      </c>
      <c r="AQ32">
        <v>39.91</v>
      </c>
      <c r="AR32">
        <v>40.92</v>
      </c>
      <c r="AS32">
        <v>41.34</v>
      </c>
      <c r="AT32">
        <v>38.52</v>
      </c>
      <c r="AU32">
        <v>38.58</v>
      </c>
      <c r="AV32">
        <v>38.99</v>
      </c>
      <c r="AW32">
        <v>39.56</v>
      </c>
      <c r="AX32">
        <v>37.61</v>
      </c>
      <c r="AY32">
        <v>38.87</v>
      </c>
      <c r="AZ32">
        <v>38.9</v>
      </c>
      <c r="BA32">
        <v>39.66</v>
      </c>
      <c r="BB32">
        <v>41.88</v>
      </c>
      <c r="BC32">
        <v>40.78</v>
      </c>
      <c r="BD32">
        <v>39.43</v>
      </c>
      <c r="BE32">
        <v>40.07</v>
      </c>
      <c r="BF32">
        <v>37.4</v>
      </c>
      <c r="BG32">
        <v>38.28</v>
      </c>
      <c r="BH32">
        <v>39.8</v>
      </c>
      <c r="BI32">
        <v>40.35</v>
      </c>
      <c r="BJ32">
        <v>40.01</v>
      </c>
      <c r="BK32">
        <v>39.65</v>
      </c>
      <c r="BL32">
        <v>40.77</v>
      </c>
      <c r="BM32">
        <v>39.11</v>
      </c>
      <c r="BN32">
        <v>40.27</v>
      </c>
      <c r="BO32">
        <v>40.33</v>
      </c>
      <c r="BP32">
        <v>40.31</v>
      </c>
      <c r="BQ32">
        <v>40.68</v>
      </c>
      <c r="BR32">
        <v>43.31</v>
      </c>
      <c r="BS32">
        <v>42.05</v>
      </c>
      <c r="BT32">
        <v>42.24</v>
      </c>
      <c r="BU32">
        <v>41.41</v>
      </c>
      <c r="BV32">
        <v>41.16</v>
      </c>
      <c r="BW32">
        <v>41.61</v>
      </c>
      <c r="BX32">
        <v>41.58</v>
      </c>
      <c r="BY32">
        <v>42.34</v>
      </c>
      <c r="BZ32">
        <v>40.96</v>
      </c>
      <c r="CA32">
        <v>42.71</v>
      </c>
      <c r="CB32">
        <v>42.48</v>
      </c>
      <c r="CC32">
        <v>41.98</v>
      </c>
      <c r="CD32">
        <v>42.22</v>
      </c>
      <c r="CE32">
        <v>40.83</v>
      </c>
      <c r="CF32">
        <v>41.39</v>
      </c>
      <c r="CG32">
        <v>41.16</v>
      </c>
      <c r="CH32">
        <v>41.21</v>
      </c>
      <c r="CI32">
        <v>41.71</v>
      </c>
      <c r="CJ32">
        <v>40.32</v>
      </c>
      <c r="CK32">
        <v>40.2</v>
      </c>
      <c r="CL32">
        <v>40.77</v>
      </c>
      <c r="CM32">
        <v>41.09</v>
      </c>
      <c r="CN32">
        <v>42.5</v>
      </c>
      <c r="CO32">
        <v>42.36</v>
      </c>
      <c r="CP32">
        <v>43.04</v>
      </c>
      <c r="CQ32">
        <v>42.49</v>
      </c>
      <c r="CR32">
        <v>41.43</v>
      </c>
      <c r="CS32">
        <v>41.24</v>
      </c>
    </row>
  </sheetData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CS32"/>
  <sheetViews>
    <sheetView workbookViewId="0">
      <selection activeCell="A2" sqref="$A2:$XFD2"/>
    </sheetView>
  </sheetViews>
  <sheetFormatPr defaultColWidth="8.89166666666667" defaultRowHeight="13.5"/>
  <cols>
    <col min="1" max="1" width="11.8916666666667" style="9" customWidth="1"/>
  </cols>
  <sheetData>
    <row r="1" spans="1:97">
      <c r="A1" s="9" t="s">
        <v>0</v>
      </c>
      <c r="B1" s="1">
        <v>0.0104166666666667</v>
      </c>
      <c r="C1" s="1">
        <v>0.0208333333333333</v>
      </c>
      <c r="D1" s="1">
        <v>0.03125</v>
      </c>
      <c r="E1" s="1">
        <v>0.0416666666666667</v>
      </c>
      <c r="F1" s="1">
        <v>0.0520833333333333</v>
      </c>
      <c r="G1" s="1">
        <v>0.0625</v>
      </c>
      <c r="H1" s="1">
        <v>0.0729166666666667</v>
      </c>
      <c r="I1" s="1">
        <v>0.0833333333333333</v>
      </c>
      <c r="J1" s="1">
        <v>0.09375</v>
      </c>
      <c r="K1" s="1">
        <v>0.104166666666667</v>
      </c>
      <c r="L1" s="1">
        <v>0.114583333333333</v>
      </c>
      <c r="M1" s="1">
        <v>0.125</v>
      </c>
      <c r="N1" s="1">
        <v>0.135416666666667</v>
      </c>
      <c r="O1" s="1">
        <v>0.145833333333333</v>
      </c>
      <c r="P1" s="1">
        <v>0.15625</v>
      </c>
      <c r="Q1" s="1">
        <v>0.166666666666667</v>
      </c>
      <c r="R1" s="1">
        <v>0.177083333333333</v>
      </c>
      <c r="S1" s="1">
        <v>0.1875</v>
      </c>
      <c r="T1" s="1">
        <v>0.197916666666667</v>
      </c>
      <c r="U1" s="1">
        <v>0.208333333333333</v>
      </c>
      <c r="V1" s="1">
        <v>0.21875</v>
      </c>
      <c r="W1" s="1">
        <v>0.229166666666667</v>
      </c>
      <c r="X1" s="1">
        <v>0.239583333333333</v>
      </c>
      <c r="Y1" s="1">
        <v>0.25</v>
      </c>
      <c r="Z1" s="1">
        <v>0.260416666666667</v>
      </c>
      <c r="AA1" s="1">
        <v>0.270833333333333</v>
      </c>
      <c r="AB1" s="1">
        <v>0.28125</v>
      </c>
      <c r="AC1" s="1">
        <v>0.291666666666667</v>
      </c>
      <c r="AD1" s="1">
        <v>0.302083333333333</v>
      </c>
      <c r="AE1" s="1">
        <v>0.3125</v>
      </c>
      <c r="AF1" s="1">
        <v>0.322916666666667</v>
      </c>
      <c r="AG1" s="1">
        <v>0.333333333333333</v>
      </c>
      <c r="AH1" s="1">
        <v>0.34375</v>
      </c>
      <c r="AI1" s="1">
        <v>0.354166666666667</v>
      </c>
      <c r="AJ1" s="1">
        <v>0.364583333333333</v>
      </c>
      <c r="AK1" s="1">
        <v>0.375</v>
      </c>
      <c r="AL1" s="1">
        <v>0.385416666666667</v>
      </c>
      <c r="AM1" s="1">
        <v>0.395833333333333</v>
      </c>
      <c r="AN1" s="1">
        <v>0.40625</v>
      </c>
      <c r="AO1" s="1">
        <v>0.416666666666667</v>
      </c>
      <c r="AP1" s="1">
        <v>0.427083333333333</v>
      </c>
      <c r="AQ1" s="1">
        <v>0.4375</v>
      </c>
      <c r="AR1" s="1">
        <v>0.447916666666667</v>
      </c>
      <c r="AS1" s="1">
        <v>0.458333333333333</v>
      </c>
      <c r="AT1" s="1">
        <v>0.46875</v>
      </c>
      <c r="AU1" s="1">
        <v>0.479166666666667</v>
      </c>
      <c r="AV1" s="1">
        <v>0.489583333333333</v>
      </c>
      <c r="AW1" s="1">
        <v>0.5</v>
      </c>
      <c r="AX1" s="1">
        <v>0.510416666666667</v>
      </c>
      <c r="AY1" s="1">
        <v>0.520833333333333</v>
      </c>
      <c r="AZ1" s="1">
        <v>0.53125</v>
      </c>
      <c r="BA1" s="1">
        <v>0.541666666666667</v>
      </c>
      <c r="BB1" s="1">
        <v>0.552083333333333</v>
      </c>
      <c r="BC1" s="1">
        <v>0.5625</v>
      </c>
      <c r="BD1" s="1">
        <v>0.572916666666667</v>
      </c>
      <c r="BE1" s="1">
        <v>0.583333333333333</v>
      </c>
      <c r="BF1" s="1">
        <v>0.59375</v>
      </c>
      <c r="BG1" s="1">
        <v>0.604166666666667</v>
      </c>
      <c r="BH1" s="1">
        <v>0.614583333333333</v>
      </c>
      <c r="BI1" s="1">
        <v>0.625</v>
      </c>
      <c r="BJ1" s="1">
        <v>0.635416666666667</v>
      </c>
      <c r="BK1" s="1">
        <v>0.645833333333333</v>
      </c>
      <c r="BL1" s="1">
        <v>0.65625</v>
      </c>
      <c r="BM1" s="1">
        <v>0.666666666666667</v>
      </c>
      <c r="BN1" s="1">
        <v>0.677083333333333</v>
      </c>
      <c r="BO1" s="1">
        <v>0.6875</v>
      </c>
      <c r="BP1" s="1">
        <v>0.697916666666667</v>
      </c>
      <c r="BQ1" s="1">
        <v>0.708333333333333</v>
      </c>
      <c r="BR1" s="1">
        <v>0.71875</v>
      </c>
      <c r="BS1" s="1">
        <v>0.729166666666667</v>
      </c>
      <c r="BT1" s="1">
        <v>0.739583333333333</v>
      </c>
      <c r="BU1" s="1">
        <v>0.75</v>
      </c>
      <c r="BV1" s="1">
        <v>0.760416666666667</v>
      </c>
      <c r="BW1" s="1">
        <v>0.770833333333333</v>
      </c>
      <c r="BX1" s="1">
        <v>0.78125</v>
      </c>
      <c r="BY1" s="1">
        <v>0.791666666666667</v>
      </c>
      <c r="BZ1" s="1">
        <v>0.802083333333333</v>
      </c>
      <c r="CA1" s="1">
        <v>0.8125</v>
      </c>
      <c r="CB1" s="1">
        <v>0.822916666666667</v>
      </c>
      <c r="CC1" s="1">
        <v>0.833333333333333</v>
      </c>
      <c r="CD1" s="1">
        <v>0.84375</v>
      </c>
      <c r="CE1" s="1">
        <v>0.854166666666667</v>
      </c>
      <c r="CF1" s="1">
        <v>0.864583333333333</v>
      </c>
      <c r="CG1" s="1">
        <v>0.875</v>
      </c>
      <c r="CH1" s="1">
        <v>0.885416666666667</v>
      </c>
      <c r="CI1" s="1">
        <v>0.895833333333333</v>
      </c>
      <c r="CJ1" s="1">
        <v>0.90625</v>
      </c>
      <c r="CK1" s="1">
        <v>0.916666666666667</v>
      </c>
      <c r="CL1" s="1">
        <v>0.927083333333333</v>
      </c>
      <c r="CM1" s="1">
        <v>0.9375</v>
      </c>
      <c r="CN1" s="1">
        <v>0.947916666666667</v>
      </c>
      <c r="CO1" s="1">
        <v>0.958333333333333</v>
      </c>
      <c r="CP1" s="1">
        <v>0.96875</v>
      </c>
      <c r="CQ1" s="1">
        <v>0.979166666666667</v>
      </c>
      <c r="CR1" s="1">
        <v>0.989583333333333</v>
      </c>
      <c r="CS1" s="1">
        <v>1</v>
      </c>
    </row>
    <row r="2" spans="1:97">
      <c r="A2" s="9">
        <v>46235</v>
      </c>
      <c r="B2">
        <v>11336</v>
      </c>
      <c r="C2">
        <v>11703</v>
      </c>
      <c r="D2">
        <v>11964</v>
      </c>
      <c r="E2">
        <v>12218</v>
      </c>
      <c r="F2">
        <v>12235</v>
      </c>
      <c r="G2">
        <v>12258</v>
      </c>
      <c r="H2">
        <v>12160</v>
      </c>
      <c r="I2">
        <v>11770</v>
      </c>
      <c r="J2">
        <v>11480</v>
      </c>
      <c r="K2">
        <v>11165</v>
      </c>
      <c r="L2">
        <v>10852</v>
      </c>
      <c r="M2">
        <v>10580</v>
      </c>
      <c r="N2">
        <v>10453</v>
      </c>
      <c r="O2">
        <v>10585</v>
      </c>
      <c r="P2">
        <v>10622</v>
      </c>
      <c r="Q2">
        <v>10566</v>
      </c>
      <c r="R2">
        <v>10449</v>
      </c>
      <c r="S2">
        <v>10292</v>
      </c>
      <c r="T2">
        <v>10092</v>
      </c>
      <c r="U2">
        <v>10286</v>
      </c>
      <c r="V2">
        <v>10121</v>
      </c>
      <c r="W2">
        <v>9683</v>
      </c>
      <c r="X2">
        <v>9321</v>
      </c>
      <c r="Y2">
        <v>8796</v>
      </c>
      <c r="Z2">
        <v>8530</v>
      </c>
      <c r="AA2">
        <v>8154</v>
      </c>
      <c r="AB2">
        <v>7594</v>
      </c>
      <c r="AC2">
        <v>7309</v>
      </c>
      <c r="AD2">
        <v>7294</v>
      </c>
      <c r="AE2">
        <v>7185</v>
      </c>
      <c r="AF2">
        <v>7065</v>
      </c>
      <c r="AG2">
        <v>7273</v>
      </c>
      <c r="AH2">
        <v>7229</v>
      </c>
      <c r="AI2">
        <v>7281</v>
      </c>
      <c r="AJ2">
        <v>7350</v>
      </c>
      <c r="AK2">
        <v>7477</v>
      </c>
      <c r="AL2">
        <v>7718</v>
      </c>
      <c r="AM2">
        <v>7936</v>
      </c>
      <c r="AN2">
        <v>8226</v>
      </c>
      <c r="AO2">
        <v>8292</v>
      </c>
      <c r="AP2">
        <v>8250</v>
      </c>
      <c r="AQ2">
        <v>8462</v>
      </c>
      <c r="AR2">
        <v>8439</v>
      </c>
      <c r="AS2">
        <v>8352</v>
      </c>
      <c r="AT2">
        <v>8282</v>
      </c>
      <c r="AU2">
        <v>8093</v>
      </c>
      <c r="AV2">
        <v>7956</v>
      </c>
      <c r="AW2">
        <v>7778</v>
      </c>
      <c r="AX2">
        <v>7519</v>
      </c>
      <c r="AY2">
        <v>7488</v>
      </c>
      <c r="AZ2">
        <v>7492</v>
      </c>
      <c r="BA2">
        <v>7381</v>
      </c>
      <c r="BB2">
        <v>7388</v>
      </c>
      <c r="BC2">
        <v>7471</v>
      </c>
      <c r="BD2">
        <v>7386</v>
      </c>
      <c r="BE2">
        <v>7276</v>
      </c>
      <c r="BF2">
        <v>7456</v>
      </c>
      <c r="BG2">
        <v>7606</v>
      </c>
      <c r="BH2">
        <v>7684</v>
      </c>
      <c r="BI2">
        <v>7970</v>
      </c>
      <c r="BJ2">
        <v>8227</v>
      </c>
      <c r="BK2">
        <v>8652</v>
      </c>
      <c r="BL2">
        <v>9104</v>
      </c>
      <c r="BM2">
        <v>9505</v>
      </c>
      <c r="BN2">
        <v>9529</v>
      </c>
      <c r="BO2">
        <v>9010</v>
      </c>
      <c r="BP2">
        <v>8664</v>
      </c>
      <c r="BQ2">
        <v>8167</v>
      </c>
      <c r="BR2">
        <v>7739</v>
      </c>
      <c r="BS2">
        <v>7609</v>
      </c>
      <c r="BT2">
        <v>7298</v>
      </c>
      <c r="BU2">
        <v>6993</v>
      </c>
      <c r="BV2">
        <v>6863</v>
      </c>
      <c r="BW2">
        <v>6661</v>
      </c>
      <c r="BX2">
        <v>6336</v>
      </c>
      <c r="BY2">
        <v>5945</v>
      </c>
      <c r="BZ2">
        <v>5683</v>
      </c>
      <c r="CA2">
        <v>5192</v>
      </c>
      <c r="CB2">
        <v>4961</v>
      </c>
      <c r="CC2">
        <v>4707</v>
      </c>
      <c r="CD2">
        <v>4349</v>
      </c>
      <c r="CE2">
        <v>3898</v>
      </c>
      <c r="CF2">
        <v>3338</v>
      </c>
      <c r="CG2">
        <v>3355</v>
      </c>
      <c r="CH2">
        <v>3432</v>
      </c>
      <c r="CI2">
        <v>3355</v>
      </c>
      <c r="CJ2">
        <v>3185</v>
      </c>
      <c r="CK2">
        <v>2901</v>
      </c>
      <c r="CL2">
        <v>2665</v>
      </c>
      <c r="CM2">
        <v>2455</v>
      </c>
      <c r="CN2">
        <v>2309</v>
      </c>
      <c r="CO2">
        <v>2290</v>
      </c>
      <c r="CP2">
        <v>2150</v>
      </c>
      <c r="CQ2">
        <v>2159</v>
      </c>
      <c r="CR2">
        <v>2075</v>
      </c>
      <c r="CS2">
        <v>2027</v>
      </c>
    </row>
    <row r="3" spans="1:97">
      <c r="A3" s="9">
        <v>46236</v>
      </c>
      <c r="B3">
        <v>1915</v>
      </c>
      <c r="C3">
        <v>1816</v>
      </c>
      <c r="D3">
        <v>1708</v>
      </c>
      <c r="E3">
        <v>1734</v>
      </c>
      <c r="F3">
        <v>1735</v>
      </c>
      <c r="G3">
        <v>1678</v>
      </c>
      <c r="H3">
        <v>1723</v>
      </c>
      <c r="I3">
        <v>1828</v>
      </c>
      <c r="J3">
        <v>1866</v>
      </c>
      <c r="K3">
        <v>1816</v>
      </c>
      <c r="L3">
        <v>1845</v>
      </c>
      <c r="M3">
        <v>1872</v>
      </c>
      <c r="N3">
        <v>1869</v>
      </c>
      <c r="O3">
        <v>1866</v>
      </c>
      <c r="P3">
        <v>1739</v>
      </c>
      <c r="Q3">
        <v>1504</v>
      </c>
      <c r="R3">
        <v>1364</v>
      </c>
      <c r="S3">
        <v>1185</v>
      </c>
      <c r="T3">
        <v>1124</v>
      </c>
      <c r="U3">
        <v>1146</v>
      </c>
      <c r="V3">
        <v>1072</v>
      </c>
      <c r="W3">
        <v>1006</v>
      </c>
      <c r="X3">
        <v>940</v>
      </c>
      <c r="Y3">
        <v>897</v>
      </c>
      <c r="Z3">
        <v>836</v>
      </c>
      <c r="AA3">
        <v>740</v>
      </c>
      <c r="AB3">
        <v>658</v>
      </c>
      <c r="AC3">
        <v>531</v>
      </c>
      <c r="AD3">
        <v>402</v>
      </c>
      <c r="AE3">
        <v>399</v>
      </c>
      <c r="AF3">
        <v>417</v>
      </c>
      <c r="AG3">
        <v>435</v>
      </c>
      <c r="AH3">
        <v>430</v>
      </c>
      <c r="AI3">
        <v>486</v>
      </c>
      <c r="AJ3">
        <v>534</v>
      </c>
      <c r="AK3">
        <v>533</v>
      </c>
      <c r="AL3">
        <v>515</v>
      </c>
      <c r="AM3">
        <v>490</v>
      </c>
      <c r="AN3">
        <v>456</v>
      </c>
      <c r="AO3">
        <v>470</v>
      </c>
      <c r="AP3">
        <v>498</v>
      </c>
      <c r="AQ3">
        <v>534</v>
      </c>
      <c r="AR3">
        <v>566</v>
      </c>
      <c r="AS3">
        <v>638</v>
      </c>
      <c r="AT3">
        <v>669</v>
      </c>
      <c r="AU3">
        <v>662</v>
      </c>
      <c r="AV3">
        <v>677</v>
      </c>
      <c r="AW3">
        <v>769</v>
      </c>
      <c r="AX3">
        <v>856</v>
      </c>
      <c r="AY3">
        <v>961</v>
      </c>
      <c r="AZ3">
        <v>1095</v>
      </c>
      <c r="BA3">
        <v>1205</v>
      </c>
      <c r="BB3">
        <v>1354</v>
      </c>
      <c r="BC3">
        <v>1613</v>
      </c>
      <c r="BD3">
        <v>1579</v>
      </c>
      <c r="BE3">
        <v>1540</v>
      </c>
      <c r="BF3">
        <v>1547</v>
      </c>
      <c r="BG3">
        <v>1731</v>
      </c>
      <c r="BH3">
        <v>1819</v>
      </c>
      <c r="BI3">
        <v>1872</v>
      </c>
      <c r="BJ3">
        <v>1970</v>
      </c>
      <c r="BK3">
        <v>2065</v>
      </c>
      <c r="BL3">
        <v>2170</v>
      </c>
      <c r="BM3">
        <v>2307</v>
      </c>
      <c r="BN3">
        <v>2562</v>
      </c>
      <c r="BO3">
        <v>2730</v>
      </c>
      <c r="BP3">
        <v>2742</v>
      </c>
      <c r="BQ3">
        <v>2743</v>
      </c>
      <c r="BR3">
        <v>2771</v>
      </c>
      <c r="BS3">
        <v>2723</v>
      </c>
      <c r="BT3">
        <v>2566</v>
      </c>
      <c r="BU3">
        <v>2510</v>
      </c>
      <c r="BV3">
        <v>2576</v>
      </c>
      <c r="BW3">
        <v>2700</v>
      </c>
      <c r="BX3">
        <v>2733</v>
      </c>
      <c r="BY3">
        <v>2705</v>
      </c>
      <c r="BZ3">
        <v>2709</v>
      </c>
      <c r="CA3">
        <v>2632</v>
      </c>
      <c r="CB3">
        <v>2600</v>
      </c>
      <c r="CC3">
        <v>2671</v>
      </c>
      <c r="CD3">
        <v>2723</v>
      </c>
      <c r="CE3">
        <v>2891</v>
      </c>
      <c r="CF3">
        <v>3054</v>
      </c>
      <c r="CG3">
        <v>3101</v>
      </c>
      <c r="CH3">
        <v>3081</v>
      </c>
      <c r="CI3">
        <v>3157</v>
      </c>
      <c r="CJ3">
        <v>3170</v>
      </c>
      <c r="CK3">
        <v>3390</v>
      </c>
      <c r="CL3">
        <v>3519</v>
      </c>
      <c r="CM3">
        <v>3481</v>
      </c>
      <c r="CN3">
        <v>3321</v>
      </c>
      <c r="CO3">
        <v>3237</v>
      </c>
      <c r="CP3">
        <v>3358</v>
      </c>
      <c r="CQ3">
        <v>3598</v>
      </c>
      <c r="CR3">
        <v>3942</v>
      </c>
      <c r="CS3">
        <v>4363</v>
      </c>
    </row>
    <row r="4" spans="1:97">
      <c r="A4" s="9">
        <v>46237</v>
      </c>
      <c r="B4">
        <v>4707</v>
      </c>
      <c r="C4">
        <v>5101</v>
      </c>
      <c r="D4">
        <v>5303</v>
      </c>
      <c r="E4">
        <v>5371</v>
      </c>
      <c r="F4">
        <v>5448</v>
      </c>
      <c r="G4">
        <v>5474</v>
      </c>
      <c r="H4">
        <v>5556</v>
      </c>
      <c r="I4">
        <v>5635</v>
      </c>
      <c r="J4">
        <v>5773</v>
      </c>
      <c r="K4">
        <v>5976</v>
      </c>
      <c r="L4">
        <v>6295</v>
      </c>
      <c r="M4">
        <v>6410</v>
      </c>
      <c r="N4">
        <v>6541</v>
      </c>
      <c r="O4">
        <v>6541</v>
      </c>
      <c r="P4">
        <v>6736</v>
      </c>
      <c r="Q4">
        <v>6634</v>
      </c>
      <c r="R4">
        <v>6699</v>
      </c>
      <c r="S4">
        <v>6885</v>
      </c>
      <c r="T4">
        <v>6979</v>
      </c>
      <c r="U4">
        <v>7148</v>
      </c>
      <c r="V4">
        <v>7233</v>
      </c>
      <c r="W4">
        <v>7187</v>
      </c>
      <c r="X4">
        <v>7113</v>
      </c>
      <c r="Y4">
        <v>6896</v>
      </c>
      <c r="Z4">
        <v>6692</v>
      </c>
      <c r="AA4">
        <v>6149</v>
      </c>
      <c r="AB4">
        <v>5974</v>
      </c>
      <c r="AC4">
        <v>5714</v>
      </c>
      <c r="AD4">
        <v>5534</v>
      </c>
      <c r="AE4">
        <v>5487</v>
      </c>
      <c r="AF4">
        <v>5430</v>
      </c>
      <c r="AG4">
        <v>5568</v>
      </c>
      <c r="AH4">
        <v>5898</v>
      </c>
      <c r="AI4">
        <v>6156</v>
      </c>
      <c r="AJ4">
        <v>6303</v>
      </c>
      <c r="AK4">
        <v>6597</v>
      </c>
      <c r="AL4">
        <v>6815</v>
      </c>
      <c r="AM4">
        <v>7024</v>
      </c>
      <c r="AN4">
        <v>7090</v>
      </c>
      <c r="AO4">
        <v>7245</v>
      </c>
      <c r="AP4">
        <v>7344</v>
      </c>
      <c r="AQ4">
        <v>7412</v>
      </c>
      <c r="AR4">
        <v>7639</v>
      </c>
      <c r="AS4">
        <v>7767</v>
      </c>
      <c r="AT4">
        <v>7828</v>
      </c>
      <c r="AU4">
        <v>7744</v>
      </c>
      <c r="AV4">
        <v>7803</v>
      </c>
      <c r="AW4">
        <v>8012</v>
      </c>
      <c r="AX4">
        <v>8109</v>
      </c>
      <c r="AY4">
        <v>8397</v>
      </c>
      <c r="AZ4">
        <v>8573</v>
      </c>
      <c r="BA4">
        <v>8770</v>
      </c>
      <c r="BB4">
        <v>8889</v>
      </c>
      <c r="BC4">
        <v>9016</v>
      </c>
      <c r="BD4">
        <v>9081</v>
      </c>
      <c r="BE4">
        <v>8952</v>
      </c>
      <c r="BF4">
        <v>9197</v>
      </c>
      <c r="BG4">
        <v>9302</v>
      </c>
      <c r="BH4">
        <v>9218</v>
      </c>
      <c r="BI4">
        <v>9346</v>
      </c>
      <c r="BJ4">
        <v>9344</v>
      </c>
      <c r="BK4">
        <v>9715</v>
      </c>
      <c r="BL4">
        <v>9923</v>
      </c>
      <c r="BM4">
        <v>10170</v>
      </c>
      <c r="BN4">
        <v>10494</v>
      </c>
      <c r="BO4">
        <v>10477</v>
      </c>
      <c r="BP4">
        <v>10355</v>
      </c>
      <c r="BQ4">
        <v>10397</v>
      </c>
      <c r="BR4">
        <v>10082</v>
      </c>
      <c r="BS4">
        <v>9869</v>
      </c>
      <c r="BT4">
        <v>9796</v>
      </c>
      <c r="BU4">
        <v>9604</v>
      </c>
      <c r="BV4">
        <v>9495</v>
      </c>
      <c r="BW4">
        <v>9547</v>
      </c>
      <c r="BX4">
        <v>9440</v>
      </c>
      <c r="BY4">
        <v>9246</v>
      </c>
      <c r="BZ4">
        <v>9092</v>
      </c>
      <c r="CA4">
        <v>9082</v>
      </c>
      <c r="CB4">
        <v>9188</v>
      </c>
      <c r="CC4">
        <v>9343</v>
      </c>
      <c r="CD4">
        <v>9398</v>
      </c>
      <c r="CE4">
        <v>9605</v>
      </c>
      <c r="CF4">
        <v>9766</v>
      </c>
      <c r="CG4">
        <v>9702</v>
      </c>
      <c r="CH4">
        <v>9553</v>
      </c>
      <c r="CI4">
        <v>9292</v>
      </c>
      <c r="CJ4">
        <v>9262</v>
      </c>
      <c r="CK4">
        <v>9302</v>
      </c>
      <c r="CL4">
        <v>9337</v>
      </c>
      <c r="CM4">
        <v>9417</v>
      </c>
      <c r="CN4">
        <v>9374</v>
      </c>
      <c r="CO4">
        <v>9119</v>
      </c>
      <c r="CP4">
        <v>9245</v>
      </c>
      <c r="CQ4">
        <v>9451</v>
      </c>
      <c r="CR4">
        <v>9365</v>
      </c>
      <c r="CS4">
        <v>9113</v>
      </c>
    </row>
    <row r="5" spans="1:97">
      <c r="A5" s="9">
        <v>46238</v>
      </c>
      <c r="B5">
        <v>9000</v>
      </c>
      <c r="C5">
        <v>8971</v>
      </c>
      <c r="D5">
        <v>9008</v>
      </c>
      <c r="E5">
        <v>8724</v>
      </c>
      <c r="F5">
        <v>8640</v>
      </c>
      <c r="G5">
        <v>8611</v>
      </c>
      <c r="H5">
        <v>8566</v>
      </c>
      <c r="I5">
        <v>8449</v>
      </c>
      <c r="J5">
        <v>8226</v>
      </c>
      <c r="K5">
        <v>7906</v>
      </c>
      <c r="L5">
        <v>7741</v>
      </c>
      <c r="M5">
        <v>7692</v>
      </c>
      <c r="N5">
        <v>7533</v>
      </c>
      <c r="O5">
        <v>7412</v>
      </c>
      <c r="P5">
        <v>7137</v>
      </c>
      <c r="Q5">
        <v>7195</v>
      </c>
      <c r="R5">
        <v>7254</v>
      </c>
      <c r="S5">
        <v>6823</v>
      </c>
      <c r="T5">
        <v>6514</v>
      </c>
      <c r="U5">
        <v>6377</v>
      </c>
      <c r="V5">
        <v>6201</v>
      </c>
      <c r="W5">
        <v>6039</v>
      </c>
      <c r="X5">
        <v>5744</v>
      </c>
      <c r="Y5">
        <v>5393</v>
      </c>
      <c r="Z5">
        <v>5040</v>
      </c>
      <c r="AA5">
        <v>4706</v>
      </c>
      <c r="AB5">
        <v>4506</v>
      </c>
      <c r="AC5">
        <v>4288</v>
      </c>
      <c r="AD5">
        <v>4074</v>
      </c>
      <c r="AE5">
        <v>3895</v>
      </c>
      <c r="AF5">
        <v>3815</v>
      </c>
      <c r="AG5">
        <v>3753</v>
      </c>
      <c r="AH5">
        <v>3797</v>
      </c>
      <c r="AI5">
        <v>3895</v>
      </c>
      <c r="AJ5">
        <v>3905</v>
      </c>
      <c r="AK5">
        <v>3985</v>
      </c>
      <c r="AL5">
        <v>3930</v>
      </c>
      <c r="AM5">
        <v>3897</v>
      </c>
      <c r="AN5">
        <v>4147</v>
      </c>
      <c r="AO5">
        <v>4437</v>
      </c>
      <c r="AP5">
        <v>4851</v>
      </c>
      <c r="AQ5">
        <v>5084</v>
      </c>
      <c r="AR5">
        <v>5314</v>
      </c>
      <c r="AS5">
        <v>5681</v>
      </c>
      <c r="AT5">
        <v>5996</v>
      </c>
      <c r="AU5">
        <v>6199</v>
      </c>
      <c r="AV5">
        <v>6311</v>
      </c>
      <c r="AW5">
        <v>6868</v>
      </c>
      <c r="AX5">
        <v>7073</v>
      </c>
      <c r="AY5">
        <v>7272</v>
      </c>
      <c r="AZ5">
        <v>7312</v>
      </c>
      <c r="BA5">
        <v>7582</v>
      </c>
      <c r="BB5">
        <v>7855</v>
      </c>
      <c r="BC5">
        <v>8047</v>
      </c>
      <c r="BD5">
        <v>8208</v>
      </c>
      <c r="BE5">
        <v>8543</v>
      </c>
      <c r="BF5">
        <v>8777</v>
      </c>
      <c r="BG5">
        <v>9029</v>
      </c>
      <c r="BH5">
        <v>8979</v>
      </c>
      <c r="BI5">
        <v>9001</v>
      </c>
      <c r="BJ5">
        <v>8917</v>
      </c>
      <c r="BK5">
        <v>9055</v>
      </c>
      <c r="BL5">
        <v>9085</v>
      </c>
      <c r="BM5">
        <v>8940</v>
      </c>
      <c r="BN5">
        <v>8780</v>
      </c>
      <c r="BO5">
        <v>8540</v>
      </c>
      <c r="BP5">
        <v>8302</v>
      </c>
      <c r="BQ5">
        <v>8102</v>
      </c>
      <c r="BR5">
        <v>7994</v>
      </c>
      <c r="BS5">
        <v>7824</v>
      </c>
      <c r="BT5">
        <v>7599</v>
      </c>
      <c r="BU5">
        <v>7300</v>
      </c>
      <c r="BV5">
        <v>6787</v>
      </c>
      <c r="BW5">
        <v>6470</v>
      </c>
      <c r="BX5">
        <v>6366</v>
      </c>
      <c r="BY5">
        <v>6219</v>
      </c>
      <c r="BZ5">
        <v>6193</v>
      </c>
      <c r="CA5">
        <v>6125</v>
      </c>
      <c r="CB5">
        <v>5995</v>
      </c>
      <c r="CC5">
        <v>5865</v>
      </c>
      <c r="CD5">
        <v>5564</v>
      </c>
      <c r="CE5">
        <v>5294</v>
      </c>
      <c r="CF5">
        <v>5221</v>
      </c>
      <c r="CG5">
        <v>5246</v>
      </c>
      <c r="CH5">
        <v>5397</v>
      </c>
      <c r="CI5">
        <v>5632</v>
      </c>
      <c r="CJ5">
        <v>5661</v>
      </c>
      <c r="CK5">
        <v>5809</v>
      </c>
      <c r="CL5">
        <v>5923</v>
      </c>
      <c r="CM5">
        <v>6046</v>
      </c>
      <c r="CN5">
        <v>6087</v>
      </c>
      <c r="CO5">
        <v>6183</v>
      </c>
      <c r="CP5">
        <v>6282</v>
      </c>
      <c r="CQ5">
        <v>6297</v>
      </c>
      <c r="CR5">
        <v>6316</v>
      </c>
      <c r="CS5">
        <v>6353</v>
      </c>
    </row>
    <row r="6" spans="1:97">
      <c r="A6" s="9">
        <v>46239</v>
      </c>
      <c r="B6">
        <v>6434</v>
      </c>
      <c r="C6">
        <v>6452</v>
      </c>
      <c r="D6">
        <v>6370</v>
      </c>
      <c r="E6">
        <v>6335</v>
      </c>
      <c r="F6">
        <v>6259</v>
      </c>
      <c r="G6">
        <v>6266</v>
      </c>
      <c r="H6">
        <v>6218</v>
      </c>
      <c r="I6">
        <v>6102</v>
      </c>
      <c r="J6">
        <v>6010</v>
      </c>
      <c r="K6">
        <v>5902</v>
      </c>
      <c r="L6">
        <v>5655</v>
      </c>
      <c r="M6">
        <v>5547</v>
      </c>
      <c r="N6">
        <v>5454</v>
      </c>
      <c r="O6">
        <v>5323</v>
      </c>
      <c r="P6">
        <v>5281</v>
      </c>
      <c r="Q6">
        <v>5108</v>
      </c>
      <c r="R6">
        <v>4993</v>
      </c>
      <c r="S6">
        <v>4877</v>
      </c>
      <c r="T6">
        <v>4698</v>
      </c>
      <c r="U6">
        <v>4549</v>
      </c>
      <c r="V6">
        <v>4440</v>
      </c>
      <c r="W6">
        <v>4214</v>
      </c>
      <c r="X6">
        <v>3952</v>
      </c>
      <c r="Y6">
        <v>3637</v>
      </c>
      <c r="Z6">
        <v>3381</v>
      </c>
      <c r="AA6">
        <v>3143</v>
      </c>
      <c r="AB6">
        <v>2763</v>
      </c>
      <c r="AC6">
        <v>2495</v>
      </c>
      <c r="AD6">
        <v>2360</v>
      </c>
      <c r="AE6">
        <v>2260</v>
      </c>
      <c r="AF6">
        <v>2105</v>
      </c>
      <c r="AG6">
        <v>2088</v>
      </c>
      <c r="AH6">
        <v>2009</v>
      </c>
      <c r="AI6">
        <v>1935</v>
      </c>
      <c r="AJ6">
        <v>1900</v>
      </c>
      <c r="AK6">
        <v>1780</v>
      </c>
      <c r="AL6">
        <v>1731</v>
      </c>
      <c r="AM6">
        <v>1692</v>
      </c>
      <c r="AN6">
        <v>1671</v>
      </c>
      <c r="AO6">
        <v>1683</v>
      </c>
      <c r="AP6">
        <v>1683</v>
      </c>
      <c r="AQ6">
        <v>1771</v>
      </c>
      <c r="AR6">
        <v>1828</v>
      </c>
      <c r="AS6">
        <v>1911</v>
      </c>
      <c r="AT6">
        <v>2055</v>
      </c>
      <c r="AU6">
        <v>2150</v>
      </c>
      <c r="AV6">
        <v>2214</v>
      </c>
      <c r="AW6">
        <v>2246</v>
      </c>
      <c r="AX6">
        <v>2255</v>
      </c>
      <c r="AY6">
        <v>2238</v>
      </c>
      <c r="AZ6">
        <v>2224</v>
      </c>
      <c r="BA6">
        <v>2192</v>
      </c>
      <c r="BB6">
        <v>2160</v>
      </c>
      <c r="BC6">
        <v>2124</v>
      </c>
      <c r="BD6">
        <v>2121</v>
      </c>
      <c r="BE6">
        <v>2016</v>
      </c>
      <c r="BF6">
        <v>1998</v>
      </c>
      <c r="BG6">
        <v>1938</v>
      </c>
      <c r="BH6">
        <v>1806</v>
      </c>
      <c r="BI6">
        <v>1661</v>
      </c>
      <c r="BJ6">
        <v>1539</v>
      </c>
      <c r="BK6">
        <v>1431</v>
      </c>
      <c r="BL6">
        <v>1369</v>
      </c>
      <c r="BM6">
        <v>1229</v>
      </c>
      <c r="BN6">
        <v>1156</v>
      </c>
      <c r="BO6">
        <v>1104</v>
      </c>
      <c r="BP6">
        <v>1078</v>
      </c>
      <c r="BQ6">
        <v>1054</v>
      </c>
      <c r="BR6">
        <v>1040</v>
      </c>
      <c r="BS6">
        <v>989</v>
      </c>
      <c r="BT6">
        <v>1016</v>
      </c>
      <c r="BU6">
        <v>1035</v>
      </c>
      <c r="BV6">
        <v>1066</v>
      </c>
      <c r="BW6">
        <v>1187</v>
      </c>
      <c r="BX6">
        <v>1292</v>
      </c>
      <c r="BY6">
        <v>1360</v>
      </c>
      <c r="BZ6">
        <v>1416</v>
      </c>
      <c r="CA6">
        <v>1426</v>
      </c>
      <c r="CB6">
        <v>1455</v>
      </c>
      <c r="CC6">
        <v>1461</v>
      </c>
      <c r="CD6">
        <v>1446</v>
      </c>
      <c r="CE6">
        <v>1461</v>
      </c>
      <c r="CF6">
        <v>1447</v>
      </c>
      <c r="CG6">
        <v>1379</v>
      </c>
      <c r="CH6">
        <v>1383</v>
      </c>
      <c r="CI6">
        <v>1413</v>
      </c>
      <c r="CJ6">
        <v>1453</v>
      </c>
      <c r="CK6">
        <v>1426</v>
      </c>
      <c r="CL6">
        <v>1427</v>
      </c>
      <c r="CM6">
        <v>1478</v>
      </c>
      <c r="CN6">
        <v>1511</v>
      </c>
      <c r="CO6">
        <v>1460</v>
      </c>
      <c r="CP6">
        <v>1505</v>
      </c>
      <c r="CQ6">
        <v>1537</v>
      </c>
      <c r="CR6">
        <v>1611</v>
      </c>
      <c r="CS6">
        <v>1661</v>
      </c>
    </row>
    <row r="7" spans="1:97">
      <c r="A7" s="9">
        <v>46240</v>
      </c>
      <c r="B7">
        <v>1705</v>
      </c>
      <c r="C7">
        <v>1721</v>
      </c>
      <c r="D7">
        <v>1717</v>
      </c>
      <c r="E7">
        <v>1684</v>
      </c>
      <c r="F7">
        <v>1643</v>
      </c>
      <c r="G7">
        <v>1620</v>
      </c>
      <c r="H7">
        <v>1610</v>
      </c>
      <c r="I7">
        <v>1553</v>
      </c>
      <c r="J7">
        <v>1513</v>
      </c>
      <c r="K7">
        <v>1538</v>
      </c>
      <c r="L7">
        <v>1556</v>
      </c>
      <c r="M7">
        <v>1585</v>
      </c>
      <c r="N7">
        <v>1615</v>
      </c>
      <c r="O7">
        <v>1586</v>
      </c>
      <c r="P7">
        <v>1580</v>
      </c>
      <c r="Q7">
        <v>1611</v>
      </c>
      <c r="R7">
        <v>1686</v>
      </c>
      <c r="S7">
        <v>1718</v>
      </c>
      <c r="T7">
        <v>1786</v>
      </c>
      <c r="U7">
        <v>1778</v>
      </c>
      <c r="V7">
        <v>1723</v>
      </c>
      <c r="W7">
        <v>1711</v>
      </c>
      <c r="X7">
        <v>1672</v>
      </c>
      <c r="Y7">
        <v>1624</v>
      </c>
      <c r="Z7">
        <v>1492</v>
      </c>
      <c r="AA7">
        <v>1320</v>
      </c>
      <c r="AB7">
        <v>1169</v>
      </c>
      <c r="AC7">
        <v>1038</v>
      </c>
      <c r="AD7">
        <v>937</v>
      </c>
      <c r="AE7">
        <v>853</v>
      </c>
      <c r="AF7">
        <v>759</v>
      </c>
      <c r="AG7">
        <v>672</v>
      </c>
      <c r="AH7">
        <v>620</v>
      </c>
      <c r="AI7">
        <v>589</v>
      </c>
      <c r="AJ7">
        <v>543</v>
      </c>
      <c r="AK7">
        <v>559</v>
      </c>
      <c r="AL7">
        <v>550</v>
      </c>
      <c r="AM7">
        <v>553</v>
      </c>
      <c r="AN7">
        <v>604</v>
      </c>
      <c r="AO7">
        <v>632</v>
      </c>
      <c r="AP7">
        <v>645</v>
      </c>
      <c r="AQ7">
        <v>603</v>
      </c>
      <c r="AR7">
        <v>567</v>
      </c>
      <c r="AS7">
        <v>531</v>
      </c>
      <c r="AT7">
        <v>507</v>
      </c>
      <c r="AU7">
        <v>510</v>
      </c>
      <c r="AV7">
        <v>492</v>
      </c>
      <c r="AW7">
        <v>528</v>
      </c>
      <c r="AX7">
        <v>540</v>
      </c>
      <c r="AY7">
        <v>596</v>
      </c>
      <c r="AZ7">
        <v>672</v>
      </c>
      <c r="BA7">
        <v>747</v>
      </c>
      <c r="BB7">
        <v>859</v>
      </c>
      <c r="BC7">
        <v>996</v>
      </c>
      <c r="BD7">
        <v>1140</v>
      </c>
      <c r="BE7">
        <v>1256</v>
      </c>
      <c r="BF7">
        <v>1292</v>
      </c>
      <c r="BG7">
        <v>1371</v>
      </c>
      <c r="BH7">
        <v>1337</v>
      </c>
      <c r="BI7">
        <v>1268</v>
      </c>
      <c r="BJ7">
        <v>1198</v>
      </c>
      <c r="BK7">
        <v>1044</v>
      </c>
      <c r="BL7">
        <v>938</v>
      </c>
      <c r="BM7">
        <v>882</v>
      </c>
      <c r="BN7">
        <v>823</v>
      </c>
      <c r="BO7">
        <v>851</v>
      </c>
      <c r="BP7">
        <v>886</v>
      </c>
      <c r="BQ7">
        <v>953</v>
      </c>
      <c r="BR7">
        <v>1074</v>
      </c>
      <c r="BS7">
        <v>1181</v>
      </c>
      <c r="BT7">
        <v>1209</v>
      </c>
      <c r="BU7">
        <v>1418</v>
      </c>
      <c r="BV7">
        <v>1581</v>
      </c>
      <c r="BW7">
        <v>1746</v>
      </c>
      <c r="BX7">
        <v>1655</v>
      </c>
      <c r="BY7">
        <v>1601</v>
      </c>
      <c r="BZ7">
        <v>1568</v>
      </c>
      <c r="CA7">
        <v>1544</v>
      </c>
      <c r="CB7">
        <v>1263</v>
      </c>
      <c r="CC7">
        <v>1205</v>
      </c>
      <c r="CD7">
        <v>1097</v>
      </c>
      <c r="CE7">
        <v>787</v>
      </c>
      <c r="CF7">
        <v>641</v>
      </c>
      <c r="CG7">
        <v>630</v>
      </c>
      <c r="CH7">
        <v>608</v>
      </c>
      <c r="CI7">
        <v>767</v>
      </c>
      <c r="CJ7">
        <v>850</v>
      </c>
      <c r="CK7">
        <v>908</v>
      </c>
      <c r="CL7">
        <v>1030</v>
      </c>
      <c r="CM7">
        <v>1053</v>
      </c>
      <c r="CN7">
        <v>1100</v>
      </c>
      <c r="CO7">
        <v>1155</v>
      </c>
      <c r="CP7">
        <v>1202</v>
      </c>
      <c r="CQ7">
        <v>1252</v>
      </c>
      <c r="CR7">
        <v>1356</v>
      </c>
      <c r="CS7">
        <v>1564</v>
      </c>
    </row>
    <row r="8" spans="1:97">
      <c r="A8" s="9">
        <v>46241</v>
      </c>
      <c r="B8">
        <v>1867</v>
      </c>
      <c r="C8">
        <v>2439</v>
      </c>
      <c r="D8">
        <v>3081</v>
      </c>
      <c r="E8">
        <v>4004</v>
      </c>
      <c r="F8">
        <v>4747</v>
      </c>
      <c r="G8">
        <v>5200</v>
      </c>
      <c r="H8">
        <v>5788</v>
      </c>
      <c r="I8">
        <v>5916</v>
      </c>
      <c r="J8">
        <v>6334</v>
      </c>
      <c r="K8">
        <v>6566</v>
      </c>
      <c r="L8">
        <v>6941</v>
      </c>
      <c r="M8">
        <v>6992</v>
      </c>
      <c r="N8">
        <v>7184</v>
      </c>
      <c r="O8">
        <v>7473</v>
      </c>
      <c r="P8">
        <v>8091</v>
      </c>
      <c r="Q8">
        <v>8779</v>
      </c>
      <c r="R8">
        <v>9404</v>
      </c>
      <c r="S8">
        <v>9813</v>
      </c>
      <c r="T8">
        <v>10200</v>
      </c>
      <c r="U8">
        <v>10588</v>
      </c>
      <c r="V8">
        <v>10868</v>
      </c>
      <c r="W8">
        <v>11171</v>
      </c>
      <c r="X8">
        <v>11071</v>
      </c>
      <c r="Y8">
        <v>10968</v>
      </c>
      <c r="Z8">
        <v>11109</v>
      </c>
      <c r="AA8">
        <v>11266</v>
      </c>
      <c r="AB8">
        <v>11392</v>
      </c>
      <c r="AC8">
        <v>11225</v>
      </c>
      <c r="AD8">
        <v>11366</v>
      </c>
      <c r="AE8">
        <v>10962</v>
      </c>
      <c r="AF8">
        <v>10927</v>
      </c>
      <c r="AG8">
        <v>11057</v>
      </c>
      <c r="AH8">
        <v>11566</v>
      </c>
      <c r="AI8">
        <v>11295</v>
      </c>
      <c r="AJ8">
        <v>10741</v>
      </c>
      <c r="AK8">
        <v>10435</v>
      </c>
      <c r="AL8">
        <v>10436</v>
      </c>
      <c r="AM8">
        <v>10207</v>
      </c>
      <c r="AN8">
        <v>9891</v>
      </c>
      <c r="AO8">
        <v>9927</v>
      </c>
      <c r="AP8">
        <v>9521</v>
      </c>
      <c r="AQ8">
        <v>9544</v>
      </c>
      <c r="AR8">
        <v>9756</v>
      </c>
      <c r="AS8">
        <v>9998</v>
      </c>
      <c r="AT8">
        <v>10381</v>
      </c>
      <c r="AU8">
        <v>10138</v>
      </c>
      <c r="AV8">
        <v>9904</v>
      </c>
      <c r="AW8">
        <v>9969</v>
      </c>
      <c r="AX8">
        <v>10445</v>
      </c>
      <c r="AY8">
        <v>10396</v>
      </c>
      <c r="AZ8">
        <v>10558</v>
      </c>
      <c r="BA8">
        <v>10746</v>
      </c>
      <c r="BB8">
        <v>10205</v>
      </c>
      <c r="BC8">
        <v>10012</v>
      </c>
      <c r="BD8">
        <v>9673</v>
      </c>
      <c r="BE8">
        <v>9294</v>
      </c>
      <c r="BF8">
        <v>9072</v>
      </c>
      <c r="BG8">
        <v>8969</v>
      </c>
      <c r="BH8">
        <v>8729</v>
      </c>
      <c r="BI8">
        <v>8583</v>
      </c>
      <c r="BJ8">
        <v>9091</v>
      </c>
      <c r="BK8">
        <v>9501</v>
      </c>
      <c r="BL8">
        <v>9796</v>
      </c>
      <c r="BM8">
        <v>9978</v>
      </c>
      <c r="BN8">
        <v>10914</v>
      </c>
      <c r="BO8">
        <v>11437</v>
      </c>
      <c r="BP8">
        <v>11882</v>
      </c>
      <c r="BQ8">
        <v>12469</v>
      </c>
      <c r="BR8">
        <v>12625</v>
      </c>
      <c r="BS8">
        <v>12884</v>
      </c>
      <c r="BT8">
        <v>13148</v>
      </c>
      <c r="BU8">
        <v>13118</v>
      </c>
      <c r="BV8">
        <v>13007</v>
      </c>
      <c r="BW8">
        <v>12795</v>
      </c>
      <c r="BX8">
        <v>12679</v>
      </c>
      <c r="BY8">
        <v>12782</v>
      </c>
      <c r="BZ8">
        <v>13050</v>
      </c>
      <c r="CA8">
        <v>13422</v>
      </c>
      <c r="CB8">
        <v>13762</v>
      </c>
      <c r="CC8">
        <v>14170</v>
      </c>
      <c r="CD8">
        <v>14157</v>
      </c>
      <c r="CE8">
        <v>14106</v>
      </c>
      <c r="CF8">
        <v>14213</v>
      </c>
      <c r="CG8">
        <v>14298</v>
      </c>
      <c r="CH8">
        <v>14318</v>
      </c>
      <c r="CI8">
        <v>14207</v>
      </c>
      <c r="CJ8">
        <v>14091</v>
      </c>
      <c r="CK8">
        <v>13855</v>
      </c>
      <c r="CL8">
        <v>13933</v>
      </c>
      <c r="CM8">
        <v>13962</v>
      </c>
      <c r="CN8">
        <v>13862</v>
      </c>
      <c r="CO8">
        <v>13811</v>
      </c>
      <c r="CP8">
        <v>14054</v>
      </c>
      <c r="CQ8">
        <v>14012</v>
      </c>
      <c r="CR8">
        <v>13954</v>
      </c>
      <c r="CS8">
        <v>13833</v>
      </c>
    </row>
    <row r="9" spans="1:97">
      <c r="A9" s="9">
        <v>46242</v>
      </c>
      <c r="B9">
        <v>13531</v>
      </c>
      <c r="C9">
        <v>13350</v>
      </c>
      <c r="D9">
        <v>12940</v>
      </c>
      <c r="E9">
        <v>12897</v>
      </c>
      <c r="F9">
        <v>13082</v>
      </c>
      <c r="G9">
        <v>13281</v>
      </c>
      <c r="H9">
        <v>13477</v>
      </c>
      <c r="I9">
        <v>13501</v>
      </c>
      <c r="J9">
        <v>13518</v>
      </c>
      <c r="K9">
        <v>13512</v>
      </c>
      <c r="L9">
        <v>13432</v>
      </c>
      <c r="M9">
        <v>13270</v>
      </c>
      <c r="N9">
        <v>13072</v>
      </c>
      <c r="O9">
        <v>12937</v>
      </c>
      <c r="P9">
        <v>12726</v>
      </c>
      <c r="Q9">
        <v>12666</v>
      </c>
      <c r="R9">
        <v>12765</v>
      </c>
      <c r="S9">
        <v>12851</v>
      </c>
      <c r="T9">
        <v>12886</v>
      </c>
      <c r="U9">
        <v>12861</v>
      </c>
      <c r="V9">
        <v>12897</v>
      </c>
      <c r="W9">
        <v>12811</v>
      </c>
      <c r="X9">
        <v>12540</v>
      </c>
      <c r="Y9">
        <v>12053</v>
      </c>
      <c r="Z9">
        <v>11494</v>
      </c>
      <c r="AA9">
        <v>10904</v>
      </c>
      <c r="AB9">
        <v>10492</v>
      </c>
      <c r="AC9">
        <v>10170</v>
      </c>
      <c r="AD9">
        <v>10147</v>
      </c>
      <c r="AE9">
        <v>10231</v>
      </c>
      <c r="AF9">
        <v>9647</v>
      </c>
      <c r="AG9">
        <v>9546</v>
      </c>
      <c r="AH9">
        <v>9753</v>
      </c>
      <c r="AI9">
        <v>9416</v>
      </c>
      <c r="AJ9">
        <v>8796</v>
      </c>
      <c r="AK9">
        <v>8076</v>
      </c>
      <c r="AL9">
        <v>7155</v>
      </c>
      <c r="AM9">
        <v>6762</v>
      </c>
      <c r="AN9">
        <v>6138</v>
      </c>
      <c r="AO9">
        <v>5621</v>
      </c>
      <c r="AP9">
        <v>5388</v>
      </c>
      <c r="AQ9">
        <v>5080</v>
      </c>
      <c r="AR9">
        <v>4979</v>
      </c>
      <c r="AS9">
        <v>4852</v>
      </c>
      <c r="AT9">
        <v>4597</v>
      </c>
      <c r="AU9">
        <v>4378</v>
      </c>
      <c r="AV9">
        <v>4373</v>
      </c>
      <c r="AW9">
        <v>4299</v>
      </c>
      <c r="AX9">
        <v>4442</v>
      </c>
      <c r="AY9">
        <v>4524</v>
      </c>
      <c r="AZ9">
        <v>4762</v>
      </c>
      <c r="BA9">
        <v>4866</v>
      </c>
      <c r="BB9">
        <v>4759</v>
      </c>
      <c r="BC9">
        <v>4954</v>
      </c>
      <c r="BD9">
        <v>4878</v>
      </c>
      <c r="BE9">
        <v>5123</v>
      </c>
      <c r="BF9">
        <v>5359</v>
      </c>
      <c r="BG9">
        <v>5414</v>
      </c>
      <c r="BH9">
        <v>5623</v>
      </c>
      <c r="BI9">
        <v>5907</v>
      </c>
      <c r="BJ9">
        <v>6063</v>
      </c>
      <c r="BK9">
        <v>6999</v>
      </c>
      <c r="BL9">
        <v>6781</v>
      </c>
      <c r="BM9">
        <v>7174</v>
      </c>
      <c r="BN9">
        <v>7961</v>
      </c>
      <c r="BO9">
        <v>8826</v>
      </c>
      <c r="BP9">
        <v>8670</v>
      </c>
      <c r="BQ9">
        <v>8509</v>
      </c>
      <c r="BR9">
        <v>8363</v>
      </c>
      <c r="BS9">
        <v>8258</v>
      </c>
      <c r="BT9">
        <v>8128</v>
      </c>
      <c r="BU9">
        <v>8181</v>
      </c>
      <c r="BV9">
        <v>8402</v>
      </c>
      <c r="BW9">
        <v>8995</v>
      </c>
      <c r="BX9">
        <v>9408</v>
      </c>
      <c r="BY9">
        <v>9508</v>
      </c>
      <c r="BZ9">
        <v>9470</v>
      </c>
      <c r="CA9">
        <v>9573</v>
      </c>
      <c r="CB9">
        <v>9538</v>
      </c>
      <c r="CC9">
        <v>9608</v>
      </c>
      <c r="CD9">
        <v>9667</v>
      </c>
      <c r="CE9">
        <v>9690</v>
      </c>
      <c r="CF9">
        <v>9827</v>
      </c>
      <c r="CG9">
        <v>9898</v>
      </c>
      <c r="CH9">
        <v>9854</v>
      </c>
      <c r="CI9">
        <v>9865</v>
      </c>
      <c r="CJ9">
        <v>9749</v>
      </c>
      <c r="CK9">
        <v>9643</v>
      </c>
      <c r="CL9">
        <v>9564</v>
      </c>
      <c r="CM9">
        <v>9448</v>
      </c>
      <c r="CN9">
        <v>9429</v>
      </c>
      <c r="CO9">
        <v>9301</v>
      </c>
      <c r="CP9">
        <v>9147</v>
      </c>
      <c r="CQ9">
        <v>8990</v>
      </c>
      <c r="CR9">
        <v>8922</v>
      </c>
      <c r="CS9">
        <v>8762</v>
      </c>
    </row>
    <row r="10" spans="1:97">
      <c r="A10" s="9">
        <v>46243</v>
      </c>
      <c r="B10">
        <v>8446</v>
      </c>
      <c r="C10">
        <v>8254</v>
      </c>
      <c r="D10">
        <v>8031</v>
      </c>
      <c r="E10">
        <v>7762</v>
      </c>
      <c r="F10">
        <v>7508</v>
      </c>
      <c r="G10">
        <v>7232</v>
      </c>
      <c r="H10">
        <v>6984</v>
      </c>
      <c r="I10">
        <v>6925</v>
      </c>
      <c r="J10">
        <v>7080</v>
      </c>
      <c r="K10">
        <v>6874</v>
      </c>
      <c r="L10">
        <v>6804</v>
      </c>
      <c r="M10">
        <v>6727</v>
      </c>
      <c r="N10">
        <v>6797</v>
      </c>
      <c r="O10">
        <v>6819</v>
      </c>
      <c r="P10">
        <v>7066</v>
      </c>
      <c r="Q10">
        <v>7318</v>
      </c>
      <c r="R10">
        <v>7513</v>
      </c>
      <c r="S10">
        <v>7831</v>
      </c>
      <c r="T10">
        <v>8078</v>
      </c>
      <c r="U10">
        <v>8185</v>
      </c>
      <c r="V10">
        <v>8150</v>
      </c>
      <c r="W10">
        <v>7956</v>
      </c>
      <c r="X10">
        <v>7714</v>
      </c>
      <c r="Y10">
        <v>7306</v>
      </c>
      <c r="Z10">
        <v>6499</v>
      </c>
      <c r="AA10">
        <v>5923</v>
      </c>
      <c r="AB10">
        <v>5211</v>
      </c>
      <c r="AC10">
        <v>4355</v>
      </c>
      <c r="AD10">
        <v>3443</v>
      </c>
      <c r="AE10">
        <v>2854</v>
      </c>
      <c r="AF10">
        <v>2809</v>
      </c>
      <c r="AG10">
        <v>2495</v>
      </c>
      <c r="AH10">
        <v>2374</v>
      </c>
      <c r="AI10">
        <v>2298</v>
      </c>
      <c r="AJ10">
        <v>2111</v>
      </c>
      <c r="AK10">
        <v>1985</v>
      </c>
      <c r="AL10">
        <v>1808</v>
      </c>
      <c r="AM10">
        <v>1662</v>
      </c>
      <c r="AN10">
        <v>1455</v>
      </c>
      <c r="AO10">
        <v>1421</v>
      </c>
      <c r="AP10">
        <v>1406</v>
      </c>
      <c r="AQ10">
        <v>1360</v>
      </c>
      <c r="AR10">
        <v>1330</v>
      </c>
      <c r="AS10">
        <v>1195</v>
      </c>
      <c r="AT10">
        <v>1048</v>
      </c>
      <c r="AU10">
        <v>919</v>
      </c>
      <c r="AV10">
        <v>831</v>
      </c>
      <c r="AW10">
        <v>662</v>
      </c>
      <c r="AX10">
        <v>507</v>
      </c>
      <c r="AY10">
        <v>432</v>
      </c>
      <c r="AZ10">
        <v>386</v>
      </c>
      <c r="BA10">
        <v>353</v>
      </c>
      <c r="BB10">
        <v>286</v>
      </c>
      <c r="BC10">
        <v>284</v>
      </c>
      <c r="BD10">
        <v>267</v>
      </c>
      <c r="BE10">
        <v>229</v>
      </c>
      <c r="BF10">
        <v>168</v>
      </c>
      <c r="BG10">
        <v>189</v>
      </c>
      <c r="BH10">
        <v>193</v>
      </c>
      <c r="BI10">
        <v>176</v>
      </c>
      <c r="BJ10">
        <v>168</v>
      </c>
      <c r="BK10">
        <v>174</v>
      </c>
      <c r="BL10">
        <v>185</v>
      </c>
      <c r="BM10">
        <v>176</v>
      </c>
      <c r="BN10">
        <v>186</v>
      </c>
      <c r="BO10">
        <v>169</v>
      </c>
      <c r="BP10">
        <v>238</v>
      </c>
      <c r="BQ10">
        <v>312</v>
      </c>
      <c r="BR10">
        <v>303</v>
      </c>
      <c r="BS10">
        <v>324</v>
      </c>
      <c r="BT10">
        <v>334</v>
      </c>
      <c r="BU10">
        <v>366</v>
      </c>
      <c r="BV10">
        <v>462</v>
      </c>
      <c r="BW10">
        <v>586</v>
      </c>
      <c r="BX10">
        <v>733</v>
      </c>
      <c r="BY10">
        <v>864</v>
      </c>
      <c r="BZ10">
        <v>969</v>
      </c>
      <c r="CA10">
        <v>1059</v>
      </c>
      <c r="CB10">
        <v>1108</v>
      </c>
      <c r="CC10">
        <v>1178</v>
      </c>
      <c r="CD10">
        <v>1229</v>
      </c>
      <c r="CE10">
        <v>1267</v>
      </c>
      <c r="CF10">
        <v>1301</v>
      </c>
      <c r="CG10">
        <v>1337</v>
      </c>
      <c r="CH10">
        <v>1362</v>
      </c>
      <c r="CI10">
        <v>1392</v>
      </c>
      <c r="CJ10">
        <v>1373</v>
      </c>
      <c r="CK10">
        <v>1310</v>
      </c>
      <c r="CL10">
        <v>1281</v>
      </c>
      <c r="CM10">
        <v>1251</v>
      </c>
      <c r="CN10">
        <v>1249</v>
      </c>
      <c r="CO10">
        <v>1238</v>
      </c>
      <c r="CP10">
        <v>1178</v>
      </c>
      <c r="CQ10">
        <v>1160</v>
      </c>
      <c r="CR10">
        <v>1163</v>
      </c>
      <c r="CS10">
        <v>1198</v>
      </c>
    </row>
    <row r="11" spans="1:97">
      <c r="A11" s="9">
        <v>46244</v>
      </c>
      <c r="B11">
        <v>1215</v>
      </c>
      <c r="C11">
        <v>1320</v>
      </c>
      <c r="D11">
        <v>1403</v>
      </c>
      <c r="E11">
        <v>1471</v>
      </c>
      <c r="F11">
        <v>1502</v>
      </c>
      <c r="G11">
        <v>1650</v>
      </c>
      <c r="H11">
        <v>1707</v>
      </c>
      <c r="I11">
        <v>1797</v>
      </c>
      <c r="J11">
        <v>1989</v>
      </c>
      <c r="K11">
        <v>2190</v>
      </c>
      <c r="L11">
        <v>2367</v>
      </c>
      <c r="M11">
        <v>2438</v>
      </c>
      <c r="N11">
        <v>2460</v>
      </c>
      <c r="O11">
        <v>2535</v>
      </c>
      <c r="P11">
        <v>2653</v>
      </c>
      <c r="Q11">
        <v>2811</v>
      </c>
      <c r="R11">
        <v>3116</v>
      </c>
      <c r="S11">
        <v>3330</v>
      </c>
      <c r="T11">
        <v>3616</v>
      </c>
      <c r="U11">
        <v>3800</v>
      </c>
      <c r="V11">
        <v>3778</v>
      </c>
      <c r="W11">
        <v>3817</v>
      </c>
      <c r="X11">
        <v>3821</v>
      </c>
      <c r="Y11">
        <v>3844</v>
      </c>
      <c r="Z11">
        <v>3773</v>
      </c>
      <c r="AA11">
        <v>3806</v>
      </c>
      <c r="AB11">
        <v>3789</v>
      </c>
      <c r="AC11">
        <v>3625</v>
      </c>
      <c r="AD11">
        <v>3426</v>
      </c>
      <c r="AE11">
        <v>3362</v>
      </c>
      <c r="AF11">
        <v>3233</v>
      </c>
      <c r="AG11">
        <v>3174</v>
      </c>
      <c r="AH11">
        <v>3234</v>
      </c>
      <c r="AI11">
        <v>3392</v>
      </c>
      <c r="AJ11">
        <v>3672</v>
      </c>
      <c r="AK11">
        <v>3977</v>
      </c>
      <c r="AL11">
        <v>4426</v>
      </c>
      <c r="AM11">
        <v>4738</v>
      </c>
      <c r="AN11">
        <v>5248</v>
      </c>
      <c r="AO11">
        <v>5733</v>
      </c>
      <c r="AP11">
        <v>6251</v>
      </c>
      <c r="AQ11">
        <v>6731</v>
      </c>
      <c r="AR11">
        <v>7063</v>
      </c>
      <c r="AS11">
        <v>7583</v>
      </c>
      <c r="AT11">
        <v>7879</v>
      </c>
      <c r="AU11">
        <v>7395</v>
      </c>
      <c r="AV11">
        <v>7582</v>
      </c>
      <c r="AW11">
        <v>8485</v>
      </c>
      <c r="AX11">
        <v>9055</v>
      </c>
      <c r="AY11">
        <v>9002</v>
      </c>
      <c r="AZ11">
        <v>8890</v>
      </c>
      <c r="BA11">
        <v>8341</v>
      </c>
      <c r="BB11">
        <v>7776</v>
      </c>
      <c r="BC11">
        <v>7226</v>
      </c>
      <c r="BD11">
        <v>7102</v>
      </c>
      <c r="BE11">
        <v>6982</v>
      </c>
      <c r="BF11">
        <v>6780</v>
      </c>
      <c r="BG11">
        <v>7109</v>
      </c>
      <c r="BH11">
        <v>7409</v>
      </c>
      <c r="BI11">
        <v>7457</v>
      </c>
      <c r="BJ11">
        <v>8107</v>
      </c>
      <c r="BK11">
        <v>8887</v>
      </c>
      <c r="BL11">
        <v>9754</v>
      </c>
      <c r="BM11">
        <v>9898</v>
      </c>
      <c r="BN11">
        <v>9980</v>
      </c>
      <c r="BO11">
        <v>9775</v>
      </c>
      <c r="BP11">
        <v>9568</v>
      </c>
      <c r="BQ11">
        <v>9515</v>
      </c>
      <c r="BR11">
        <v>9228</v>
      </c>
      <c r="BS11">
        <v>9065</v>
      </c>
      <c r="BT11">
        <v>8859</v>
      </c>
      <c r="BU11">
        <v>8445</v>
      </c>
      <c r="BV11">
        <v>8115</v>
      </c>
      <c r="BW11">
        <v>7927</v>
      </c>
      <c r="BX11">
        <v>7946</v>
      </c>
      <c r="BY11">
        <v>8091</v>
      </c>
      <c r="BZ11">
        <v>8220</v>
      </c>
      <c r="CA11">
        <v>8327</v>
      </c>
      <c r="CB11">
        <v>8488</v>
      </c>
      <c r="CC11">
        <v>8712</v>
      </c>
      <c r="CD11">
        <v>8916</v>
      </c>
      <c r="CE11">
        <v>8995</v>
      </c>
      <c r="CF11">
        <v>9002</v>
      </c>
      <c r="CG11">
        <v>9018</v>
      </c>
      <c r="CH11">
        <v>8801</v>
      </c>
      <c r="CI11">
        <v>8716</v>
      </c>
      <c r="CJ11">
        <v>8750</v>
      </c>
      <c r="CK11">
        <v>8808</v>
      </c>
      <c r="CL11">
        <v>8979</v>
      </c>
      <c r="CM11">
        <v>9207</v>
      </c>
      <c r="CN11">
        <v>9261</v>
      </c>
      <c r="CO11">
        <v>9334</v>
      </c>
      <c r="CP11">
        <v>9283</v>
      </c>
      <c r="CQ11">
        <v>9411</v>
      </c>
      <c r="CR11">
        <v>9620</v>
      </c>
      <c r="CS11">
        <v>9775</v>
      </c>
    </row>
    <row r="12" spans="1:97">
      <c r="A12" s="9">
        <v>46245</v>
      </c>
      <c r="B12">
        <v>9869</v>
      </c>
      <c r="C12">
        <v>9883</v>
      </c>
      <c r="D12">
        <v>9814</v>
      </c>
      <c r="E12">
        <v>9849</v>
      </c>
      <c r="F12">
        <v>9904</v>
      </c>
      <c r="G12">
        <v>9921</v>
      </c>
      <c r="H12">
        <v>9909</v>
      </c>
      <c r="I12">
        <v>9893</v>
      </c>
      <c r="J12">
        <v>9916</v>
      </c>
      <c r="K12">
        <v>9856</v>
      </c>
      <c r="L12">
        <v>9851</v>
      </c>
      <c r="M12">
        <v>9902</v>
      </c>
      <c r="N12">
        <v>9976</v>
      </c>
      <c r="O12">
        <v>9914</v>
      </c>
      <c r="P12">
        <v>9943</v>
      </c>
      <c r="Q12">
        <v>9984</v>
      </c>
      <c r="R12">
        <v>9872</v>
      </c>
      <c r="S12">
        <v>9767</v>
      </c>
      <c r="T12">
        <v>9572</v>
      </c>
      <c r="U12">
        <v>9492</v>
      </c>
      <c r="V12">
        <v>9439</v>
      </c>
      <c r="W12">
        <v>9265</v>
      </c>
      <c r="X12">
        <v>9205</v>
      </c>
      <c r="Y12">
        <v>8998</v>
      </c>
      <c r="Z12">
        <v>8771</v>
      </c>
      <c r="AA12">
        <v>8644</v>
      </c>
      <c r="AB12">
        <v>8497</v>
      </c>
      <c r="AC12">
        <v>8320</v>
      </c>
      <c r="AD12">
        <v>8134</v>
      </c>
      <c r="AE12">
        <v>8035</v>
      </c>
      <c r="AF12">
        <v>8172</v>
      </c>
      <c r="AG12">
        <v>8523</v>
      </c>
      <c r="AH12">
        <v>8562</v>
      </c>
      <c r="AI12">
        <v>8678</v>
      </c>
      <c r="AJ12">
        <v>8753</v>
      </c>
      <c r="AK12">
        <v>8862</v>
      </c>
      <c r="AL12">
        <v>9082</v>
      </c>
      <c r="AM12">
        <v>9017</v>
      </c>
      <c r="AN12">
        <v>9046</v>
      </c>
      <c r="AO12">
        <v>9132</v>
      </c>
      <c r="AP12">
        <v>9107</v>
      </c>
      <c r="AQ12">
        <v>9218</v>
      </c>
      <c r="AR12">
        <v>9279</v>
      </c>
      <c r="AS12">
        <v>9380</v>
      </c>
      <c r="AT12">
        <v>9382</v>
      </c>
      <c r="AU12">
        <v>9589</v>
      </c>
      <c r="AV12">
        <v>9484</v>
      </c>
      <c r="AW12">
        <v>9515</v>
      </c>
      <c r="AX12">
        <v>9604</v>
      </c>
      <c r="AY12">
        <v>9634</v>
      </c>
      <c r="AZ12">
        <v>9547</v>
      </c>
      <c r="BA12">
        <v>9718</v>
      </c>
      <c r="BB12">
        <v>9574</v>
      </c>
      <c r="BC12">
        <v>9693</v>
      </c>
      <c r="BD12">
        <v>9698</v>
      </c>
      <c r="BE12">
        <v>9823</v>
      </c>
      <c r="BF12">
        <v>9877</v>
      </c>
      <c r="BG12">
        <v>9911</v>
      </c>
      <c r="BH12">
        <v>9933</v>
      </c>
      <c r="BI12">
        <v>9841</v>
      </c>
      <c r="BJ12">
        <v>9759</v>
      </c>
      <c r="BK12">
        <v>9734</v>
      </c>
      <c r="BL12">
        <v>9425</v>
      </c>
      <c r="BM12">
        <v>9273</v>
      </c>
      <c r="BN12">
        <v>9122</v>
      </c>
      <c r="BO12">
        <v>9077</v>
      </c>
      <c r="BP12">
        <v>8955</v>
      </c>
      <c r="BQ12">
        <v>8651</v>
      </c>
      <c r="BR12">
        <v>8225</v>
      </c>
      <c r="BS12">
        <v>7974</v>
      </c>
      <c r="BT12">
        <v>7620</v>
      </c>
      <c r="BU12">
        <v>7193</v>
      </c>
      <c r="BV12">
        <v>6869</v>
      </c>
      <c r="BW12">
        <v>6624</v>
      </c>
      <c r="BX12">
        <v>6447</v>
      </c>
      <c r="BY12">
        <v>6383</v>
      </c>
      <c r="BZ12">
        <v>6298</v>
      </c>
      <c r="CA12">
        <v>6240</v>
      </c>
      <c r="CB12">
        <v>6212</v>
      </c>
      <c r="CC12">
        <v>6260</v>
      </c>
      <c r="CD12">
        <v>6260</v>
      </c>
      <c r="CE12">
        <v>6270</v>
      </c>
      <c r="CF12">
        <v>6269</v>
      </c>
      <c r="CG12">
        <v>6170</v>
      </c>
      <c r="CH12">
        <v>6084</v>
      </c>
      <c r="CI12">
        <v>5938</v>
      </c>
      <c r="CJ12">
        <v>5873</v>
      </c>
      <c r="CK12">
        <v>5878</v>
      </c>
      <c r="CL12">
        <v>5836</v>
      </c>
      <c r="CM12">
        <v>5880</v>
      </c>
      <c r="CN12">
        <v>5861</v>
      </c>
      <c r="CO12">
        <v>5850</v>
      </c>
      <c r="CP12">
        <v>5746</v>
      </c>
      <c r="CQ12">
        <v>5705</v>
      </c>
      <c r="CR12">
        <v>5634</v>
      </c>
      <c r="CS12">
        <v>5626</v>
      </c>
    </row>
    <row r="13" spans="1:97">
      <c r="A13" s="9">
        <v>46246</v>
      </c>
      <c r="B13">
        <v>5514</v>
      </c>
      <c r="C13">
        <v>5419</v>
      </c>
      <c r="D13">
        <v>5442</v>
      </c>
      <c r="E13">
        <v>5390</v>
      </c>
      <c r="F13">
        <v>5399</v>
      </c>
      <c r="G13">
        <v>5464</v>
      </c>
      <c r="H13">
        <v>5577</v>
      </c>
      <c r="I13">
        <v>5564</v>
      </c>
      <c r="J13">
        <v>5568</v>
      </c>
      <c r="K13">
        <v>5510</v>
      </c>
      <c r="L13">
        <v>5330</v>
      </c>
      <c r="M13">
        <v>5237</v>
      </c>
      <c r="N13">
        <v>5170</v>
      </c>
      <c r="O13">
        <v>5098</v>
      </c>
      <c r="P13">
        <v>4997</v>
      </c>
      <c r="Q13">
        <v>5008</v>
      </c>
      <c r="R13">
        <v>4923</v>
      </c>
      <c r="S13">
        <v>4850</v>
      </c>
      <c r="T13">
        <v>4749</v>
      </c>
      <c r="U13">
        <v>4685</v>
      </c>
      <c r="V13">
        <v>4526</v>
      </c>
      <c r="W13">
        <v>4424</v>
      </c>
      <c r="X13">
        <v>4311</v>
      </c>
      <c r="Y13">
        <v>4054</v>
      </c>
      <c r="Z13">
        <v>3717</v>
      </c>
      <c r="AA13">
        <v>3296</v>
      </c>
      <c r="AB13">
        <v>2934</v>
      </c>
      <c r="AC13">
        <v>2619</v>
      </c>
      <c r="AD13">
        <v>2347</v>
      </c>
      <c r="AE13">
        <v>2156</v>
      </c>
      <c r="AF13">
        <v>2057</v>
      </c>
      <c r="AG13">
        <v>2156</v>
      </c>
      <c r="AH13">
        <v>2301</v>
      </c>
      <c r="AI13">
        <v>2380</v>
      </c>
      <c r="AJ13">
        <v>2489</v>
      </c>
      <c r="AK13">
        <v>2605</v>
      </c>
      <c r="AL13">
        <v>2777</v>
      </c>
      <c r="AM13">
        <v>2887</v>
      </c>
      <c r="AN13">
        <v>3119</v>
      </c>
      <c r="AO13">
        <v>3310</v>
      </c>
      <c r="AP13">
        <v>3379</v>
      </c>
      <c r="AQ13">
        <v>3346</v>
      </c>
      <c r="AR13">
        <v>3302</v>
      </c>
      <c r="AS13">
        <v>3239</v>
      </c>
      <c r="AT13">
        <v>3138</v>
      </c>
      <c r="AU13">
        <v>3078</v>
      </c>
      <c r="AV13">
        <v>2929</v>
      </c>
      <c r="AW13">
        <v>2760</v>
      </c>
      <c r="AX13">
        <v>2797</v>
      </c>
      <c r="AY13">
        <v>2787</v>
      </c>
      <c r="AZ13">
        <v>2875</v>
      </c>
      <c r="BA13">
        <v>2974</v>
      </c>
      <c r="BB13">
        <v>3197</v>
      </c>
      <c r="BC13">
        <v>3385</v>
      </c>
      <c r="BD13">
        <v>3499</v>
      </c>
      <c r="BE13">
        <v>3505</v>
      </c>
      <c r="BF13">
        <v>3545</v>
      </c>
      <c r="BG13">
        <v>3399</v>
      </c>
      <c r="BH13">
        <v>3359</v>
      </c>
      <c r="BI13">
        <v>3421</v>
      </c>
      <c r="BJ13">
        <v>3605</v>
      </c>
      <c r="BK13">
        <v>3463</v>
      </c>
      <c r="BL13">
        <v>3340</v>
      </c>
      <c r="BM13">
        <v>3182</v>
      </c>
      <c r="BN13">
        <v>3216</v>
      </c>
      <c r="BO13">
        <v>3354</v>
      </c>
      <c r="BP13">
        <v>3414</v>
      </c>
      <c r="BQ13">
        <v>3437</v>
      </c>
      <c r="BR13">
        <v>3548</v>
      </c>
      <c r="BS13">
        <v>3491</v>
      </c>
      <c r="BT13">
        <v>3513</v>
      </c>
      <c r="BU13">
        <v>3373</v>
      </c>
      <c r="BV13">
        <v>3196</v>
      </c>
      <c r="BW13">
        <v>3183</v>
      </c>
      <c r="BX13">
        <v>3221</v>
      </c>
      <c r="BY13">
        <v>3347</v>
      </c>
      <c r="BZ13">
        <v>3366</v>
      </c>
      <c r="CA13">
        <v>3451</v>
      </c>
      <c r="CB13">
        <v>3658</v>
      </c>
      <c r="CC13">
        <v>3815</v>
      </c>
      <c r="CD13">
        <v>4023</v>
      </c>
      <c r="CE13">
        <v>4148</v>
      </c>
      <c r="CF13">
        <v>4051</v>
      </c>
      <c r="CG13">
        <v>3960</v>
      </c>
      <c r="CH13">
        <v>3915</v>
      </c>
      <c r="CI13">
        <v>3894</v>
      </c>
      <c r="CJ13">
        <v>3879</v>
      </c>
      <c r="CK13">
        <v>3958</v>
      </c>
      <c r="CL13">
        <v>3914</v>
      </c>
      <c r="CM13">
        <v>3865</v>
      </c>
      <c r="CN13">
        <v>3822</v>
      </c>
      <c r="CO13">
        <v>3776</v>
      </c>
      <c r="CP13">
        <v>3841</v>
      </c>
      <c r="CQ13">
        <v>3872</v>
      </c>
      <c r="CR13">
        <v>3850</v>
      </c>
      <c r="CS13">
        <v>3768</v>
      </c>
    </row>
    <row r="14" spans="1:97">
      <c r="A14" s="9">
        <v>46247</v>
      </c>
      <c r="B14">
        <v>3613</v>
      </c>
      <c r="C14">
        <v>3574</v>
      </c>
      <c r="D14">
        <v>3571</v>
      </c>
      <c r="E14">
        <v>3518</v>
      </c>
      <c r="F14">
        <v>3515</v>
      </c>
      <c r="G14">
        <v>3401</v>
      </c>
      <c r="H14">
        <v>3383</v>
      </c>
      <c r="I14">
        <v>3347</v>
      </c>
      <c r="J14">
        <v>3342</v>
      </c>
      <c r="K14">
        <v>3335</v>
      </c>
      <c r="L14">
        <v>3258</v>
      </c>
      <c r="M14">
        <v>3249</v>
      </c>
      <c r="N14">
        <v>3230</v>
      </c>
      <c r="O14">
        <v>3195</v>
      </c>
      <c r="P14">
        <v>3117</v>
      </c>
      <c r="Q14">
        <v>3028</v>
      </c>
      <c r="R14">
        <v>3047</v>
      </c>
      <c r="S14">
        <v>3070</v>
      </c>
      <c r="T14">
        <v>3200</v>
      </c>
      <c r="U14">
        <v>3160</v>
      </c>
      <c r="V14">
        <v>3209</v>
      </c>
      <c r="W14">
        <v>3194</v>
      </c>
      <c r="X14">
        <v>3223</v>
      </c>
      <c r="Y14">
        <v>3195</v>
      </c>
      <c r="Z14">
        <v>3165</v>
      </c>
      <c r="AA14">
        <v>3066</v>
      </c>
      <c r="AB14">
        <v>2935</v>
      </c>
      <c r="AC14">
        <v>2827</v>
      </c>
      <c r="AD14">
        <v>2940</v>
      </c>
      <c r="AE14">
        <v>3019</v>
      </c>
      <c r="AF14">
        <v>2951</v>
      </c>
      <c r="AG14">
        <v>2910</v>
      </c>
      <c r="AH14">
        <v>2660</v>
      </c>
      <c r="AI14">
        <v>2490</v>
      </c>
      <c r="AJ14">
        <v>2300</v>
      </c>
      <c r="AK14">
        <v>2155</v>
      </c>
      <c r="AL14">
        <v>2089</v>
      </c>
      <c r="AM14">
        <v>2034</v>
      </c>
      <c r="AN14">
        <v>1903</v>
      </c>
      <c r="AO14">
        <v>1830</v>
      </c>
      <c r="AP14">
        <v>1763</v>
      </c>
      <c r="AQ14">
        <v>1694</v>
      </c>
      <c r="AR14">
        <v>1643</v>
      </c>
      <c r="AS14">
        <v>1652</v>
      </c>
      <c r="AT14">
        <v>1611</v>
      </c>
      <c r="AU14">
        <v>1661</v>
      </c>
      <c r="AV14">
        <v>1827</v>
      </c>
      <c r="AW14">
        <v>1954</v>
      </c>
      <c r="AX14">
        <v>2057</v>
      </c>
      <c r="AY14">
        <v>2056</v>
      </c>
      <c r="AZ14">
        <v>2145</v>
      </c>
      <c r="BA14">
        <v>2162</v>
      </c>
      <c r="BB14">
        <v>2297</v>
      </c>
      <c r="BC14">
        <v>2354</v>
      </c>
      <c r="BD14">
        <v>2393</v>
      </c>
      <c r="BE14">
        <v>2432</v>
      </c>
      <c r="BF14">
        <v>2404</v>
      </c>
      <c r="BG14">
        <v>2370</v>
      </c>
      <c r="BH14">
        <v>2309</v>
      </c>
      <c r="BI14">
        <v>2298</v>
      </c>
      <c r="BJ14">
        <v>2221</v>
      </c>
      <c r="BK14">
        <v>2272</v>
      </c>
      <c r="BL14">
        <v>2192</v>
      </c>
      <c r="BM14">
        <v>2133</v>
      </c>
      <c r="BN14">
        <v>2181</v>
      </c>
      <c r="BO14">
        <v>2212</v>
      </c>
      <c r="BP14">
        <v>2199</v>
      </c>
      <c r="BQ14">
        <v>2077</v>
      </c>
      <c r="BR14">
        <v>1995</v>
      </c>
      <c r="BS14">
        <v>1946</v>
      </c>
      <c r="BT14">
        <v>1796</v>
      </c>
      <c r="BU14">
        <v>1699</v>
      </c>
      <c r="BV14">
        <v>1655</v>
      </c>
      <c r="BW14">
        <v>1577</v>
      </c>
      <c r="BX14">
        <v>1559</v>
      </c>
      <c r="BY14">
        <v>1645</v>
      </c>
      <c r="BZ14">
        <v>1713</v>
      </c>
      <c r="CA14">
        <v>1794</v>
      </c>
      <c r="CB14">
        <v>1849</v>
      </c>
      <c r="CC14">
        <v>1870</v>
      </c>
      <c r="CD14">
        <v>1879</v>
      </c>
      <c r="CE14">
        <v>1862</v>
      </c>
      <c r="CF14">
        <v>1822</v>
      </c>
      <c r="CG14">
        <v>1798</v>
      </c>
      <c r="CH14">
        <v>1736</v>
      </c>
      <c r="CI14">
        <v>1682</v>
      </c>
      <c r="CJ14">
        <v>1711</v>
      </c>
      <c r="CK14">
        <v>1741</v>
      </c>
      <c r="CL14">
        <v>1695</v>
      </c>
      <c r="CM14">
        <v>1689</v>
      </c>
      <c r="CN14">
        <v>1704</v>
      </c>
      <c r="CO14">
        <v>1760</v>
      </c>
      <c r="CP14">
        <v>1863</v>
      </c>
      <c r="CQ14">
        <v>1948</v>
      </c>
      <c r="CR14">
        <v>2010</v>
      </c>
      <c r="CS14">
        <v>2051</v>
      </c>
    </row>
    <row r="15" spans="1:97">
      <c r="A15" s="9">
        <v>46248</v>
      </c>
      <c r="B15">
        <v>2131</v>
      </c>
      <c r="C15">
        <v>2196</v>
      </c>
      <c r="D15">
        <v>2259</v>
      </c>
      <c r="E15">
        <v>2286</v>
      </c>
      <c r="F15">
        <v>2327</v>
      </c>
      <c r="G15">
        <v>2382</v>
      </c>
      <c r="H15">
        <v>2449</v>
      </c>
      <c r="I15">
        <v>2473</v>
      </c>
      <c r="J15">
        <v>2508</v>
      </c>
      <c r="K15">
        <v>2558</v>
      </c>
      <c r="L15">
        <v>2585</v>
      </c>
      <c r="M15">
        <v>2617</v>
      </c>
      <c r="N15">
        <v>2653</v>
      </c>
      <c r="O15">
        <v>2668</v>
      </c>
      <c r="P15">
        <v>2673</v>
      </c>
      <c r="Q15">
        <v>2740</v>
      </c>
      <c r="R15">
        <v>2891</v>
      </c>
      <c r="S15">
        <v>3007</v>
      </c>
      <c r="T15">
        <v>2989</v>
      </c>
      <c r="U15">
        <v>2992</v>
      </c>
      <c r="V15">
        <v>3002</v>
      </c>
      <c r="W15">
        <v>3014</v>
      </c>
      <c r="X15">
        <v>3070</v>
      </c>
      <c r="Y15">
        <v>2984</v>
      </c>
      <c r="Z15">
        <v>2898</v>
      </c>
      <c r="AA15">
        <v>2766</v>
      </c>
      <c r="AB15">
        <v>2590</v>
      </c>
      <c r="AC15">
        <v>2434</v>
      </c>
      <c r="AD15">
        <v>2242</v>
      </c>
      <c r="AE15">
        <v>2073</v>
      </c>
      <c r="AF15">
        <v>1953</v>
      </c>
      <c r="AG15">
        <v>1973</v>
      </c>
      <c r="AH15">
        <v>2087</v>
      </c>
      <c r="AI15">
        <v>2276</v>
      </c>
      <c r="AJ15">
        <v>2473</v>
      </c>
      <c r="AK15">
        <v>2691</v>
      </c>
      <c r="AL15">
        <v>2828</v>
      </c>
      <c r="AM15">
        <v>2964</v>
      </c>
      <c r="AN15">
        <v>3187</v>
      </c>
      <c r="AO15">
        <v>3414</v>
      </c>
      <c r="AP15">
        <v>3660</v>
      </c>
      <c r="AQ15">
        <v>3880</v>
      </c>
      <c r="AR15">
        <v>3898</v>
      </c>
      <c r="AS15">
        <v>4063</v>
      </c>
      <c r="AT15">
        <v>4038</v>
      </c>
      <c r="AU15">
        <v>3915</v>
      </c>
      <c r="AV15">
        <v>3908</v>
      </c>
      <c r="AW15">
        <v>3803</v>
      </c>
      <c r="AX15">
        <v>3710</v>
      </c>
      <c r="AY15">
        <v>3660</v>
      </c>
      <c r="AZ15">
        <v>3654</v>
      </c>
      <c r="BA15">
        <v>3596</v>
      </c>
      <c r="BB15">
        <v>3583</v>
      </c>
      <c r="BC15">
        <v>3494</v>
      </c>
      <c r="BD15">
        <v>3494</v>
      </c>
      <c r="BE15">
        <v>3473</v>
      </c>
      <c r="BF15">
        <v>3507</v>
      </c>
      <c r="BG15">
        <v>3387</v>
      </c>
      <c r="BH15">
        <v>3329</v>
      </c>
      <c r="BI15">
        <v>3216</v>
      </c>
      <c r="BJ15">
        <v>3294</v>
      </c>
      <c r="BK15">
        <v>3240</v>
      </c>
      <c r="BL15">
        <v>3203</v>
      </c>
      <c r="BM15">
        <v>3228</v>
      </c>
      <c r="BN15">
        <v>3265</v>
      </c>
      <c r="BO15">
        <v>3265</v>
      </c>
      <c r="BP15">
        <v>3159</v>
      </c>
      <c r="BQ15">
        <v>3078</v>
      </c>
      <c r="BR15">
        <v>2995</v>
      </c>
      <c r="BS15">
        <v>2891</v>
      </c>
      <c r="BT15">
        <v>2911</v>
      </c>
      <c r="BU15">
        <v>2822</v>
      </c>
      <c r="BV15">
        <v>2913</v>
      </c>
      <c r="BW15">
        <v>3150</v>
      </c>
      <c r="BX15">
        <v>3496</v>
      </c>
      <c r="BY15">
        <v>3885</v>
      </c>
      <c r="BZ15">
        <v>4202</v>
      </c>
      <c r="CA15">
        <v>4527</v>
      </c>
      <c r="CB15">
        <v>4785</v>
      </c>
      <c r="CC15">
        <v>5027</v>
      </c>
      <c r="CD15">
        <v>5199</v>
      </c>
      <c r="CE15">
        <v>5327</v>
      </c>
      <c r="CF15">
        <v>5397</v>
      </c>
      <c r="CG15">
        <v>5471</v>
      </c>
      <c r="CH15">
        <v>5398</v>
      </c>
      <c r="CI15">
        <v>5377</v>
      </c>
      <c r="CJ15">
        <v>5229</v>
      </c>
      <c r="CK15">
        <v>5015</v>
      </c>
      <c r="CL15">
        <v>4781</v>
      </c>
      <c r="CM15">
        <v>4507</v>
      </c>
      <c r="CN15">
        <v>4231</v>
      </c>
      <c r="CO15">
        <v>4003</v>
      </c>
      <c r="CP15">
        <v>3763</v>
      </c>
      <c r="CQ15">
        <v>3617</v>
      </c>
      <c r="CR15">
        <v>3518</v>
      </c>
      <c r="CS15">
        <v>3404</v>
      </c>
    </row>
    <row r="16" spans="1:97">
      <c r="A16" s="9">
        <v>46249</v>
      </c>
      <c r="B16">
        <v>3402</v>
      </c>
      <c r="C16">
        <v>3278</v>
      </c>
      <c r="D16">
        <v>3185</v>
      </c>
      <c r="E16">
        <v>3073</v>
      </c>
      <c r="F16">
        <v>2979</v>
      </c>
      <c r="G16">
        <v>2827</v>
      </c>
      <c r="H16">
        <v>2782</v>
      </c>
      <c r="I16">
        <v>2646</v>
      </c>
      <c r="J16">
        <v>2558</v>
      </c>
      <c r="K16">
        <v>2475</v>
      </c>
      <c r="L16">
        <v>2393</v>
      </c>
      <c r="M16">
        <v>2284</v>
      </c>
      <c r="N16">
        <v>2176</v>
      </c>
      <c r="O16">
        <v>2134</v>
      </c>
      <c r="P16">
        <v>2037</v>
      </c>
      <c r="Q16">
        <v>2002</v>
      </c>
      <c r="R16">
        <v>1884</v>
      </c>
      <c r="S16">
        <v>1821</v>
      </c>
      <c r="T16">
        <v>1785</v>
      </c>
      <c r="U16">
        <v>1747</v>
      </c>
      <c r="V16">
        <v>1739</v>
      </c>
      <c r="W16">
        <v>1702</v>
      </c>
      <c r="X16">
        <v>1684</v>
      </c>
      <c r="Y16">
        <v>1606</v>
      </c>
      <c r="Z16">
        <v>1450</v>
      </c>
      <c r="AA16">
        <v>1283</v>
      </c>
      <c r="AB16">
        <v>1097</v>
      </c>
      <c r="AC16">
        <v>897</v>
      </c>
      <c r="AD16">
        <v>697</v>
      </c>
      <c r="AE16">
        <v>505</v>
      </c>
      <c r="AF16">
        <v>376</v>
      </c>
      <c r="AG16">
        <v>312</v>
      </c>
      <c r="AH16">
        <v>282</v>
      </c>
      <c r="AI16">
        <v>275</v>
      </c>
      <c r="AJ16">
        <v>257</v>
      </c>
      <c r="AK16">
        <v>232</v>
      </c>
      <c r="AL16">
        <v>235</v>
      </c>
      <c r="AM16">
        <v>214</v>
      </c>
      <c r="AN16">
        <v>188</v>
      </c>
      <c r="AO16">
        <v>161</v>
      </c>
      <c r="AP16">
        <v>132</v>
      </c>
      <c r="AQ16">
        <v>105</v>
      </c>
      <c r="AR16">
        <v>70</v>
      </c>
      <c r="AS16">
        <v>50</v>
      </c>
      <c r="AT16">
        <v>65</v>
      </c>
      <c r="AU16">
        <v>54</v>
      </c>
      <c r="AV16">
        <v>66</v>
      </c>
      <c r="AW16">
        <v>96</v>
      </c>
      <c r="AX16">
        <v>105</v>
      </c>
      <c r="AY16">
        <v>125</v>
      </c>
      <c r="AZ16">
        <v>165</v>
      </c>
      <c r="BA16">
        <v>148</v>
      </c>
      <c r="BB16">
        <v>132</v>
      </c>
      <c r="BC16">
        <v>133</v>
      </c>
      <c r="BD16">
        <v>136</v>
      </c>
      <c r="BE16">
        <v>127</v>
      </c>
      <c r="BF16">
        <v>163</v>
      </c>
      <c r="BG16">
        <v>164</v>
      </c>
      <c r="BH16">
        <v>208</v>
      </c>
      <c r="BI16">
        <v>300</v>
      </c>
      <c r="BJ16">
        <v>305</v>
      </c>
      <c r="BK16">
        <v>296</v>
      </c>
      <c r="BL16">
        <v>363</v>
      </c>
      <c r="BM16">
        <v>330</v>
      </c>
      <c r="BN16">
        <v>409</v>
      </c>
      <c r="BO16">
        <v>398</v>
      </c>
      <c r="BP16">
        <v>460</v>
      </c>
      <c r="BQ16">
        <v>576</v>
      </c>
      <c r="BR16">
        <v>621</v>
      </c>
      <c r="BS16">
        <v>723</v>
      </c>
      <c r="BT16">
        <v>786</v>
      </c>
      <c r="BU16">
        <v>883</v>
      </c>
      <c r="BV16">
        <v>994</v>
      </c>
      <c r="BW16">
        <v>1042</v>
      </c>
      <c r="BX16">
        <v>1064</v>
      </c>
      <c r="BY16">
        <v>1195</v>
      </c>
      <c r="BZ16">
        <v>1354</v>
      </c>
      <c r="CA16">
        <v>1353</v>
      </c>
      <c r="CB16">
        <v>1609</v>
      </c>
      <c r="CC16">
        <v>1791</v>
      </c>
      <c r="CD16">
        <v>1864</v>
      </c>
      <c r="CE16">
        <v>1802</v>
      </c>
      <c r="CF16">
        <v>1792</v>
      </c>
      <c r="CG16">
        <v>1874</v>
      </c>
      <c r="CH16">
        <v>1982</v>
      </c>
      <c r="CI16">
        <v>2082</v>
      </c>
      <c r="CJ16">
        <v>2051</v>
      </c>
      <c r="CK16">
        <v>1930</v>
      </c>
      <c r="CL16">
        <v>1901</v>
      </c>
      <c r="CM16">
        <v>1798</v>
      </c>
      <c r="CN16">
        <v>1778</v>
      </c>
      <c r="CO16">
        <v>1855</v>
      </c>
      <c r="CP16">
        <v>1918</v>
      </c>
      <c r="CQ16">
        <v>1841</v>
      </c>
      <c r="CR16">
        <v>1789</v>
      </c>
      <c r="CS16">
        <v>1774</v>
      </c>
    </row>
    <row r="17" spans="1:97">
      <c r="A17" s="9">
        <v>46250</v>
      </c>
      <c r="B17">
        <v>1845</v>
      </c>
      <c r="C17">
        <v>1779</v>
      </c>
      <c r="D17">
        <v>1667</v>
      </c>
      <c r="E17">
        <v>1525</v>
      </c>
      <c r="F17">
        <v>1462</v>
      </c>
      <c r="G17">
        <v>1429</v>
      </c>
      <c r="H17">
        <v>1394</v>
      </c>
      <c r="I17">
        <v>1274</v>
      </c>
      <c r="J17">
        <v>1150</v>
      </c>
      <c r="K17">
        <v>1113</v>
      </c>
      <c r="L17">
        <v>1096</v>
      </c>
      <c r="M17">
        <v>1086</v>
      </c>
      <c r="N17">
        <v>1124</v>
      </c>
      <c r="O17">
        <v>1092</v>
      </c>
      <c r="P17">
        <v>1004</v>
      </c>
      <c r="Q17">
        <v>939</v>
      </c>
      <c r="R17">
        <v>882</v>
      </c>
      <c r="S17">
        <v>805</v>
      </c>
      <c r="T17">
        <v>757</v>
      </c>
      <c r="U17">
        <v>709</v>
      </c>
      <c r="V17">
        <v>687</v>
      </c>
      <c r="W17">
        <v>694</v>
      </c>
      <c r="X17">
        <v>718</v>
      </c>
      <c r="Y17">
        <v>746</v>
      </c>
      <c r="Z17">
        <v>716</v>
      </c>
      <c r="AA17">
        <v>685</v>
      </c>
      <c r="AB17">
        <v>641</v>
      </c>
      <c r="AC17">
        <v>552</v>
      </c>
      <c r="AD17">
        <v>477</v>
      </c>
      <c r="AE17">
        <v>353</v>
      </c>
      <c r="AF17">
        <v>317</v>
      </c>
      <c r="AG17">
        <v>257</v>
      </c>
      <c r="AH17">
        <v>205</v>
      </c>
      <c r="AI17">
        <v>179</v>
      </c>
      <c r="AJ17">
        <v>182</v>
      </c>
      <c r="AK17">
        <v>192</v>
      </c>
      <c r="AL17">
        <v>270</v>
      </c>
      <c r="AM17">
        <v>357</v>
      </c>
      <c r="AN17">
        <v>435</v>
      </c>
      <c r="AO17">
        <v>453</v>
      </c>
      <c r="AP17">
        <v>485</v>
      </c>
      <c r="AQ17">
        <v>477</v>
      </c>
      <c r="AR17">
        <v>470</v>
      </c>
      <c r="AS17">
        <v>489</v>
      </c>
      <c r="AT17">
        <v>462</v>
      </c>
      <c r="AU17">
        <v>419</v>
      </c>
      <c r="AV17">
        <v>374</v>
      </c>
      <c r="AW17">
        <v>422</v>
      </c>
      <c r="AX17">
        <v>454</v>
      </c>
      <c r="AY17">
        <v>540</v>
      </c>
      <c r="AZ17">
        <v>561</v>
      </c>
      <c r="BA17">
        <v>653</v>
      </c>
      <c r="BB17">
        <v>698</v>
      </c>
      <c r="BC17">
        <v>730</v>
      </c>
      <c r="BD17">
        <v>724</v>
      </c>
      <c r="BE17">
        <v>784</v>
      </c>
      <c r="BF17">
        <v>860</v>
      </c>
      <c r="BG17">
        <v>848</v>
      </c>
      <c r="BH17">
        <v>886</v>
      </c>
      <c r="BI17">
        <v>951</v>
      </c>
      <c r="BJ17">
        <v>1010</v>
      </c>
      <c r="BK17">
        <v>998</v>
      </c>
      <c r="BL17">
        <v>1050</v>
      </c>
      <c r="BM17">
        <v>1097</v>
      </c>
      <c r="BN17">
        <v>955</v>
      </c>
      <c r="BO17">
        <v>865</v>
      </c>
      <c r="BP17">
        <v>842</v>
      </c>
      <c r="BQ17">
        <v>841</v>
      </c>
      <c r="BR17">
        <v>890</v>
      </c>
      <c r="BS17">
        <v>836</v>
      </c>
      <c r="BT17">
        <v>842</v>
      </c>
      <c r="BU17">
        <v>874</v>
      </c>
      <c r="BV17">
        <v>863</v>
      </c>
      <c r="BW17">
        <v>811</v>
      </c>
      <c r="BX17">
        <v>808</v>
      </c>
      <c r="BY17">
        <v>839</v>
      </c>
      <c r="BZ17">
        <v>835</v>
      </c>
      <c r="CA17">
        <v>958</v>
      </c>
      <c r="CB17">
        <v>1021</v>
      </c>
      <c r="CC17">
        <v>1079</v>
      </c>
      <c r="CD17">
        <v>1190</v>
      </c>
      <c r="CE17">
        <v>1269</v>
      </c>
      <c r="CF17">
        <v>1310</v>
      </c>
      <c r="CG17">
        <v>1552</v>
      </c>
      <c r="CH17">
        <v>1618</v>
      </c>
      <c r="CI17">
        <v>1543</v>
      </c>
      <c r="CJ17">
        <v>1634</v>
      </c>
      <c r="CK17">
        <v>1715</v>
      </c>
      <c r="CL17">
        <v>1871</v>
      </c>
      <c r="CM17">
        <v>2070</v>
      </c>
      <c r="CN17">
        <v>2188</v>
      </c>
      <c r="CO17">
        <v>2244</v>
      </c>
      <c r="CP17">
        <v>2285</v>
      </c>
      <c r="CQ17">
        <v>2533</v>
      </c>
      <c r="CR17">
        <v>2660</v>
      </c>
      <c r="CS17">
        <v>2697</v>
      </c>
    </row>
    <row r="18" spans="1:97">
      <c r="A18" s="9">
        <v>46251</v>
      </c>
      <c r="B18">
        <v>2658</v>
      </c>
      <c r="C18">
        <v>2809</v>
      </c>
      <c r="D18">
        <v>2749</v>
      </c>
      <c r="E18">
        <v>2616</v>
      </c>
      <c r="F18">
        <v>2468</v>
      </c>
      <c r="G18">
        <v>2245</v>
      </c>
      <c r="H18">
        <v>2107</v>
      </c>
      <c r="I18">
        <v>1856</v>
      </c>
      <c r="J18">
        <v>1814</v>
      </c>
      <c r="K18">
        <v>1807</v>
      </c>
      <c r="L18">
        <v>1957</v>
      </c>
      <c r="M18">
        <v>2191</v>
      </c>
      <c r="N18">
        <v>2399</v>
      </c>
      <c r="O18">
        <v>2449</v>
      </c>
      <c r="P18">
        <v>2281</v>
      </c>
      <c r="Q18">
        <v>2248</v>
      </c>
      <c r="R18">
        <v>2100</v>
      </c>
      <c r="S18">
        <v>1835</v>
      </c>
      <c r="T18">
        <v>1566</v>
      </c>
      <c r="U18">
        <v>1654</v>
      </c>
      <c r="V18">
        <v>1842</v>
      </c>
      <c r="W18">
        <v>1955</v>
      </c>
      <c r="X18">
        <v>2303</v>
      </c>
      <c r="Y18">
        <v>2524</v>
      </c>
      <c r="Z18">
        <v>2415</v>
      </c>
      <c r="AA18">
        <v>2599</v>
      </c>
      <c r="AB18">
        <v>2584</v>
      </c>
      <c r="AC18">
        <v>2652</v>
      </c>
      <c r="AD18">
        <v>2517</v>
      </c>
      <c r="AE18">
        <v>2393</v>
      </c>
      <c r="AF18">
        <v>2205</v>
      </c>
      <c r="AG18">
        <v>2035</v>
      </c>
      <c r="AH18">
        <v>1861</v>
      </c>
      <c r="AI18">
        <v>1784</v>
      </c>
      <c r="AJ18">
        <v>1783</v>
      </c>
      <c r="AK18">
        <v>1768</v>
      </c>
      <c r="AL18">
        <v>1539</v>
      </c>
      <c r="AM18">
        <v>1339</v>
      </c>
      <c r="AN18">
        <v>1293</v>
      </c>
      <c r="AO18">
        <v>1244</v>
      </c>
      <c r="AP18">
        <v>1268</v>
      </c>
      <c r="AQ18">
        <v>1435</v>
      </c>
      <c r="AR18">
        <v>1353</v>
      </c>
      <c r="AS18">
        <v>1317</v>
      </c>
      <c r="AT18">
        <v>1351</v>
      </c>
      <c r="AU18">
        <v>1540</v>
      </c>
      <c r="AV18">
        <v>1676</v>
      </c>
      <c r="AW18">
        <v>1867</v>
      </c>
      <c r="AX18">
        <v>2000</v>
      </c>
      <c r="AY18">
        <v>2029</v>
      </c>
      <c r="AZ18">
        <v>1949</v>
      </c>
      <c r="BA18">
        <v>1915</v>
      </c>
      <c r="BB18">
        <v>1965</v>
      </c>
      <c r="BC18">
        <v>2100</v>
      </c>
      <c r="BD18">
        <v>2254</v>
      </c>
      <c r="BE18">
        <v>2333</v>
      </c>
      <c r="BF18">
        <v>2586</v>
      </c>
      <c r="BG18">
        <v>2644</v>
      </c>
      <c r="BH18">
        <v>2813</v>
      </c>
      <c r="BI18">
        <v>2910</v>
      </c>
      <c r="BJ18">
        <v>2998</v>
      </c>
      <c r="BK18">
        <v>3004</v>
      </c>
      <c r="BL18">
        <v>2873</v>
      </c>
      <c r="BM18">
        <v>2783</v>
      </c>
      <c r="BN18">
        <v>2650</v>
      </c>
      <c r="BO18">
        <v>2566</v>
      </c>
      <c r="BP18">
        <v>2527</v>
      </c>
      <c r="BQ18">
        <v>2486</v>
      </c>
      <c r="BR18">
        <v>2328</v>
      </c>
      <c r="BS18">
        <v>2202</v>
      </c>
      <c r="BT18">
        <v>2351</v>
      </c>
      <c r="BU18">
        <v>2503</v>
      </c>
      <c r="BV18">
        <v>2545</v>
      </c>
      <c r="BW18">
        <v>2601</v>
      </c>
      <c r="BX18">
        <v>2431</v>
      </c>
      <c r="BY18">
        <v>2468</v>
      </c>
      <c r="BZ18">
        <v>2499</v>
      </c>
      <c r="CA18">
        <v>2570</v>
      </c>
      <c r="CB18">
        <v>2571</v>
      </c>
      <c r="CC18">
        <v>2405</v>
      </c>
      <c r="CD18">
        <v>2381</v>
      </c>
      <c r="CE18">
        <v>2496</v>
      </c>
      <c r="CF18">
        <v>2534</v>
      </c>
      <c r="CG18">
        <v>2612</v>
      </c>
      <c r="CH18">
        <v>2718</v>
      </c>
      <c r="CI18">
        <v>2686</v>
      </c>
      <c r="CJ18">
        <v>2468</v>
      </c>
      <c r="CK18">
        <v>2311</v>
      </c>
      <c r="CL18">
        <v>2190</v>
      </c>
      <c r="CM18">
        <v>2116</v>
      </c>
      <c r="CN18">
        <v>2105</v>
      </c>
      <c r="CO18">
        <v>2071</v>
      </c>
      <c r="CP18">
        <v>2024</v>
      </c>
      <c r="CQ18">
        <v>2071</v>
      </c>
      <c r="CR18">
        <v>2153</v>
      </c>
      <c r="CS18">
        <v>2327</v>
      </c>
    </row>
    <row r="19" spans="1:97">
      <c r="A19" s="9">
        <v>46252</v>
      </c>
      <c r="B19">
        <v>2492</v>
      </c>
      <c r="C19">
        <v>2626</v>
      </c>
      <c r="D19">
        <v>2830</v>
      </c>
      <c r="E19">
        <v>2960</v>
      </c>
      <c r="F19">
        <v>3033</v>
      </c>
      <c r="G19">
        <v>3078</v>
      </c>
      <c r="H19">
        <v>3038</v>
      </c>
      <c r="I19">
        <v>2963</v>
      </c>
      <c r="J19">
        <v>2867</v>
      </c>
      <c r="K19">
        <v>2754</v>
      </c>
      <c r="L19">
        <v>2691</v>
      </c>
      <c r="M19">
        <v>2622</v>
      </c>
      <c r="N19">
        <v>2478</v>
      </c>
      <c r="O19">
        <v>2314</v>
      </c>
      <c r="P19">
        <v>2180</v>
      </c>
      <c r="Q19">
        <v>2038</v>
      </c>
      <c r="R19">
        <v>1774</v>
      </c>
      <c r="S19">
        <v>1572</v>
      </c>
      <c r="T19">
        <v>1428</v>
      </c>
      <c r="U19">
        <v>1323</v>
      </c>
      <c r="V19">
        <v>1275</v>
      </c>
      <c r="W19">
        <v>1260</v>
      </c>
      <c r="X19">
        <v>1244</v>
      </c>
      <c r="Y19">
        <v>1133</v>
      </c>
      <c r="Z19">
        <v>971</v>
      </c>
      <c r="AA19">
        <v>829</v>
      </c>
      <c r="AB19">
        <v>667</v>
      </c>
      <c r="AC19">
        <v>420</v>
      </c>
      <c r="AD19">
        <v>305</v>
      </c>
      <c r="AE19">
        <v>195</v>
      </c>
      <c r="AF19">
        <v>125</v>
      </c>
      <c r="AG19">
        <v>79</v>
      </c>
      <c r="AH19">
        <v>60</v>
      </c>
      <c r="AI19">
        <v>32</v>
      </c>
      <c r="AJ19">
        <v>24</v>
      </c>
      <c r="AK19">
        <v>23</v>
      </c>
      <c r="AL19">
        <v>27</v>
      </c>
      <c r="AM19">
        <v>55</v>
      </c>
      <c r="AN19">
        <v>52</v>
      </c>
      <c r="AO19">
        <v>103</v>
      </c>
      <c r="AP19">
        <v>160</v>
      </c>
      <c r="AQ19">
        <v>205</v>
      </c>
      <c r="AR19">
        <v>283</v>
      </c>
      <c r="AS19">
        <v>333</v>
      </c>
      <c r="AT19">
        <v>378</v>
      </c>
      <c r="AU19">
        <v>415</v>
      </c>
      <c r="AV19">
        <v>425</v>
      </c>
      <c r="AW19">
        <v>431</v>
      </c>
      <c r="AX19">
        <v>462</v>
      </c>
      <c r="AY19">
        <v>505</v>
      </c>
      <c r="AZ19">
        <v>543</v>
      </c>
      <c r="BA19">
        <v>551</v>
      </c>
      <c r="BB19">
        <v>556</v>
      </c>
      <c r="BC19">
        <v>578</v>
      </c>
      <c r="BD19">
        <v>662</v>
      </c>
      <c r="BE19">
        <v>666</v>
      </c>
      <c r="BF19">
        <v>613</v>
      </c>
      <c r="BG19">
        <v>559</v>
      </c>
      <c r="BH19">
        <v>475</v>
      </c>
      <c r="BI19">
        <v>467</v>
      </c>
      <c r="BJ19">
        <v>403</v>
      </c>
      <c r="BK19">
        <v>406</v>
      </c>
      <c r="BL19">
        <v>457</v>
      </c>
      <c r="BM19">
        <v>515</v>
      </c>
      <c r="BN19">
        <v>522</v>
      </c>
      <c r="BO19">
        <v>555</v>
      </c>
      <c r="BP19">
        <v>584</v>
      </c>
      <c r="BQ19">
        <v>601</v>
      </c>
      <c r="BR19">
        <v>622</v>
      </c>
      <c r="BS19">
        <v>608</v>
      </c>
      <c r="BT19">
        <v>565</v>
      </c>
      <c r="BU19">
        <v>586</v>
      </c>
      <c r="BV19">
        <v>583</v>
      </c>
      <c r="BW19">
        <v>603</v>
      </c>
      <c r="BX19">
        <v>684</v>
      </c>
      <c r="BY19">
        <v>699</v>
      </c>
      <c r="BZ19">
        <v>792</v>
      </c>
      <c r="CA19">
        <v>824</v>
      </c>
      <c r="CB19">
        <v>796</v>
      </c>
      <c r="CC19">
        <v>741</v>
      </c>
      <c r="CD19">
        <v>715</v>
      </c>
      <c r="CE19">
        <v>617</v>
      </c>
      <c r="CF19">
        <v>549</v>
      </c>
      <c r="CG19">
        <v>488</v>
      </c>
      <c r="CH19">
        <v>456</v>
      </c>
      <c r="CI19">
        <v>367</v>
      </c>
      <c r="CJ19">
        <v>272</v>
      </c>
      <c r="CK19">
        <v>223</v>
      </c>
      <c r="CL19">
        <v>182</v>
      </c>
      <c r="CM19">
        <v>157</v>
      </c>
      <c r="CN19">
        <v>174</v>
      </c>
      <c r="CO19">
        <v>157</v>
      </c>
      <c r="CP19">
        <v>119</v>
      </c>
      <c r="CQ19">
        <v>82</v>
      </c>
      <c r="CR19">
        <v>63</v>
      </c>
      <c r="CS19">
        <v>65</v>
      </c>
    </row>
    <row r="20" spans="1:97">
      <c r="A20" s="9">
        <v>46253</v>
      </c>
      <c r="B20">
        <v>61</v>
      </c>
      <c r="C20">
        <v>66</v>
      </c>
      <c r="D20">
        <v>62</v>
      </c>
      <c r="E20">
        <v>55</v>
      </c>
      <c r="F20">
        <v>46</v>
      </c>
      <c r="G20">
        <v>34</v>
      </c>
      <c r="H20">
        <v>30</v>
      </c>
      <c r="I20">
        <v>29</v>
      </c>
      <c r="J20">
        <v>36</v>
      </c>
      <c r="K20">
        <v>49</v>
      </c>
      <c r="L20">
        <v>45</v>
      </c>
      <c r="M20">
        <v>43</v>
      </c>
      <c r="N20">
        <v>72</v>
      </c>
      <c r="O20">
        <v>73</v>
      </c>
      <c r="P20">
        <v>63</v>
      </c>
      <c r="Q20">
        <v>66</v>
      </c>
      <c r="R20">
        <v>57</v>
      </c>
      <c r="S20">
        <v>59</v>
      </c>
      <c r="T20">
        <v>52</v>
      </c>
      <c r="U20">
        <v>55</v>
      </c>
      <c r="V20">
        <v>55</v>
      </c>
      <c r="W20">
        <v>45</v>
      </c>
      <c r="X20">
        <v>41</v>
      </c>
      <c r="Y20">
        <v>35</v>
      </c>
      <c r="Z20">
        <v>46</v>
      </c>
      <c r="AA20">
        <v>46</v>
      </c>
      <c r="AB20">
        <v>40</v>
      </c>
      <c r="AC20">
        <v>25</v>
      </c>
      <c r="AD20">
        <v>6</v>
      </c>
      <c r="AE20">
        <v>-2</v>
      </c>
      <c r="AF20">
        <v>-9</v>
      </c>
      <c r="AG20">
        <v>-9</v>
      </c>
      <c r="AH20">
        <v>-9</v>
      </c>
      <c r="AI20">
        <v>-9</v>
      </c>
      <c r="AJ20">
        <v>-9</v>
      </c>
      <c r="AK20">
        <v>-9</v>
      </c>
      <c r="AL20">
        <v>2</v>
      </c>
      <c r="AM20">
        <v>18</v>
      </c>
      <c r="AN20">
        <v>36</v>
      </c>
      <c r="AO20">
        <v>53</v>
      </c>
      <c r="AP20">
        <v>70</v>
      </c>
      <c r="AQ20">
        <v>94</v>
      </c>
      <c r="AR20">
        <v>125</v>
      </c>
      <c r="AS20">
        <v>153</v>
      </c>
      <c r="AT20">
        <v>182</v>
      </c>
      <c r="AU20">
        <v>240</v>
      </c>
      <c r="AV20">
        <v>292</v>
      </c>
      <c r="AW20">
        <v>364</v>
      </c>
      <c r="AX20">
        <v>409</v>
      </c>
      <c r="AY20">
        <v>480</v>
      </c>
      <c r="AZ20">
        <v>557</v>
      </c>
      <c r="BA20">
        <v>618</v>
      </c>
      <c r="BB20">
        <v>692</v>
      </c>
      <c r="BC20">
        <v>734</v>
      </c>
      <c r="BD20">
        <v>791</v>
      </c>
      <c r="BE20">
        <v>814</v>
      </c>
      <c r="BF20">
        <v>773</v>
      </c>
      <c r="BG20">
        <v>831</v>
      </c>
      <c r="BH20">
        <v>821</v>
      </c>
      <c r="BI20">
        <v>771</v>
      </c>
      <c r="BJ20">
        <v>705</v>
      </c>
      <c r="BK20">
        <v>705</v>
      </c>
      <c r="BL20">
        <v>723</v>
      </c>
      <c r="BM20">
        <v>631</v>
      </c>
      <c r="BN20">
        <v>579</v>
      </c>
      <c r="BO20">
        <v>606</v>
      </c>
      <c r="BP20">
        <v>650</v>
      </c>
      <c r="BQ20">
        <v>743</v>
      </c>
      <c r="BR20">
        <v>838</v>
      </c>
      <c r="BS20">
        <v>876</v>
      </c>
      <c r="BT20">
        <v>1006</v>
      </c>
      <c r="BU20">
        <v>1165</v>
      </c>
      <c r="BV20">
        <v>1393</v>
      </c>
      <c r="BW20">
        <v>1671</v>
      </c>
      <c r="BX20">
        <v>1908</v>
      </c>
      <c r="BY20">
        <v>2108</v>
      </c>
      <c r="BZ20">
        <v>2214</v>
      </c>
      <c r="CA20">
        <v>2291</v>
      </c>
      <c r="CB20">
        <v>2453</v>
      </c>
      <c r="CC20">
        <v>2535</v>
      </c>
      <c r="CD20">
        <v>2626</v>
      </c>
      <c r="CE20">
        <v>2674</v>
      </c>
      <c r="CF20">
        <v>2611</v>
      </c>
      <c r="CG20">
        <v>2586</v>
      </c>
      <c r="CH20">
        <v>2494</v>
      </c>
      <c r="CI20">
        <v>2473</v>
      </c>
      <c r="CJ20">
        <v>2436</v>
      </c>
      <c r="CK20">
        <v>2427</v>
      </c>
      <c r="CL20">
        <v>2414</v>
      </c>
      <c r="CM20">
        <v>2358</v>
      </c>
      <c r="CN20">
        <v>2275</v>
      </c>
      <c r="CO20">
        <v>2193</v>
      </c>
      <c r="CP20">
        <v>2078</v>
      </c>
      <c r="CQ20">
        <v>2021</v>
      </c>
      <c r="CR20">
        <v>1956</v>
      </c>
      <c r="CS20">
        <v>1906</v>
      </c>
    </row>
    <row r="21" spans="1:97">
      <c r="A21" s="9">
        <v>46254</v>
      </c>
      <c r="B21">
        <v>1906</v>
      </c>
      <c r="C21">
        <v>1877</v>
      </c>
      <c r="D21">
        <v>1924</v>
      </c>
      <c r="E21">
        <v>2003</v>
      </c>
      <c r="F21">
        <v>2135</v>
      </c>
      <c r="G21">
        <v>2276</v>
      </c>
      <c r="H21">
        <v>2415</v>
      </c>
      <c r="I21">
        <v>2440</v>
      </c>
      <c r="J21">
        <v>2418</v>
      </c>
      <c r="K21">
        <v>2471</v>
      </c>
      <c r="L21">
        <v>2600</v>
      </c>
      <c r="M21">
        <v>2698</v>
      </c>
      <c r="N21">
        <v>2687</v>
      </c>
      <c r="O21">
        <v>2721</v>
      </c>
      <c r="P21">
        <v>2698</v>
      </c>
      <c r="Q21">
        <v>2613</v>
      </c>
      <c r="R21">
        <v>2493</v>
      </c>
      <c r="S21">
        <v>2353</v>
      </c>
      <c r="T21">
        <v>2288</v>
      </c>
      <c r="U21">
        <v>2249</v>
      </c>
      <c r="V21">
        <v>2205</v>
      </c>
      <c r="W21">
        <v>2114</v>
      </c>
      <c r="X21">
        <v>1979</v>
      </c>
      <c r="Y21">
        <v>1866</v>
      </c>
      <c r="Z21">
        <v>1840</v>
      </c>
      <c r="AA21">
        <v>1861</v>
      </c>
      <c r="AB21">
        <v>1713</v>
      </c>
      <c r="AC21">
        <v>1517</v>
      </c>
      <c r="AD21">
        <v>1317</v>
      </c>
      <c r="AE21">
        <v>1165</v>
      </c>
      <c r="AF21">
        <v>1084</v>
      </c>
      <c r="AG21">
        <v>1041</v>
      </c>
      <c r="AH21">
        <v>1015</v>
      </c>
      <c r="AI21">
        <v>988</v>
      </c>
      <c r="AJ21">
        <v>1052</v>
      </c>
      <c r="AK21">
        <v>1115</v>
      </c>
      <c r="AL21">
        <v>1216</v>
      </c>
      <c r="AM21">
        <v>1321</v>
      </c>
      <c r="AN21">
        <v>1451</v>
      </c>
      <c r="AO21">
        <v>1587</v>
      </c>
      <c r="AP21">
        <v>1725</v>
      </c>
      <c r="AQ21">
        <v>1883</v>
      </c>
      <c r="AR21">
        <v>2071</v>
      </c>
      <c r="AS21">
        <v>2279</v>
      </c>
      <c r="AT21">
        <v>2499</v>
      </c>
      <c r="AU21">
        <v>2792</v>
      </c>
      <c r="AV21">
        <v>3077</v>
      </c>
      <c r="AW21">
        <v>3409</v>
      </c>
      <c r="AX21">
        <v>3613</v>
      </c>
      <c r="AY21">
        <v>3800</v>
      </c>
      <c r="AZ21">
        <v>3932</v>
      </c>
      <c r="BA21">
        <v>4044</v>
      </c>
      <c r="BB21">
        <v>4167</v>
      </c>
      <c r="BC21">
        <v>4325</v>
      </c>
      <c r="BD21">
        <v>4586</v>
      </c>
      <c r="BE21">
        <v>4712</v>
      </c>
      <c r="BF21">
        <v>4884</v>
      </c>
      <c r="BG21">
        <v>4932</v>
      </c>
      <c r="BH21">
        <v>4823</v>
      </c>
      <c r="BI21">
        <v>4954</v>
      </c>
      <c r="BJ21">
        <v>4979</v>
      </c>
      <c r="BK21">
        <v>5093</v>
      </c>
      <c r="BL21">
        <v>5177</v>
      </c>
      <c r="BM21">
        <v>5314</v>
      </c>
      <c r="BN21">
        <v>5474</v>
      </c>
      <c r="BO21">
        <v>5567</v>
      </c>
      <c r="BP21">
        <v>5438</v>
      </c>
      <c r="BQ21">
        <v>5269</v>
      </c>
      <c r="BR21">
        <v>5105</v>
      </c>
      <c r="BS21">
        <v>4930</v>
      </c>
      <c r="BT21">
        <v>4772</v>
      </c>
      <c r="BU21">
        <v>4735</v>
      </c>
      <c r="BV21">
        <v>4778</v>
      </c>
      <c r="BW21">
        <v>4916</v>
      </c>
      <c r="BX21">
        <v>5073</v>
      </c>
      <c r="BY21">
        <v>5424</v>
      </c>
      <c r="BZ21">
        <v>5700</v>
      </c>
      <c r="CA21">
        <v>5924</v>
      </c>
      <c r="CB21">
        <v>5951</v>
      </c>
      <c r="CC21">
        <v>6073</v>
      </c>
      <c r="CD21">
        <v>6063</v>
      </c>
      <c r="CE21">
        <v>6082</v>
      </c>
      <c r="CF21">
        <v>6156</v>
      </c>
      <c r="CG21">
        <v>6195</v>
      </c>
      <c r="CH21">
        <v>6156</v>
      </c>
      <c r="CI21">
        <v>6317</v>
      </c>
      <c r="CJ21">
        <v>6532</v>
      </c>
      <c r="CK21">
        <v>6531</v>
      </c>
      <c r="CL21">
        <v>6564</v>
      </c>
      <c r="CM21">
        <v>6532</v>
      </c>
      <c r="CN21">
        <v>6397</v>
      </c>
      <c r="CO21">
        <v>6385</v>
      </c>
      <c r="CP21">
        <v>6367</v>
      </c>
      <c r="CQ21">
        <v>6315</v>
      </c>
      <c r="CR21">
        <v>6471</v>
      </c>
      <c r="CS21">
        <v>6653</v>
      </c>
    </row>
    <row r="22" spans="1:97">
      <c r="A22" s="9">
        <v>46255</v>
      </c>
      <c r="B22">
        <v>6929</v>
      </c>
      <c r="C22">
        <v>7088</v>
      </c>
      <c r="D22">
        <v>7024</v>
      </c>
      <c r="E22">
        <v>6970</v>
      </c>
      <c r="F22">
        <v>6822</v>
      </c>
      <c r="G22">
        <v>6800</v>
      </c>
      <c r="H22">
        <v>6833</v>
      </c>
      <c r="I22">
        <v>6835</v>
      </c>
      <c r="J22">
        <v>6764</v>
      </c>
      <c r="K22">
        <v>6619</v>
      </c>
      <c r="L22">
        <v>6480</v>
      </c>
      <c r="M22">
        <v>6203</v>
      </c>
      <c r="N22">
        <v>6000</v>
      </c>
      <c r="O22">
        <v>5897</v>
      </c>
      <c r="P22">
        <v>5786</v>
      </c>
      <c r="Q22">
        <v>5554</v>
      </c>
      <c r="R22">
        <v>5475</v>
      </c>
      <c r="S22">
        <v>5335</v>
      </c>
      <c r="T22">
        <v>5340</v>
      </c>
      <c r="U22">
        <v>5440</v>
      </c>
      <c r="V22">
        <v>5398</v>
      </c>
      <c r="W22">
        <v>5217</v>
      </c>
      <c r="X22">
        <v>5143</v>
      </c>
      <c r="Y22">
        <v>4942</v>
      </c>
      <c r="Z22">
        <v>4743</v>
      </c>
      <c r="AA22">
        <v>4545</v>
      </c>
      <c r="AB22">
        <v>4383</v>
      </c>
      <c r="AC22">
        <v>4184</v>
      </c>
      <c r="AD22">
        <v>3941</v>
      </c>
      <c r="AE22">
        <v>3791</v>
      </c>
      <c r="AF22">
        <v>3741</v>
      </c>
      <c r="AG22">
        <v>3695</v>
      </c>
      <c r="AH22">
        <v>3590</v>
      </c>
      <c r="AI22">
        <v>3576</v>
      </c>
      <c r="AJ22">
        <v>3578</v>
      </c>
      <c r="AK22">
        <v>3513</v>
      </c>
      <c r="AL22">
        <v>3400</v>
      </c>
      <c r="AM22">
        <v>3396</v>
      </c>
      <c r="AN22">
        <v>3178</v>
      </c>
      <c r="AO22">
        <v>2904</v>
      </c>
      <c r="AP22">
        <v>2662</v>
      </c>
      <c r="AQ22">
        <v>2555</v>
      </c>
      <c r="AR22">
        <v>2328</v>
      </c>
      <c r="AS22">
        <v>2324</v>
      </c>
      <c r="AT22">
        <v>2222</v>
      </c>
      <c r="AU22">
        <v>2134</v>
      </c>
      <c r="AV22">
        <v>2248</v>
      </c>
      <c r="AW22">
        <v>2345</v>
      </c>
      <c r="AX22">
        <v>2561</v>
      </c>
      <c r="AY22">
        <v>2666</v>
      </c>
      <c r="AZ22">
        <v>2800</v>
      </c>
      <c r="BA22">
        <v>2870</v>
      </c>
      <c r="BB22">
        <v>2996</v>
      </c>
      <c r="BC22">
        <v>3150</v>
      </c>
      <c r="BD22">
        <v>3216</v>
      </c>
      <c r="BE22">
        <v>3236</v>
      </c>
      <c r="BF22">
        <v>3237</v>
      </c>
      <c r="BG22">
        <v>3334</v>
      </c>
      <c r="BH22">
        <v>3486</v>
      </c>
      <c r="BI22">
        <v>3588</v>
      </c>
      <c r="BJ22">
        <v>3524</v>
      </c>
      <c r="BK22">
        <v>3604</v>
      </c>
      <c r="BL22">
        <v>3607</v>
      </c>
      <c r="BM22">
        <v>3392</v>
      </c>
      <c r="BN22">
        <v>3284</v>
      </c>
      <c r="BO22">
        <v>3220</v>
      </c>
      <c r="BP22">
        <v>2995</v>
      </c>
      <c r="BQ22">
        <v>2960</v>
      </c>
      <c r="BR22">
        <v>2912</v>
      </c>
      <c r="BS22">
        <v>2854</v>
      </c>
      <c r="BT22">
        <v>2908</v>
      </c>
      <c r="BU22">
        <v>2889</v>
      </c>
      <c r="BV22">
        <v>2913</v>
      </c>
      <c r="BW22">
        <v>3113</v>
      </c>
      <c r="BX22">
        <v>3419</v>
      </c>
      <c r="BY22">
        <v>3562</v>
      </c>
      <c r="BZ22">
        <v>3719</v>
      </c>
      <c r="CA22">
        <v>3721</v>
      </c>
      <c r="CB22">
        <v>3607</v>
      </c>
      <c r="CC22">
        <v>3540</v>
      </c>
      <c r="CD22">
        <v>3486</v>
      </c>
      <c r="CE22">
        <v>3503</v>
      </c>
      <c r="CF22">
        <v>3538</v>
      </c>
      <c r="CG22">
        <v>3538</v>
      </c>
      <c r="CH22">
        <v>3613</v>
      </c>
      <c r="CI22">
        <v>3730</v>
      </c>
      <c r="CJ22">
        <v>3700</v>
      </c>
      <c r="CK22">
        <v>3680</v>
      </c>
      <c r="CL22">
        <v>3582</v>
      </c>
      <c r="CM22">
        <v>3500</v>
      </c>
      <c r="CN22">
        <v>3359</v>
      </c>
      <c r="CO22">
        <v>3234</v>
      </c>
      <c r="CP22">
        <v>3239</v>
      </c>
      <c r="CQ22">
        <v>3163</v>
      </c>
      <c r="CR22">
        <v>3070</v>
      </c>
      <c r="CS22">
        <v>2958</v>
      </c>
    </row>
    <row r="23" spans="1:97">
      <c r="A23" s="9">
        <v>46256</v>
      </c>
      <c r="B23">
        <v>2921</v>
      </c>
      <c r="C23">
        <v>2909</v>
      </c>
      <c r="D23">
        <v>2822</v>
      </c>
      <c r="E23">
        <v>2820</v>
      </c>
      <c r="F23">
        <v>2955</v>
      </c>
      <c r="G23">
        <v>3081</v>
      </c>
      <c r="H23">
        <v>3062</v>
      </c>
      <c r="I23">
        <v>3205</v>
      </c>
      <c r="J23">
        <v>3310</v>
      </c>
      <c r="K23">
        <v>3439</v>
      </c>
      <c r="L23">
        <v>3428</v>
      </c>
      <c r="M23">
        <v>3468</v>
      </c>
      <c r="N23">
        <v>3394</v>
      </c>
      <c r="O23">
        <v>3319</v>
      </c>
      <c r="P23">
        <v>3259</v>
      </c>
      <c r="Q23">
        <v>3212</v>
      </c>
      <c r="R23">
        <v>3109</v>
      </c>
      <c r="S23">
        <v>2893</v>
      </c>
      <c r="T23">
        <v>2772</v>
      </c>
      <c r="U23">
        <v>2700</v>
      </c>
      <c r="V23">
        <v>2606</v>
      </c>
      <c r="W23">
        <v>2479</v>
      </c>
      <c r="X23">
        <v>2278</v>
      </c>
      <c r="Y23">
        <v>2275</v>
      </c>
      <c r="Z23">
        <v>2205</v>
      </c>
      <c r="AA23">
        <v>2132</v>
      </c>
      <c r="AB23">
        <v>1922</v>
      </c>
      <c r="AC23">
        <v>1689</v>
      </c>
      <c r="AD23">
        <v>1467</v>
      </c>
      <c r="AE23">
        <v>1370</v>
      </c>
      <c r="AF23">
        <v>1331</v>
      </c>
      <c r="AG23">
        <v>1419</v>
      </c>
      <c r="AH23">
        <v>1403</v>
      </c>
      <c r="AI23">
        <v>1417</v>
      </c>
      <c r="AJ23">
        <v>1471</v>
      </c>
      <c r="AK23">
        <v>1577</v>
      </c>
      <c r="AL23">
        <v>1760</v>
      </c>
      <c r="AM23">
        <v>1871</v>
      </c>
      <c r="AN23">
        <v>1966</v>
      </c>
      <c r="AO23">
        <v>2106</v>
      </c>
      <c r="AP23">
        <v>2324</v>
      </c>
      <c r="AQ23">
        <v>2550</v>
      </c>
      <c r="AR23">
        <v>2756</v>
      </c>
      <c r="AS23">
        <v>2881</v>
      </c>
      <c r="AT23">
        <v>2976</v>
      </c>
      <c r="AU23">
        <v>3118</v>
      </c>
      <c r="AV23">
        <v>3142</v>
      </c>
      <c r="AW23">
        <v>3187</v>
      </c>
      <c r="AX23">
        <v>3305</v>
      </c>
      <c r="AY23">
        <v>3392</v>
      </c>
      <c r="AZ23">
        <v>3413</v>
      </c>
      <c r="BA23">
        <v>3508</v>
      </c>
      <c r="BB23">
        <v>3546</v>
      </c>
      <c r="BC23">
        <v>3661</v>
      </c>
      <c r="BD23">
        <v>3840</v>
      </c>
      <c r="BE23">
        <v>4235</v>
      </c>
      <c r="BF23">
        <v>4474</v>
      </c>
      <c r="BG23">
        <v>4598</v>
      </c>
      <c r="BH23">
        <v>4752</v>
      </c>
      <c r="BI23">
        <v>4856</v>
      </c>
      <c r="BJ23">
        <v>4923</v>
      </c>
      <c r="BK23">
        <v>5153</v>
      </c>
      <c r="BL23">
        <v>5175</v>
      </c>
      <c r="BM23">
        <v>5122</v>
      </c>
      <c r="BN23">
        <v>5094</v>
      </c>
      <c r="BO23">
        <v>4964</v>
      </c>
      <c r="BP23">
        <v>5072</v>
      </c>
      <c r="BQ23">
        <v>5195</v>
      </c>
      <c r="BR23">
        <v>5345</v>
      </c>
      <c r="BS23">
        <v>5617</v>
      </c>
      <c r="BT23">
        <v>5664</v>
      </c>
      <c r="BU23">
        <v>5917</v>
      </c>
      <c r="BV23">
        <v>6327</v>
      </c>
      <c r="BW23">
        <v>6862</v>
      </c>
      <c r="BX23">
        <v>7281</v>
      </c>
      <c r="BY23">
        <v>7355</v>
      </c>
      <c r="BZ23">
        <v>7711</v>
      </c>
      <c r="CA23">
        <v>8051</v>
      </c>
      <c r="CB23">
        <v>8169</v>
      </c>
      <c r="CC23">
        <v>8264</v>
      </c>
      <c r="CD23">
        <v>8287</v>
      </c>
      <c r="CE23">
        <v>8310</v>
      </c>
      <c r="CF23">
        <v>8289</v>
      </c>
      <c r="CG23">
        <v>8212</v>
      </c>
      <c r="CH23">
        <v>8164</v>
      </c>
      <c r="CI23">
        <v>8276</v>
      </c>
      <c r="CJ23">
        <v>8414</v>
      </c>
      <c r="CK23">
        <v>8559</v>
      </c>
      <c r="CL23">
        <v>8463</v>
      </c>
      <c r="CM23">
        <v>8478</v>
      </c>
      <c r="CN23">
        <v>8432</v>
      </c>
      <c r="CO23">
        <v>8563</v>
      </c>
      <c r="CP23">
        <v>8596</v>
      </c>
      <c r="CQ23">
        <v>8632</v>
      </c>
      <c r="CR23">
        <v>8642</v>
      </c>
      <c r="CS23">
        <v>8831</v>
      </c>
    </row>
    <row r="24" spans="1:97">
      <c r="A24" s="9">
        <v>46257</v>
      </c>
      <c r="B24">
        <v>9249</v>
      </c>
      <c r="C24">
        <v>9444</v>
      </c>
      <c r="D24">
        <v>9676</v>
      </c>
      <c r="E24">
        <v>9795</v>
      </c>
      <c r="F24">
        <v>9841</v>
      </c>
      <c r="G24">
        <v>9975</v>
      </c>
      <c r="H24">
        <v>10066</v>
      </c>
      <c r="I24">
        <v>9994</v>
      </c>
      <c r="J24">
        <v>10036</v>
      </c>
      <c r="K24">
        <v>9828</v>
      </c>
      <c r="L24">
        <v>9716</v>
      </c>
      <c r="M24">
        <v>9615</v>
      </c>
      <c r="N24">
        <v>9449</v>
      </c>
      <c r="O24">
        <v>9421</v>
      </c>
      <c r="P24">
        <v>9415</v>
      </c>
      <c r="Q24">
        <v>9422</v>
      </c>
      <c r="R24">
        <v>9302</v>
      </c>
      <c r="S24">
        <v>9298</v>
      </c>
      <c r="T24">
        <v>9411</v>
      </c>
      <c r="U24">
        <v>9350</v>
      </c>
      <c r="V24">
        <v>9076</v>
      </c>
      <c r="W24">
        <v>8749</v>
      </c>
      <c r="X24">
        <v>8442</v>
      </c>
      <c r="Y24">
        <v>8195</v>
      </c>
      <c r="Z24">
        <v>8057</v>
      </c>
      <c r="AA24">
        <v>7789</v>
      </c>
      <c r="AB24">
        <v>7494</v>
      </c>
      <c r="AC24">
        <v>7366</v>
      </c>
      <c r="AD24">
        <v>7253</v>
      </c>
      <c r="AE24">
        <v>6942</v>
      </c>
      <c r="AF24">
        <v>6952</v>
      </c>
      <c r="AG24">
        <v>7065</v>
      </c>
      <c r="AH24">
        <v>7262</v>
      </c>
      <c r="AI24">
        <v>7482</v>
      </c>
      <c r="AJ24">
        <v>7601</v>
      </c>
      <c r="AK24">
        <v>7532</v>
      </c>
      <c r="AL24">
        <v>7513</v>
      </c>
      <c r="AM24">
        <v>7717</v>
      </c>
      <c r="AN24">
        <v>7736</v>
      </c>
      <c r="AO24">
        <v>7644</v>
      </c>
      <c r="AP24">
        <v>7512</v>
      </c>
      <c r="AQ24">
        <v>7460</v>
      </c>
      <c r="AR24">
        <v>7710</v>
      </c>
      <c r="AS24">
        <v>7845</v>
      </c>
      <c r="AT24">
        <v>7232</v>
      </c>
      <c r="AU24">
        <v>7138</v>
      </c>
      <c r="AV24">
        <v>7076</v>
      </c>
      <c r="AW24">
        <v>7114</v>
      </c>
      <c r="AX24">
        <v>7260</v>
      </c>
      <c r="AY24">
        <v>7270</v>
      </c>
      <c r="AZ24">
        <v>7333</v>
      </c>
      <c r="BA24">
        <v>7159</v>
      </c>
      <c r="BB24">
        <v>6902</v>
      </c>
      <c r="BC24">
        <v>6584</v>
      </c>
      <c r="BD24">
        <v>6206</v>
      </c>
      <c r="BE24">
        <v>6084</v>
      </c>
      <c r="BF24">
        <v>5841</v>
      </c>
      <c r="BG24">
        <v>5559</v>
      </c>
      <c r="BH24">
        <v>5169</v>
      </c>
      <c r="BI24">
        <v>4766</v>
      </c>
      <c r="BJ24">
        <v>4495</v>
      </c>
      <c r="BK24">
        <v>4313</v>
      </c>
      <c r="BL24">
        <v>4336</v>
      </c>
      <c r="BM24">
        <v>4245</v>
      </c>
      <c r="BN24">
        <v>4036</v>
      </c>
      <c r="BO24">
        <v>4124</v>
      </c>
      <c r="BP24">
        <v>4144</v>
      </c>
      <c r="BQ24">
        <v>4076</v>
      </c>
      <c r="BR24">
        <v>3909</v>
      </c>
      <c r="BS24">
        <v>3618</v>
      </c>
      <c r="BT24">
        <v>3476</v>
      </c>
      <c r="BU24">
        <v>3427</v>
      </c>
      <c r="BV24">
        <v>3436</v>
      </c>
      <c r="BW24">
        <v>3260</v>
      </c>
      <c r="BX24">
        <v>3241</v>
      </c>
      <c r="BY24">
        <v>3156</v>
      </c>
      <c r="BZ24">
        <v>3219</v>
      </c>
      <c r="CA24">
        <v>3169</v>
      </c>
      <c r="CB24">
        <v>3013</v>
      </c>
      <c r="CC24">
        <v>3124</v>
      </c>
      <c r="CD24">
        <v>3128</v>
      </c>
      <c r="CE24">
        <v>3111</v>
      </c>
      <c r="CF24">
        <v>3132</v>
      </c>
      <c r="CG24">
        <v>3169</v>
      </c>
      <c r="CH24">
        <v>3104</v>
      </c>
      <c r="CI24">
        <v>3157</v>
      </c>
      <c r="CJ24">
        <v>3195</v>
      </c>
      <c r="CK24">
        <v>3257</v>
      </c>
      <c r="CL24">
        <v>3254</v>
      </c>
      <c r="CM24">
        <v>3307</v>
      </c>
      <c r="CN24">
        <v>3379</v>
      </c>
      <c r="CO24">
        <v>3435</v>
      </c>
      <c r="CP24">
        <v>3356</v>
      </c>
      <c r="CQ24">
        <v>3409</v>
      </c>
      <c r="CR24">
        <v>3427</v>
      </c>
      <c r="CS24">
        <v>3543</v>
      </c>
    </row>
    <row r="25" spans="1:97">
      <c r="A25" s="9">
        <v>46258</v>
      </c>
      <c r="B25">
        <v>3567</v>
      </c>
      <c r="C25">
        <v>3533</v>
      </c>
      <c r="D25">
        <v>3396</v>
      </c>
      <c r="E25">
        <v>3309</v>
      </c>
      <c r="F25">
        <v>3298</v>
      </c>
      <c r="G25">
        <v>3262</v>
      </c>
      <c r="H25">
        <v>3249</v>
      </c>
      <c r="I25">
        <v>3181</v>
      </c>
      <c r="J25">
        <v>3210</v>
      </c>
      <c r="K25">
        <v>3213</v>
      </c>
      <c r="L25">
        <v>3140</v>
      </c>
      <c r="M25">
        <v>3148</v>
      </c>
      <c r="N25">
        <v>3015</v>
      </c>
      <c r="O25">
        <v>2977</v>
      </c>
      <c r="P25">
        <v>3041</v>
      </c>
      <c r="Q25">
        <v>3138</v>
      </c>
      <c r="R25">
        <v>3214</v>
      </c>
      <c r="S25">
        <v>3253</v>
      </c>
      <c r="T25">
        <v>3166</v>
      </c>
      <c r="U25">
        <v>3287</v>
      </c>
      <c r="V25">
        <v>3488</v>
      </c>
      <c r="W25">
        <v>3632</v>
      </c>
      <c r="X25">
        <v>3499</v>
      </c>
      <c r="Y25">
        <v>3309</v>
      </c>
      <c r="Z25">
        <v>3226</v>
      </c>
      <c r="AA25">
        <v>3094</v>
      </c>
      <c r="AB25">
        <v>2872</v>
      </c>
      <c r="AC25">
        <v>2632</v>
      </c>
      <c r="AD25">
        <v>2543</v>
      </c>
      <c r="AE25">
        <v>2403</v>
      </c>
      <c r="AF25">
        <v>2409</v>
      </c>
      <c r="AG25">
        <v>2391</v>
      </c>
      <c r="AH25">
        <v>2317</v>
      </c>
      <c r="AI25">
        <v>2360</v>
      </c>
      <c r="AJ25">
        <v>2390</v>
      </c>
      <c r="AK25">
        <v>2324</v>
      </c>
      <c r="AL25">
        <v>2379</v>
      </c>
      <c r="AM25">
        <v>2585</v>
      </c>
      <c r="AN25">
        <v>2706</v>
      </c>
      <c r="AO25">
        <v>2766</v>
      </c>
      <c r="AP25">
        <v>2963</v>
      </c>
      <c r="AQ25">
        <v>3020</v>
      </c>
      <c r="AR25">
        <v>3069</v>
      </c>
      <c r="AS25">
        <v>3340</v>
      </c>
      <c r="AT25">
        <v>3629</v>
      </c>
      <c r="AU25">
        <v>3880</v>
      </c>
      <c r="AV25">
        <v>4098</v>
      </c>
      <c r="AW25">
        <v>4005</v>
      </c>
      <c r="AX25">
        <v>4245</v>
      </c>
      <c r="AY25">
        <v>4544</v>
      </c>
      <c r="AZ25">
        <v>5146</v>
      </c>
      <c r="BA25">
        <v>5368</v>
      </c>
      <c r="BB25">
        <v>5752</v>
      </c>
      <c r="BC25">
        <v>5832</v>
      </c>
      <c r="BD25">
        <v>5875</v>
      </c>
      <c r="BE25">
        <v>5182</v>
      </c>
      <c r="BF25">
        <v>4869</v>
      </c>
      <c r="BG25">
        <v>4353</v>
      </c>
      <c r="BH25">
        <v>4355</v>
      </c>
      <c r="BI25">
        <v>4357</v>
      </c>
      <c r="BJ25">
        <v>4191</v>
      </c>
      <c r="BK25">
        <v>3815</v>
      </c>
      <c r="BL25">
        <v>3824</v>
      </c>
      <c r="BM25">
        <v>3793</v>
      </c>
      <c r="BN25">
        <v>3593</v>
      </c>
      <c r="BO25">
        <v>3343</v>
      </c>
      <c r="BP25">
        <v>2996</v>
      </c>
      <c r="BQ25">
        <v>2891</v>
      </c>
      <c r="BR25">
        <v>2600</v>
      </c>
      <c r="BS25">
        <v>2404</v>
      </c>
      <c r="BT25">
        <v>2348</v>
      </c>
      <c r="BU25">
        <v>2415</v>
      </c>
      <c r="BV25">
        <v>2549</v>
      </c>
      <c r="BW25">
        <v>2692</v>
      </c>
      <c r="BX25">
        <v>2928</v>
      </c>
      <c r="BY25">
        <v>3242</v>
      </c>
      <c r="BZ25">
        <v>3587</v>
      </c>
      <c r="CA25">
        <v>3956</v>
      </c>
      <c r="CB25">
        <v>4068</v>
      </c>
      <c r="CC25">
        <v>4064</v>
      </c>
      <c r="CD25">
        <v>3958</v>
      </c>
      <c r="CE25">
        <v>3977</v>
      </c>
      <c r="CF25">
        <v>4121</v>
      </c>
      <c r="CG25">
        <v>4250</v>
      </c>
      <c r="CH25">
        <v>4424</v>
      </c>
      <c r="CI25">
        <v>4614</v>
      </c>
      <c r="CJ25">
        <v>4790</v>
      </c>
      <c r="CK25">
        <v>5002</v>
      </c>
      <c r="CL25">
        <v>4987</v>
      </c>
      <c r="CM25">
        <v>5056</v>
      </c>
      <c r="CN25">
        <v>5145</v>
      </c>
      <c r="CO25">
        <v>5230</v>
      </c>
      <c r="CP25">
        <v>5223</v>
      </c>
      <c r="CQ25">
        <v>5224</v>
      </c>
      <c r="CR25">
        <v>5230</v>
      </c>
      <c r="CS25">
        <v>5126</v>
      </c>
    </row>
    <row r="26" spans="1:97">
      <c r="A26" s="9">
        <v>46259</v>
      </c>
      <c r="B26">
        <v>5074</v>
      </c>
      <c r="C26">
        <v>4900</v>
      </c>
      <c r="D26">
        <v>4726</v>
      </c>
      <c r="E26">
        <v>4577</v>
      </c>
      <c r="F26">
        <v>4514</v>
      </c>
      <c r="G26">
        <v>4412</v>
      </c>
      <c r="H26">
        <v>4422</v>
      </c>
      <c r="I26">
        <v>4310</v>
      </c>
      <c r="J26">
        <v>4168</v>
      </c>
      <c r="K26">
        <v>3995</v>
      </c>
      <c r="L26">
        <v>3708</v>
      </c>
      <c r="M26">
        <v>3531</v>
      </c>
      <c r="N26">
        <v>3486</v>
      </c>
      <c r="O26">
        <v>3375</v>
      </c>
      <c r="P26">
        <v>3244</v>
      </c>
      <c r="Q26">
        <v>3109</v>
      </c>
      <c r="R26">
        <v>2973</v>
      </c>
      <c r="S26">
        <v>2926</v>
      </c>
      <c r="T26">
        <v>2796</v>
      </c>
      <c r="U26">
        <v>2728</v>
      </c>
      <c r="V26">
        <v>2630</v>
      </c>
      <c r="W26">
        <v>2552</v>
      </c>
      <c r="X26">
        <v>2494</v>
      </c>
      <c r="Y26">
        <v>2389</v>
      </c>
      <c r="Z26">
        <v>2344</v>
      </c>
      <c r="AA26">
        <v>2210</v>
      </c>
      <c r="AB26">
        <v>2046</v>
      </c>
      <c r="AC26">
        <v>1914</v>
      </c>
      <c r="AD26">
        <v>1804</v>
      </c>
      <c r="AE26">
        <v>1715</v>
      </c>
      <c r="AF26">
        <v>1632</v>
      </c>
      <c r="AG26">
        <v>1584</v>
      </c>
      <c r="AH26">
        <v>1523</v>
      </c>
      <c r="AI26">
        <v>1551</v>
      </c>
      <c r="AJ26">
        <v>1615</v>
      </c>
      <c r="AK26">
        <v>1756</v>
      </c>
      <c r="AL26">
        <v>2094</v>
      </c>
      <c r="AM26">
        <v>2406</v>
      </c>
      <c r="AN26">
        <v>2689</v>
      </c>
      <c r="AO26">
        <v>3068</v>
      </c>
      <c r="AP26">
        <v>3174</v>
      </c>
      <c r="AQ26">
        <v>3311</v>
      </c>
      <c r="AR26">
        <v>3447</v>
      </c>
      <c r="AS26">
        <v>3493</v>
      </c>
      <c r="AT26">
        <v>3664</v>
      </c>
      <c r="AU26">
        <v>3858</v>
      </c>
      <c r="AV26">
        <v>4064</v>
      </c>
      <c r="AW26">
        <v>4050</v>
      </c>
      <c r="AX26">
        <v>4176</v>
      </c>
      <c r="AY26">
        <v>4248</v>
      </c>
      <c r="AZ26">
        <v>4020</v>
      </c>
      <c r="BA26">
        <v>3911</v>
      </c>
      <c r="BB26">
        <v>3599</v>
      </c>
      <c r="BC26">
        <v>3185</v>
      </c>
      <c r="BD26">
        <v>3004</v>
      </c>
      <c r="BE26">
        <v>2878</v>
      </c>
      <c r="BF26">
        <v>2709</v>
      </c>
      <c r="BG26">
        <v>2357</v>
      </c>
      <c r="BH26">
        <v>2305</v>
      </c>
      <c r="BI26">
        <v>2478</v>
      </c>
      <c r="BJ26">
        <v>2480</v>
      </c>
      <c r="BK26">
        <v>2279</v>
      </c>
      <c r="BL26">
        <v>2014</v>
      </c>
      <c r="BM26">
        <v>1874</v>
      </c>
      <c r="BN26">
        <v>1768</v>
      </c>
      <c r="BO26">
        <v>1792</v>
      </c>
      <c r="BP26">
        <v>1855</v>
      </c>
      <c r="BQ26">
        <v>1954</v>
      </c>
      <c r="BR26">
        <v>2081</v>
      </c>
      <c r="BS26">
        <v>2115</v>
      </c>
      <c r="BT26">
        <v>2161</v>
      </c>
      <c r="BU26">
        <v>2141</v>
      </c>
      <c r="BV26">
        <v>2249</v>
      </c>
      <c r="BW26">
        <v>2257</v>
      </c>
      <c r="BX26">
        <v>2254</v>
      </c>
      <c r="BY26">
        <v>2279</v>
      </c>
      <c r="BZ26">
        <v>2257</v>
      </c>
      <c r="CA26">
        <v>2311</v>
      </c>
      <c r="CB26">
        <v>2341</v>
      </c>
      <c r="CC26">
        <v>2329</v>
      </c>
      <c r="CD26">
        <v>2299</v>
      </c>
      <c r="CE26">
        <v>2168</v>
      </c>
      <c r="CF26">
        <v>2164</v>
      </c>
      <c r="CG26">
        <v>1997</v>
      </c>
      <c r="CH26">
        <v>1865</v>
      </c>
      <c r="CI26">
        <v>1752</v>
      </c>
      <c r="CJ26">
        <v>1683</v>
      </c>
      <c r="CK26">
        <v>1671</v>
      </c>
      <c r="CL26">
        <v>1597</v>
      </c>
      <c r="CM26">
        <v>1506</v>
      </c>
      <c r="CN26">
        <v>1337</v>
      </c>
      <c r="CO26">
        <v>1195</v>
      </c>
      <c r="CP26">
        <v>1063</v>
      </c>
      <c r="CQ26">
        <v>1009</v>
      </c>
      <c r="CR26">
        <v>1053</v>
      </c>
      <c r="CS26">
        <v>1092</v>
      </c>
    </row>
    <row r="27" spans="1:97">
      <c r="A27" s="9">
        <v>46260</v>
      </c>
      <c r="B27">
        <v>1182</v>
      </c>
      <c r="C27">
        <v>1276</v>
      </c>
      <c r="D27">
        <v>1319</v>
      </c>
      <c r="E27">
        <v>1275</v>
      </c>
      <c r="F27">
        <v>1307</v>
      </c>
      <c r="G27">
        <v>1357</v>
      </c>
      <c r="H27">
        <v>1394</v>
      </c>
      <c r="I27">
        <v>1470</v>
      </c>
      <c r="J27">
        <v>1679</v>
      </c>
      <c r="K27">
        <v>1595</v>
      </c>
      <c r="L27">
        <v>1644</v>
      </c>
      <c r="M27">
        <v>1697</v>
      </c>
      <c r="N27">
        <v>1614</v>
      </c>
      <c r="O27">
        <v>1678</v>
      </c>
      <c r="P27">
        <v>1648</v>
      </c>
      <c r="Q27">
        <v>1498</v>
      </c>
      <c r="R27">
        <v>1576</v>
      </c>
      <c r="S27">
        <v>1671</v>
      </c>
      <c r="T27">
        <v>1941</v>
      </c>
      <c r="U27">
        <v>2001</v>
      </c>
      <c r="V27">
        <v>2255</v>
      </c>
      <c r="W27">
        <v>2601</v>
      </c>
      <c r="X27">
        <v>2686</v>
      </c>
      <c r="Y27">
        <v>2794</v>
      </c>
      <c r="Z27">
        <v>2818</v>
      </c>
      <c r="AA27">
        <v>2795</v>
      </c>
      <c r="AB27">
        <v>2665</v>
      </c>
      <c r="AC27">
        <v>2378</v>
      </c>
      <c r="AD27">
        <v>2189</v>
      </c>
      <c r="AE27">
        <v>2133</v>
      </c>
      <c r="AF27">
        <v>1967</v>
      </c>
      <c r="AG27">
        <v>1907</v>
      </c>
      <c r="AH27">
        <v>1816</v>
      </c>
      <c r="AI27">
        <v>1725</v>
      </c>
      <c r="AJ27">
        <v>1574</v>
      </c>
      <c r="AK27">
        <v>1379</v>
      </c>
      <c r="AL27">
        <v>1305</v>
      </c>
      <c r="AM27">
        <v>1398</v>
      </c>
      <c r="AN27">
        <v>1511</v>
      </c>
      <c r="AO27">
        <v>1749</v>
      </c>
      <c r="AP27">
        <v>1737</v>
      </c>
      <c r="AQ27">
        <v>1993</v>
      </c>
      <c r="AR27">
        <v>2197</v>
      </c>
      <c r="AS27">
        <v>2416</v>
      </c>
      <c r="AT27">
        <v>2458</v>
      </c>
      <c r="AU27">
        <v>2311</v>
      </c>
      <c r="AV27">
        <v>2237</v>
      </c>
      <c r="AW27">
        <v>2226</v>
      </c>
      <c r="AX27">
        <v>2246</v>
      </c>
      <c r="AY27">
        <v>2167</v>
      </c>
      <c r="AZ27">
        <v>2091</v>
      </c>
      <c r="BA27">
        <v>2035</v>
      </c>
      <c r="BB27">
        <v>2309</v>
      </c>
      <c r="BC27">
        <v>2529</v>
      </c>
      <c r="BD27">
        <v>2306</v>
      </c>
      <c r="BE27">
        <v>1989</v>
      </c>
      <c r="BF27">
        <v>1913</v>
      </c>
      <c r="BG27">
        <v>1772</v>
      </c>
      <c r="BH27">
        <v>1712</v>
      </c>
      <c r="BI27">
        <v>1671</v>
      </c>
      <c r="BJ27">
        <v>1601</v>
      </c>
      <c r="BK27">
        <v>1344</v>
      </c>
      <c r="BL27">
        <v>1102</v>
      </c>
      <c r="BM27">
        <v>1062</v>
      </c>
      <c r="BN27">
        <v>922</v>
      </c>
      <c r="BO27">
        <v>939</v>
      </c>
      <c r="BP27">
        <v>1013</v>
      </c>
      <c r="BQ27">
        <v>906</v>
      </c>
      <c r="BR27">
        <v>744</v>
      </c>
      <c r="BS27">
        <v>653</v>
      </c>
      <c r="BT27">
        <v>563</v>
      </c>
      <c r="BU27">
        <v>532</v>
      </c>
      <c r="BV27">
        <v>498</v>
      </c>
      <c r="BW27">
        <v>525</v>
      </c>
      <c r="BX27">
        <v>559</v>
      </c>
      <c r="BY27">
        <v>482</v>
      </c>
      <c r="BZ27">
        <v>473</v>
      </c>
      <c r="CA27">
        <v>414</v>
      </c>
      <c r="CB27">
        <v>401</v>
      </c>
      <c r="CC27">
        <v>358</v>
      </c>
      <c r="CD27">
        <v>338</v>
      </c>
      <c r="CE27">
        <v>267</v>
      </c>
      <c r="CF27">
        <v>233</v>
      </c>
      <c r="CG27">
        <v>267</v>
      </c>
      <c r="CH27">
        <v>301</v>
      </c>
      <c r="CI27">
        <v>264</v>
      </c>
      <c r="CJ27">
        <v>312</v>
      </c>
      <c r="CK27">
        <v>383</v>
      </c>
      <c r="CL27">
        <v>405</v>
      </c>
      <c r="CM27">
        <v>495</v>
      </c>
      <c r="CN27">
        <v>557</v>
      </c>
      <c r="CO27">
        <v>592</v>
      </c>
      <c r="CP27">
        <v>644</v>
      </c>
      <c r="CQ27">
        <v>704</v>
      </c>
      <c r="CR27">
        <v>791</v>
      </c>
      <c r="CS27">
        <v>856</v>
      </c>
    </row>
    <row r="28" spans="1:97">
      <c r="A28" s="9">
        <v>46261</v>
      </c>
      <c r="B28">
        <v>881</v>
      </c>
      <c r="C28">
        <v>910</v>
      </c>
      <c r="D28">
        <v>970</v>
      </c>
      <c r="E28">
        <v>1070</v>
      </c>
      <c r="F28">
        <v>1141</v>
      </c>
      <c r="G28">
        <v>1239</v>
      </c>
      <c r="H28">
        <v>1302</v>
      </c>
      <c r="I28">
        <v>1308</v>
      </c>
      <c r="J28">
        <v>1273</v>
      </c>
      <c r="K28">
        <v>1236</v>
      </c>
      <c r="L28">
        <v>1186</v>
      </c>
      <c r="M28">
        <v>1197</v>
      </c>
      <c r="N28">
        <v>1167</v>
      </c>
      <c r="O28">
        <v>1131</v>
      </c>
      <c r="P28">
        <v>1176</v>
      </c>
      <c r="Q28">
        <v>1215</v>
      </c>
      <c r="R28">
        <v>1242</v>
      </c>
      <c r="S28">
        <v>1313</v>
      </c>
      <c r="T28">
        <v>1426</v>
      </c>
      <c r="U28">
        <v>1575</v>
      </c>
      <c r="V28">
        <v>1729</v>
      </c>
      <c r="W28">
        <v>1967</v>
      </c>
      <c r="X28">
        <v>2162</v>
      </c>
      <c r="Y28">
        <v>2308</v>
      </c>
      <c r="Z28">
        <v>2298</v>
      </c>
      <c r="AA28">
        <v>2314</v>
      </c>
      <c r="AB28">
        <v>2261</v>
      </c>
      <c r="AC28">
        <v>2254</v>
      </c>
      <c r="AD28">
        <v>2203</v>
      </c>
      <c r="AE28">
        <v>2071</v>
      </c>
      <c r="AF28">
        <v>1821</v>
      </c>
      <c r="AG28">
        <v>1597</v>
      </c>
      <c r="AH28">
        <v>1461</v>
      </c>
      <c r="AI28">
        <v>1389</v>
      </c>
      <c r="AJ28">
        <v>1380</v>
      </c>
      <c r="AK28">
        <v>1409</v>
      </c>
      <c r="AL28">
        <v>1389</v>
      </c>
      <c r="AM28">
        <v>1279</v>
      </c>
      <c r="AN28">
        <v>1144</v>
      </c>
      <c r="AO28">
        <v>1123</v>
      </c>
      <c r="AP28">
        <v>1066</v>
      </c>
      <c r="AQ28">
        <v>1126</v>
      </c>
      <c r="AR28">
        <v>1169</v>
      </c>
      <c r="AS28">
        <v>1221</v>
      </c>
      <c r="AT28">
        <v>1337</v>
      </c>
      <c r="AU28">
        <v>1493</v>
      </c>
      <c r="AV28">
        <v>1602</v>
      </c>
      <c r="AW28">
        <v>1646</v>
      </c>
      <c r="AX28">
        <v>1592</v>
      </c>
      <c r="AY28">
        <v>1511</v>
      </c>
      <c r="AZ28">
        <v>1421</v>
      </c>
      <c r="BA28">
        <v>1304</v>
      </c>
      <c r="BB28">
        <v>1316</v>
      </c>
      <c r="BC28">
        <v>1350</v>
      </c>
      <c r="BD28">
        <v>1299</v>
      </c>
      <c r="BE28">
        <v>1323</v>
      </c>
      <c r="BF28">
        <v>1368</v>
      </c>
      <c r="BG28">
        <v>1389</v>
      </c>
      <c r="BH28">
        <v>1502</v>
      </c>
      <c r="BI28">
        <v>1476</v>
      </c>
      <c r="BJ28">
        <v>1426</v>
      </c>
      <c r="BK28">
        <v>1492</v>
      </c>
      <c r="BL28">
        <v>1599</v>
      </c>
      <c r="BM28">
        <v>1648</v>
      </c>
      <c r="BN28">
        <v>1785</v>
      </c>
      <c r="BO28">
        <v>1799</v>
      </c>
      <c r="BP28">
        <v>1963</v>
      </c>
      <c r="BQ28">
        <v>2093</v>
      </c>
      <c r="BR28">
        <v>2292</v>
      </c>
      <c r="BS28">
        <v>2446</v>
      </c>
      <c r="BT28">
        <v>2667</v>
      </c>
      <c r="BU28">
        <v>3077</v>
      </c>
      <c r="BV28">
        <v>3552</v>
      </c>
      <c r="BW28">
        <v>4189</v>
      </c>
      <c r="BX28">
        <v>4757</v>
      </c>
      <c r="BY28">
        <v>5246</v>
      </c>
      <c r="BZ28">
        <v>5578</v>
      </c>
      <c r="CA28">
        <v>5806</v>
      </c>
      <c r="CB28">
        <v>6066</v>
      </c>
      <c r="CC28">
        <v>6282</v>
      </c>
      <c r="CD28">
        <v>6274</v>
      </c>
      <c r="CE28">
        <v>6318</v>
      </c>
      <c r="CF28">
        <v>6461</v>
      </c>
      <c r="CG28">
        <v>6537</v>
      </c>
      <c r="CH28">
        <v>6460</v>
      </c>
      <c r="CI28">
        <v>6481</v>
      </c>
      <c r="CJ28">
        <v>6556</v>
      </c>
      <c r="CK28">
        <v>6461</v>
      </c>
      <c r="CL28">
        <v>6159</v>
      </c>
      <c r="CM28">
        <v>6008</v>
      </c>
      <c r="CN28">
        <v>5778</v>
      </c>
      <c r="CO28">
        <v>5698</v>
      </c>
      <c r="CP28">
        <v>5424</v>
      </c>
      <c r="CQ28">
        <v>5009</v>
      </c>
      <c r="CR28">
        <v>4628</v>
      </c>
      <c r="CS28">
        <v>4320</v>
      </c>
    </row>
    <row r="29" spans="1:97">
      <c r="A29" s="9">
        <v>46262</v>
      </c>
      <c r="B29">
        <v>4306</v>
      </c>
      <c r="C29">
        <v>3961</v>
      </c>
      <c r="D29">
        <v>3778</v>
      </c>
      <c r="E29">
        <v>3540</v>
      </c>
      <c r="F29">
        <v>3412</v>
      </c>
      <c r="G29">
        <v>3327</v>
      </c>
      <c r="H29">
        <v>3285</v>
      </c>
      <c r="I29">
        <v>3185</v>
      </c>
      <c r="J29">
        <v>2952</v>
      </c>
      <c r="K29">
        <v>2748</v>
      </c>
      <c r="L29">
        <v>2637</v>
      </c>
      <c r="M29">
        <v>2524</v>
      </c>
      <c r="N29">
        <v>2499</v>
      </c>
      <c r="O29">
        <v>2406</v>
      </c>
      <c r="P29">
        <v>2424</v>
      </c>
      <c r="Q29">
        <v>2468</v>
      </c>
      <c r="R29">
        <v>2482</v>
      </c>
      <c r="S29">
        <v>2471</v>
      </c>
      <c r="T29">
        <v>2576</v>
      </c>
      <c r="U29">
        <v>2687</v>
      </c>
      <c r="V29">
        <v>2827</v>
      </c>
      <c r="W29">
        <v>2879</v>
      </c>
      <c r="X29">
        <v>2722</v>
      </c>
      <c r="Y29">
        <v>2595</v>
      </c>
      <c r="Z29">
        <v>2413</v>
      </c>
      <c r="AA29">
        <v>2395</v>
      </c>
      <c r="AB29">
        <v>2336</v>
      </c>
      <c r="AC29">
        <v>2148</v>
      </c>
      <c r="AD29">
        <v>1802</v>
      </c>
      <c r="AE29">
        <v>1561</v>
      </c>
      <c r="AF29">
        <v>1288</v>
      </c>
      <c r="AG29">
        <v>1121</v>
      </c>
      <c r="AH29">
        <v>975</v>
      </c>
      <c r="AI29">
        <v>907</v>
      </c>
      <c r="AJ29">
        <v>875</v>
      </c>
      <c r="AK29">
        <v>877</v>
      </c>
      <c r="AL29">
        <v>889</v>
      </c>
      <c r="AM29">
        <v>1001</v>
      </c>
      <c r="AN29">
        <v>1054</v>
      </c>
      <c r="AO29">
        <v>1133</v>
      </c>
      <c r="AP29">
        <v>1111</v>
      </c>
      <c r="AQ29">
        <v>1043</v>
      </c>
      <c r="AR29">
        <v>932</v>
      </c>
      <c r="AS29">
        <v>792</v>
      </c>
      <c r="AT29">
        <v>687</v>
      </c>
      <c r="AU29">
        <v>634</v>
      </c>
      <c r="AV29">
        <v>554</v>
      </c>
      <c r="AW29">
        <v>495</v>
      </c>
      <c r="AX29">
        <v>446</v>
      </c>
      <c r="AY29">
        <v>382</v>
      </c>
      <c r="AZ29">
        <v>286</v>
      </c>
      <c r="BA29">
        <v>228</v>
      </c>
      <c r="BB29">
        <v>202</v>
      </c>
      <c r="BC29">
        <v>157</v>
      </c>
      <c r="BD29">
        <v>223</v>
      </c>
      <c r="BE29">
        <v>230</v>
      </c>
      <c r="BF29">
        <v>253</v>
      </c>
      <c r="BG29">
        <v>243</v>
      </c>
      <c r="BH29">
        <v>235</v>
      </c>
      <c r="BI29">
        <v>274</v>
      </c>
      <c r="BJ29">
        <v>358</v>
      </c>
      <c r="BK29">
        <v>347</v>
      </c>
      <c r="BL29">
        <v>352</v>
      </c>
      <c r="BM29">
        <v>403</v>
      </c>
      <c r="BN29">
        <v>366</v>
      </c>
      <c r="BO29">
        <v>477</v>
      </c>
      <c r="BP29">
        <v>566</v>
      </c>
      <c r="BQ29">
        <v>651</v>
      </c>
      <c r="BR29">
        <v>642</v>
      </c>
      <c r="BS29">
        <v>687</v>
      </c>
      <c r="BT29">
        <v>729</v>
      </c>
      <c r="BU29">
        <v>758</v>
      </c>
      <c r="BV29">
        <v>761</v>
      </c>
      <c r="BW29">
        <v>763</v>
      </c>
      <c r="BX29">
        <v>886</v>
      </c>
      <c r="BY29">
        <v>948</v>
      </c>
      <c r="BZ29">
        <v>1077</v>
      </c>
      <c r="CA29">
        <v>1164</v>
      </c>
      <c r="CB29">
        <v>1299</v>
      </c>
      <c r="CC29">
        <v>1372</v>
      </c>
      <c r="CD29">
        <v>1449</v>
      </c>
      <c r="CE29">
        <v>1520</v>
      </c>
      <c r="CF29">
        <v>1500</v>
      </c>
      <c r="CG29">
        <v>1409</v>
      </c>
      <c r="CH29">
        <v>1369</v>
      </c>
      <c r="CI29">
        <v>1374</v>
      </c>
      <c r="CJ29">
        <v>1396</v>
      </c>
      <c r="CK29">
        <v>1564</v>
      </c>
      <c r="CL29">
        <v>1703</v>
      </c>
      <c r="CM29">
        <v>1786</v>
      </c>
      <c r="CN29">
        <v>1772</v>
      </c>
      <c r="CO29">
        <v>1750</v>
      </c>
      <c r="CP29">
        <v>1789</v>
      </c>
      <c r="CQ29">
        <v>1844</v>
      </c>
      <c r="CR29">
        <v>1800</v>
      </c>
      <c r="CS29">
        <v>1821</v>
      </c>
    </row>
    <row r="30" spans="1:97">
      <c r="A30" s="9">
        <v>46263</v>
      </c>
      <c r="B30">
        <v>1901</v>
      </c>
      <c r="C30">
        <v>2042</v>
      </c>
      <c r="D30">
        <v>2115</v>
      </c>
      <c r="E30">
        <v>2054</v>
      </c>
      <c r="F30">
        <v>2068</v>
      </c>
      <c r="G30">
        <v>2120</v>
      </c>
      <c r="H30">
        <v>2189</v>
      </c>
      <c r="I30">
        <v>2306</v>
      </c>
      <c r="J30">
        <v>2358</v>
      </c>
      <c r="K30">
        <v>2351</v>
      </c>
      <c r="L30">
        <v>2362</v>
      </c>
      <c r="M30">
        <v>2349</v>
      </c>
      <c r="N30">
        <v>2444</v>
      </c>
      <c r="O30">
        <v>2438</v>
      </c>
      <c r="P30">
        <v>2499</v>
      </c>
      <c r="Q30">
        <v>2551</v>
      </c>
      <c r="R30">
        <v>2684</v>
      </c>
      <c r="S30">
        <v>2782</v>
      </c>
      <c r="T30">
        <v>2844</v>
      </c>
      <c r="U30">
        <v>2835</v>
      </c>
      <c r="V30">
        <v>2986</v>
      </c>
      <c r="W30">
        <v>2974</v>
      </c>
      <c r="X30">
        <v>3062</v>
      </c>
      <c r="Y30">
        <v>3028</v>
      </c>
      <c r="Z30">
        <v>3145</v>
      </c>
      <c r="AA30">
        <v>3247</v>
      </c>
      <c r="AB30">
        <v>3289</v>
      </c>
      <c r="AC30">
        <v>3259</v>
      </c>
      <c r="AD30">
        <v>3241</v>
      </c>
      <c r="AE30">
        <v>3112</v>
      </c>
      <c r="AF30">
        <v>2956</v>
      </c>
      <c r="AG30">
        <v>2794</v>
      </c>
      <c r="AH30">
        <v>2562</v>
      </c>
      <c r="AI30">
        <v>2450</v>
      </c>
      <c r="AJ30">
        <v>2347</v>
      </c>
      <c r="AK30">
        <v>2463</v>
      </c>
      <c r="AL30">
        <v>2595</v>
      </c>
      <c r="AM30">
        <v>2669</v>
      </c>
      <c r="AN30">
        <v>2829</v>
      </c>
      <c r="AO30">
        <v>2997</v>
      </c>
      <c r="AP30">
        <v>3129</v>
      </c>
      <c r="AQ30">
        <v>3093</v>
      </c>
      <c r="AR30">
        <v>3032</v>
      </c>
      <c r="AS30">
        <v>3202</v>
      </c>
      <c r="AT30">
        <v>3231</v>
      </c>
      <c r="AU30">
        <v>3320</v>
      </c>
      <c r="AV30">
        <v>3403</v>
      </c>
      <c r="AW30">
        <v>3500</v>
      </c>
      <c r="AX30">
        <v>3542</v>
      </c>
      <c r="AY30">
        <v>3629</v>
      </c>
      <c r="AZ30">
        <v>3670</v>
      </c>
      <c r="BA30">
        <v>3760</v>
      </c>
      <c r="BB30">
        <v>3829</v>
      </c>
      <c r="BC30">
        <v>3949</v>
      </c>
      <c r="BD30">
        <v>4026</v>
      </c>
      <c r="BE30">
        <v>4020</v>
      </c>
      <c r="BF30">
        <v>4034</v>
      </c>
      <c r="BG30">
        <v>4069</v>
      </c>
      <c r="BH30">
        <v>4093</v>
      </c>
      <c r="BI30">
        <v>4150</v>
      </c>
      <c r="BJ30">
        <v>4284</v>
      </c>
      <c r="BK30">
        <v>4484</v>
      </c>
      <c r="BL30">
        <v>4697</v>
      </c>
      <c r="BM30">
        <v>4854</v>
      </c>
      <c r="BN30">
        <v>5175</v>
      </c>
      <c r="BO30">
        <v>5429</v>
      </c>
      <c r="BP30">
        <v>5544</v>
      </c>
      <c r="BQ30">
        <v>5635</v>
      </c>
      <c r="BR30">
        <v>5637</v>
      </c>
      <c r="BS30">
        <v>5373</v>
      </c>
      <c r="BT30">
        <v>5165</v>
      </c>
      <c r="BU30">
        <v>4869</v>
      </c>
      <c r="BV30">
        <v>4722</v>
      </c>
      <c r="BW30">
        <v>4749</v>
      </c>
      <c r="BX30">
        <v>4528</v>
      </c>
      <c r="BY30">
        <v>4303</v>
      </c>
      <c r="BZ30">
        <v>4432</v>
      </c>
      <c r="CA30">
        <v>4385</v>
      </c>
      <c r="CB30">
        <v>4291</v>
      </c>
      <c r="CC30">
        <v>4214</v>
      </c>
      <c r="CD30">
        <v>4033</v>
      </c>
      <c r="CE30">
        <v>3943</v>
      </c>
      <c r="CF30">
        <v>3717</v>
      </c>
      <c r="CG30">
        <v>3518</v>
      </c>
      <c r="CH30">
        <v>3489</v>
      </c>
      <c r="CI30">
        <v>3625</v>
      </c>
      <c r="CJ30">
        <v>3723</v>
      </c>
      <c r="CK30">
        <v>3764</v>
      </c>
      <c r="CL30">
        <v>3859</v>
      </c>
      <c r="CM30">
        <v>3939</v>
      </c>
      <c r="CN30">
        <v>4059</v>
      </c>
      <c r="CO30">
        <v>4190</v>
      </c>
      <c r="CP30">
        <v>4317</v>
      </c>
      <c r="CQ30">
        <v>4447</v>
      </c>
      <c r="CR30">
        <v>4460</v>
      </c>
      <c r="CS30">
        <v>4657</v>
      </c>
    </row>
    <row r="31" spans="1:97">
      <c r="A31" s="9">
        <v>46264</v>
      </c>
      <c r="B31">
        <v>4795</v>
      </c>
      <c r="C31">
        <v>4715</v>
      </c>
      <c r="D31">
        <v>4754</v>
      </c>
      <c r="E31">
        <v>4677</v>
      </c>
      <c r="F31">
        <v>4686</v>
      </c>
      <c r="G31">
        <v>4679</v>
      </c>
      <c r="H31">
        <v>4709</v>
      </c>
      <c r="I31">
        <v>4718</v>
      </c>
      <c r="J31">
        <v>4664</v>
      </c>
      <c r="K31">
        <v>4566</v>
      </c>
      <c r="L31">
        <v>4342</v>
      </c>
      <c r="M31">
        <v>4121</v>
      </c>
      <c r="N31">
        <v>3987</v>
      </c>
      <c r="O31">
        <v>3788</v>
      </c>
      <c r="P31">
        <v>3559</v>
      </c>
      <c r="Q31">
        <v>3351</v>
      </c>
      <c r="R31">
        <v>3114</v>
      </c>
      <c r="S31">
        <v>2975</v>
      </c>
      <c r="T31">
        <v>2823</v>
      </c>
      <c r="U31">
        <v>2651</v>
      </c>
      <c r="V31">
        <v>2479</v>
      </c>
      <c r="W31">
        <v>2359</v>
      </c>
      <c r="X31">
        <v>2240</v>
      </c>
      <c r="Y31">
        <v>2109</v>
      </c>
      <c r="Z31">
        <v>2008</v>
      </c>
      <c r="AA31">
        <v>1970</v>
      </c>
      <c r="AB31">
        <v>1942</v>
      </c>
      <c r="AC31">
        <v>1815</v>
      </c>
      <c r="AD31">
        <v>1674</v>
      </c>
      <c r="AE31">
        <v>1511</v>
      </c>
      <c r="AF31">
        <v>1429</v>
      </c>
      <c r="AG31">
        <v>1367</v>
      </c>
      <c r="AH31">
        <v>1289</v>
      </c>
      <c r="AI31">
        <v>1176</v>
      </c>
      <c r="AJ31">
        <v>1100</v>
      </c>
      <c r="AK31">
        <v>1014</v>
      </c>
      <c r="AL31">
        <v>965</v>
      </c>
      <c r="AM31">
        <v>867</v>
      </c>
      <c r="AN31">
        <v>835</v>
      </c>
      <c r="AO31">
        <v>845</v>
      </c>
      <c r="AP31">
        <v>875</v>
      </c>
      <c r="AQ31">
        <v>963</v>
      </c>
      <c r="AR31">
        <v>1075</v>
      </c>
      <c r="AS31">
        <v>1145</v>
      </c>
      <c r="AT31">
        <v>1215</v>
      </c>
      <c r="AU31">
        <v>1260</v>
      </c>
      <c r="AV31">
        <v>1258</v>
      </c>
      <c r="AW31">
        <v>1238</v>
      </c>
      <c r="AX31">
        <v>1237</v>
      </c>
      <c r="AY31">
        <v>1261</v>
      </c>
      <c r="AZ31">
        <v>1307</v>
      </c>
      <c r="BA31">
        <v>1392</v>
      </c>
      <c r="BB31">
        <v>1469</v>
      </c>
      <c r="BC31">
        <v>1588</v>
      </c>
      <c r="BD31">
        <v>1681</v>
      </c>
      <c r="BE31">
        <v>1742</v>
      </c>
      <c r="BF31">
        <v>1798</v>
      </c>
      <c r="BG31">
        <v>1950</v>
      </c>
      <c r="BH31">
        <v>2023</v>
      </c>
      <c r="BI31">
        <v>2150</v>
      </c>
      <c r="BJ31">
        <v>2092</v>
      </c>
      <c r="BK31">
        <v>2112</v>
      </c>
      <c r="BL31">
        <v>2087</v>
      </c>
      <c r="BM31">
        <v>2034</v>
      </c>
      <c r="BN31">
        <v>1956</v>
      </c>
      <c r="BO31">
        <v>2007</v>
      </c>
      <c r="BP31">
        <v>1992</v>
      </c>
      <c r="BQ31">
        <v>1910</v>
      </c>
      <c r="BR31">
        <v>1904</v>
      </c>
      <c r="BS31">
        <v>1874</v>
      </c>
      <c r="BT31">
        <v>1809</v>
      </c>
      <c r="BU31">
        <v>1851</v>
      </c>
      <c r="BV31">
        <v>1921</v>
      </c>
      <c r="BW31">
        <v>2059</v>
      </c>
      <c r="BX31">
        <v>2164</v>
      </c>
      <c r="BY31">
        <v>2309</v>
      </c>
      <c r="BZ31">
        <v>2475</v>
      </c>
      <c r="CA31">
        <v>2613</v>
      </c>
      <c r="CB31">
        <v>2867</v>
      </c>
      <c r="CC31">
        <v>3115</v>
      </c>
      <c r="CD31">
        <v>3249</v>
      </c>
      <c r="CE31">
        <v>3245</v>
      </c>
      <c r="CF31">
        <v>3252</v>
      </c>
      <c r="CG31">
        <v>3257</v>
      </c>
      <c r="CH31">
        <v>3343</v>
      </c>
      <c r="CI31">
        <v>3281</v>
      </c>
      <c r="CJ31">
        <v>3220</v>
      </c>
      <c r="CK31">
        <v>3260</v>
      </c>
      <c r="CL31">
        <v>3424</v>
      </c>
      <c r="CM31">
        <v>3338</v>
      </c>
      <c r="CN31">
        <v>3321</v>
      </c>
      <c r="CO31">
        <v>3295</v>
      </c>
      <c r="CP31">
        <v>3380</v>
      </c>
      <c r="CQ31">
        <v>3566</v>
      </c>
      <c r="CR31">
        <v>3739</v>
      </c>
      <c r="CS31">
        <v>3738</v>
      </c>
    </row>
    <row r="32" spans="1:97">
      <c r="A32" s="9">
        <v>46265</v>
      </c>
      <c r="B32">
        <v>3925</v>
      </c>
      <c r="C32">
        <v>3970</v>
      </c>
      <c r="D32">
        <v>3932</v>
      </c>
      <c r="E32">
        <v>3784</v>
      </c>
      <c r="F32">
        <v>3605</v>
      </c>
      <c r="G32">
        <v>3646</v>
      </c>
      <c r="H32">
        <v>3691</v>
      </c>
      <c r="I32">
        <v>3764</v>
      </c>
      <c r="J32">
        <v>3903</v>
      </c>
      <c r="K32">
        <v>3976</v>
      </c>
      <c r="L32">
        <v>4066</v>
      </c>
      <c r="M32">
        <v>4197</v>
      </c>
      <c r="N32">
        <v>4388</v>
      </c>
      <c r="O32">
        <v>4551</v>
      </c>
      <c r="P32">
        <v>4657</v>
      </c>
      <c r="Q32">
        <v>4787</v>
      </c>
      <c r="R32">
        <v>5031</v>
      </c>
      <c r="S32">
        <v>5290</v>
      </c>
      <c r="T32">
        <v>5515</v>
      </c>
      <c r="U32">
        <v>5813</v>
      </c>
      <c r="V32">
        <v>6002</v>
      </c>
      <c r="W32">
        <v>6111</v>
      </c>
      <c r="X32">
        <v>6096</v>
      </c>
      <c r="Y32">
        <v>5946</v>
      </c>
      <c r="Z32">
        <v>5688</v>
      </c>
      <c r="AA32">
        <v>5312</v>
      </c>
      <c r="AB32">
        <v>4789</v>
      </c>
      <c r="AC32">
        <v>4309</v>
      </c>
      <c r="AD32">
        <v>3888</v>
      </c>
      <c r="AE32">
        <v>3665</v>
      </c>
      <c r="AF32">
        <v>3467</v>
      </c>
      <c r="AG32">
        <v>3405</v>
      </c>
      <c r="AH32">
        <v>3407</v>
      </c>
      <c r="AI32">
        <v>3486</v>
      </c>
      <c r="AJ32">
        <v>3471</v>
      </c>
      <c r="AK32">
        <v>3402</v>
      </c>
      <c r="AL32">
        <v>3463</v>
      </c>
      <c r="AM32">
        <v>3571</v>
      </c>
      <c r="AN32">
        <v>3776</v>
      </c>
      <c r="AO32">
        <v>3956</v>
      </c>
      <c r="AP32">
        <v>4127</v>
      </c>
      <c r="AQ32">
        <v>4399</v>
      </c>
      <c r="AR32">
        <v>4544</v>
      </c>
      <c r="AS32">
        <v>4555</v>
      </c>
      <c r="AT32">
        <v>4613</v>
      </c>
      <c r="AU32">
        <v>4951</v>
      </c>
      <c r="AV32">
        <v>4919</v>
      </c>
      <c r="AW32">
        <v>4997</v>
      </c>
      <c r="AX32">
        <v>4986</v>
      </c>
      <c r="AY32">
        <v>5081</v>
      </c>
      <c r="AZ32">
        <v>4949</v>
      </c>
      <c r="BA32">
        <v>4985</v>
      </c>
      <c r="BB32">
        <v>5036</v>
      </c>
      <c r="BC32">
        <v>4907</v>
      </c>
      <c r="BD32">
        <v>4902</v>
      </c>
      <c r="BE32">
        <v>4868</v>
      </c>
      <c r="BF32">
        <v>4864</v>
      </c>
      <c r="BG32">
        <v>4824</v>
      </c>
      <c r="BH32">
        <v>4912</v>
      </c>
      <c r="BI32">
        <v>4935</v>
      </c>
      <c r="BJ32">
        <v>4827</v>
      </c>
      <c r="BK32">
        <v>4977</v>
      </c>
      <c r="BL32">
        <v>4985</v>
      </c>
      <c r="BM32">
        <v>5123</v>
      </c>
      <c r="BN32">
        <v>5255</v>
      </c>
      <c r="BO32">
        <v>5413</v>
      </c>
      <c r="BP32">
        <v>5599</v>
      </c>
      <c r="BQ32">
        <v>5612</v>
      </c>
      <c r="BR32">
        <v>5550</v>
      </c>
      <c r="BS32">
        <v>5621</v>
      </c>
      <c r="BT32">
        <v>5577</v>
      </c>
      <c r="BU32">
        <v>5579</v>
      </c>
      <c r="BV32">
        <v>5760</v>
      </c>
      <c r="BW32">
        <v>6117</v>
      </c>
      <c r="BX32">
        <v>6528</v>
      </c>
      <c r="BY32">
        <v>6914</v>
      </c>
      <c r="BZ32">
        <v>7260</v>
      </c>
      <c r="CA32">
        <v>7396</v>
      </c>
      <c r="CB32">
        <v>7513</v>
      </c>
      <c r="CC32">
        <v>7558</v>
      </c>
      <c r="CD32">
        <v>7517</v>
      </c>
      <c r="CE32">
        <v>7412</v>
      </c>
      <c r="CF32">
        <v>7284</v>
      </c>
      <c r="CG32">
        <v>7131</v>
      </c>
      <c r="CH32">
        <v>7120</v>
      </c>
      <c r="CI32">
        <v>7089</v>
      </c>
      <c r="CJ32">
        <v>7004</v>
      </c>
      <c r="CK32">
        <v>6747</v>
      </c>
      <c r="CL32">
        <v>6500</v>
      </c>
      <c r="CM32">
        <v>6172</v>
      </c>
      <c r="CN32">
        <v>5824</v>
      </c>
      <c r="CO32">
        <v>5509</v>
      </c>
      <c r="CP32">
        <v>5219</v>
      </c>
      <c r="CQ32">
        <v>4996</v>
      </c>
      <c r="CR32">
        <v>4822</v>
      </c>
      <c r="CS32">
        <v>4674</v>
      </c>
    </row>
  </sheetData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CS32"/>
  <sheetViews>
    <sheetView workbookViewId="0">
      <selection activeCell="A2" sqref="$A2:$XFD2"/>
    </sheetView>
  </sheetViews>
  <sheetFormatPr defaultColWidth="8.89166666666667" defaultRowHeight="13.5"/>
  <cols>
    <col min="1" max="1" width="11.8916666666667" style="9" customWidth="1"/>
    <col min="24" max="24" width="9.375"/>
    <col min="26" max="26" width="9.375"/>
    <col min="27" max="27" width="9.38333333333333"/>
    <col min="28" max="32" width="10.375"/>
    <col min="33" max="37" width="10.3833333333333"/>
    <col min="38" max="38" width="9.38333333333333"/>
    <col min="39" max="39" width="10.3833333333333"/>
    <col min="40" max="40" width="10.375"/>
    <col min="41" max="41" width="10.3833333333333"/>
    <col min="42" max="42" width="10.375"/>
    <col min="43" max="44" width="10.3833333333333"/>
    <col min="45" max="45" width="10.375"/>
    <col min="46" max="49" width="10.3833333333333"/>
    <col min="50" max="50" width="10.375"/>
    <col min="51" max="56" width="10.3833333333333"/>
    <col min="57" max="57" width="10.375"/>
    <col min="58" max="58" width="10.3833333333333"/>
    <col min="59" max="59" width="10.375"/>
    <col min="60" max="60" width="10.3833333333333"/>
    <col min="61" max="71" width="10.375"/>
    <col min="72" max="72" width="9.38333333333333"/>
    <col min="73" max="73" width="9.375"/>
    <col min="75" max="76" width="9.375"/>
    <col min="98" max="98" width="12.6333333333333"/>
  </cols>
  <sheetData>
    <row r="1" spans="1:97">
      <c r="A1" s="9" t="s">
        <v>0</v>
      </c>
      <c r="B1" s="1">
        <v>0.0104166666666667</v>
      </c>
      <c r="C1" s="1">
        <v>0.0208333333333333</v>
      </c>
      <c r="D1" s="1">
        <v>0.03125</v>
      </c>
      <c r="E1" s="1">
        <v>0.0416666666666667</v>
      </c>
      <c r="F1" s="1">
        <v>0.0520833333333333</v>
      </c>
      <c r="G1" s="1">
        <v>0.0625</v>
      </c>
      <c r="H1" s="1">
        <v>0.0729166666666667</v>
      </c>
      <c r="I1" s="1">
        <v>0.0833333333333333</v>
      </c>
      <c r="J1" s="1">
        <v>0.09375</v>
      </c>
      <c r="K1" s="1">
        <v>0.104166666666667</v>
      </c>
      <c r="L1" s="1">
        <v>0.114583333333333</v>
      </c>
      <c r="M1" s="1">
        <v>0.125</v>
      </c>
      <c r="N1" s="1">
        <v>0.135416666666667</v>
      </c>
      <c r="O1" s="1">
        <v>0.145833333333333</v>
      </c>
      <c r="P1" s="1">
        <v>0.15625</v>
      </c>
      <c r="Q1" s="1">
        <v>0.166666666666667</v>
      </c>
      <c r="R1" s="1">
        <v>0.177083333333333</v>
      </c>
      <c r="S1" s="1">
        <v>0.1875</v>
      </c>
      <c r="T1" s="1">
        <v>0.197916666666667</v>
      </c>
      <c r="U1" s="1">
        <v>0.208333333333333</v>
      </c>
      <c r="V1" s="1">
        <v>0.21875</v>
      </c>
      <c r="W1" s="1">
        <v>0.229166666666667</v>
      </c>
      <c r="X1" s="1">
        <v>0.239583333333333</v>
      </c>
      <c r="Y1" s="1">
        <v>0.25</v>
      </c>
      <c r="Z1" s="1">
        <v>0.260416666666667</v>
      </c>
      <c r="AA1" s="1">
        <v>0.270833333333333</v>
      </c>
      <c r="AB1" s="1">
        <v>0.28125</v>
      </c>
      <c r="AC1" s="1">
        <v>0.291666666666667</v>
      </c>
      <c r="AD1" s="1">
        <v>0.302083333333333</v>
      </c>
      <c r="AE1" s="1">
        <v>0.3125</v>
      </c>
      <c r="AF1" s="1">
        <v>0.322916666666667</v>
      </c>
      <c r="AG1" s="1">
        <v>0.333333333333333</v>
      </c>
      <c r="AH1" s="1">
        <v>0.34375</v>
      </c>
      <c r="AI1" s="1">
        <v>0.354166666666667</v>
      </c>
      <c r="AJ1" s="1">
        <v>0.364583333333333</v>
      </c>
      <c r="AK1" s="1">
        <v>0.375</v>
      </c>
      <c r="AL1" s="1">
        <v>0.385416666666667</v>
      </c>
      <c r="AM1" s="1">
        <v>0.395833333333333</v>
      </c>
      <c r="AN1" s="1">
        <v>0.40625</v>
      </c>
      <c r="AO1" s="1">
        <v>0.416666666666667</v>
      </c>
      <c r="AP1" s="1">
        <v>0.427083333333333</v>
      </c>
      <c r="AQ1" s="1">
        <v>0.4375</v>
      </c>
      <c r="AR1" s="1">
        <v>0.447916666666667</v>
      </c>
      <c r="AS1" s="1">
        <v>0.458333333333333</v>
      </c>
      <c r="AT1" s="1">
        <v>0.46875</v>
      </c>
      <c r="AU1" s="1">
        <v>0.479166666666667</v>
      </c>
      <c r="AV1" s="1">
        <v>0.489583333333333</v>
      </c>
      <c r="AW1" s="1">
        <v>0.5</v>
      </c>
      <c r="AX1" s="1">
        <v>0.510416666666667</v>
      </c>
      <c r="AY1" s="1">
        <v>0.520833333333333</v>
      </c>
      <c r="AZ1" s="1">
        <v>0.53125</v>
      </c>
      <c r="BA1" s="1">
        <v>0.541666666666667</v>
      </c>
      <c r="BB1" s="1">
        <v>0.552083333333333</v>
      </c>
      <c r="BC1" s="1">
        <v>0.5625</v>
      </c>
      <c r="BD1" s="1">
        <v>0.572916666666667</v>
      </c>
      <c r="BE1" s="1">
        <v>0.583333333333333</v>
      </c>
      <c r="BF1" s="1">
        <v>0.59375</v>
      </c>
      <c r="BG1" s="1">
        <v>0.604166666666667</v>
      </c>
      <c r="BH1" s="1">
        <v>0.614583333333333</v>
      </c>
      <c r="BI1" s="1">
        <v>0.625</v>
      </c>
      <c r="BJ1" s="1">
        <v>0.635416666666667</v>
      </c>
      <c r="BK1" s="1">
        <v>0.645833333333333</v>
      </c>
      <c r="BL1" s="1">
        <v>0.65625</v>
      </c>
      <c r="BM1" s="1">
        <v>0.666666666666667</v>
      </c>
      <c r="BN1" s="1">
        <v>0.677083333333333</v>
      </c>
      <c r="BO1" s="1">
        <v>0.6875</v>
      </c>
      <c r="BP1" s="1">
        <v>0.697916666666667</v>
      </c>
      <c r="BQ1" s="1">
        <v>0.708333333333333</v>
      </c>
      <c r="BR1" s="1">
        <v>0.71875</v>
      </c>
      <c r="BS1" s="1">
        <v>0.729166666666667</v>
      </c>
      <c r="BT1" s="1">
        <v>0.739583333333333</v>
      </c>
      <c r="BU1" s="1">
        <v>0.75</v>
      </c>
      <c r="BV1" s="1">
        <v>0.760416666666667</v>
      </c>
      <c r="BW1" s="1">
        <v>0.770833333333333</v>
      </c>
      <c r="BX1" s="1">
        <v>0.78125</v>
      </c>
      <c r="BY1" s="1">
        <v>0.791666666666667</v>
      </c>
      <c r="BZ1" s="1">
        <v>0.802083333333333</v>
      </c>
      <c r="CA1" s="1">
        <v>0.8125</v>
      </c>
      <c r="CB1" s="1">
        <v>0.822916666666667</v>
      </c>
      <c r="CC1" s="1">
        <v>0.833333333333333</v>
      </c>
      <c r="CD1" s="1">
        <v>0.84375</v>
      </c>
      <c r="CE1" s="1">
        <v>0.854166666666667</v>
      </c>
      <c r="CF1" s="1">
        <v>0.864583333333333</v>
      </c>
      <c r="CG1" s="1">
        <v>0.875</v>
      </c>
      <c r="CH1" s="1">
        <v>0.885416666666667</v>
      </c>
      <c r="CI1" s="1">
        <v>0.895833333333333</v>
      </c>
      <c r="CJ1" s="1">
        <v>0.90625</v>
      </c>
      <c r="CK1" s="1">
        <v>0.916666666666667</v>
      </c>
      <c r="CL1" s="1">
        <v>0.927083333333333</v>
      </c>
      <c r="CM1" s="1">
        <v>0.9375</v>
      </c>
      <c r="CN1" s="1">
        <v>0.947916666666667</v>
      </c>
      <c r="CO1" s="1">
        <v>0.958333333333333</v>
      </c>
      <c r="CP1" s="1">
        <v>0.96875</v>
      </c>
      <c r="CQ1" s="1">
        <v>0.979166666666667</v>
      </c>
      <c r="CR1" s="1">
        <v>0.989583333333333</v>
      </c>
      <c r="CS1" s="1">
        <v>1</v>
      </c>
    </row>
    <row r="2" spans="1:97">
      <c r="A2" s="9">
        <v>46235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77</v>
      </c>
      <c r="S2">
        <v>77</v>
      </c>
      <c r="T2">
        <v>77</v>
      </c>
      <c r="U2">
        <v>113</v>
      </c>
      <c r="V2">
        <v>234</v>
      </c>
      <c r="W2">
        <v>428</v>
      </c>
      <c r="X2">
        <v>664</v>
      </c>
      <c r="Y2">
        <v>892</v>
      </c>
      <c r="Z2">
        <v>1231</v>
      </c>
      <c r="AA2">
        <v>1690</v>
      </c>
      <c r="AB2">
        <v>2083</v>
      </c>
      <c r="AC2">
        <v>2587</v>
      </c>
      <c r="AD2">
        <v>3098</v>
      </c>
      <c r="AE2">
        <v>3732</v>
      </c>
      <c r="AF2">
        <v>4310</v>
      </c>
      <c r="AG2">
        <v>4802</v>
      </c>
      <c r="AH2">
        <v>5280</v>
      </c>
      <c r="AI2">
        <v>5631</v>
      </c>
      <c r="AJ2">
        <v>6262</v>
      </c>
      <c r="AK2">
        <v>6452</v>
      </c>
      <c r="AL2">
        <v>7021</v>
      </c>
      <c r="AM2">
        <v>7360</v>
      </c>
      <c r="AN2">
        <v>7655</v>
      </c>
      <c r="AO2">
        <v>7304</v>
      </c>
      <c r="AP2">
        <v>7671</v>
      </c>
      <c r="AQ2">
        <v>8258</v>
      </c>
      <c r="AR2">
        <v>8199</v>
      </c>
      <c r="AS2">
        <v>7821</v>
      </c>
      <c r="AT2">
        <v>7953</v>
      </c>
      <c r="AU2">
        <v>8534</v>
      </c>
      <c r="AV2">
        <v>8664</v>
      </c>
      <c r="AW2">
        <v>8466</v>
      </c>
      <c r="AX2">
        <v>8397</v>
      </c>
      <c r="AY2">
        <v>8455</v>
      </c>
      <c r="AZ2">
        <v>8800</v>
      </c>
      <c r="BA2">
        <v>8465</v>
      </c>
      <c r="BB2">
        <v>8160</v>
      </c>
      <c r="BC2">
        <v>7921</v>
      </c>
      <c r="BD2">
        <v>7647</v>
      </c>
      <c r="BE2">
        <v>7355</v>
      </c>
      <c r="BF2">
        <v>6924</v>
      </c>
      <c r="BG2">
        <v>6372</v>
      </c>
      <c r="BH2">
        <v>6073</v>
      </c>
      <c r="BI2">
        <v>5556</v>
      </c>
      <c r="BJ2">
        <v>4826</v>
      </c>
      <c r="BK2">
        <v>4376</v>
      </c>
      <c r="BL2">
        <v>3993</v>
      </c>
      <c r="BM2">
        <v>3406</v>
      </c>
      <c r="BN2">
        <v>2995</v>
      </c>
      <c r="BO2">
        <v>2586</v>
      </c>
      <c r="BP2">
        <v>2255</v>
      </c>
      <c r="BQ2">
        <v>1833</v>
      </c>
      <c r="BR2">
        <v>1307</v>
      </c>
      <c r="BS2">
        <v>961</v>
      </c>
      <c r="BT2">
        <v>715</v>
      </c>
      <c r="BU2">
        <v>501</v>
      </c>
      <c r="BV2">
        <v>357</v>
      </c>
      <c r="BW2">
        <v>270</v>
      </c>
      <c r="BX2">
        <v>170</v>
      </c>
      <c r="BY2">
        <v>101</v>
      </c>
      <c r="BZ2">
        <v>79</v>
      </c>
      <c r="CA2">
        <v>82</v>
      </c>
      <c r="CB2">
        <v>81</v>
      </c>
      <c r="CC2">
        <v>76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</row>
    <row r="3" spans="1:97">
      <c r="A3" s="9">
        <v>46236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75</v>
      </c>
      <c r="S3">
        <v>75</v>
      </c>
      <c r="T3">
        <v>75</v>
      </c>
      <c r="U3">
        <v>86</v>
      </c>
      <c r="V3">
        <v>146</v>
      </c>
      <c r="W3">
        <v>290</v>
      </c>
      <c r="X3">
        <v>468</v>
      </c>
      <c r="Y3">
        <v>670</v>
      </c>
      <c r="Z3">
        <v>930</v>
      </c>
      <c r="AA3">
        <v>1217</v>
      </c>
      <c r="AB3">
        <v>1532</v>
      </c>
      <c r="AC3">
        <v>2003</v>
      </c>
      <c r="AD3">
        <v>2498</v>
      </c>
      <c r="AE3">
        <v>2815</v>
      </c>
      <c r="AF3">
        <v>3186</v>
      </c>
      <c r="AG3">
        <v>3795</v>
      </c>
      <c r="AH3">
        <v>4242</v>
      </c>
      <c r="AI3">
        <v>4554</v>
      </c>
      <c r="AJ3">
        <v>4999</v>
      </c>
      <c r="AK3">
        <v>5199</v>
      </c>
      <c r="AL3">
        <v>5260</v>
      </c>
      <c r="AM3">
        <v>5734</v>
      </c>
      <c r="AN3">
        <v>6322</v>
      </c>
      <c r="AO3">
        <v>6809</v>
      </c>
      <c r="AP3">
        <v>7033</v>
      </c>
      <c r="AQ3">
        <v>6982</v>
      </c>
      <c r="AR3">
        <v>7486</v>
      </c>
      <c r="AS3">
        <v>7600</v>
      </c>
      <c r="AT3">
        <v>7773</v>
      </c>
      <c r="AU3">
        <v>8277</v>
      </c>
      <c r="AV3">
        <v>7851</v>
      </c>
      <c r="AW3">
        <v>7772</v>
      </c>
      <c r="AX3">
        <v>7915</v>
      </c>
      <c r="AY3">
        <v>7759</v>
      </c>
      <c r="AZ3">
        <v>7243</v>
      </c>
      <c r="BA3">
        <v>7193</v>
      </c>
      <c r="BB3">
        <v>6876</v>
      </c>
      <c r="BC3">
        <v>6353</v>
      </c>
      <c r="BD3">
        <v>6154</v>
      </c>
      <c r="BE3">
        <v>6358</v>
      </c>
      <c r="BF3">
        <v>5951</v>
      </c>
      <c r="BG3">
        <v>5747</v>
      </c>
      <c r="BH3">
        <v>5272</v>
      </c>
      <c r="BI3">
        <v>5346</v>
      </c>
      <c r="BJ3">
        <v>5067</v>
      </c>
      <c r="BK3">
        <v>5083</v>
      </c>
      <c r="BL3">
        <v>4734</v>
      </c>
      <c r="BM3">
        <v>4306</v>
      </c>
      <c r="BN3">
        <v>3734</v>
      </c>
      <c r="BO3">
        <v>3307</v>
      </c>
      <c r="BP3">
        <v>2936</v>
      </c>
      <c r="BQ3">
        <v>2305</v>
      </c>
      <c r="BR3">
        <v>1815</v>
      </c>
      <c r="BS3">
        <v>1546</v>
      </c>
      <c r="BT3">
        <v>1188</v>
      </c>
      <c r="BU3">
        <v>908</v>
      </c>
      <c r="BV3">
        <v>692</v>
      </c>
      <c r="BW3">
        <v>464</v>
      </c>
      <c r="BX3">
        <v>243</v>
      </c>
      <c r="BY3">
        <v>111</v>
      </c>
      <c r="BZ3">
        <v>79</v>
      </c>
      <c r="CA3">
        <v>77</v>
      </c>
      <c r="CB3">
        <v>76</v>
      </c>
      <c r="CC3">
        <v>76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</row>
    <row r="4" spans="1:97">
      <c r="A4" s="9">
        <v>46237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75</v>
      </c>
      <c r="S4">
        <v>75</v>
      </c>
      <c r="T4">
        <v>75</v>
      </c>
      <c r="U4">
        <v>102</v>
      </c>
      <c r="V4">
        <v>211</v>
      </c>
      <c r="W4">
        <v>389</v>
      </c>
      <c r="X4">
        <v>599</v>
      </c>
      <c r="Y4">
        <v>858</v>
      </c>
      <c r="Z4">
        <v>1205</v>
      </c>
      <c r="AA4">
        <v>1586</v>
      </c>
      <c r="AB4">
        <v>2059</v>
      </c>
      <c r="AC4">
        <v>2493</v>
      </c>
      <c r="AD4">
        <v>3005</v>
      </c>
      <c r="AE4">
        <v>3606</v>
      </c>
      <c r="AF4">
        <v>4210</v>
      </c>
      <c r="AG4">
        <v>4954</v>
      </c>
      <c r="AH4">
        <v>5450</v>
      </c>
      <c r="AI4">
        <v>5988</v>
      </c>
      <c r="AJ4">
        <v>6459</v>
      </c>
      <c r="AK4">
        <v>6960</v>
      </c>
      <c r="AL4">
        <v>7293</v>
      </c>
      <c r="AM4">
        <v>7552</v>
      </c>
      <c r="AN4">
        <v>7921</v>
      </c>
      <c r="AO4">
        <v>8353</v>
      </c>
      <c r="AP4">
        <v>8517</v>
      </c>
      <c r="AQ4">
        <v>8686</v>
      </c>
      <c r="AR4">
        <v>8838</v>
      </c>
      <c r="AS4">
        <v>8983</v>
      </c>
      <c r="AT4">
        <v>8864</v>
      </c>
      <c r="AU4">
        <v>8908</v>
      </c>
      <c r="AV4">
        <v>9003</v>
      </c>
      <c r="AW4">
        <v>9131</v>
      </c>
      <c r="AX4">
        <v>8647</v>
      </c>
      <c r="AY4">
        <v>8973</v>
      </c>
      <c r="AZ4">
        <v>8649</v>
      </c>
      <c r="BA4">
        <v>8531</v>
      </c>
      <c r="BB4">
        <v>8268</v>
      </c>
      <c r="BC4">
        <v>7892</v>
      </c>
      <c r="BD4">
        <v>7826</v>
      </c>
      <c r="BE4">
        <v>7617</v>
      </c>
      <c r="BF4">
        <v>7495</v>
      </c>
      <c r="BG4">
        <v>7027</v>
      </c>
      <c r="BH4">
        <v>6686</v>
      </c>
      <c r="BI4">
        <v>6303</v>
      </c>
      <c r="BJ4">
        <v>5772</v>
      </c>
      <c r="BK4">
        <v>5247</v>
      </c>
      <c r="BL4">
        <v>5004</v>
      </c>
      <c r="BM4">
        <v>4541</v>
      </c>
      <c r="BN4">
        <v>4099</v>
      </c>
      <c r="BO4">
        <v>3578</v>
      </c>
      <c r="BP4">
        <v>3199</v>
      </c>
      <c r="BQ4">
        <v>2712</v>
      </c>
      <c r="BR4">
        <v>2096</v>
      </c>
      <c r="BS4">
        <v>1681</v>
      </c>
      <c r="BT4">
        <v>1259</v>
      </c>
      <c r="BU4">
        <v>897</v>
      </c>
      <c r="BV4">
        <v>640</v>
      </c>
      <c r="BW4">
        <v>441</v>
      </c>
      <c r="BX4">
        <v>274</v>
      </c>
      <c r="BY4">
        <v>181</v>
      </c>
      <c r="BZ4">
        <v>146</v>
      </c>
      <c r="CA4">
        <v>145</v>
      </c>
      <c r="CB4">
        <v>143</v>
      </c>
      <c r="CC4">
        <v>143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</row>
    <row r="5" spans="1:97">
      <c r="A5" s="9">
        <v>46238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142</v>
      </c>
      <c r="S5">
        <v>142</v>
      </c>
      <c r="T5">
        <v>143</v>
      </c>
      <c r="U5">
        <v>196</v>
      </c>
      <c r="V5">
        <v>347</v>
      </c>
      <c r="W5">
        <v>476</v>
      </c>
      <c r="X5">
        <v>633</v>
      </c>
      <c r="Y5">
        <v>808</v>
      </c>
      <c r="Z5">
        <v>1145</v>
      </c>
      <c r="AA5">
        <v>1516</v>
      </c>
      <c r="AB5">
        <v>1913</v>
      </c>
      <c r="AC5">
        <v>2451</v>
      </c>
      <c r="AD5">
        <v>2940</v>
      </c>
      <c r="AE5">
        <v>3717</v>
      </c>
      <c r="AF5">
        <v>4449</v>
      </c>
      <c r="AG5">
        <v>5030</v>
      </c>
      <c r="AH5">
        <v>5760</v>
      </c>
      <c r="AI5">
        <v>6260</v>
      </c>
      <c r="AJ5">
        <v>6735</v>
      </c>
      <c r="AK5">
        <v>7333</v>
      </c>
      <c r="AL5">
        <v>7898</v>
      </c>
      <c r="AM5">
        <v>8221</v>
      </c>
      <c r="AN5">
        <v>8667</v>
      </c>
      <c r="AO5">
        <v>8791</v>
      </c>
      <c r="AP5">
        <v>8789</v>
      </c>
      <c r="AQ5">
        <v>9273</v>
      </c>
      <c r="AR5">
        <v>9184</v>
      </c>
      <c r="AS5">
        <v>9494</v>
      </c>
      <c r="AT5">
        <v>9322</v>
      </c>
      <c r="AU5">
        <v>9212</v>
      </c>
      <c r="AV5">
        <v>9540</v>
      </c>
      <c r="AW5">
        <v>9602</v>
      </c>
      <c r="AX5">
        <v>9613</v>
      </c>
      <c r="AY5">
        <v>9490</v>
      </c>
      <c r="AZ5">
        <v>9362</v>
      </c>
      <c r="BA5">
        <v>9090</v>
      </c>
      <c r="BB5">
        <v>9061</v>
      </c>
      <c r="BC5">
        <v>8577</v>
      </c>
      <c r="BD5">
        <v>8487</v>
      </c>
      <c r="BE5">
        <v>8052</v>
      </c>
      <c r="BF5">
        <v>7665</v>
      </c>
      <c r="BG5">
        <v>7246</v>
      </c>
      <c r="BH5">
        <v>6922</v>
      </c>
      <c r="BI5">
        <v>6919</v>
      </c>
      <c r="BJ5">
        <v>6502</v>
      </c>
      <c r="BK5">
        <v>5964</v>
      </c>
      <c r="BL5">
        <v>5535</v>
      </c>
      <c r="BM5">
        <v>4811</v>
      </c>
      <c r="BN5">
        <v>4426</v>
      </c>
      <c r="BO5">
        <v>3827</v>
      </c>
      <c r="BP5">
        <v>3259</v>
      </c>
      <c r="BQ5">
        <v>2528</v>
      </c>
      <c r="BR5">
        <v>1897</v>
      </c>
      <c r="BS5">
        <v>1488</v>
      </c>
      <c r="BT5">
        <v>1128</v>
      </c>
      <c r="BU5">
        <v>833</v>
      </c>
      <c r="BV5">
        <v>605</v>
      </c>
      <c r="BW5">
        <v>424</v>
      </c>
      <c r="BX5">
        <v>265</v>
      </c>
      <c r="BY5">
        <v>190</v>
      </c>
      <c r="BZ5">
        <v>169</v>
      </c>
      <c r="CA5">
        <v>167</v>
      </c>
      <c r="CB5">
        <v>165</v>
      </c>
      <c r="CC5">
        <v>165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</row>
    <row r="6" spans="1:97">
      <c r="A6" s="9">
        <v>46239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165</v>
      </c>
      <c r="S6">
        <v>165</v>
      </c>
      <c r="T6">
        <v>165</v>
      </c>
      <c r="U6">
        <v>191</v>
      </c>
      <c r="V6">
        <v>297</v>
      </c>
      <c r="W6">
        <v>490</v>
      </c>
      <c r="X6">
        <v>707</v>
      </c>
      <c r="Y6">
        <v>955</v>
      </c>
      <c r="Z6">
        <v>1360</v>
      </c>
      <c r="AA6">
        <v>1779</v>
      </c>
      <c r="AB6">
        <v>2277</v>
      </c>
      <c r="AC6">
        <v>2855</v>
      </c>
      <c r="AD6">
        <v>3414</v>
      </c>
      <c r="AE6">
        <v>4016</v>
      </c>
      <c r="AF6">
        <v>4616</v>
      </c>
      <c r="AG6">
        <v>5295</v>
      </c>
      <c r="AH6">
        <v>5802</v>
      </c>
      <c r="AI6">
        <v>6375</v>
      </c>
      <c r="AJ6">
        <v>7134</v>
      </c>
      <c r="AK6">
        <v>7555</v>
      </c>
      <c r="AL6">
        <v>7978</v>
      </c>
      <c r="AM6">
        <v>8152</v>
      </c>
      <c r="AN6">
        <v>8341</v>
      </c>
      <c r="AO6">
        <v>8901</v>
      </c>
      <c r="AP6">
        <v>9046</v>
      </c>
      <c r="AQ6">
        <v>9323</v>
      </c>
      <c r="AR6">
        <v>9452</v>
      </c>
      <c r="AS6">
        <v>9702</v>
      </c>
      <c r="AT6">
        <v>9635</v>
      </c>
      <c r="AU6">
        <v>9612</v>
      </c>
      <c r="AV6">
        <v>9744</v>
      </c>
      <c r="AW6">
        <v>9626</v>
      </c>
      <c r="AX6">
        <v>10014</v>
      </c>
      <c r="AY6">
        <v>9782</v>
      </c>
      <c r="AZ6">
        <v>9868</v>
      </c>
      <c r="BA6">
        <v>9676</v>
      </c>
      <c r="BB6">
        <v>9589</v>
      </c>
      <c r="BC6">
        <v>9294</v>
      </c>
      <c r="BD6">
        <v>9000</v>
      </c>
      <c r="BE6">
        <v>8800</v>
      </c>
      <c r="BF6">
        <v>8360</v>
      </c>
      <c r="BG6">
        <v>8154</v>
      </c>
      <c r="BH6">
        <v>7784</v>
      </c>
      <c r="BI6">
        <v>7309</v>
      </c>
      <c r="BJ6">
        <v>6696</v>
      </c>
      <c r="BK6">
        <v>6369</v>
      </c>
      <c r="BL6">
        <v>5806</v>
      </c>
      <c r="BM6">
        <v>5224</v>
      </c>
      <c r="BN6">
        <v>4695</v>
      </c>
      <c r="BO6">
        <v>3994</v>
      </c>
      <c r="BP6">
        <v>3354</v>
      </c>
      <c r="BQ6">
        <v>2716</v>
      </c>
      <c r="BR6">
        <v>2002</v>
      </c>
      <c r="BS6">
        <v>1518</v>
      </c>
      <c r="BT6">
        <v>1111</v>
      </c>
      <c r="BU6">
        <v>824</v>
      </c>
      <c r="BV6">
        <v>604</v>
      </c>
      <c r="BW6">
        <v>415</v>
      </c>
      <c r="BX6">
        <v>276</v>
      </c>
      <c r="BY6">
        <v>184</v>
      </c>
      <c r="BZ6">
        <v>167</v>
      </c>
      <c r="CA6">
        <v>167</v>
      </c>
      <c r="CB6">
        <v>165</v>
      </c>
      <c r="CC6">
        <v>165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</row>
    <row r="7" spans="1:97">
      <c r="A7" s="9">
        <v>46240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160</v>
      </c>
      <c r="S7">
        <v>160</v>
      </c>
      <c r="T7">
        <v>162</v>
      </c>
      <c r="U7">
        <v>200</v>
      </c>
      <c r="V7">
        <v>315</v>
      </c>
      <c r="W7">
        <v>503</v>
      </c>
      <c r="X7">
        <v>710</v>
      </c>
      <c r="Y7">
        <v>983</v>
      </c>
      <c r="Z7">
        <v>1397</v>
      </c>
      <c r="AA7">
        <v>1903</v>
      </c>
      <c r="AB7">
        <v>2240</v>
      </c>
      <c r="AC7">
        <v>2687</v>
      </c>
      <c r="AD7">
        <v>3167</v>
      </c>
      <c r="AE7">
        <v>3589</v>
      </c>
      <c r="AF7">
        <v>4210</v>
      </c>
      <c r="AG7">
        <v>4770</v>
      </c>
      <c r="AH7">
        <v>5244</v>
      </c>
      <c r="AI7">
        <v>5737</v>
      </c>
      <c r="AJ7">
        <v>6224</v>
      </c>
      <c r="AK7">
        <v>6746</v>
      </c>
      <c r="AL7">
        <v>7047</v>
      </c>
      <c r="AM7">
        <v>7828</v>
      </c>
      <c r="AN7">
        <v>8042</v>
      </c>
      <c r="AO7">
        <v>8291</v>
      </c>
      <c r="AP7">
        <v>8663</v>
      </c>
      <c r="AQ7">
        <v>8537</v>
      </c>
      <c r="AR7">
        <v>9020</v>
      </c>
      <c r="AS7">
        <v>9414</v>
      </c>
      <c r="AT7">
        <v>9448</v>
      </c>
      <c r="AU7">
        <v>9565</v>
      </c>
      <c r="AV7">
        <v>9491</v>
      </c>
      <c r="AW7">
        <v>9317</v>
      </c>
      <c r="AX7">
        <v>9600</v>
      </c>
      <c r="AY7">
        <v>9448</v>
      </c>
      <c r="AZ7">
        <v>9477</v>
      </c>
      <c r="BA7">
        <v>9533</v>
      </c>
      <c r="BB7">
        <v>9461</v>
      </c>
      <c r="BC7">
        <v>9264</v>
      </c>
      <c r="BD7">
        <v>8888</v>
      </c>
      <c r="BE7">
        <v>8883</v>
      </c>
      <c r="BF7">
        <v>8627</v>
      </c>
      <c r="BG7">
        <v>8397</v>
      </c>
      <c r="BH7">
        <v>7977</v>
      </c>
      <c r="BI7">
        <v>7606</v>
      </c>
      <c r="BJ7">
        <v>7072</v>
      </c>
      <c r="BK7">
        <v>6529</v>
      </c>
      <c r="BL7">
        <v>5833</v>
      </c>
      <c r="BM7">
        <v>5311</v>
      </c>
      <c r="BN7">
        <v>4628</v>
      </c>
      <c r="BO7">
        <v>3936</v>
      </c>
      <c r="BP7">
        <v>3261</v>
      </c>
      <c r="BQ7">
        <v>2566</v>
      </c>
      <c r="BR7">
        <v>1852</v>
      </c>
      <c r="BS7">
        <v>1393</v>
      </c>
      <c r="BT7">
        <v>1028</v>
      </c>
      <c r="BU7">
        <v>730</v>
      </c>
      <c r="BV7">
        <v>538</v>
      </c>
      <c r="BW7">
        <v>339</v>
      </c>
      <c r="BX7">
        <v>207</v>
      </c>
      <c r="BY7">
        <v>116</v>
      </c>
      <c r="BZ7">
        <v>94</v>
      </c>
      <c r="CA7">
        <v>93</v>
      </c>
      <c r="CB7">
        <v>92</v>
      </c>
      <c r="CC7">
        <v>92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</row>
    <row r="8" spans="1:97">
      <c r="A8" s="9">
        <v>46241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91</v>
      </c>
      <c r="S8">
        <v>91</v>
      </c>
      <c r="T8">
        <v>91</v>
      </c>
      <c r="U8">
        <v>120</v>
      </c>
      <c r="V8">
        <v>199</v>
      </c>
      <c r="W8">
        <v>345</v>
      </c>
      <c r="X8">
        <v>544</v>
      </c>
      <c r="Y8">
        <v>805</v>
      </c>
      <c r="Z8">
        <v>1156</v>
      </c>
      <c r="AA8">
        <v>1566</v>
      </c>
      <c r="AB8">
        <v>2047</v>
      </c>
      <c r="AC8">
        <v>2577</v>
      </c>
      <c r="AD8">
        <v>2924</v>
      </c>
      <c r="AE8">
        <v>3368</v>
      </c>
      <c r="AF8">
        <v>3756</v>
      </c>
      <c r="AG8">
        <v>4182</v>
      </c>
      <c r="AH8">
        <v>4737</v>
      </c>
      <c r="AI8">
        <v>4871</v>
      </c>
      <c r="AJ8">
        <v>5093</v>
      </c>
      <c r="AK8">
        <v>5508</v>
      </c>
      <c r="AL8">
        <v>5549</v>
      </c>
      <c r="AM8">
        <v>5884</v>
      </c>
      <c r="AN8">
        <v>5871</v>
      </c>
      <c r="AO8">
        <v>5758</v>
      </c>
      <c r="AP8">
        <v>5993</v>
      </c>
      <c r="AQ8">
        <v>6177</v>
      </c>
      <c r="AR8">
        <v>6550</v>
      </c>
      <c r="AS8">
        <v>6980</v>
      </c>
      <c r="AT8">
        <v>7186</v>
      </c>
      <c r="AU8">
        <v>7143</v>
      </c>
      <c r="AV8">
        <v>6940</v>
      </c>
      <c r="AW8">
        <v>7099</v>
      </c>
      <c r="AX8">
        <v>7072</v>
      </c>
      <c r="AY8">
        <v>7596</v>
      </c>
      <c r="AZ8">
        <v>7514</v>
      </c>
      <c r="BA8">
        <v>7216</v>
      </c>
      <c r="BB8">
        <v>7235</v>
      </c>
      <c r="BC8">
        <v>6915</v>
      </c>
      <c r="BD8">
        <v>6813</v>
      </c>
      <c r="BE8">
        <v>6285</v>
      </c>
      <c r="BF8">
        <v>6115</v>
      </c>
      <c r="BG8">
        <v>5901</v>
      </c>
      <c r="BH8">
        <v>5340</v>
      </c>
      <c r="BI8">
        <v>5154</v>
      </c>
      <c r="BJ8">
        <v>4954</v>
      </c>
      <c r="BK8">
        <v>4867</v>
      </c>
      <c r="BL8">
        <v>4546</v>
      </c>
      <c r="BM8">
        <v>4484</v>
      </c>
      <c r="BN8">
        <v>4248</v>
      </c>
      <c r="BO8">
        <v>3659</v>
      </c>
      <c r="BP8">
        <v>3234</v>
      </c>
      <c r="BQ8">
        <v>2645</v>
      </c>
      <c r="BR8">
        <v>1888</v>
      </c>
      <c r="BS8">
        <v>1386</v>
      </c>
      <c r="BT8">
        <v>977</v>
      </c>
      <c r="BU8">
        <v>716</v>
      </c>
      <c r="BV8">
        <v>498</v>
      </c>
      <c r="BW8">
        <v>327</v>
      </c>
      <c r="BX8">
        <v>189</v>
      </c>
      <c r="BY8">
        <v>114</v>
      </c>
      <c r="BZ8">
        <v>93</v>
      </c>
      <c r="CA8">
        <v>92</v>
      </c>
      <c r="CB8">
        <v>91</v>
      </c>
      <c r="CC8">
        <v>91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</row>
    <row r="9" spans="1:97">
      <c r="A9" s="9">
        <v>46242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88</v>
      </c>
      <c r="S9">
        <v>88</v>
      </c>
      <c r="T9">
        <v>91</v>
      </c>
      <c r="U9">
        <v>125</v>
      </c>
      <c r="V9">
        <v>218</v>
      </c>
      <c r="W9">
        <v>381</v>
      </c>
      <c r="X9">
        <v>583</v>
      </c>
      <c r="Y9">
        <v>826</v>
      </c>
      <c r="Z9">
        <v>1304</v>
      </c>
      <c r="AA9">
        <v>1857</v>
      </c>
      <c r="AB9">
        <v>2519</v>
      </c>
      <c r="AC9">
        <v>3222</v>
      </c>
      <c r="AD9">
        <v>3991</v>
      </c>
      <c r="AE9">
        <v>4692</v>
      </c>
      <c r="AF9">
        <v>5221</v>
      </c>
      <c r="AG9">
        <v>5750</v>
      </c>
      <c r="AH9">
        <v>6205</v>
      </c>
      <c r="AI9">
        <v>6396</v>
      </c>
      <c r="AJ9">
        <v>6817</v>
      </c>
      <c r="AK9">
        <v>7128</v>
      </c>
      <c r="AL9">
        <v>7457</v>
      </c>
      <c r="AM9">
        <v>7804</v>
      </c>
      <c r="AN9">
        <v>7811</v>
      </c>
      <c r="AO9">
        <v>7856</v>
      </c>
      <c r="AP9">
        <v>8188</v>
      </c>
      <c r="AQ9">
        <v>8275</v>
      </c>
      <c r="AR9">
        <v>8505</v>
      </c>
      <c r="AS9">
        <v>8472</v>
      </c>
      <c r="AT9">
        <v>8442</v>
      </c>
      <c r="AU9">
        <v>8119</v>
      </c>
      <c r="AV9">
        <v>8066</v>
      </c>
      <c r="AW9">
        <v>8185</v>
      </c>
      <c r="AX9">
        <v>8111</v>
      </c>
      <c r="AY9">
        <v>8012</v>
      </c>
      <c r="AZ9">
        <v>8283</v>
      </c>
      <c r="BA9">
        <v>8466</v>
      </c>
      <c r="BB9">
        <v>8304</v>
      </c>
      <c r="BC9">
        <v>8218</v>
      </c>
      <c r="BD9">
        <v>8331</v>
      </c>
      <c r="BE9">
        <v>8299</v>
      </c>
      <c r="BF9">
        <v>8143</v>
      </c>
      <c r="BG9">
        <v>7829</v>
      </c>
      <c r="BH9">
        <v>7512</v>
      </c>
      <c r="BI9">
        <v>7215</v>
      </c>
      <c r="BJ9">
        <v>6960</v>
      </c>
      <c r="BK9">
        <v>6828</v>
      </c>
      <c r="BL9">
        <v>6258</v>
      </c>
      <c r="BM9">
        <v>5557</v>
      </c>
      <c r="BN9">
        <v>4961</v>
      </c>
      <c r="BO9">
        <v>4268</v>
      </c>
      <c r="BP9">
        <v>3588</v>
      </c>
      <c r="BQ9">
        <v>2863</v>
      </c>
      <c r="BR9">
        <v>2046</v>
      </c>
      <c r="BS9">
        <v>1580</v>
      </c>
      <c r="BT9">
        <v>1106</v>
      </c>
      <c r="BU9">
        <v>754</v>
      </c>
      <c r="BV9">
        <v>504</v>
      </c>
      <c r="BW9">
        <v>313</v>
      </c>
      <c r="BX9">
        <v>169</v>
      </c>
      <c r="BY9">
        <v>112</v>
      </c>
      <c r="BZ9">
        <v>98</v>
      </c>
      <c r="CA9">
        <v>97</v>
      </c>
      <c r="CB9">
        <v>97</v>
      </c>
      <c r="CC9">
        <v>97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</row>
    <row r="10" spans="1:97">
      <c r="A10" s="9">
        <v>46243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89</v>
      </c>
      <c r="S10">
        <v>88</v>
      </c>
      <c r="T10">
        <v>89</v>
      </c>
      <c r="U10">
        <v>122</v>
      </c>
      <c r="V10">
        <v>205</v>
      </c>
      <c r="W10">
        <v>367</v>
      </c>
      <c r="X10">
        <v>548</v>
      </c>
      <c r="Y10">
        <v>768</v>
      </c>
      <c r="Z10">
        <v>1122</v>
      </c>
      <c r="AA10">
        <v>1545</v>
      </c>
      <c r="AB10">
        <v>2034</v>
      </c>
      <c r="AC10">
        <v>2515</v>
      </c>
      <c r="AD10">
        <v>3185</v>
      </c>
      <c r="AE10">
        <v>3716</v>
      </c>
      <c r="AF10">
        <v>4389</v>
      </c>
      <c r="AG10">
        <v>5140</v>
      </c>
      <c r="AH10">
        <v>5776</v>
      </c>
      <c r="AI10">
        <v>6383</v>
      </c>
      <c r="AJ10">
        <v>6968</v>
      </c>
      <c r="AK10">
        <v>7526</v>
      </c>
      <c r="AL10">
        <v>8004</v>
      </c>
      <c r="AM10">
        <v>8317</v>
      </c>
      <c r="AN10">
        <v>8618</v>
      </c>
      <c r="AO10">
        <v>9167</v>
      </c>
      <c r="AP10">
        <v>9468</v>
      </c>
      <c r="AQ10">
        <v>9507</v>
      </c>
      <c r="AR10">
        <v>9670</v>
      </c>
      <c r="AS10">
        <v>9813</v>
      </c>
      <c r="AT10">
        <v>10241</v>
      </c>
      <c r="AU10">
        <v>9928</v>
      </c>
      <c r="AV10">
        <v>10303</v>
      </c>
      <c r="AW10">
        <v>10115</v>
      </c>
      <c r="AX10">
        <v>9686</v>
      </c>
      <c r="AY10">
        <v>9689</v>
      </c>
      <c r="AZ10">
        <v>9604</v>
      </c>
      <c r="BA10">
        <v>9567</v>
      </c>
      <c r="BB10">
        <v>9273</v>
      </c>
      <c r="BC10">
        <v>9258</v>
      </c>
      <c r="BD10">
        <v>9057</v>
      </c>
      <c r="BE10">
        <v>8979</v>
      </c>
      <c r="BF10">
        <v>8655</v>
      </c>
      <c r="BG10">
        <v>8157</v>
      </c>
      <c r="BH10">
        <v>7774</v>
      </c>
      <c r="BI10">
        <v>7232</v>
      </c>
      <c r="BJ10">
        <v>6667</v>
      </c>
      <c r="BK10">
        <v>6144</v>
      </c>
      <c r="BL10">
        <v>5677</v>
      </c>
      <c r="BM10">
        <v>5101</v>
      </c>
      <c r="BN10">
        <v>4329</v>
      </c>
      <c r="BO10">
        <v>3743</v>
      </c>
      <c r="BP10">
        <v>3086</v>
      </c>
      <c r="BQ10">
        <v>2483</v>
      </c>
      <c r="BR10">
        <v>1858</v>
      </c>
      <c r="BS10">
        <v>1436</v>
      </c>
      <c r="BT10">
        <v>1065</v>
      </c>
      <c r="BU10">
        <v>780</v>
      </c>
      <c r="BV10">
        <v>564</v>
      </c>
      <c r="BW10">
        <v>388</v>
      </c>
      <c r="BX10">
        <v>235</v>
      </c>
      <c r="BY10">
        <v>151</v>
      </c>
      <c r="BZ10">
        <v>95</v>
      </c>
      <c r="CA10">
        <v>93</v>
      </c>
      <c r="CB10">
        <v>93</v>
      </c>
      <c r="CC10">
        <v>92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</row>
    <row r="11" spans="1:97">
      <c r="A11" s="9">
        <v>46244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92</v>
      </c>
      <c r="S11">
        <v>92</v>
      </c>
      <c r="T11">
        <v>92</v>
      </c>
      <c r="U11">
        <v>104</v>
      </c>
      <c r="V11">
        <v>175</v>
      </c>
      <c r="W11">
        <v>330</v>
      </c>
      <c r="X11">
        <v>477</v>
      </c>
      <c r="Y11">
        <v>704</v>
      </c>
      <c r="Z11">
        <v>1067</v>
      </c>
      <c r="AA11">
        <v>1560</v>
      </c>
      <c r="AB11">
        <v>1921</v>
      </c>
      <c r="AC11">
        <v>2423</v>
      </c>
      <c r="AD11">
        <v>2864</v>
      </c>
      <c r="AE11">
        <v>3232</v>
      </c>
      <c r="AF11">
        <v>3617</v>
      </c>
      <c r="AG11">
        <v>4129</v>
      </c>
      <c r="AH11">
        <v>4715</v>
      </c>
      <c r="AI11">
        <v>5273</v>
      </c>
      <c r="AJ11">
        <v>5642</v>
      </c>
      <c r="AK11">
        <v>5960</v>
      </c>
      <c r="AL11">
        <v>6453</v>
      </c>
      <c r="AM11">
        <v>6820</v>
      </c>
      <c r="AN11">
        <v>7008</v>
      </c>
      <c r="AO11">
        <v>7794</v>
      </c>
      <c r="AP11">
        <v>7744</v>
      </c>
      <c r="AQ11">
        <v>8112</v>
      </c>
      <c r="AR11">
        <v>8232</v>
      </c>
      <c r="AS11">
        <v>8134</v>
      </c>
      <c r="AT11">
        <v>8459</v>
      </c>
      <c r="AU11">
        <v>8513</v>
      </c>
      <c r="AV11">
        <v>8483</v>
      </c>
      <c r="AW11">
        <v>8697</v>
      </c>
      <c r="AX11">
        <v>8764</v>
      </c>
      <c r="AY11">
        <v>8989</v>
      </c>
      <c r="AZ11">
        <v>8084</v>
      </c>
      <c r="BA11">
        <v>8432</v>
      </c>
      <c r="BB11">
        <v>8550</v>
      </c>
      <c r="BC11">
        <v>8323</v>
      </c>
      <c r="BD11">
        <v>8052</v>
      </c>
      <c r="BE11">
        <v>7772</v>
      </c>
      <c r="BF11">
        <v>7650</v>
      </c>
      <c r="BG11">
        <v>6772</v>
      </c>
      <c r="BH11">
        <v>6495</v>
      </c>
      <c r="BI11">
        <v>6477</v>
      </c>
      <c r="BJ11">
        <v>6162</v>
      </c>
      <c r="BK11">
        <v>5689</v>
      </c>
      <c r="BL11">
        <v>5295</v>
      </c>
      <c r="BM11">
        <v>4898</v>
      </c>
      <c r="BN11">
        <v>4228</v>
      </c>
      <c r="BO11">
        <v>3629</v>
      </c>
      <c r="BP11">
        <v>3130</v>
      </c>
      <c r="BQ11">
        <v>2540</v>
      </c>
      <c r="BR11">
        <v>1843</v>
      </c>
      <c r="BS11">
        <v>1385</v>
      </c>
      <c r="BT11">
        <v>1005</v>
      </c>
      <c r="BU11">
        <v>685</v>
      </c>
      <c r="BV11">
        <v>457</v>
      </c>
      <c r="BW11">
        <v>265</v>
      </c>
      <c r="BX11">
        <v>124</v>
      </c>
      <c r="BY11">
        <v>47</v>
      </c>
      <c r="BZ11">
        <v>44</v>
      </c>
      <c r="CA11">
        <v>43</v>
      </c>
      <c r="CB11">
        <v>42</v>
      </c>
      <c r="CC11">
        <v>42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</row>
    <row r="12" spans="1:97">
      <c r="A12" s="9">
        <v>46245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42</v>
      </c>
      <c r="S12">
        <v>42</v>
      </c>
      <c r="T12">
        <v>42</v>
      </c>
      <c r="U12">
        <v>67</v>
      </c>
      <c r="V12">
        <v>121</v>
      </c>
      <c r="W12">
        <v>264</v>
      </c>
      <c r="X12">
        <v>485</v>
      </c>
      <c r="Y12">
        <v>742</v>
      </c>
      <c r="Z12">
        <v>1139</v>
      </c>
      <c r="AA12">
        <v>1585</v>
      </c>
      <c r="AB12">
        <v>2032</v>
      </c>
      <c r="AC12">
        <v>2607</v>
      </c>
      <c r="AD12">
        <v>3142</v>
      </c>
      <c r="AE12">
        <v>3821</v>
      </c>
      <c r="AF12">
        <v>4393</v>
      </c>
      <c r="AG12">
        <v>5016</v>
      </c>
      <c r="AH12">
        <v>5535</v>
      </c>
      <c r="AI12">
        <v>6144</v>
      </c>
      <c r="AJ12">
        <v>6565</v>
      </c>
      <c r="AK12">
        <v>7115</v>
      </c>
      <c r="AL12">
        <v>7539</v>
      </c>
      <c r="AM12">
        <v>7805</v>
      </c>
      <c r="AN12">
        <v>8018</v>
      </c>
      <c r="AO12">
        <v>8373</v>
      </c>
      <c r="AP12">
        <v>8462</v>
      </c>
      <c r="AQ12">
        <v>8938</v>
      </c>
      <c r="AR12">
        <v>8734</v>
      </c>
      <c r="AS12">
        <v>9311</v>
      </c>
      <c r="AT12">
        <v>9367</v>
      </c>
      <c r="AU12">
        <v>9441</v>
      </c>
      <c r="AV12">
        <v>9339</v>
      </c>
      <c r="AW12">
        <v>9198</v>
      </c>
      <c r="AX12">
        <v>9092</v>
      </c>
      <c r="AY12">
        <v>8708</v>
      </c>
      <c r="AZ12">
        <v>8972</v>
      </c>
      <c r="BA12">
        <v>9080</v>
      </c>
      <c r="BB12">
        <v>8918</v>
      </c>
      <c r="BC12">
        <v>8698</v>
      </c>
      <c r="BD12">
        <v>8536</v>
      </c>
      <c r="BE12">
        <v>8505</v>
      </c>
      <c r="BF12">
        <v>8071</v>
      </c>
      <c r="BG12">
        <v>7934</v>
      </c>
      <c r="BH12">
        <v>7604</v>
      </c>
      <c r="BI12">
        <v>6966</v>
      </c>
      <c r="BJ12">
        <v>6461</v>
      </c>
      <c r="BK12">
        <v>6219</v>
      </c>
      <c r="BL12">
        <v>5644</v>
      </c>
      <c r="BM12">
        <v>5092</v>
      </c>
      <c r="BN12">
        <v>4555</v>
      </c>
      <c r="BO12">
        <v>3826</v>
      </c>
      <c r="BP12">
        <v>3218</v>
      </c>
      <c r="BQ12">
        <v>2629</v>
      </c>
      <c r="BR12">
        <v>1841</v>
      </c>
      <c r="BS12">
        <v>1332</v>
      </c>
      <c r="BT12">
        <v>936</v>
      </c>
      <c r="BU12">
        <v>653</v>
      </c>
      <c r="BV12">
        <v>434</v>
      </c>
      <c r="BW12">
        <v>252</v>
      </c>
      <c r="BX12">
        <v>122</v>
      </c>
      <c r="BY12">
        <v>53</v>
      </c>
      <c r="BZ12">
        <v>51</v>
      </c>
      <c r="CA12">
        <v>51</v>
      </c>
      <c r="CB12">
        <v>44</v>
      </c>
      <c r="CC12">
        <v>50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</row>
    <row r="13" spans="1:97">
      <c r="A13" s="9">
        <v>46246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44</v>
      </c>
      <c r="S13">
        <v>44</v>
      </c>
      <c r="T13">
        <v>44</v>
      </c>
      <c r="U13">
        <v>73</v>
      </c>
      <c r="V13">
        <v>163</v>
      </c>
      <c r="W13">
        <v>339</v>
      </c>
      <c r="X13">
        <v>568</v>
      </c>
      <c r="Y13">
        <v>828</v>
      </c>
      <c r="Z13">
        <v>1168</v>
      </c>
      <c r="AA13">
        <v>1562</v>
      </c>
      <c r="AB13">
        <v>1975</v>
      </c>
      <c r="AC13">
        <v>2558</v>
      </c>
      <c r="AD13">
        <v>3200</v>
      </c>
      <c r="AE13">
        <v>3732</v>
      </c>
      <c r="AF13">
        <v>4112</v>
      </c>
      <c r="AG13">
        <v>4685</v>
      </c>
      <c r="AH13">
        <v>5147</v>
      </c>
      <c r="AI13">
        <v>5688</v>
      </c>
      <c r="AJ13">
        <v>6252</v>
      </c>
      <c r="AK13">
        <v>6764</v>
      </c>
      <c r="AL13">
        <v>7132</v>
      </c>
      <c r="AM13">
        <v>7122</v>
      </c>
      <c r="AN13">
        <v>7583</v>
      </c>
      <c r="AO13">
        <v>7852</v>
      </c>
      <c r="AP13">
        <v>7997</v>
      </c>
      <c r="AQ13">
        <v>8550</v>
      </c>
      <c r="AR13">
        <v>8620</v>
      </c>
      <c r="AS13">
        <v>8658</v>
      </c>
      <c r="AT13">
        <v>8818</v>
      </c>
      <c r="AU13">
        <v>8857</v>
      </c>
      <c r="AV13">
        <v>9260</v>
      </c>
      <c r="AW13">
        <v>9138</v>
      </c>
      <c r="AX13">
        <v>8685</v>
      </c>
      <c r="AY13">
        <v>8797</v>
      </c>
      <c r="AZ13">
        <v>8472</v>
      </c>
      <c r="BA13">
        <v>8288</v>
      </c>
      <c r="BB13">
        <v>8174</v>
      </c>
      <c r="BC13">
        <v>8009</v>
      </c>
      <c r="BD13">
        <v>7680</v>
      </c>
      <c r="BE13">
        <v>7328</v>
      </c>
      <c r="BF13">
        <v>6923</v>
      </c>
      <c r="BG13">
        <v>6008</v>
      </c>
      <c r="BH13">
        <v>5278</v>
      </c>
      <c r="BI13">
        <v>5014</v>
      </c>
      <c r="BJ13">
        <v>4763</v>
      </c>
      <c r="BK13">
        <v>4397</v>
      </c>
      <c r="BL13">
        <v>3692</v>
      </c>
      <c r="BM13">
        <v>3496</v>
      </c>
      <c r="BN13">
        <v>2914</v>
      </c>
      <c r="BO13">
        <v>2239</v>
      </c>
      <c r="BP13">
        <v>1919</v>
      </c>
      <c r="BQ13">
        <v>1512</v>
      </c>
      <c r="BR13">
        <v>1003</v>
      </c>
      <c r="BS13">
        <v>789</v>
      </c>
      <c r="BT13">
        <v>596</v>
      </c>
      <c r="BU13">
        <v>436</v>
      </c>
      <c r="BV13">
        <v>276</v>
      </c>
      <c r="BW13">
        <v>135</v>
      </c>
      <c r="BX13">
        <v>79</v>
      </c>
      <c r="BY13">
        <v>47</v>
      </c>
      <c r="BZ13">
        <v>46</v>
      </c>
      <c r="CA13">
        <v>45</v>
      </c>
      <c r="CB13">
        <v>45</v>
      </c>
      <c r="CC13">
        <v>45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</row>
    <row r="14" spans="1:97">
      <c r="A14" s="9">
        <v>46247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44</v>
      </c>
      <c r="S14">
        <v>44</v>
      </c>
      <c r="T14">
        <v>44</v>
      </c>
      <c r="U14">
        <v>46</v>
      </c>
      <c r="V14">
        <v>67</v>
      </c>
      <c r="W14">
        <v>119</v>
      </c>
      <c r="X14">
        <v>176</v>
      </c>
      <c r="Y14">
        <v>268</v>
      </c>
      <c r="Z14">
        <v>371</v>
      </c>
      <c r="AA14">
        <v>460</v>
      </c>
      <c r="AB14">
        <v>620</v>
      </c>
      <c r="AC14">
        <v>748</v>
      </c>
      <c r="AD14">
        <v>917</v>
      </c>
      <c r="AE14">
        <v>1089</v>
      </c>
      <c r="AF14">
        <v>1311</v>
      </c>
      <c r="AG14">
        <v>1575</v>
      </c>
      <c r="AH14">
        <v>1695</v>
      </c>
      <c r="AI14">
        <v>2003</v>
      </c>
      <c r="AJ14">
        <v>2387</v>
      </c>
      <c r="AK14">
        <v>2866</v>
      </c>
      <c r="AL14">
        <v>3060</v>
      </c>
      <c r="AM14">
        <v>3218</v>
      </c>
      <c r="AN14">
        <v>3750</v>
      </c>
      <c r="AO14">
        <v>4134</v>
      </c>
      <c r="AP14">
        <v>4501</v>
      </c>
      <c r="AQ14">
        <v>4850</v>
      </c>
      <c r="AR14">
        <v>5223</v>
      </c>
      <c r="AS14">
        <v>5299</v>
      </c>
      <c r="AT14">
        <v>5586</v>
      </c>
      <c r="AU14">
        <v>5771</v>
      </c>
      <c r="AV14">
        <v>5773</v>
      </c>
      <c r="AW14">
        <v>5719</v>
      </c>
      <c r="AX14">
        <v>6043</v>
      </c>
      <c r="AY14">
        <v>6338</v>
      </c>
      <c r="AZ14">
        <v>6015</v>
      </c>
      <c r="BA14">
        <v>5895</v>
      </c>
      <c r="BB14">
        <v>6168</v>
      </c>
      <c r="BC14">
        <v>6202</v>
      </c>
      <c r="BD14">
        <v>6323</v>
      </c>
      <c r="BE14">
        <v>5964</v>
      </c>
      <c r="BF14">
        <v>5849</v>
      </c>
      <c r="BG14">
        <v>5541</v>
      </c>
      <c r="BH14">
        <v>5445</v>
      </c>
      <c r="BI14">
        <v>5322</v>
      </c>
      <c r="BJ14">
        <v>5117</v>
      </c>
      <c r="BK14">
        <v>4704</v>
      </c>
      <c r="BL14">
        <v>4512</v>
      </c>
      <c r="BM14">
        <v>3959</v>
      </c>
      <c r="BN14">
        <v>3509</v>
      </c>
      <c r="BO14">
        <v>3038</v>
      </c>
      <c r="BP14">
        <v>2570</v>
      </c>
      <c r="BQ14">
        <v>2083</v>
      </c>
      <c r="BR14">
        <v>1516</v>
      </c>
      <c r="BS14">
        <v>1184</v>
      </c>
      <c r="BT14">
        <v>861</v>
      </c>
      <c r="BU14">
        <v>560</v>
      </c>
      <c r="BV14">
        <v>390</v>
      </c>
      <c r="BW14">
        <v>223</v>
      </c>
      <c r="BX14">
        <v>103</v>
      </c>
      <c r="BY14">
        <v>46</v>
      </c>
      <c r="BZ14">
        <v>45</v>
      </c>
      <c r="CA14">
        <v>41</v>
      </c>
      <c r="CB14">
        <v>40</v>
      </c>
      <c r="CC14">
        <v>40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</row>
    <row r="15" spans="1:97">
      <c r="A15" s="9">
        <v>46248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39</v>
      </c>
      <c r="S15">
        <v>40</v>
      </c>
      <c r="T15">
        <v>39</v>
      </c>
      <c r="U15">
        <v>58</v>
      </c>
      <c r="V15">
        <v>120</v>
      </c>
      <c r="W15">
        <v>287</v>
      </c>
      <c r="X15">
        <v>491</v>
      </c>
      <c r="Y15">
        <v>736</v>
      </c>
      <c r="Z15">
        <v>1103</v>
      </c>
      <c r="AA15">
        <v>1584</v>
      </c>
      <c r="AB15">
        <v>2120</v>
      </c>
      <c r="AC15">
        <v>2710</v>
      </c>
      <c r="AD15">
        <v>3326</v>
      </c>
      <c r="AE15">
        <v>4028</v>
      </c>
      <c r="AF15">
        <v>4553</v>
      </c>
      <c r="AG15">
        <v>5377</v>
      </c>
      <c r="AH15">
        <v>5575</v>
      </c>
      <c r="AI15">
        <v>6106</v>
      </c>
      <c r="AJ15">
        <v>6505</v>
      </c>
      <c r="AK15">
        <v>7493</v>
      </c>
      <c r="AL15">
        <v>7659</v>
      </c>
      <c r="AM15">
        <v>8407</v>
      </c>
      <c r="AN15">
        <v>8863</v>
      </c>
      <c r="AO15">
        <v>9187</v>
      </c>
      <c r="AP15">
        <v>9505</v>
      </c>
      <c r="AQ15">
        <v>9877</v>
      </c>
      <c r="AR15">
        <v>10060</v>
      </c>
      <c r="AS15">
        <v>10308</v>
      </c>
      <c r="AT15">
        <v>10465</v>
      </c>
      <c r="AU15">
        <v>10401</v>
      </c>
      <c r="AV15">
        <v>10141</v>
      </c>
      <c r="AW15">
        <v>10377</v>
      </c>
      <c r="AX15">
        <v>10389</v>
      </c>
      <c r="AY15">
        <v>10218</v>
      </c>
      <c r="AZ15">
        <v>9867</v>
      </c>
      <c r="BA15">
        <v>9733</v>
      </c>
      <c r="BB15">
        <v>9801</v>
      </c>
      <c r="BC15">
        <v>9907</v>
      </c>
      <c r="BD15">
        <v>9675</v>
      </c>
      <c r="BE15">
        <v>9285</v>
      </c>
      <c r="BF15">
        <v>8942</v>
      </c>
      <c r="BG15">
        <v>8437</v>
      </c>
      <c r="BH15">
        <v>8076</v>
      </c>
      <c r="BI15">
        <v>7572</v>
      </c>
      <c r="BJ15">
        <v>6894</v>
      </c>
      <c r="BK15">
        <v>6468</v>
      </c>
      <c r="BL15">
        <v>5497</v>
      </c>
      <c r="BM15">
        <v>5063</v>
      </c>
      <c r="BN15">
        <v>4426</v>
      </c>
      <c r="BO15">
        <v>3746</v>
      </c>
      <c r="BP15">
        <v>3151</v>
      </c>
      <c r="BQ15">
        <v>2449</v>
      </c>
      <c r="BR15">
        <v>1738</v>
      </c>
      <c r="BS15">
        <v>1302</v>
      </c>
      <c r="BT15">
        <v>887</v>
      </c>
      <c r="BU15">
        <v>601</v>
      </c>
      <c r="BV15">
        <v>406</v>
      </c>
      <c r="BW15">
        <v>221</v>
      </c>
      <c r="BX15">
        <v>99</v>
      </c>
      <c r="BY15">
        <v>50</v>
      </c>
      <c r="BZ15">
        <v>48</v>
      </c>
      <c r="CA15">
        <v>46</v>
      </c>
      <c r="CB15">
        <v>46</v>
      </c>
      <c r="CC15">
        <v>46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</row>
    <row r="16" spans="1:97">
      <c r="A16" s="9">
        <v>46249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46</v>
      </c>
      <c r="S16">
        <v>46</v>
      </c>
      <c r="T16">
        <v>48</v>
      </c>
      <c r="U16">
        <v>58</v>
      </c>
      <c r="V16">
        <v>118</v>
      </c>
      <c r="W16">
        <v>267</v>
      </c>
      <c r="X16">
        <v>460</v>
      </c>
      <c r="Y16">
        <v>700</v>
      </c>
      <c r="Z16">
        <v>1160</v>
      </c>
      <c r="AA16">
        <v>1541</v>
      </c>
      <c r="AB16">
        <v>2047</v>
      </c>
      <c r="AC16">
        <v>2626</v>
      </c>
      <c r="AD16">
        <v>3347</v>
      </c>
      <c r="AE16">
        <v>3939</v>
      </c>
      <c r="AF16">
        <v>4346</v>
      </c>
      <c r="AG16">
        <v>5065</v>
      </c>
      <c r="AH16">
        <v>5645</v>
      </c>
      <c r="AI16">
        <v>6066</v>
      </c>
      <c r="AJ16">
        <v>6404</v>
      </c>
      <c r="AK16">
        <v>7024</v>
      </c>
      <c r="AL16">
        <v>6863</v>
      </c>
      <c r="AM16">
        <v>7537</v>
      </c>
      <c r="AN16">
        <v>7504</v>
      </c>
      <c r="AO16">
        <v>7680</v>
      </c>
      <c r="AP16">
        <v>8275</v>
      </c>
      <c r="AQ16">
        <v>8197</v>
      </c>
      <c r="AR16">
        <v>8262</v>
      </c>
      <c r="AS16">
        <v>8846</v>
      </c>
      <c r="AT16">
        <v>8479</v>
      </c>
      <c r="AU16">
        <v>8636</v>
      </c>
      <c r="AV16">
        <v>8558</v>
      </c>
      <c r="AW16">
        <v>8690</v>
      </c>
      <c r="AX16">
        <v>8574</v>
      </c>
      <c r="AY16">
        <v>8584</v>
      </c>
      <c r="AZ16">
        <v>8316</v>
      </c>
      <c r="BA16">
        <v>7774</v>
      </c>
      <c r="BB16">
        <v>7736</v>
      </c>
      <c r="BC16">
        <v>7663</v>
      </c>
      <c r="BD16">
        <v>7282</v>
      </c>
      <c r="BE16">
        <v>6966</v>
      </c>
      <c r="BF16">
        <v>6709</v>
      </c>
      <c r="BG16">
        <v>6432</v>
      </c>
      <c r="BH16">
        <v>5959</v>
      </c>
      <c r="BI16">
        <v>5569</v>
      </c>
      <c r="BJ16">
        <v>5297</v>
      </c>
      <c r="BK16">
        <v>4802</v>
      </c>
      <c r="BL16">
        <v>4212</v>
      </c>
      <c r="BM16">
        <v>3661</v>
      </c>
      <c r="BN16">
        <v>3246</v>
      </c>
      <c r="BO16">
        <v>2755</v>
      </c>
      <c r="BP16">
        <v>2206</v>
      </c>
      <c r="BQ16">
        <v>1839</v>
      </c>
      <c r="BR16">
        <v>1338</v>
      </c>
      <c r="BS16">
        <v>980</v>
      </c>
      <c r="BT16">
        <v>748</v>
      </c>
      <c r="BU16">
        <v>540</v>
      </c>
      <c r="BV16">
        <v>354</v>
      </c>
      <c r="BW16">
        <v>195</v>
      </c>
      <c r="BX16">
        <v>82</v>
      </c>
      <c r="BY16">
        <v>43</v>
      </c>
      <c r="BZ16">
        <v>42</v>
      </c>
      <c r="CA16">
        <v>48</v>
      </c>
      <c r="CB16">
        <v>41</v>
      </c>
      <c r="CC16">
        <v>47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</row>
    <row r="17" spans="1:97">
      <c r="A17" s="9">
        <v>46250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42</v>
      </c>
      <c r="S17">
        <v>40</v>
      </c>
      <c r="T17">
        <v>40</v>
      </c>
      <c r="U17">
        <v>42</v>
      </c>
      <c r="V17">
        <v>91</v>
      </c>
      <c r="W17">
        <v>241</v>
      </c>
      <c r="X17">
        <v>413</v>
      </c>
      <c r="Y17">
        <v>620</v>
      </c>
      <c r="Z17">
        <v>983</v>
      </c>
      <c r="AA17">
        <v>1396</v>
      </c>
      <c r="AB17">
        <v>1861</v>
      </c>
      <c r="AC17">
        <v>2366</v>
      </c>
      <c r="AD17">
        <v>3009</v>
      </c>
      <c r="AE17">
        <v>3552</v>
      </c>
      <c r="AF17">
        <v>4380</v>
      </c>
      <c r="AG17">
        <v>4812</v>
      </c>
      <c r="AH17">
        <v>5341</v>
      </c>
      <c r="AI17">
        <v>6027</v>
      </c>
      <c r="AJ17">
        <v>6648</v>
      </c>
      <c r="AK17">
        <v>7284</v>
      </c>
      <c r="AL17">
        <v>7505</v>
      </c>
      <c r="AM17">
        <v>7722</v>
      </c>
      <c r="AN17">
        <v>7882</v>
      </c>
      <c r="AO17">
        <v>7903</v>
      </c>
      <c r="AP17">
        <v>7647</v>
      </c>
      <c r="AQ17">
        <v>7106</v>
      </c>
      <c r="AR17">
        <v>7228</v>
      </c>
      <c r="AS17">
        <v>7466</v>
      </c>
      <c r="AT17">
        <v>7408</v>
      </c>
      <c r="AU17">
        <v>7464</v>
      </c>
      <c r="AV17">
        <v>7668</v>
      </c>
      <c r="AW17">
        <v>7477</v>
      </c>
      <c r="AX17">
        <v>7549</v>
      </c>
      <c r="AY17">
        <v>7036</v>
      </c>
      <c r="AZ17">
        <v>7076</v>
      </c>
      <c r="BA17">
        <v>6848</v>
      </c>
      <c r="BB17">
        <v>7053</v>
      </c>
      <c r="BC17">
        <v>6653</v>
      </c>
      <c r="BD17">
        <v>6686</v>
      </c>
      <c r="BE17">
        <v>6296</v>
      </c>
      <c r="BF17">
        <v>5755</v>
      </c>
      <c r="BG17">
        <v>5380</v>
      </c>
      <c r="BH17">
        <v>5227</v>
      </c>
      <c r="BI17">
        <v>5073</v>
      </c>
      <c r="BJ17">
        <v>4347</v>
      </c>
      <c r="BK17">
        <v>3607</v>
      </c>
      <c r="BL17">
        <v>3187</v>
      </c>
      <c r="BM17">
        <v>2883</v>
      </c>
      <c r="BN17">
        <v>2572</v>
      </c>
      <c r="BO17">
        <v>2039</v>
      </c>
      <c r="BP17">
        <v>1646</v>
      </c>
      <c r="BQ17">
        <v>1387</v>
      </c>
      <c r="BR17">
        <v>976</v>
      </c>
      <c r="BS17">
        <v>736</v>
      </c>
      <c r="BT17">
        <v>526</v>
      </c>
      <c r="BU17">
        <v>336</v>
      </c>
      <c r="BV17">
        <v>206</v>
      </c>
      <c r="BW17">
        <v>106</v>
      </c>
      <c r="BX17">
        <v>54</v>
      </c>
      <c r="BY17">
        <v>46</v>
      </c>
      <c r="BZ17">
        <v>45</v>
      </c>
      <c r="CA17">
        <v>44</v>
      </c>
      <c r="CB17">
        <v>44</v>
      </c>
      <c r="CC17">
        <v>44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</row>
    <row r="18" spans="1:97">
      <c r="A18" s="9">
        <v>46251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</v>
      </c>
      <c r="S18">
        <v>44</v>
      </c>
      <c r="T18">
        <v>44</v>
      </c>
      <c r="U18">
        <v>44</v>
      </c>
      <c r="V18">
        <v>51</v>
      </c>
      <c r="W18">
        <v>81</v>
      </c>
      <c r="X18">
        <v>138</v>
      </c>
      <c r="Y18">
        <v>224</v>
      </c>
      <c r="Z18">
        <v>346</v>
      </c>
      <c r="AA18">
        <v>465</v>
      </c>
      <c r="AB18">
        <v>588</v>
      </c>
      <c r="AC18">
        <v>688</v>
      </c>
      <c r="AD18">
        <v>870</v>
      </c>
      <c r="AE18">
        <v>1167</v>
      </c>
      <c r="AF18">
        <v>1474</v>
      </c>
      <c r="AG18">
        <v>1774</v>
      </c>
      <c r="AH18">
        <v>1934</v>
      </c>
      <c r="AI18">
        <v>2152</v>
      </c>
      <c r="AJ18">
        <v>2457</v>
      </c>
      <c r="AK18">
        <v>2939</v>
      </c>
      <c r="AL18">
        <v>3201</v>
      </c>
      <c r="AM18">
        <v>3243</v>
      </c>
      <c r="AN18">
        <v>3620</v>
      </c>
      <c r="AO18">
        <v>4086</v>
      </c>
      <c r="AP18">
        <v>4324</v>
      </c>
      <c r="AQ18">
        <v>4691</v>
      </c>
      <c r="AR18">
        <v>5196</v>
      </c>
      <c r="AS18">
        <v>5735</v>
      </c>
      <c r="AT18">
        <v>6082</v>
      </c>
      <c r="AU18">
        <v>5693</v>
      </c>
      <c r="AV18">
        <v>5954</v>
      </c>
      <c r="AW18">
        <v>6638</v>
      </c>
      <c r="AX18">
        <v>6850</v>
      </c>
      <c r="AY18">
        <v>6998</v>
      </c>
      <c r="AZ18">
        <v>6923</v>
      </c>
      <c r="BA18">
        <v>6721</v>
      </c>
      <c r="BB18">
        <v>7059</v>
      </c>
      <c r="BC18">
        <v>6380</v>
      </c>
      <c r="BD18">
        <v>6759</v>
      </c>
      <c r="BE18">
        <v>6252</v>
      </c>
      <c r="BF18">
        <v>6017</v>
      </c>
      <c r="BG18">
        <v>5436</v>
      </c>
      <c r="BH18">
        <v>5087</v>
      </c>
      <c r="BI18">
        <v>4652</v>
      </c>
      <c r="BJ18">
        <v>4191</v>
      </c>
      <c r="BK18">
        <v>3918</v>
      </c>
      <c r="BL18">
        <v>3755</v>
      </c>
      <c r="BM18">
        <v>3516</v>
      </c>
      <c r="BN18">
        <v>3163</v>
      </c>
      <c r="BO18">
        <v>2959</v>
      </c>
      <c r="BP18">
        <v>2257</v>
      </c>
      <c r="BQ18">
        <v>1805</v>
      </c>
      <c r="BR18">
        <v>1204</v>
      </c>
      <c r="BS18">
        <v>944</v>
      </c>
      <c r="BT18">
        <v>738</v>
      </c>
      <c r="BU18">
        <v>488</v>
      </c>
      <c r="BV18">
        <v>291</v>
      </c>
      <c r="BW18">
        <v>139</v>
      </c>
      <c r="BX18">
        <v>56</v>
      </c>
      <c r="BY18">
        <v>42</v>
      </c>
      <c r="BZ18">
        <v>41</v>
      </c>
      <c r="CA18">
        <v>41</v>
      </c>
      <c r="CB18">
        <v>40</v>
      </c>
      <c r="CC18">
        <v>40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</row>
    <row r="19" spans="1:97">
      <c r="A19" s="9">
        <v>46252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41</v>
      </c>
      <c r="S19">
        <v>41</v>
      </c>
      <c r="T19">
        <v>41</v>
      </c>
      <c r="U19">
        <v>44</v>
      </c>
      <c r="V19">
        <v>108</v>
      </c>
      <c r="W19">
        <v>255</v>
      </c>
      <c r="X19">
        <v>439</v>
      </c>
      <c r="Y19">
        <v>651</v>
      </c>
      <c r="Z19">
        <v>1021</v>
      </c>
      <c r="AA19">
        <v>1402</v>
      </c>
      <c r="AB19">
        <v>1733</v>
      </c>
      <c r="AC19">
        <v>2100</v>
      </c>
      <c r="AD19">
        <v>2640</v>
      </c>
      <c r="AE19">
        <v>3046</v>
      </c>
      <c r="AF19">
        <v>3319</v>
      </c>
      <c r="AG19">
        <v>3381</v>
      </c>
      <c r="AH19">
        <v>3946</v>
      </c>
      <c r="AI19">
        <v>4315</v>
      </c>
      <c r="AJ19">
        <v>4800</v>
      </c>
      <c r="AK19">
        <v>4956</v>
      </c>
      <c r="AL19">
        <v>5544</v>
      </c>
      <c r="AM19">
        <v>5875</v>
      </c>
      <c r="AN19">
        <v>6263</v>
      </c>
      <c r="AO19">
        <v>6390</v>
      </c>
      <c r="AP19">
        <v>7076</v>
      </c>
      <c r="AQ19">
        <v>6839</v>
      </c>
      <c r="AR19">
        <v>7623</v>
      </c>
      <c r="AS19">
        <v>7694</v>
      </c>
      <c r="AT19">
        <v>7974</v>
      </c>
      <c r="AU19">
        <v>8241</v>
      </c>
      <c r="AV19">
        <v>7507</v>
      </c>
      <c r="AW19">
        <v>7486</v>
      </c>
      <c r="AX19">
        <v>7701</v>
      </c>
      <c r="AY19">
        <v>7786</v>
      </c>
      <c r="AZ19">
        <v>7309</v>
      </c>
      <c r="BA19">
        <v>7644</v>
      </c>
      <c r="BB19">
        <v>7337</v>
      </c>
      <c r="BC19">
        <v>7108</v>
      </c>
      <c r="BD19">
        <v>6769</v>
      </c>
      <c r="BE19">
        <v>6398</v>
      </c>
      <c r="BF19">
        <v>6356</v>
      </c>
      <c r="BG19">
        <v>5827</v>
      </c>
      <c r="BH19">
        <v>5747</v>
      </c>
      <c r="BI19">
        <v>5325</v>
      </c>
      <c r="BJ19">
        <v>4716</v>
      </c>
      <c r="BK19">
        <v>4309</v>
      </c>
      <c r="BL19">
        <v>4015</v>
      </c>
      <c r="BM19">
        <v>3388</v>
      </c>
      <c r="BN19">
        <v>2998</v>
      </c>
      <c r="BO19">
        <v>2624</v>
      </c>
      <c r="BP19">
        <v>2228</v>
      </c>
      <c r="BQ19">
        <v>1788</v>
      </c>
      <c r="BR19">
        <v>1393</v>
      </c>
      <c r="BS19">
        <v>1024</v>
      </c>
      <c r="BT19">
        <v>694</v>
      </c>
      <c r="BU19">
        <v>450</v>
      </c>
      <c r="BV19">
        <v>265</v>
      </c>
      <c r="BW19">
        <v>140</v>
      </c>
      <c r="BX19">
        <v>66</v>
      </c>
      <c r="BY19">
        <v>63</v>
      </c>
      <c r="BZ19">
        <v>62</v>
      </c>
      <c r="CA19">
        <v>58</v>
      </c>
      <c r="CB19">
        <v>60</v>
      </c>
      <c r="CC19">
        <v>63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</row>
    <row r="20" spans="1:97">
      <c r="A20" s="9">
        <v>46253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58</v>
      </c>
      <c r="S20">
        <v>58</v>
      </c>
      <c r="T20">
        <v>58</v>
      </c>
      <c r="U20">
        <v>59</v>
      </c>
      <c r="V20">
        <v>92</v>
      </c>
      <c r="W20">
        <v>220</v>
      </c>
      <c r="X20">
        <v>405</v>
      </c>
      <c r="Y20">
        <v>646</v>
      </c>
      <c r="Z20">
        <v>976</v>
      </c>
      <c r="AA20">
        <v>1326</v>
      </c>
      <c r="AB20">
        <v>1753</v>
      </c>
      <c r="AC20">
        <v>2230</v>
      </c>
      <c r="AD20">
        <v>2721</v>
      </c>
      <c r="AE20">
        <v>3367</v>
      </c>
      <c r="AF20">
        <v>3910</v>
      </c>
      <c r="AG20">
        <v>4377</v>
      </c>
      <c r="AH20">
        <v>5365</v>
      </c>
      <c r="AI20">
        <v>6093</v>
      </c>
      <c r="AJ20">
        <v>6174</v>
      </c>
      <c r="AK20">
        <v>6840</v>
      </c>
      <c r="AL20">
        <v>7153</v>
      </c>
      <c r="AM20">
        <v>7949</v>
      </c>
      <c r="AN20">
        <v>7853</v>
      </c>
      <c r="AO20">
        <v>8431</v>
      </c>
      <c r="AP20">
        <v>8294</v>
      </c>
      <c r="AQ20">
        <v>8495</v>
      </c>
      <c r="AR20">
        <v>8508</v>
      </c>
      <c r="AS20">
        <v>8255</v>
      </c>
      <c r="AT20">
        <v>8256</v>
      </c>
      <c r="AU20">
        <v>8040</v>
      </c>
      <c r="AV20">
        <v>8281</v>
      </c>
      <c r="AW20">
        <v>7846</v>
      </c>
      <c r="AX20">
        <v>8119</v>
      </c>
      <c r="AY20">
        <v>8493</v>
      </c>
      <c r="AZ20">
        <v>8136</v>
      </c>
      <c r="BA20">
        <v>7928</v>
      </c>
      <c r="BB20">
        <v>7816</v>
      </c>
      <c r="BC20">
        <v>7585</v>
      </c>
      <c r="BD20">
        <v>7265</v>
      </c>
      <c r="BE20">
        <v>7301</v>
      </c>
      <c r="BF20">
        <v>7020</v>
      </c>
      <c r="BG20">
        <v>6742</v>
      </c>
      <c r="BH20">
        <v>6130</v>
      </c>
      <c r="BI20">
        <v>6121</v>
      </c>
      <c r="BJ20">
        <v>5635</v>
      </c>
      <c r="BK20">
        <v>5088</v>
      </c>
      <c r="BL20">
        <v>4477</v>
      </c>
      <c r="BM20">
        <v>3834</v>
      </c>
      <c r="BN20">
        <v>3360</v>
      </c>
      <c r="BO20">
        <v>2998</v>
      </c>
      <c r="BP20">
        <v>2449</v>
      </c>
      <c r="BQ20">
        <v>2027</v>
      </c>
      <c r="BR20">
        <v>1496</v>
      </c>
      <c r="BS20">
        <v>1077</v>
      </c>
      <c r="BT20">
        <v>780</v>
      </c>
      <c r="BU20">
        <v>557</v>
      </c>
      <c r="BV20">
        <v>358</v>
      </c>
      <c r="BW20">
        <v>172</v>
      </c>
      <c r="BX20">
        <v>77</v>
      </c>
      <c r="BY20">
        <v>57</v>
      </c>
      <c r="BZ20">
        <v>54</v>
      </c>
      <c r="CA20">
        <v>53</v>
      </c>
      <c r="CB20">
        <v>54</v>
      </c>
      <c r="CC20">
        <v>53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</row>
    <row r="21" spans="1:97">
      <c r="A21" s="9">
        <v>46254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53</v>
      </c>
      <c r="S21">
        <v>53</v>
      </c>
      <c r="T21">
        <v>53</v>
      </c>
      <c r="U21">
        <v>54</v>
      </c>
      <c r="V21">
        <v>90</v>
      </c>
      <c r="W21">
        <v>194</v>
      </c>
      <c r="X21">
        <v>383</v>
      </c>
      <c r="Y21">
        <v>614</v>
      </c>
      <c r="Z21">
        <v>956</v>
      </c>
      <c r="AA21">
        <v>1286</v>
      </c>
      <c r="AB21">
        <v>1726</v>
      </c>
      <c r="AC21">
        <v>2265</v>
      </c>
      <c r="AD21">
        <v>2711</v>
      </c>
      <c r="AE21">
        <v>3370</v>
      </c>
      <c r="AF21">
        <v>3771</v>
      </c>
      <c r="AG21">
        <v>4538</v>
      </c>
      <c r="AH21">
        <v>5291</v>
      </c>
      <c r="AI21">
        <v>5766</v>
      </c>
      <c r="AJ21">
        <v>6396</v>
      </c>
      <c r="AK21">
        <v>7096</v>
      </c>
      <c r="AL21">
        <v>7392</v>
      </c>
      <c r="AM21">
        <v>7663</v>
      </c>
      <c r="AN21">
        <v>8044</v>
      </c>
      <c r="AO21">
        <v>8058</v>
      </c>
      <c r="AP21">
        <v>8190</v>
      </c>
      <c r="AQ21">
        <v>8289</v>
      </c>
      <c r="AR21">
        <v>8575</v>
      </c>
      <c r="AS21">
        <v>8579</v>
      </c>
      <c r="AT21">
        <v>8906</v>
      </c>
      <c r="AU21">
        <v>8614</v>
      </c>
      <c r="AV21">
        <v>8478</v>
      </c>
      <c r="AW21">
        <v>8700</v>
      </c>
      <c r="AX21">
        <v>8452</v>
      </c>
      <c r="AY21">
        <v>8103</v>
      </c>
      <c r="AZ21">
        <v>8305</v>
      </c>
      <c r="BA21">
        <v>8252</v>
      </c>
      <c r="BB21">
        <v>7958</v>
      </c>
      <c r="BC21">
        <v>7608</v>
      </c>
      <c r="BD21">
        <v>7357</v>
      </c>
      <c r="BE21">
        <v>7284</v>
      </c>
      <c r="BF21">
        <v>6669</v>
      </c>
      <c r="BG21">
        <v>6594</v>
      </c>
      <c r="BH21">
        <v>6310</v>
      </c>
      <c r="BI21">
        <v>5870</v>
      </c>
      <c r="BJ21">
        <v>5477</v>
      </c>
      <c r="BK21">
        <v>5320</v>
      </c>
      <c r="BL21">
        <v>4870</v>
      </c>
      <c r="BM21">
        <v>4363</v>
      </c>
      <c r="BN21">
        <v>3909</v>
      </c>
      <c r="BO21">
        <v>3419</v>
      </c>
      <c r="BP21">
        <v>2722</v>
      </c>
      <c r="BQ21">
        <v>2177</v>
      </c>
      <c r="BR21">
        <v>1571</v>
      </c>
      <c r="BS21">
        <v>1175</v>
      </c>
      <c r="BT21">
        <v>818</v>
      </c>
      <c r="BU21">
        <v>550</v>
      </c>
      <c r="BV21">
        <v>333</v>
      </c>
      <c r="BW21">
        <v>158</v>
      </c>
      <c r="BX21">
        <v>66</v>
      </c>
      <c r="BY21">
        <v>56</v>
      </c>
      <c r="BZ21">
        <v>54</v>
      </c>
      <c r="CA21">
        <v>53</v>
      </c>
      <c r="CB21">
        <v>54</v>
      </c>
      <c r="CC21">
        <v>53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</row>
    <row r="22" spans="1:97">
      <c r="A22" s="9">
        <v>46255</v>
      </c>
      <c r="B22">
        <v>0.0156</v>
      </c>
      <c r="C22">
        <v>0.0116</v>
      </c>
      <c r="D22">
        <v>0.0096</v>
      </c>
      <c r="E22">
        <v>0.0104</v>
      </c>
      <c r="F22">
        <v>0.0152</v>
      </c>
      <c r="G22">
        <v>0.0104</v>
      </c>
      <c r="H22">
        <v>0.0144</v>
      </c>
      <c r="I22">
        <v>0.0132</v>
      </c>
      <c r="J22">
        <v>0.0256</v>
      </c>
      <c r="K22">
        <v>0.0224</v>
      </c>
      <c r="L22">
        <v>0.0092</v>
      </c>
      <c r="M22">
        <v>0.0124</v>
      </c>
      <c r="N22">
        <v>0.0144</v>
      </c>
      <c r="O22">
        <v>0.0072</v>
      </c>
      <c r="P22">
        <v>0.0076</v>
      </c>
      <c r="Q22">
        <v>0.0076</v>
      </c>
      <c r="R22">
        <v>52.742</v>
      </c>
      <c r="S22">
        <v>52.7128</v>
      </c>
      <c r="T22">
        <v>52.794</v>
      </c>
      <c r="U22">
        <v>52.9708</v>
      </c>
      <c r="V22">
        <v>72.8616</v>
      </c>
      <c r="W22">
        <v>149.264</v>
      </c>
      <c r="X22">
        <v>287.8184</v>
      </c>
      <c r="Y22">
        <v>464.702</v>
      </c>
      <c r="Z22">
        <v>787.7644</v>
      </c>
      <c r="AA22">
        <v>1108.558</v>
      </c>
      <c r="AB22">
        <v>1518.5784</v>
      </c>
      <c r="AC22">
        <v>1968.0676</v>
      </c>
      <c r="AD22">
        <v>2468.5496</v>
      </c>
      <c r="AE22">
        <v>2959.1168</v>
      </c>
      <c r="AF22">
        <v>3639.9948</v>
      </c>
      <c r="AG22">
        <v>4271.9516</v>
      </c>
      <c r="AH22">
        <v>4734.232</v>
      </c>
      <c r="AI22">
        <v>5261.6836</v>
      </c>
      <c r="AJ22">
        <v>6000.3152</v>
      </c>
      <c r="AK22">
        <v>6438.3156</v>
      </c>
      <c r="AL22">
        <v>6584.026</v>
      </c>
      <c r="AM22">
        <v>7107.9132</v>
      </c>
      <c r="AN22">
        <v>7399.1264</v>
      </c>
      <c r="AO22">
        <v>7775.1812</v>
      </c>
      <c r="AP22">
        <v>8142.1284</v>
      </c>
      <c r="AQ22">
        <v>8207.6088</v>
      </c>
      <c r="AR22">
        <v>8447.5832</v>
      </c>
      <c r="AS22">
        <v>8628.6184</v>
      </c>
      <c r="AT22">
        <v>8731.6044</v>
      </c>
      <c r="AU22">
        <v>8591.1096</v>
      </c>
      <c r="AV22">
        <v>9003.7992</v>
      </c>
      <c r="AW22">
        <v>9054.9724</v>
      </c>
      <c r="AX22">
        <v>8820.4576</v>
      </c>
      <c r="AY22">
        <v>8959.8076</v>
      </c>
      <c r="AZ22">
        <v>8374.1456</v>
      </c>
      <c r="BA22">
        <v>8491.352</v>
      </c>
      <c r="BB22">
        <v>8146.7412</v>
      </c>
      <c r="BC22">
        <v>8245.0536</v>
      </c>
      <c r="BD22">
        <v>8030.6088</v>
      </c>
      <c r="BE22">
        <v>7905.5172</v>
      </c>
      <c r="BF22">
        <v>7600.0876</v>
      </c>
      <c r="BG22">
        <v>6871.9368</v>
      </c>
      <c r="BH22">
        <v>6563.9228</v>
      </c>
      <c r="BI22">
        <v>6145.2408</v>
      </c>
      <c r="BJ22">
        <v>5818.0668</v>
      </c>
      <c r="BK22">
        <v>5518.9216</v>
      </c>
      <c r="BL22">
        <v>5097.8484</v>
      </c>
      <c r="BM22">
        <v>4510.0292</v>
      </c>
      <c r="BN22">
        <v>3968.1212</v>
      </c>
      <c r="BO22">
        <v>3408.3052</v>
      </c>
      <c r="BP22">
        <v>2903.2968</v>
      </c>
      <c r="BQ22">
        <v>2366.7088</v>
      </c>
      <c r="BR22">
        <v>1766.9544</v>
      </c>
      <c r="BS22">
        <v>1353.8056</v>
      </c>
      <c r="BT22">
        <v>968.6004</v>
      </c>
      <c r="BU22">
        <v>672.2428</v>
      </c>
      <c r="BV22">
        <v>421.172</v>
      </c>
      <c r="BW22">
        <v>240.4512</v>
      </c>
      <c r="BX22">
        <v>120.6908</v>
      </c>
      <c r="BY22">
        <v>71.0208</v>
      </c>
      <c r="BZ22">
        <v>57.3524</v>
      </c>
      <c r="CA22">
        <v>52.98</v>
      </c>
      <c r="CB22">
        <v>52.892</v>
      </c>
      <c r="CC22">
        <v>53.0204</v>
      </c>
      <c r="CD22">
        <v>0.008</v>
      </c>
      <c r="CE22">
        <v>0.012</v>
      </c>
      <c r="CF22">
        <v>0.0076</v>
      </c>
      <c r="CG22">
        <v>0.0108</v>
      </c>
      <c r="CH22">
        <v>0.0112</v>
      </c>
      <c r="CI22">
        <v>0.0096</v>
      </c>
      <c r="CJ22">
        <v>0.014</v>
      </c>
      <c r="CK22">
        <v>0.0104</v>
      </c>
      <c r="CL22">
        <v>0.01</v>
      </c>
      <c r="CM22">
        <v>0.0108</v>
      </c>
      <c r="CN22">
        <v>0.014</v>
      </c>
      <c r="CO22">
        <v>0.0132</v>
      </c>
      <c r="CP22">
        <v>0.0108</v>
      </c>
      <c r="CQ22">
        <v>0.014</v>
      </c>
      <c r="CR22">
        <v>0.0128</v>
      </c>
      <c r="CS22">
        <v>0.014</v>
      </c>
    </row>
    <row r="23" spans="1:97">
      <c r="A23" s="9">
        <v>46256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53</v>
      </c>
      <c r="S23">
        <v>53</v>
      </c>
      <c r="T23">
        <v>53</v>
      </c>
      <c r="U23">
        <v>53</v>
      </c>
      <c r="V23">
        <v>69</v>
      </c>
      <c r="W23">
        <v>159</v>
      </c>
      <c r="X23">
        <v>362</v>
      </c>
      <c r="Y23">
        <v>628</v>
      </c>
      <c r="Z23">
        <v>998</v>
      </c>
      <c r="AA23">
        <v>1440</v>
      </c>
      <c r="AB23">
        <v>1940</v>
      </c>
      <c r="AC23">
        <v>2465</v>
      </c>
      <c r="AD23">
        <v>3074</v>
      </c>
      <c r="AE23">
        <v>3697</v>
      </c>
      <c r="AF23">
        <v>4146</v>
      </c>
      <c r="AG23">
        <v>4640</v>
      </c>
      <c r="AH23">
        <v>5324</v>
      </c>
      <c r="AI23">
        <v>5694</v>
      </c>
      <c r="AJ23">
        <v>5988</v>
      </c>
      <c r="AK23">
        <v>6535</v>
      </c>
      <c r="AL23">
        <v>7047</v>
      </c>
      <c r="AM23">
        <v>6655</v>
      </c>
      <c r="AN23">
        <v>6596</v>
      </c>
      <c r="AO23">
        <v>7236</v>
      </c>
      <c r="AP23">
        <v>7699</v>
      </c>
      <c r="AQ23">
        <v>7747</v>
      </c>
      <c r="AR23">
        <v>7637</v>
      </c>
      <c r="AS23">
        <v>7405</v>
      </c>
      <c r="AT23">
        <v>7835</v>
      </c>
      <c r="AU23">
        <v>7726</v>
      </c>
      <c r="AV23">
        <v>7840</v>
      </c>
      <c r="AW23">
        <v>7764</v>
      </c>
      <c r="AX23">
        <v>8320</v>
      </c>
      <c r="AY23">
        <v>7883</v>
      </c>
      <c r="AZ23">
        <v>7896</v>
      </c>
      <c r="BA23">
        <v>7737</v>
      </c>
      <c r="BB23">
        <v>7777</v>
      </c>
      <c r="BC23">
        <v>7517</v>
      </c>
      <c r="BD23">
        <v>7069</v>
      </c>
      <c r="BE23">
        <v>6605</v>
      </c>
      <c r="BF23">
        <v>6575</v>
      </c>
      <c r="BG23">
        <v>6210</v>
      </c>
      <c r="BH23">
        <v>5959</v>
      </c>
      <c r="BI23">
        <v>5873</v>
      </c>
      <c r="BJ23">
        <v>5078</v>
      </c>
      <c r="BK23">
        <v>4642</v>
      </c>
      <c r="BL23">
        <v>4519</v>
      </c>
      <c r="BM23">
        <v>4018</v>
      </c>
      <c r="BN23">
        <v>3394</v>
      </c>
      <c r="BO23">
        <v>2786</v>
      </c>
      <c r="BP23">
        <v>2466</v>
      </c>
      <c r="BQ23">
        <v>1877</v>
      </c>
      <c r="BR23">
        <v>1346</v>
      </c>
      <c r="BS23">
        <v>994</v>
      </c>
      <c r="BT23">
        <v>714</v>
      </c>
      <c r="BU23">
        <v>463</v>
      </c>
      <c r="BV23">
        <v>254</v>
      </c>
      <c r="BW23">
        <v>111</v>
      </c>
      <c r="BX23">
        <v>60</v>
      </c>
      <c r="BY23">
        <v>63</v>
      </c>
      <c r="BZ23">
        <v>58</v>
      </c>
      <c r="CA23">
        <v>62</v>
      </c>
      <c r="CB23">
        <v>62</v>
      </c>
      <c r="CC23">
        <v>55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</row>
    <row r="24" spans="1:97">
      <c r="A24" s="9">
        <v>46257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55</v>
      </c>
      <c r="S24">
        <v>55</v>
      </c>
      <c r="T24">
        <v>420</v>
      </c>
      <c r="U24">
        <v>420</v>
      </c>
      <c r="V24">
        <v>436</v>
      </c>
      <c r="W24">
        <v>499</v>
      </c>
      <c r="X24">
        <v>648</v>
      </c>
      <c r="Y24">
        <v>834</v>
      </c>
      <c r="Z24">
        <v>1126</v>
      </c>
      <c r="AA24">
        <v>1456</v>
      </c>
      <c r="AB24">
        <v>1795</v>
      </c>
      <c r="AC24">
        <v>2259</v>
      </c>
      <c r="AD24">
        <v>2700</v>
      </c>
      <c r="AE24">
        <v>3058</v>
      </c>
      <c r="AF24">
        <v>3613</v>
      </c>
      <c r="AG24">
        <v>4168</v>
      </c>
      <c r="AH24">
        <v>4523</v>
      </c>
      <c r="AI24">
        <v>4441</v>
      </c>
      <c r="AJ24">
        <v>5000</v>
      </c>
      <c r="AK24">
        <v>5427</v>
      </c>
      <c r="AL24">
        <v>5389</v>
      </c>
      <c r="AM24">
        <v>5406</v>
      </c>
      <c r="AN24">
        <v>5341</v>
      </c>
      <c r="AO24">
        <v>5537</v>
      </c>
      <c r="AP24">
        <v>6420</v>
      </c>
      <c r="AQ24">
        <v>6315</v>
      </c>
      <c r="AR24">
        <v>6159</v>
      </c>
      <c r="AS24">
        <v>6257</v>
      </c>
      <c r="AT24">
        <v>6363</v>
      </c>
      <c r="AU24">
        <v>6801</v>
      </c>
      <c r="AV24">
        <v>6505</v>
      </c>
      <c r="AW24">
        <v>6879</v>
      </c>
      <c r="AX24">
        <v>6799</v>
      </c>
      <c r="AY24">
        <v>6714</v>
      </c>
      <c r="AZ24">
        <v>6819</v>
      </c>
      <c r="BA24">
        <v>7288</v>
      </c>
      <c r="BB24">
        <v>6942</v>
      </c>
      <c r="BC24">
        <v>7131</v>
      </c>
      <c r="BD24">
        <v>6782</v>
      </c>
      <c r="BE24">
        <v>6274</v>
      </c>
      <c r="BF24">
        <v>5866</v>
      </c>
      <c r="BG24">
        <v>5073</v>
      </c>
      <c r="BH24">
        <v>4991</v>
      </c>
      <c r="BI24">
        <v>4724</v>
      </c>
      <c r="BJ24">
        <v>4519</v>
      </c>
      <c r="BK24">
        <v>4355</v>
      </c>
      <c r="BL24">
        <v>3695</v>
      </c>
      <c r="BM24">
        <v>3234</v>
      </c>
      <c r="BN24">
        <v>2785</v>
      </c>
      <c r="BO24">
        <v>2429</v>
      </c>
      <c r="BP24">
        <v>2093</v>
      </c>
      <c r="BQ24">
        <v>1719</v>
      </c>
      <c r="BR24">
        <v>1261</v>
      </c>
      <c r="BS24">
        <v>910</v>
      </c>
      <c r="BT24">
        <v>632</v>
      </c>
      <c r="BU24">
        <v>410</v>
      </c>
      <c r="BV24">
        <v>259</v>
      </c>
      <c r="BW24">
        <v>120</v>
      </c>
      <c r="BX24">
        <v>63</v>
      </c>
      <c r="BY24">
        <v>58</v>
      </c>
      <c r="BZ24">
        <v>57</v>
      </c>
      <c r="CA24">
        <v>56</v>
      </c>
      <c r="CB24">
        <v>56</v>
      </c>
      <c r="CC24">
        <v>56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</row>
    <row r="25" spans="1:97">
      <c r="A25" s="9">
        <v>46258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53</v>
      </c>
      <c r="S25">
        <v>53</v>
      </c>
      <c r="T25">
        <v>53</v>
      </c>
      <c r="U25">
        <v>53</v>
      </c>
      <c r="V25">
        <v>58</v>
      </c>
      <c r="W25">
        <v>90</v>
      </c>
      <c r="X25">
        <v>169</v>
      </c>
      <c r="Y25">
        <v>260</v>
      </c>
      <c r="Z25">
        <v>344</v>
      </c>
      <c r="AA25">
        <v>510</v>
      </c>
      <c r="AB25">
        <v>580</v>
      </c>
      <c r="AC25">
        <v>729</v>
      </c>
      <c r="AD25">
        <v>778</v>
      </c>
      <c r="AE25">
        <v>835</v>
      </c>
      <c r="AF25">
        <v>874</v>
      </c>
      <c r="AG25">
        <v>990</v>
      </c>
      <c r="AH25">
        <v>1188</v>
      </c>
      <c r="AI25">
        <v>1196</v>
      </c>
      <c r="AJ25">
        <v>1239</v>
      </c>
      <c r="AK25">
        <v>1327</v>
      </c>
      <c r="AL25">
        <v>1337</v>
      </c>
      <c r="AM25">
        <v>1197</v>
      </c>
      <c r="AN25">
        <v>1278</v>
      </c>
      <c r="AO25">
        <v>1172</v>
      </c>
      <c r="AP25">
        <v>1444</v>
      </c>
      <c r="AQ25">
        <v>1538</v>
      </c>
      <c r="AR25">
        <v>1747</v>
      </c>
      <c r="AS25">
        <v>2080</v>
      </c>
      <c r="AT25">
        <v>2379</v>
      </c>
      <c r="AU25">
        <v>2437</v>
      </c>
      <c r="AV25">
        <v>2633</v>
      </c>
      <c r="AW25">
        <v>2567</v>
      </c>
      <c r="AX25">
        <v>2800</v>
      </c>
      <c r="AY25">
        <v>2844</v>
      </c>
      <c r="AZ25">
        <v>2957</v>
      </c>
      <c r="BA25">
        <v>2753</v>
      </c>
      <c r="BB25">
        <v>2761</v>
      </c>
      <c r="BC25">
        <v>2798</v>
      </c>
      <c r="BD25">
        <v>2503</v>
      </c>
      <c r="BE25">
        <v>2496</v>
      </c>
      <c r="BF25">
        <v>2689</v>
      </c>
      <c r="BG25">
        <v>2812</v>
      </c>
      <c r="BH25">
        <v>2893</v>
      </c>
      <c r="BI25">
        <v>3078</v>
      </c>
      <c r="BJ25">
        <v>3315</v>
      </c>
      <c r="BK25">
        <v>3264</v>
      </c>
      <c r="BL25">
        <v>3080</v>
      </c>
      <c r="BM25">
        <v>2889</v>
      </c>
      <c r="BN25">
        <v>2757</v>
      </c>
      <c r="BO25">
        <v>2498</v>
      </c>
      <c r="BP25">
        <v>2297</v>
      </c>
      <c r="BQ25">
        <v>1901</v>
      </c>
      <c r="BR25">
        <v>1498</v>
      </c>
      <c r="BS25">
        <v>1076</v>
      </c>
      <c r="BT25">
        <v>718</v>
      </c>
      <c r="BU25">
        <v>478</v>
      </c>
      <c r="BV25">
        <v>273</v>
      </c>
      <c r="BW25">
        <v>113</v>
      </c>
      <c r="BX25">
        <v>58</v>
      </c>
      <c r="BY25">
        <v>55</v>
      </c>
      <c r="BZ25">
        <v>53</v>
      </c>
      <c r="CA25">
        <v>53</v>
      </c>
      <c r="CB25">
        <v>53</v>
      </c>
      <c r="CC25">
        <v>53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</row>
    <row r="26" spans="1:97">
      <c r="A26" s="9">
        <v>46259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53</v>
      </c>
      <c r="S26">
        <v>53</v>
      </c>
      <c r="T26">
        <v>53</v>
      </c>
      <c r="U26">
        <v>53</v>
      </c>
      <c r="V26">
        <v>59</v>
      </c>
      <c r="W26">
        <v>96</v>
      </c>
      <c r="X26">
        <v>247</v>
      </c>
      <c r="Y26">
        <v>454</v>
      </c>
      <c r="Z26">
        <v>773</v>
      </c>
      <c r="AA26">
        <v>1163</v>
      </c>
      <c r="AB26">
        <v>1541</v>
      </c>
      <c r="AC26">
        <v>1923</v>
      </c>
      <c r="AD26">
        <v>2311</v>
      </c>
      <c r="AE26">
        <v>2653</v>
      </c>
      <c r="AF26">
        <v>3186</v>
      </c>
      <c r="AG26">
        <v>3639</v>
      </c>
      <c r="AH26">
        <v>3943</v>
      </c>
      <c r="AI26">
        <v>4324</v>
      </c>
      <c r="AJ26">
        <v>4638</v>
      </c>
      <c r="AK26">
        <v>5129</v>
      </c>
      <c r="AL26">
        <v>5340</v>
      </c>
      <c r="AM26">
        <v>5842</v>
      </c>
      <c r="AN26">
        <v>6253</v>
      </c>
      <c r="AO26">
        <v>6293</v>
      </c>
      <c r="AP26">
        <v>6849</v>
      </c>
      <c r="AQ26">
        <v>6870</v>
      </c>
      <c r="AR26">
        <v>6677</v>
      </c>
      <c r="AS26">
        <v>6643</v>
      </c>
      <c r="AT26">
        <v>6612</v>
      </c>
      <c r="AU26">
        <v>6540</v>
      </c>
      <c r="AV26">
        <v>6384</v>
      </c>
      <c r="AW26">
        <v>5540</v>
      </c>
      <c r="AX26">
        <v>4981</v>
      </c>
      <c r="AY26">
        <v>4905</v>
      </c>
      <c r="AZ26">
        <v>4692</v>
      </c>
      <c r="BA26">
        <v>4573</v>
      </c>
      <c r="BB26">
        <v>4386</v>
      </c>
      <c r="BC26">
        <v>4187</v>
      </c>
      <c r="BD26">
        <v>3718</v>
      </c>
      <c r="BE26">
        <v>3763</v>
      </c>
      <c r="BF26">
        <v>3653</v>
      </c>
      <c r="BG26">
        <v>3235</v>
      </c>
      <c r="BH26">
        <v>3281</v>
      </c>
      <c r="BI26">
        <v>2940</v>
      </c>
      <c r="BJ26">
        <v>2888</v>
      </c>
      <c r="BK26">
        <v>2652</v>
      </c>
      <c r="BL26">
        <v>2449</v>
      </c>
      <c r="BM26">
        <v>2302</v>
      </c>
      <c r="BN26">
        <v>1860</v>
      </c>
      <c r="BO26">
        <v>1596</v>
      </c>
      <c r="BP26">
        <v>1345</v>
      </c>
      <c r="BQ26">
        <v>1083</v>
      </c>
      <c r="BR26">
        <v>799</v>
      </c>
      <c r="BS26">
        <v>606</v>
      </c>
      <c r="BT26">
        <v>402</v>
      </c>
      <c r="BU26">
        <v>227</v>
      </c>
      <c r="BV26">
        <v>111</v>
      </c>
      <c r="BW26">
        <v>59</v>
      </c>
      <c r="BX26">
        <v>54</v>
      </c>
      <c r="BY26">
        <v>53</v>
      </c>
      <c r="BZ26">
        <v>52</v>
      </c>
      <c r="CA26">
        <v>52</v>
      </c>
      <c r="CB26">
        <v>52</v>
      </c>
      <c r="CC26">
        <v>52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</row>
    <row r="27" spans="1:97">
      <c r="A27" s="9">
        <v>46260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52</v>
      </c>
      <c r="S27">
        <v>52</v>
      </c>
      <c r="T27">
        <v>52</v>
      </c>
      <c r="U27">
        <v>52</v>
      </c>
      <c r="V27">
        <v>53</v>
      </c>
      <c r="W27">
        <v>60</v>
      </c>
      <c r="X27">
        <v>121</v>
      </c>
      <c r="Y27">
        <v>204</v>
      </c>
      <c r="Z27">
        <v>337</v>
      </c>
      <c r="AA27">
        <v>486</v>
      </c>
      <c r="AB27">
        <v>644</v>
      </c>
      <c r="AC27">
        <v>803</v>
      </c>
      <c r="AD27">
        <v>1037</v>
      </c>
      <c r="AE27">
        <v>1240</v>
      </c>
      <c r="AF27">
        <v>1621</v>
      </c>
      <c r="AG27">
        <v>2017</v>
      </c>
      <c r="AH27">
        <v>2433</v>
      </c>
      <c r="AI27">
        <v>2705</v>
      </c>
      <c r="AJ27">
        <v>2775</v>
      </c>
      <c r="AK27">
        <v>3185</v>
      </c>
      <c r="AL27">
        <v>3727</v>
      </c>
      <c r="AM27">
        <v>3963</v>
      </c>
      <c r="AN27">
        <v>4361</v>
      </c>
      <c r="AO27">
        <v>4640</v>
      </c>
      <c r="AP27">
        <v>4990</v>
      </c>
      <c r="AQ27">
        <v>5333</v>
      </c>
      <c r="AR27">
        <v>5798</v>
      </c>
      <c r="AS27">
        <v>6800</v>
      </c>
      <c r="AT27">
        <v>6792</v>
      </c>
      <c r="AU27">
        <v>6828</v>
      </c>
      <c r="AV27">
        <v>7045</v>
      </c>
      <c r="AW27">
        <v>7103</v>
      </c>
      <c r="AX27">
        <v>6924</v>
      </c>
      <c r="AY27">
        <v>7242</v>
      </c>
      <c r="AZ27">
        <v>7487</v>
      </c>
      <c r="BA27">
        <v>7238</v>
      </c>
      <c r="BB27">
        <v>7032</v>
      </c>
      <c r="BC27">
        <v>6958</v>
      </c>
      <c r="BD27">
        <v>6533</v>
      </c>
      <c r="BE27">
        <v>6416</v>
      </c>
      <c r="BF27">
        <v>6326</v>
      </c>
      <c r="BG27">
        <v>5928</v>
      </c>
      <c r="BH27">
        <v>5885</v>
      </c>
      <c r="BI27">
        <v>5683</v>
      </c>
      <c r="BJ27">
        <v>5162</v>
      </c>
      <c r="BK27">
        <v>4887</v>
      </c>
      <c r="BL27">
        <v>4676</v>
      </c>
      <c r="BM27">
        <v>4229</v>
      </c>
      <c r="BN27">
        <v>3724</v>
      </c>
      <c r="BO27">
        <v>3350</v>
      </c>
      <c r="BP27">
        <v>2695</v>
      </c>
      <c r="BQ27">
        <v>2076</v>
      </c>
      <c r="BR27">
        <v>1470</v>
      </c>
      <c r="BS27">
        <v>1008</v>
      </c>
      <c r="BT27">
        <v>655</v>
      </c>
      <c r="BU27">
        <v>391</v>
      </c>
      <c r="BV27">
        <v>197</v>
      </c>
      <c r="BW27">
        <v>96</v>
      </c>
      <c r="BX27">
        <v>56</v>
      </c>
      <c r="BY27">
        <v>54</v>
      </c>
      <c r="BZ27">
        <v>53</v>
      </c>
      <c r="CA27">
        <v>53</v>
      </c>
      <c r="CB27">
        <v>53</v>
      </c>
      <c r="CC27">
        <v>53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</row>
    <row r="28" spans="1:97">
      <c r="A28" s="9">
        <v>46261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53</v>
      </c>
      <c r="S28">
        <v>53</v>
      </c>
      <c r="T28">
        <v>53</v>
      </c>
      <c r="U28">
        <v>53</v>
      </c>
      <c r="V28">
        <v>78</v>
      </c>
      <c r="W28">
        <v>158</v>
      </c>
      <c r="X28">
        <v>335</v>
      </c>
      <c r="Y28">
        <v>574</v>
      </c>
      <c r="Z28">
        <v>966</v>
      </c>
      <c r="AA28">
        <v>1495</v>
      </c>
      <c r="AB28">
        <v>2147</v>
      </c>
      <c r="AC28">
        <v>2926</v>
      </c>
      <c r="AD28">
        <v>3633</v>
      </c>
      <c r="AE28">
        <v>4413</v>
      </c>
      <c r="AF28">
        <v>5091</v>
      </c>
      <c r="AG28">
        <v>6005</v>
      </c>
      <c r="AH28">
        <v>6615</v>
      </c>
      <c r="AI28">
        <v>7394</v>
      </c>
      <c r="AJ28">
        <v>7959</v>
      </c>
      <c r="AK28">
        <v>8561</v>
      </c>
      <c r="AL28">
        <v>8775</v>
      </c>
      <c r="AM28">
        <v>9264</v>
      </c>
      <c r="AN28">
        <v>9735</v>
      </c>
      <c r="AO28">
        <v>10125</v>
      </c>
      <c r="AP28">
        <v>10017</v>
      </c>
      <c r="AQ28">
        <v>10171</v>
      </c>
      <c r="AR28">
        <v>10404</v>
      </c>
      <c r="AS28">
        <v>10336</v>
      </c>
      <c r="AT28">
        <v>10360</v>
      </c>
      <c r="AU28">
        <v>10035</v>
      </c>
      <c r="AV28">
        <v>9914</v>
      </c>
      <c r="AW28">
        <v>9860</v>
      </c>
      <c r="AX28">
        <v>9830</v>
      </c>
      <c r="AY28">
        <v>9339</v>
      </c>
      <c r="AZ28">
        <v>8908</v>
      </c>
      <c r="BA28">
        <v>8668</v>
      </c>
      <c r="BB28">
        <v>8153</v>
      </c>
      <c r="BC28">
        <v>7810</v>
      </c>
      <c r="BD28">
        <v>7125</v>
      </c>
      <c r="BE28">
        <v>7289</v>
      </c>
      <c r="BF28">
        <v>6957</v>
      </c>
      <c r="BG28">
        <v>6734</v>
      </c>
      <c r="BH28">
        <v>6364</v>
      </c>
      <c r="BI28">
        <v>5837</v>
      </c>
      <c r="BJ28">
        <v>5188</v>
      </c>
      <c r="BK28">
        <v>4659</v>
      </c>
      <c r="BL28">
        <v>4419</v>
      </c>
      <c r="BM28">
        <v>3750</v>
      </c>
      <c r="BN28">
        <v>3210</v>
      </c>
      <c r="BO28">
        <v>2587</v>
      </c>
      <c r="BP28">
        <v>2132</v>
      </c>
      <c r="BQ28">
        <v>1636</v>
      </c>
      <c r="BR28">
        <v>1209</v>
      </c>
      <c r="BS28">
        <v>825</v>
      </c>
      <c r="BT28">
        <v>575</v>
      </c>
      <c r="BU28">
        <v>364</v>
      </c>
      <c r="BV28">
        <v>186</v>
      </c>
      <c r="BW28">
        <v>99</v>
      </c>
      <c r="BX28">
        <v>83</v>
      </c>
      <c r="BY28">
        <v>82</v>
      </c>
      <c r="BZ28">
        <v>82</v>
      </c>
      <c r="CA28">
        <v>82</v>
      </c>
      <c r="CB28">
        <v>82</v>
      </c>
      <c r="CC28">
        <v>85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</row>
    <row r="29" spans="1:97">
      <c r="A29" s="9">
        <v>46262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81</v>
      </c>
      <c r="S29">
        <v>81</v>
      </c>
      <c r="T29">
        <v>81</v>
      </c>
      <c r="U29">
        <v>81</v>
      </c>
      <c r="V29">
        <v>82</v>
      </c>
      <c r="W29">
        <v>118</v>
      </c>
      <c r="X29">
        <v>163</v>
      </c>
      <c r="Y29">
        <v>279</v>
      </c>
      <c r="Z29">
        <v>412</v>
      </c>
      <c r="AA29">
        <v>608</v>
      </c>
      <c r="AB29">
        <v>773</v>
      </c>
      <c r="AC29">
        <v>1097</v>
      </c>
      <c r="AD29">
        <v>1400</v>
      </c>
      <c r="AE29">
        <v>1563</v>
      </c>
      <c r="AF29">
        <v>1824</v>
      </c>
      <c r="AG29">
        <v>2030</v>
      </c>
      <c r="AH29">
        <v>2414</v>
      </c>
      <c r="AI29">
        <v>2751</v>
      </c>
      <c r="AJ29">
        <v>3184</v>
      </c>
      <c r="AK29">
        <v>3415</v>
      </c>
      <c r="AL29">
        <v>3982</v>
      </c>
      <c r="AM29">
        <v>4249</v>
      </c>
      <c r="AN29">
        <v>4401</v>
      </c>
      <c r="AO29">
        <v>4617</v>
      </c>
      <c r="AP29">
        <v>4973</v>
      </c>
      <c r="AQ29">
        <v>5309</v>
      </c>
      <c r="AR29">
        <v>5366</v>
      </c>
      <c r="AS29">
        <v>5841</v>
      </c>
      <c r="AT29">
        <v>5688</v>
      </c>
      <c r="AU29">
        <v>5014</v>
      </c>
      <c r="AV29">
        <v>4922</v>
      </c>
      <c r="AW29">
        <v>4807</v>
      </c>
      <c r="AX29">
        <v>4788</v>
      </c>
      <c r="AY29">
        <v>4550</v>
      </c>
      <c r="AZ29">
        <v>4193</v>
      </c>
      <c r="BA29">
        <v>4092</v>
      </c>
      <c r="BB29">
        <v>3828</v>
      </c>
      <c r="BC29">
        <v>3527</v>
      </c>
      <c r="BD29">
        <v>3209</v>
      </c>
      <c r="BE29">
        <v>2990</v>
      </c>
      <c r="BF29">
        <v>2778</v>
      </c>
      <c r="BG29">
        <v>2487</v>
      </c>
      <c r="BH29">
        <v>2253</v>
      </c>
      <c r="BI29">
        <v>1944</v>
      </c>
      <c r="BJ29">
        <v>1662</v>
      </c>
      <c r="BK29">
        <v>1459</v>
      </c>
      <c r="BL29">
        <v>1408</v>
      </c>
      <c r="BM29">
        <v>1158</v>
      </c>
      <c r="BN29">
        <v>992</v>
      </c>
      <c r="BO29">
        <v>869</v>
      </c>
      <c r="BP29">
        <v>687</v>
      </c>
      <c r="BQ29">
        <v>562</v>
      </c>
      <c r="BR29">
        <v>436</v>
      </c>
      <c r="BS29">
        <v>344</v>
      </c>
      <c r="BT29">
        <v>238</v>
      </c>
      <c r="BU29">
        <v>166</v>
      </c>
      <c r="BV29">
        <v>97</v>
      </c>
      <c r="BW29">
        <v>60</v>
      </c>
      <c r="BX29">
        <v>59</v>
      </c>
      <c r="BY29">
        <v>57</v>
      </c>
      <c r="BZ29">
        <v>57</v>
      </c>
      <c r="CA29">
        <v>57</v>
      </c>
      <c r="CB29">
        <v>57</v>
      </c>
      <c r="CC29">
        <v>57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</row>
    <row r="30" spans="1:97">
      <c r="A30" s="9">
        <v>46263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57</v>
      </c>
      <c r="S30">
        <v>57</v>
      </c>
      <c r="T30">
        <v>57</v>
      </c>
      <c r="U30">
        <v>57</v>
      </c>
      <c r="V30">
        <v>57</v>
      </c>
      <c r="W30">
        <v>61</v>
      </c>
      <c r="X30">
        <v>147</v>
      </c>
      <c r="Y30">
        <v>284</v>
      </c>
      <c r="Z30">
        <v>495</v>
      </c>
      <c r="AA30">
        <v>657</v>
      </c>
      <c r="AB30">
        <v>916</v>
      </c>
      <c r="AC30">
        <v>1240</v>
      </c>
      <c r="AD30">
        <v>1480</v>
      </c>
      <c r="AE30">
        <v>1775</v>
      </c>
      <c r="AF30">
        <v>2186</v>
      </c>
      <c r="AG30">
        <v>2787</v>
      </c>
      <c r="AH30">
        <v>3292</v>
      </c>
      <c r="AI30">
        <v>3717</v>
      </c>
      <c r="AJ30">
        <v>4081</v>
      </c>
      <c r="AK30">
        <v>4829</v>
      </c>
      <c r="AL30">
        <v>5326</v>
      </c>
      <c r="AM30">
        <v>5831</v>
      </c>
      <c r="AN30">
        <v>5761</v>
      </c>
      <c r="AO30">
        <v>6225</v>
      </c>
      <c r="AP30">
        <v>6397</v>
      </c>
      <c r="AQ30">
        <v>6215</v>
      </c>
      <c r="AR30">
        <v>6372</v>
      </c>
      <c r="AS30">
        <v>6425</v>
      </c>
      <c r="AT30">
        <v>6452</v>
      </c>
      <c r="AU30">
        <v>6296</v>
      </c>
      <c r="AV30">
        <v>6162</v>
      </c>
      <c r="AW30">
        <v>6547</v>
      </c>
      <c r="AX30">
        <v>6342</v>
      </c>
      <c r="AY30">
        <v>6077</v>
      </c>
      <c r="AZ30">
        <v>5974</v>
      </c>
      <c r="BA30">
        <v>5830</v>
      </c>
      <c r="BB30">
        <v>5736</v>
      </c>
      <c r="BC30">
        <v>5831</v>
      </c>
      <c r="BD30">
        <v>5949</v>
      </c>
      <c r="BE30">
        <v>5552</v>
      </c>
      <c r="BF30">
        <v>5074</v>
      </c>
      <c r="BG30">
        <v>4994</v>
      </c>
      <c r="BH30">
        <v>4485</v>
      </c>
      <c r="BI30">
        <v>4346</v>
      </c>
      <c r="BJ30">
        <v>3977</v>
      </c>
      <c r="BK30">
        <v>3631</v>
      </c>
      <c r="BL30">
        <v>3218</v>
      </c>
      <c r="BM30">
        <v>2898</v>
      </c>
      <c r="BN30">
        <v>2547</v>
      </c>
      <c r="BO30">
        <v>2358</v>
      </c>
      <c r="BP30">
        <v>1960</v>
      </c>
      <c r="BQ30">
        <v>1519</v>
      </c>
      <c r="BR30">
        <v>1147</v>
      </c>
      <c r="BS30">
        <v>877</v>
      </c>
      <c r="BT30">
        <v>557</v>
      </c>
      <c r="BU30">
        <v>397</v>
      </c>
      <c r="BV30">
        <v>204</v>
      </c>
      <c r="BW30">
        <v>80</v>
      </c>
      <c r="BX30">
        <v>57</v>
      </c>
      <c r="BY30">
        <v>54</v>
      </c>
      <c r="BZ30">
        <v>54</v>
      </c>
      <c r="CA30">
        <v>54</v>
      </c>
      <c r="CB30">
        <v>54</v>
      </c>
      <c r="CC30">
        <v>54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</row>
    <row r="31" spans="1:97">
      <c r="A31" s="9">
        <v>46264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54</v>
      </c>
      <c r="S31">
        <v>54</v>
      </c>
      <c r="T31">
        <v>54</v>
      </c>
      <c r="U31">
        <v>54</v>
      </c>
      <c r="V31">
        <v>56</v>
      </c>
      <c r="W31">
        <v>94</v>
      </c>
      <c r="X31">
        <v>249</v>
      </c>
      <c r="Y31">
        <v>466</v>
      </c>
      <c r="Z31">
        <v>839</v>
      </c>
      <c r="AA31">
        <v>1197</v>
      </c>
      <c r="AB31">
        <v>1604</v>
      </c>
      <c r="AC31">
        <v>2151</v>
      </c>
      <c r="AD31">
        <v>2760</v>
      </c>
      <c r="AE31">
        <v>3110</v>
      </c>
      <c r="AF31">
        <v>3798</v>
      </c>
      <c r="AG31">
        <v>4261</v>
      </c>
      <c r="AH31">
        <v>5261</v>
      </c>
      <c r="AI31">
        <v>5950</v>
      </c>
      <c r="AJ31">
        <v>6457</v>
      </c>
      <c r="AK31">
        <v>6958</v>
      </c>
      <c r="AL31">
        <v>7327</v>
      </c>
      <c r="AM31">
        <v>7727</v>
      </c>
      <c r="AN31">
        <v>8093</v>
      </c>
      <c r="AO31">
        <v>8597</v>
      </c>
      <c r="AP31">
        <v>9026</v>
      </c>
      <c r="AQ31">
        <v>9328</v>
      </c>
      <c r="AR31">
        <v>9351</v>
      </c>
      <c r="AS31">
        <v>9329</v>
      </c>
      <c r="AT31">
        <v>9951</v>
      </c>
      <c r="AU31">
        <v>10079</v>
      </c>
      <c r="AV31">
        <v>10057</v>
      </c>
      <c r="AW31">
        <v>10070</v>
      </c>
      <c r="AX31">
        <v>9955</v>
      </c>
      <c r="AY31">
        <v>10236</v>
      </c>
      <c r="AZ31">
        <v>9967</v>
      </c>
      <c r="BA31">
        <v>9577</v>
      </c>
      <c r="BB31">
        <v>9310</v>
      </c>
      <c r="BC31">
        <v>8915</v>
      </c>
      <c r="BD31">
        <v>8349</v>
      </c>
      <c r="BE31">
        <v>8741</v>
      </c>
      <c r="BF31">
        <v>8052</v>
      </c>
      <c r="BG31">
        <v>7592</v>
      </c>
      <c r="BH31">
        <v>7001</v>
      </c>
      <c r="BI31">
        <v>6512</v>
      </c>
      <c r="BJ31">
        <v>6165</v>
      </c>
      <c r="BK31">
        <v>5564</v>
      </c>
      <c r="BL31">
        <v>4739</v>
      </c>
      <c r="BM31">
        <v>4308</v>
      </c>
      <c r="BN31">
        <v>3465</v>
      </c>
      <c r="BO31">
        <v>3066</v>
      </c>
      <c r="BP31">
        <v>2589</v>
      </c>
      <c r="BQ31">
        <v>1888</v>
      </c>
      <c r="BR31">
        <v>1364</v>
      </c>
      <c r="BS31">
        <v>917</v>
      </c>
      <c r="BT31">
        <v>560</v>
      </c>
      <c r="BU31">
        <v>338</v>
      </c>
      <c r="BV31">
        <v>147</v>
      </c>
      <c r="BW31">
        <v>60</v>
      </c>
      <c r="BX31">
        <v>46</v>
      </c>
      <c r="BY31">
        <v>44</v>
      </c>
      <c r="BZ31">
        <v>44</v>
      </c>
      <c r="CA31">
        <v>44</v>
      </c>
      <c r="CB31">
        <v>44</v>
      </c>
      <c r="CC31">
        <v>44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</row>
    <row r="32" spans="1:97">
      <c r="A32" s="9">
        <v>46265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44</v>
      </c>
      <c r="S32">
        <v>44</v>
      </c>
      <c r="T32">
        <v>44</v>
      </c>
      <c r="U32">
        <v>44</v>
      </c>
      <c r="V32">
        <v>48</v>
      </c>
      <c r="W32">
        <v>96</v>
      </c>
      <c r="X32">
        <v>263</v>
      </c>
      <c r="Y32">
        <v>464</v>
      </c>
      <c r="Z32">
        <v>854</v>
      </c>
      <c r="AA32">
        <v>1267</v>
      </c>
      <c r="AB32">
        <v>1847</v>
      </c>
      <c r="AC32">
        <v>2511</v>
      </c>
      <c r="AD32">
        <v>3243</v>
      </c>
      <c r="AE32">
        <v>3957</v>
      </c>
      <c r="AF32">
        <v>4698</v>
      </c>
      <c r="AG32">
        <v>5334</v>
      </c>
      <c r="AH32">
        <v>5992</v>
      </c>
      <c r="AI32">
        <v>6660</v>
      </c>
      <c r="AJ32">
        <v>7250</v>
      </c>
      <c r="AK32">
        <v>7863</v>
      </c>
      <c r="AL32">
        <v>8360</v>
      </c>
      <c r="AM32">
        <v>8967</v>
      </c>
      <c r="AN32">
        <v>9282</v>
      </c>
      <c r="AO32">
        <v>9491</v>
      </c>
      <c r="AP32">
        <v>9724</v>
      </c>
      <c r="AQ32">
        <v>9812</v>
      </c>
      <c r="AR32">
        <v>10007</v>
      </c>
      <c r="AS32">
        <v>9923</v>
      </c>
      <c r="AT32">
        <v>9713</v>
      </c>
      <c r="AU32">
        <v>9599</v>
      </c>
      <c r="AV32">
        <v>9297</v>
      </c>
      <c r="AW32">
        <v>8848</v>
      </c>
      <c r="AX32">
        <v>9149</v>
      </c>
      <c r="AY32">
        <v>8940</v>
      </c>
      <c r="AZ32">
        <v>8872</v>
      </c>
      <c r="BA32">
        <v>8678</v>
      </c>
      <c r="BB32">
        <v>8564</v>
      </c>
      <c r="BC32">
        <v>8649</v>
      </c>
      <c r="BD32">
        <v>8438</v>
      </c>
      <c r="BE32">
        <v>7900</v>
      </c>
      <c r="BF32">
        <v>7589</v>
      </c>
      <c r="BG32">
        <v>7395</v>
      </c>
      <c r="BH32">
        <v>6079</v>
      </c>
      <c r="BI32">
        <v>5773</v>
      </c>
      <c r="BJ32">
        <v>5775</v>
      </c>
      <c r="BK32">
        <v>5278</v>
      </c>
      <c r="BL32">
        <v>4657</v>
      </c>
      <c r="BM32">
        <v>4241</v>
      </c>
      <c r="BN32">
        <v>3923</v>
      </c>
      <c r="BO32">
        <v>3262</v>
      </c>
      <c r="BP32">
        <v>2622</v>
      </c>
      <c r="BQ32">
        <v>2072</v>
      </c>
      <c r="BR32">
        <v>1396</v>
      </c>
      <c r="BS32">
        <v>904</v>
      </c>
      <c r="BT32">
        <v>559</v>
      </c>
      <c r="BU32">
        <v>322</v>
      </c>
      <c r="BV32">
        <v>136</v>
      </c>
      <c r="BW32">
        <v>53</v>
      </c>
      <c r="BX32">
        <v>44</v>
      </c>
      <c r="BY32">
        <v>43</v>
      </c>
      <c r="BZ32">
        <v>42</v>
      </c>
      <c r="CA32">
        <v>43</v>
      </c>
      <c r="CB32">
        <v>42</v>
      </c>
      <c r="CC32">
        <v>43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</row>
  </sheetData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CS32"/>
  <sheetViews>
    <sheetView workbookViewId="0">
      <selection activeCell="A2" sqref="$A2:$XFD2"/>
    </sheetView>
  </sheetViews>
  <sheetFormatPr defaultColWidth="9" defaultRowHeight="13.5"/>
  <cols>
    <col min="1" max="1" width="11.8916666666667" style="9" customWidth="1"/>
  </cols>
  <sheetData>
    <row r="1" spans="1:97">
      <c r="A1" s="9" t="s">
        <v>0</v>
      </c>
      <c r="B1" s="1">
        <v>0.0104166666666667</v>
      </c>
      <c r="C1" s="1">
        <v>0.0208333333333333</v>
      </c>
      <c r="D1" s="1">
        <v>0.03125</v>
      </c>
      <c r="E1" s="1">
        <v>0.0416666666666667</v>
      </c>
      <c r="F1" s="1">
        <v>0.0520833333333333</v>
      </c>
      <c r="G1" s="1">
        <v>0.0625</v>
      </c>
      <c r="H1" s="1">
        <v>0.0729166666666667</v>
      </c>
      <c r="I1" s="1">
        <v>0.0833333333333333</v>
      </c>
      <c r="J1" s="1">
        <v>0.09375</v>
      </c>
      <c r="K1" s="1">
        <v>0.104166666666667</v>
      </c>
      <c r="L1" s="1">
        <v>0.114583333333333</v>
      </c>
      <c r="M1" s="1">
        <v>0.125</v>
      </c>
      <c r="N1" s="1">
        <v>0.135416666666667</v>
      </c>
      <c r="O1" s="1">
        <v>0.145833333333333</v>
      </c>
      <c r="P1" s="1">
        <v>0.15625</v>
      </c>
      <c r="Q1" s="1">
        <v>0.166666666666667</v>
      </c>
      <c r="R1" s="1">
        <v>0.177083333333333</v>
      </c>
      <c r="S1" s="1">
        <v>0.1875</v>
      </c>
      <c r="T1" s="1">
        <v>0.197916666666667</v>
      </c>
      <c r="U1" s="1">
        <v>0.208333333333333</v>
      </c>
      <c r="V1" s="1">
        <v>0.21875</v>
      </c>
      <c r="W1" s="1">
        <v>0.229166666666667</v>
      </c>
      <c r="X1" s="1">
        <v>0.239583333333333</v>
      </c>
      <c r="Y1" s="1">
        <v>0.25</v>
      </c>
      <c r="Z1" s="1">
        <v>0.260416666666667</v>
      </c>
      <c r="AA1" s="1">
        <v>0.270833333333333</v>
      </c>
      <c r="AB1" s="1">
        <v>0.28125</v>
      </c>
      <c r="AC1" s="1">
        <v>0.291666666666667</v>
      </c>
      <c r="AD1" s="1">
        <v>0.302083333333333</v>
      </c>
      <c r="AE1" s="1">
        <v>0.3125</v>
      </c>
      <c r="AF1" s="1">
        <v>0.322916666666667</v>
      </c>
      <c r="AG1" s="1">
        <v>0.333333333333333</v>
      </c>
      <c r="AH1" s="1">
        <v>0.34375</v>
      </c>
      <c r="AI1" s="1">
        <v>0.354166666666667</v>
      </c>
      <c r="AJ1" s="1">
        <v>0.364583333333333</v>
      </c>
      <c r="AK1" s="1">
        <v>0.375</v>
      </c>
      <c r="AL1" s="1">
        <v>0.385416666666667</v>
      </c>
      <c r="AM1" s="1">
        <v>0.395833333333333</v>
      </c>
      <c r="AN1" s="1">
        <v>0.40625</v>
      </c>
      <c r="AO1" s="1">
        <v>0.416666666666667</v>
      </c>
      <c r="AP1" s="1">
        <v>0.427083333333333</v>
      </c>
      <c r="AQ1" s="1">
        <v>0.4375</v>
      </c>
      <c r="AR1" s="1">
        <v>0.447916666666667</v>
      </c>
      <c r="AS1" s="1">
        <v>0.458333333333333</v>
      </c>
      <c r="AT1" s="1">
        <v>0.46875</v>
      </c>
      <c r="AU1" s="1">
        <v>0.479166666666667</v>
      </c>
      <c r="AV1" s="1">
        <v>0.489583333333333</v>
      </c>
      <c r="AW1" s="1">
        <v>0.5</v>
      </c>
      <c r="AX1" s="1">
        <v>0.510416666666667</v>
      </c>
      <c r="AY1" s="1">
        <v>0.520833333333333</v>
      </c>
      <c r="AZ1" s="1">
        <v>0.53125</v>
      </c>
      <c r="BA1" s="1">
        <v>0.541666666666667</v>
      </c>
      <c r="BB1" s="1">
        <v>0.552083333333333</v>
      </c>
      <c r="BC1" s="1">
        <v>0.5625</v>
      </c>
      <c r="BD1" s="1">
        <v>0.572916666666667</v>
      </c>
      <c r="BE1" s="1">
        <v>0.583333333333333</v>
      </c>
      <c r="BF1" s="1">
        <v>0.59375</v>
      </c>
      <c r="BG1" s="1">
        <v>0.604166666666667</v>
      </c>
      <c r="BH1" s="1">
        <v>0.614583333333333</v>
      </c>
      <c r="BI1" s="1">
        <v>0.625</v>
      </c>
      <c r="BJ1" s="1">
        <v>0.635416666666667</v>
      </c>
      <c r="BK1" s="1">
        <v>0.645833333333333</v>
      </c>
      <c r="BL1" s="1">
        <v>0.65625</v>
      </c>
      <c r="BM1" s="1">
        <v>0.666666666666667</v>
      </c>
      <c r="BN1" s="1">
        <v>0.677083333333333</v>
      </c>
      <c r="BO1" s="1">
        <v>0.6875</v>
      </c>
      <c r="BP1" s="1">
        <v>0.697916666666667</v>
      </c>
      <c r="BQ1" s="1">
        <v>0.708333333333333</v>
      </c>
      <c r="BR1" s="1">
        <v>0.71875</v>
      </c>
      <c r="BS1" s="1">
        <v>0.729166666666667</v>
      </c>
      <c r="BT1" s="1">
        <v>0.739583333333333</v>
      </c>
      <c r="BU1" s="1">
        <v>0.75</v>
      </c>
      <c r="BV1" s="1">
        <v>0.760416666666667</v>
      </c>
      <c r="BW1" s="1">
        <v>0.770833333333333</v>
      </c>
      <c r="BX1" s="1">
        <v>0.78125</v>
      </c>
      <c r="BY1" s="1">
        <v>0.791666666666667</v>
      </c>
      <c r="BZ1" s="1">
        <v>0.802083333333333</v>
      </c>
      <c r="CA1" s="1">
        <v>0.8125</v>
      </c>
      <c r="CB1" s="1">
        <v>0.822916666666667</v>
      </c>
      <c r="CC1" s="1">
        <v>0.833333333333333</v>
      </c>
      <c r="CD1" s="1">
        <v>0.84375</v>
      </c>
      <c r="CE1" s="1">
        <v>0.854166666666667</v>
      </c>
      <c r="CF1" s="1">
        <v>0.864583333333333</v>
      </c>
      <c r="CG1" s="1">
        <v>0.875</v>
      </c>
      <c r="CH1" s="1">
        <v>0.885416666666667</v>
      </c>
      <c r="CI1" s="1">
        <v>0.895833333333333</v>
      </c>
      <c r="CJ1" s="1">
        <v>0.90625</v>
      </c>
      <c r="CK1" s="1">
        <v>0.916666666666667</v>
      </c>
      <c r="CL1" s="1">
        <v>0.927083333333333</v>
      </c>
      <c r="CM1" s="1">
        <v>0.9375</v>
      </c>
      <c r="CN1" s="1">
        <v>0.947916666666667</v>
      </c>
      <c r="CO1" s="1">
        <v>0.958333333333333</v>
      </c>
      <c r="CP1" s="1">
        <v>0.96875</v>
      </c>
      <c r="CQ1" s="1">
        <v>0.979166666666667</v>
      </c>
      <c r="CR1" s="1">
        <v>0.989583333333333</v>
      </c>
      <c r="CS1" s="1">
        <v>1</v>
      </c>
    </row>
    <row r="2" spans="1:97">
      <c r="A2" s="9">
        <v>46235</v>
      </c>
      <c r="B2">
        <v>2101</v>
      </c>
      <c r="C2">
        <v>730</v>
      </c>
      <c r="D2">
        <v>527</v>
      </c>
      <c r="E2">
        <v>62</v>
      </c>
      <c r="F2">
        <v>-733</v>
      </c>
      <c r="G2">
        <v>-917</v>
      </c>
      <c r="H2">
        <v>-958</v>
      </c>
      <c r="I2">
        <v>-883</v>
      </c>
      <c r="J2">
        <v>-950</v>
      </c>
      <c r="K2">
        <v>-949</v>
      </c>
      <c r="L2">
        <v>-1041</v>
      </c>
      <c r="M2">
        <v>-1095</v>
      </c>
      <c r="N2">
        <v>-1796</v>
      </c>
      <c r="O2">
        <v>-1477</v>
      </c>
      <c r="P2">
        <v>-1610</v>
      </c>
      <c r="Q2">
        <v>-1709</v>
      </c>
      <c r="R2">
        <v>-1923</v>
      </c>
      <c r="S2">
        <v>-1883</v>
      </c>
      <c r="T2">
        <v>-1652</v>
      </c>
      <c r="U2">
        <v>-1204</v>
      </c>
      <c r="V2">
        <v>-666</v>
      </c>
      <c r="W2">
        <v>-578</v>
      </c>
      <c r="X2">
        <v>-514</v>
      </c>
      <c r="Y2">
        <v>124</v>
      </c>
      <c r="Z2">
        <v>-459</v>
      </c>
      <c r="AA2">
        <v>219</v>
      </c>
      <c r="AB2">
        <v>1316</v>
      </c>
      <c r="AC2">
        <v>1628</v>
      </c>
      <c r="AD2">
        <v>1951</v>
      </c>
      <c r="AE2">
        <v>2097</v>
      </c>
      <c r="AF2">
        <v>2266</v>
      </c>
      <c r="AG2">
        <v>2896</v>
      </c>
      <c r="AH2">
        <v>3634</v>
      </c>
      <c r="AI2">
        <v>3916</v>
      </c>
      <c r="AJ2">
        <v>4160</v>
      </c>
      <c r="AK2">
        <v>4565</v>
      </c>
      <c r="AL2">
        <v>5319</v>
      </c>
      <c r="AM2">
        <v>5729</v>
      </c>
      <c r="AN2">
        <v>5897</v>
      </c>
      <c r="AO2">
        <v>6139</v>
      </c>
      <c r="AP2">
        <v>5922</v>
      </c>
      <c r="AQ2">
        <v>6019</v>
      </c>
      <c r="AR2">
        <v>5992</v>
      </c>
      <c r="AS2">
        <v>6216</v>
      </c>
      <c r="AT2">
        <v>6966</v>
      </c>
      <c r="AU2">
        <v>6516</v>
      </c>
      <c r="AV2">
        <v>6668</v>
      </c>
      <c r="AW2">
        <v>6912</v>
      </c>
      <c r="AX2">
        <v>7761</v>
      </c>
      <c r="AY2">
        <v>7990</v>
      </c>
      <c r="AZ2">
        <v>8357</v>
      </c>
      <c r="BA2">
        <v>8761</v>
      </c>
      <c r="BB2">
        <v>9058</v>
      </c>
      <c r="BC2">
        <v>8531</v>
      </c>
      <c r="BD2">
        <v>8680</v>
      </c>
      <c r="BE2">
        <v>8517</v>
      </c>
      <c r="BF2">
        <v>8541</v>
      </c>
      <c r="BG2">
        <v>8664</v>
      </c>
      <c r="BH2">
        <v>8498</v>
      </c>
      <c r="BI2">
        <v>8271</v>
      </c>
      <c r="BJ2">
        <v>8281</v>
      </c>
      <c r="BK2">
        <v>8193</v>
      </c>
      <c r="BL2">
        <v>8683</v>
      </c>
      <c r="BM2">
        <v>8701</v>
      </c>
      <c r="BN2">
        <v>8067</v>
      </c>
      <c r="BO2">
        <v>7977</v>
      </c>
      <c r="BP2">
        <v>8086</v>
      </c>
      <c r="BQ2">
        <v>8297</v>
      </c>
      <c r="BR2">
        <v>7945</v>
      </c>
      <c r="BS2">
        <v>7724</v>
      </c>
      <c r="BT2">
        <v>7915</v>
      </c>
      <c r="BU2">
        <v>7893</v>
      </c>
      <c r="BV2">
        <v>7712</v>
      </c>
      <c r="BW2">
        <v>7653</v>
      </c>
      <c r="BX2">
        <v>7661</v>
      </c>
      <c r="BY2">
        <v>7469</v>
      </c>
      <c r="BZ2">
        <v>7532</v>
      </c>
      <c r="CA2">
        <v>7210</v>
      </c>
      <c r="CB2">
        <v>7092</v>
      </c>
      <c r="CC2">
        <v>7105</v>
      </c>
      <c r="CD2">
        <v>6886</v>
      </c>
      <c r="CE2">
        <v>6549</v>
      </c>
      <c r="CF2">
        <v>6301</v>
      </c>
      <c r="CG2">
        <v>5809</v>
      </c>
      <c r="CH2">
        <v>5769</v>
      </c>
      <c r="CI2">
        <v>5985</v>
      </c>
      <c r="CJ2">
        <v>5827</v>
      </c>
      <c r="CK2">
        <v>5924</v>
      </c>
      <c r="CL2">
        <v>5731</v>
      </c>
      <c r="CM2">
        <v>5268</v>
      </c>
      <c r="CN2">
        <v>5220</v>
      </c>
      <c r="CO2">
        <v>5387</v>
      </c>
      <c r="CP2">
        <v>5376</v>
      </c>
      <c r="CQ2">
        <v>5399</v>
      </c>
      <c r="CR2">
        <v>5401</v>
      </c>
      <c r="CS2">
        <v>5003</v>
      </c>
    </row>
    <row r="3" spans="1:97">
      <c r="A3" s="9">
        <v>46236</v>
      </c>
      <c r="B3">
        <v>2569</v>
      </c>
      <c r="C3">
        <v>1204</v>
      </c>
      <c r="D3">
        <v>326</v>
      </c>
      <c r="E3">
        <v>-233</v>
      </c>
      <c r="F3">
        <v>-385</v>
      </c>
      <c r="G3">
        <v>-596</v>
      </c>
      <c r="H3">
        <v>-836</v>
      </c>
      <c r="I3">
        <v>-892</v>
      </c>
      <c r="J3">
        <v>-747</v>
      </c>
      <c r="K3">
        <v>-1112</v>
      </c>
      <c r="L3">
        <v>-1045</v>
      </c>
      <c r="M3">
        <v>-1401</v>
      </c>
      <c r="N3">
        <v>-1603</v>
      </c>
      <c r="O3">
        <v>-1598</v>
      </c>
      <c r="P3">
        <v>-1444</v>
      </c>
      <c r="Q3">
        <v>-1466</v>
      </c>
      <c r="R3">
        <v>-1171</v>
      </c>
      <c r="S3">
        <v>-716</v>
      </c>
      <c r="T3">
        <v>-187</v>
      </c>
      <c r="U3">
        <v>432</v>
      </c>
      <c r="V3">
        <v>846</v>
      </c>
      <c r="W3">
        <v>1572</v>
      </c>
      <c r="X3">
        <v>1692</v>
      </c>
      <c r="Y3">
        <v>1743</v>
      </c>
      <c r="Z3">
        <v>1481</v>
      </c>
      <c r="AA3">
        <v>1339</v>
      </c>
      <c r="AB3">
        <v>1658</v>
      </c>
      <c r="AC3">
        <v>1948</v>
      </c>
      <c r="AD3">
        <v>3206</v>
      </c>
      <c r="AE3">
        <v>3748</v>
      </c>
      <c r="AF3">
        <v>4120</v>
      </c>
      <c r="AG3">
        <v>4193</v>
      </c>
      <c r="AH3">
        <v>4264</v>
      </c>
      <c r="AI3">
        <v>4523</v>
      </c>
      <c r="AJ3">
        <v>5763</v>
      </c>
      <c r="AK3">
        <v>6335</v>
      </c>
      <c r="AL3">
        <v>6029</v>
      </c>
      <c r="AM3">
        <v>6490</v>
      </c>
      <c r="AN3">
        <v>6323</v>
      </c>
      <c r="AO3">
        <v>7225</v>
      </c>
      <c r="AP3">
        <v>8072</v>
      </c>
      <c r="AQ3">
        <v>7916</v>
      </c>
      <c r="AR3">
        <v>7550</v>
      </c>
      <c r="AS3">
        <v>7621</v>
      </c>
      <c r="AT3">
        <v>7050</v>
      </c>
      <c r="AU3">
        <v>7158</v>
      </c>
      <c r="AV3">
        <v>6895</v>
      </c>
      <c r="AW3">
        <v>6880</v>
      </c>
      <c r="AX3">
        <v>6822</v>
      </c>
      <c r="AY3">
        <v>7136</v>
      </c>
      <c r="AZ3">
        <v>7269</v>
      </c>
      <c r="BA3">
        <v>7589</v>
      </c>
      <c r="BB3">
        <v>7216</v>
      </c>
      <c r="BC3">
        <v>7247</v>
      </c>
      <c r="BD3">
        <v>7526</v>
      </c>
      <c r="BE3">
        <v>7376</v>
      </c>
      <c r="BF3">
        <v>7197</v>
      </c>
      <c r="BG3">
        <v>7397</v>
      </c>
      <c r="BH3">
        <v>7827</v>
      </c>
      <c r="BI3">
        <v>8347</v>
      </c>
      <c r="BJ3">
        <v>8725</v>
      </c>
      <c r="BK3">
        <v>8941</v>
      </c>
      <c r="BL3">
        <v>8932</v>
      </c>
      <c r="BM3">
        <v>8335</v>
      </c>
      <c r="BN3">
        <v>8229</v>
      </c>
      <c r="BO3">
        <v>8078</v>
      </c>
      <c r="BP3">
        <v>8231</v>
      </c>
      <c r="BQ3">
        <v>8661</v>
      </c>
      <c r="BR3">
        <v>8578</v>
      </c>
      <c r="BS3">
        <v>8575</v>
      </c>
      <c r="BT3">
        <v>8352</v>
      </c>
      <c r="BU3">
        <v>8464</v>
      </c>
      <c r="BV3">
        <v>8242</v>
      </c>
      <c r="BW3">
        <v>8598</v>
      </c>
      <c r="BX3">
        <v>8410</v>
      </c>
      <c r="BY3">
        <v>8961</v>
      </c>
      <c r="BZ3">
        <v>8509</v>
      </c>
      <c r="CA3">
        <v>8174</v>
      </c>
      <c r="CB3">
        <v>8088</v>
      </c>
      <c r="CC3">
        <v>8045</v>
      </c>
      <c r="CD3">
        <v>8201</v>
      </c>
      <c r="CE3">
        <v>8016</v>
      </c>
      <c r="CF3">
        <v>7996</v>
      </c>
      <c r="CG3">
        <v>7904</v>
      </c>
      <c r="CH3">
        <v>6757</v>
      </c>
      <c r="CI3">
        <v>5647</v>
      </c>
      <c r="CJ3">
        <v>5437</v>
      </c>
      <c r="CK3">
        <v>4989</v>
      </c>
      <c r="CL3">
        <v>5552</v>
      </c>
      <c r="CM3">
        <v>5177</v>
      </c>
      <c r="CN3">
        <v>4187</v>
      </c>
      <c r="CO3">
        <v>3612</v>
      </c>
      <c r="CP3">
        <v>3648</v>
      </c>
      <c r="CQ3">
        <v>3722</v>
      </c>
      <c r="CR3">
        <v>4001</v>
      </c>
      <c r="CS3">
        <v>3760</v>
      </c>
    </row>
    <row r="4" spans="1:97">
      <c r="A4" s="9">
        <v>46237</v>
      </c>
      <c r="B4">
        <v>2877</v>
      </c>
      <c r="C4">
        <v>2157</v>
      </c>
      <c r="D4">
        <v>1429</v>
      </c>
      <c r="E4">
        <v>1125</v>
      </c>
      <c r="F4">
        <v>884</v>
      </c>
      <c r="G4">
        <v>698</v>
      </c>
      <c r="H4">
        <v>380</v>
      </c>
      <c r="I4">
        <v>567</v>
      </c>
      <c r="J4">
        <v>767</v>
      </c>
      <c r="K4">
        <v>816</v>
      </c>
      <c r="L4">
        <v>1051</v>
      </c>
      <c r="M4">
        <v>1068</v>
      </c>
      <c r="N4">
        <v>899</v>
      </c>
      <c r="O4">
        <v>886</v>
      </c>
      <c r="P4">
        <v>704</v>
      </c>
      <c r="Q4">
        <v>746</v>
      </c>
      <c r="R4">
        <v>504</v>
      </c>
      <c r="S4">
        <v>371</v>
      </c>
      <c r="T4">
        <v>13</v>
      </c>
      <c r="U4">
        <v>109</v>
      </c>
      <c r="V4">
        <v>1342</v>
      </c>
      <c r="W4">
        <v>1949</v>
      </c>
      <c r="X4">
        <v>2072</v>
      </c>
      <c r="Y4">
        <v>2782</v>
      </c>
      <c r="Z4">
        <v>2287</v>
      </c>
      <c r="AA4">
        <v>2317</v>
      </c>
      <c r="AB4">
        <v>2860</v>
      </c>
      <c r="AC4">
        <v>3231</v>
      </c>
      <c r="AD4">
        <v>3990</v>
      </c>
      <c r="AE4">
        <v>4263</v>
      </c>
      <c r="AF4">
        <v>4435</v>
      </c>
      <c r="AG4">
        <v>4889</v>
      </c>
      <c r="AH4">
        <v>4527</v>
      </c>
      <c r="AI4">
        <v>5047</v>
      </c>
      <c r="AJ4">
        <v>5370</v>
      </c>
      <c r="AK4">
        <v>5493</v>
      </c>
      <c r="AL4">
        <v>5209</v>
      </c>
      <c r="AM4">
        <v>5265</v>
      </c>
      <c r="AN4">
        <v>5919</v>
      </c>
      <c r="AO4">
        <v>6194</v>
      </c>
      <c r="AP4">
        <v>5695</v>
      </c>
      <c r="AQ4">
        <v>5278</v>
      </c>
      <c r="AR4">
        <v>5276</v>
      </c>
      <c r="AS4">
        <v>5479</v>
      </c>
      <c r="AT4">
        <v>6206</v>
      </c>
      <c r="AU4">
        <v>5931</v>
      </c>
      <c r="AV4">
        <v>5221</v>
      </c>
      <c r="AW4">
        <v>4718</v>
      </c>
      <c r="AX4">
        <v>5075</v>
      </c>
      <c r="AY4">
        <v>5451</v>
      </c>
      <c r="AZ4">
        <v>4670</v>
      </c>
      <c r="BA4">
        <v>4493</v>
      </c>
      <c r="BB4">
        <v>5530</v>
      </c>
      <c r="BC4">
        <v>5680</v>
      </c>
      <c r="BD4">
        <v>5100</v>
      </c>
      <c r="BE4">
        <v>5034</v>
      </c>
      <c r="BF4">
        <v>5703</v>
      </c>
      <c r="BG4">
        <v>5859</v>
      </c>
      <c r="BH4">
        <v>5081</v>
      </c>
      <c r="BI4">
        <v>4959</v>
      </c>
      <c r="BJ4">
        <v>5967</v>
      </c>
      <c r="BK4">
        <v>5677</v>
      </c>
      <c r="BL4">
        <v>4881</v>
      </c>
      <c r="BM4">
        <v>4741</v>
      </c>
      <c r="BN4">
        <v>5698</v>
      </c>
      <c r="BO4">
        <v>4654</v>
      </c>
      <c r="BP4">
        <v>4805</v>
      </c>
      <c r="BQ4">
        <v>4793</v>
      </c>
      <c r="BR4">
        <v>4042</v>
      </c>
      <c r="BS4">
        <v>3796</v>
      </c>
      <c r="BT4">
        <v>3969</v>
      </c>
      <c r="BU4">
        <v>4376</v>
      </c>
      <c r="BV4">
        <v>3723</v>
      </c>
      <c r="BW4">
        <v>3328</v>
      </c>
      <c r="BX4">
        <v>3599</v>
      </c>
      <c r="BY4">
        <v>3586</v>
      </c>
      <c r="BZ4">
        <v>3787</v>
      </c>
      <c r="CA4">
        <v>3733</v>
      </c>
      <c r="CB4">
        <v>4082</v>
      </c>
      <c r="CC4">
        <v>3925</v>
      </c>
      <c r="CD4">
        <v>4863</v>
      </c>
      <c r="CE4">
        <v>4432</v>
      </c>
      <c r="CF4">
        <v>3702</v>
      </c>
      <c r="CG4">
        <v>4131</v>
      </c>
      <c r="CH4">
        <v>5558</v>
      </c>
      <c r="CI4">
        <v>5107</v>
      </c>
      <c r="CJ4">
        <v>4885</v>
      </c>
      <c r="CK4">
        <v>4745</v>
      </c>
      <c r="CL4">
        <v>4681</v>
      </c>
      <c r="CM4">
        <v>4515</v>
      </c>
      <c r="CN4">
        <v>4340</v>
      </c>
      <c r="CO4">
        <v>3543</v>
      </c>
      <c r="CP4">
        <v>4012</v>
      </c>
      <c r="CQ4">
        <v>4309</v>
      </c>
      <c r="CR4">
        <v>3716</v>
      </c>
      <c r="CS4">
        <v>3342</v>
      </c>
    </row>
    <row r="5" spans="1:97">
      <c r="A5" s="9">
        <v>46238</v>
      </c>
      <c r="B5">
        <v>2762</v>
      </c>
      <c r="C5">
        <v>2029</v>
      </c>
      <c r="D5">
        <v>2293</v>
      </c>
      <c r="E5">
        <v>1710</v>
      </c>
      <c r="F5">
        <v>1395</v>
      </c>
      <c r="G5">
        <v>568</v>
      </c>
      <c r="H5">
        <v>759</v>
      </c>
      <c r="I5">
        <v>1214</v>
      </c>
      <c r="J5">
        <v>745</v>
      </c>
      <c r="K5">
        <v>713</v>
      </c>
      <c r="L5">
        <v>815</v>
      </c>
      <c r="M5">
        <v>907</v>
      </c>
      <c r="N5">
        <v>962</v>
      </c>
      <c r="O5">
        <v>1233</v>
      </c>
      <c r="P5">
        <v>969</v>
      </c>
      <c r="Q5">
        <v>1036</v>
      </c>
      <c r="R5">
        <v>1419</v>
      </c>
      <c r="S5">
        <v>1391</v>
      </c>
      <c r="T5">
        <v>1637</v>
      </c>
      <c r="U5">
        <v>1542</v>
      </c>
      <c r="V5">
        <v>2139</v>
      </c>
      <c r="W5">
        <v>2670</v>
      </c>
      <c r="X5">
        <v>3396</v>
      </c>
      <c r="Y5">
        <v>3753</v>
      </c>
      <c r="Z5">
        <v>3546</v>
      </c>
      <c r="AA5">
        <v>3726</v>
      </c>
      <c r="AB5">
        <v>4096</v>
      </c>
      <c r="AC5">
        <v>4294</v>
      </c>
      <c r="AD5">
        <v>4920</v>
      </c>
      <c r="AE5">
        <v>5087</v>
      </c>
      <c r="AF5">
        <v>5424</v>
      </c>
      <c r="AG5">
        <v>5638</v>
      </c>
      <c r="AH5">
        <v>5841</v>
      </c>
      <c r="AI5">
        <v>6230</v>
      </c>
      <c r="AJ5">
        <v>6568</v>
      </c>
      <c r="AK5">
        <v>6931</v>
      </c>
      <c r="AL5">
        <v>6840</v>
      </c>
      <c r="AM5">
        <v>6858</v>
      </c>
      <c r="AN5">
        <v>7047</v>
      </c>
      <c r="AO5">
        <v>7133</v>
      </c>
      <c r="AP5">
        <v>6552</v>
      </c>
      <c r="AQ5">
        <v>6383</v>
      </c>
      <c r="AR5">
        <v>6330</v>
      </c>
      <c r="AS5">
        <v>6446</v>
      </c>
      <c r="AT5">
        <v>6489</v>
      </c>
      <c r="AU5">
        <v>6413</v>
      </c>
      <c r="AV5">
        <v>6081</v>
      </c>
      <c r="AW5">
        <v>6130</v>
      </c>
      <c r="AX5">
        <v>6394</v>
      </c>
      <c r="AY5">
        <v>6661</v>
      </c>
      <c r="AZ5">
        <v>7147</v>
      </c>
      <c r="BA5">
        <v>7119</v>
      </c>
      <c r="BB5">
        <v>6767</v>
      </c>
      <c r="BC5">
        <v>6412</v>
      </c>
      <c r="BD5">
        <v>7087</v>
      </c>
      <c r="BE5">
        <v>7568</v>
      </c>
      <c r="BF5">
        <v>7235</v>
      </c>
      <c r="BG5">
        <v>6784</v>
      </c>
      <c r="BH5">
        <v>6970</v>
      </c>
      <c r="BI5">
        <v>6682</v>
      </c>
      <c r="BJ5">
        <v>7026</v>
      </c>
      <c r="BK5">
        <v>7393</v>
      </c>
      <c r="BL5">
        <v>7316</v>
      </c>
      <c r="BM5">
        <v>7599</v>
      </c>
      <c r="BN5">
        <v>7233</v>
      </c>
      <c r="BO5">
        <v>7357</v>
      </c>
      <c r="BP5">
        <v>7505</v>
      </c>
      <c r="BQ5">
        <v>7248</v>
      </c>
      <c r="BR5">
        <v>6749</v>
      </c>
      <c r="BS5">
        <v>6639</v>
      </c>
      <c r="BT5">
        <v>6523</v>
      </c>
      <c r="BU5">
        <v>6891</v>
      </c>
      <c r="BV5">
        <v>6807</v>
      </c>
      <c r="BW5">
        <v>6783</v>
      </c>
      <c r="BX5">
        <v>7301</v>
      </c>
      <c r="BY5">
        <v>7464</v>
      </c>
      <c r="BZ5">
        <v>7488</v>
      </c>
      <c r="CA5">
        <v>7732</v>
      </c>
      <c r="CB5">
        <v>7972</v>
      </c>
      <c r="CC5">
        <v>7975</v>
      </c>
      <c r="CD5">
        <v>8241</v>
      </c>
      <c r="CE5">
        <v>7969</v>
      </c>
      <c r="CF5">
        <v>7617</v>
      </c>
      <c r="CG5">
        <v>6957</v>
      </c>
      <c r="CH5">
        <v>6596</v>
      </c>
      <c r="CI5">
        <v>5767</v>
      </c>
      <c r="CJ5">
        <v>5084</v>
      </c>
      <c r="CK5">
        <v>4397</v>
      </c>
      <c r="CL5">
        <v>5091</v>
      </c>
      <c r="CM5">
        <v>4781</v>
      </c>
      <c r="CN5">
        <v>4253</v>
      </c>
      <c r="CO5">
        <v>4347</v>
      </c>
      <c r="CP5">
        <v>4168</v>
      </c>
      <c r="CQ5">
        <v>4000</v>
      </c>
      <c r="CR5">
        <v>3988</v>
      </c>
      <c r="CS5">
        <v>3312</v>
      </c>
    </row>
    <row r="6" spans="1:97">
      <c r="A6" s="9">
        <v>46239</v>
      </c>
      <c r="B6">
        <v>1416</v>
      </c>
      <c r="C6">
        <v>747</v>
      </c>
      <c r="D6">
        <v>55</v>
      </c>
      <c r="E6">
        <v>-136</v>
      </c>
      <c r="F6">
        <v>-944</v>
      </c>
      <c r="G6">
        <v>-1319</v>
      </c>
      <c r="H6">
        <v>-1279</v>
      </c>
      <c r="I6">
        <v>-1168</v>
      </c>
      <c r="J6">
        <v>-1035</v>
      </c>
      <c r="K6">
        <v>-1142</v>
      </c>
      <c r="L6">
        <v>-1133</v>
      </c>
      <c r="M6">
        <v>-1217</v>
      </c>
      <c r="N6">
        <v>-1418</v>
      </c>
      <c r="O6">
        <v>-1339</v>
      </c>
      <c r="P6">
        <v>-1365</v>
      </c>
      <c r="Q6">
        <v>-1425</v>
      </c>
      <c r="R6">
        <v>-793</v>
      </c>
      <c r="S6">
        <v>-391</v>
      </c>
      <c r="T6">
        <v>-248</v>
      </c>
      <c r="U6">
        <v>421</v>
      </c>
      <c r="V6">
        <v>1436</v>
      </c>
      <c r="W6">
        <v>1564</v>
      </c>
      <c r="X6">
        <v>1789</v>
      </c>
      <c r="Y6">
        <v>2749</v>
      </c>
      <c r="Z6">
        <v>3214</v>
      </c>
      <c r="AA6">
        <v>3513</v>
      </c>
      <c r="AB6">
        <v>3567</v>
      </c>
      <c r="AC6">
        <v>3631</v>
      </c>
      <c r="AD6">
        <v>4321</v>
      </c>
      <c r="AE6">
        <v>4703</v>
      </c>
      <c r="AF6">
        <v>5178</v>
      </c>
      <c r="AG6">
        <v>6066</v>
      </c>
      <c r="AH6">
        <v>7172</v>
      </c>
      <c r="AI6">
        <v>7557</v>
      </c>
      <c r="AJ6">
        <v>8262</v>
      </c>
      <c r="AK6">
        <v>7493</v>
      </c>
      <c r="AL6">
        <v>7539</v>
      </c>
      <c r="AM6">
        <v>7463</v>
      </c>
      <c r="AN6">
        <v>7492</v>
      </c>
      <c r="AO6">
        <v>7115</v>
      </c>
      <c r="AP6">
        <v>7179</v>
      </c>
      <c r="AQ6">
        <v>6654</v>
      </c>
      <c r="AR6">
        <v>6533</v>
      </c>
      <c r="AS6">
        <v>6810</v>
      </c>
      <c r="AT6">
        <v>6965</v>
      </c>
      <c r="AU6">
        <v>6877</v>
      </c>
      <c r="AV6">
        <v>6221</v>
      </c>
      <c r="AW6">
        <v>6121</v>
      </c>
      <c r="AX6">
        <v>6125</v>
      </c>
      <c r="AY6">
        <v>6365</v>
      </c>
      <c r="AZ6">
        <v>6256</v>
      </c>
      <c r="BA6">
        <v>6546</v>
      </c>
      <c r="BB6">
        <v>6849</v>
      </c>
      <c r="BC6">
        <v>7113</v>
      </c>
      <c r="BD6">
        <v>7030</v>
      </c>
      <c r="BE6">
        <v>7006</v>
      </c>
      <c r="BF6">
        <v>6788</v>
      </c>
      <c r="BG6">
        <v>6900</v>
      </c>
      <c r="BH6">
        <v>7266</v>
      </c>
      <c r="BI6">
        <v>9335</v>
      </c>
      <c r="BJ6">
        <v>10739</v>
      </c>
      <c r="BK6">
        <v>11355</v>
      </c>
      <c r="BL6">
        <v>11543</v>
      </c>
      <c r="BM6">
        <v>11644</v>
      </c>
      <c r="BN6">
        <v>12034</v>
      </c>
      <c r="BO6">
        <v>11549</v>
      </c>
      <c r="BP6">
        <v>10847</v>
      </c>
      <c r="BQ6">
        <v>10479</v>
      </c>
      <c r="BR6">
        <v>10388</v>
      </c>
      <c r="BS6">
        <v>10305</v>
      </c>
      <c r="BT6">
        <v>10516</v>
      </c>
      <c r="BU6">
        <v>10659</v>
      </c>
      <c r="BV6">
        <v>10840</v>
      </c>
      <c r="BW6">
        <v>10859</v>
      </c>
      <c r="BX6">
        <v>10600</v>
      </c>
      <c r="BY6">
        <v>10345</v>
      </c>
      <c r="BZ6">
        <v>10492</v>
      </c>
      <c r="CA6">
        <v>10247</v>
      </c>
      <c r="CB6">
        <v>10304</v>
      </c>
      <c r="CC6">
        <v>10159</v>
      </c>
      <c r="CD6">
        <v>10200</v>
      </c>
      <c r="CE6">
        <v>9727</v>
      </c>
      <c r="CF6">
        <v>9392</v>
      </c>
      <c r="CG6">
        <v>8544</v>
      </c>
      <c r="CH6">
        <v>8023</v>
      </c>
      <c r="CI6">
        <v>7936</v>
      </c>
      <c r="CJ6">
        <v>7233</v>
      </c>
      <c r="CK6">
        <v>7243</v>
      </c>
      <c r="CL6">
        <v>7461</v>
      </c>
      <c r="CM6">
        <v>6894</v>
      </c>
      <c r="CN6">
        <v>6567</v>
      </c>
      <c r="CO6">
        <v>6296</v>
      </c>
      <c r="CP6">
        <v>5381</v>
      </c>
      <c r="CQ6">
        <v>4944</v>
      </c>
      <c r="CR6">
        <v>4372</v>
      </c>
      <c r="CS6">
        <v>4271</v>
      </c>
    </row>
    <row r="7" spans="1:97">
      <c r="A7" s="9">
        <v>46240</v>
      </c>
      <c r="B7">
        <v>3513</v>
      </c>
      <c r="C7">
        <v>2675</v>
      </c>
      <c r="D7">
        <v>2212</v>
      </c>
      <c r="E7">
        <v>1952</v>
      </c>
      <c r="F7">
        <v>2028</v>
      </c>
      <c r="G7">
        <v>1666</v>
      </c>
      <c r="H7">
        <v>1452</v>
      </c>
      <c r="I7">
        <v>1073</v>
      </c>
      <c r="J7">
        <v>540</v>
      </c>
      <c r="K7">
        <v>535</v>
      </c>
      <c r="L7">
        <v>397</v>
      </c>
      <c r="M7">
        <v>537</v>
      </c>
      <c r="N7">
        <v>477</v>
      </c>
      <c r="O7">
        <v>436</v>
      </c>
      <c r="P7">
        <v>404</v>
      </c>
      <c r="Q7">
        <v>438</v>
      </c>
      <c r="R7">
        <v>532</v>
      </c>
      <c r="S7">
        <v>704</v>
      </c>
      <c r="T7">
        <v>751</v>
      </c>
      <c r="U7">
        <v>1028</v>
      </c>
      <c r="V7">
        <v>1435</v>
      </c>
      <c r="W7">
        <v>1629</v>
      </c>
      <c r="X7">
        <v>2090</v>
      </c>
      <c r="Y7">
        <v>3477</v>
      </c>
      <c r="Z7">
        <v>4320</v>
      </c>
      <c r="AA7">
        <v>4918</v>
      </c>
      <c r="AB7">
        <v>5057</v>
      </c>
      <c r="AC7">
        <v>4706</v>
      </c>
      <c r="AD7">
        <v>5496</v>
      </c>
      <c r="AE7">
        <v>5701</v>
      </c>
      <c r="AF7">
        <v>5684</v>
      </c>
      <c r="AG7">
        <v>5331</v>
      </c>
      <c r="AH7">
        <v>5715</v>
      </c>
      <c r="AI7">
        <v>5962</v>
      </c>
      <c r="AJ7">
        <v>6519</v>
      </c>
      <c r="AK7">
        <v>7346</v>
      </c>
      <c r="AL7">
        <v>7461</v>
      </c>
      <c r="AM7">
        <v>7548</v>
      </c>
      <c r="AN7">
        <v>8133</v>
      </c>
      <c r="AO7">
        <v>8153</v>
      </c>
      <c r="AP7">
        <v>8953</v>
      </c>
      <c r="AQ7">
        <v>9334</v>
      </c>
      <c r="AR7">
        <v>9176</v>
      </c>
      <c r="AS7">
        <v>9413</v>
      </c>
      <c r="AT7">
        <v>9234</v>
      </c>
      <c r="AU7">
        <v>9004</v>
      </c>
      <c r="AV7">
        <v>8828</v>
      </c>
      <c r="AW7">
        <v>8642</v>
      </c>
      <c r="AX7">
        <v>8678</v>
      </c>
      <c r="AY7">
        <v>9093</v>
      </c>
      <c r="AZ7">
        <v>9028</v>
      </c>
      <c r="BA7">
        <v>9327</v>
      </c>
      <c r="BB7">
        <v>9215</v>
      </c>
      <c r="BC7">
        <v>9302</v>
      </c>
      <c r="BD7">
        <v>9168</v>
      </c>
      <c r="BE7">
        <v>9273</v>
      </c>
      <c r="BF7">
        <v>9063</v>
      </c>
      <c r="BG7">
        <v>9073</v>
      </c>
      <c r="BH7">
        <v>9445</v>
      </c>
      <c r="BI7">
        <v>9418</v>
      </c>
      <c r="BJ7">
        <v>10714</v>
      </c>
      <c r="BK7">
        <v>10755</v>
      </c>
      <c r="BL7">
        <v>10951</v>
      </c>
      <c r="BM7">
        <v>10898</v>
      </c>
      <c r="BN7">
        <v>11829</v>
      </c>
      <c r="BO7">
        <v>12209</v>
      </c>
      <c r="BP7">
        <v>12139</v>
      </c>
      <c r="BQ7">
        <v>11877</v>
      </c>
      <c r="BR7">
        <v>11639</v>
      </c>
      <c r="BS7">
        <v>11825</v>
      </c>
      <c r="BT7">
        <v>11296</v>
      </c>
      <c r="BU7">
        <v>10714</v>
      </c>
      <c r="BV7">
        <v>10959</v>
      </c>
      <c r="BW7">
        <v>10876</v>
      </c>
      <c r="BX7">
        <v>10776</v>
      </c>
      <c r="BY7">
        <v>11317</v>
      </c>
      <c r="BZ7">
        <v>11061</v>
      </c>
      <c r="CA7">
        <v>10925</v>
      </c>
      <c r="CB7">
        <v>11220</v>
      </c>
      <c r="CC7">
        <v>11251</v>
      </c>
      <c r="CD7">
        <v>11096</v>
      </c>
      <c r="CE7">
        <v>11035</v>
      </c>
      <c r="CF7">
        <v>10510</v>
      </c>
      <c r="CG7">
        <v>10129</v>
      </c>
      <c r="CH7">
        <v>10217</v>
      </c>
      <c r="CI7">
        <v>8706</v>
      </c>
      <c r="CJ7">
        <v>8703</v>
      </c>
      <c r="CK7">
        <v>8873</v>
      </c>
      <c r="CL7">
        <v>9811</v>
      </c>
      <c r="CM7">
        <v>9238</v>
      </c>
      <c r="CN7">
        <v>8199</v>
      </c>
      <c r="CO7">
        <v>7039</v>
      </c>
      <c r="CP7">
        <v>6372</v>
      </c>
      <c r="CQ7">
        <v>5679</v>
      </c>
      <c r="CR7">
        <v>5673</v>
      </c>
      <c r="CS7">
        <v>5466</v>
      </c>
    </row>
    <row r="8" spans="1:97">
      <c r="A8" s="9">
        <v>46241</v>
      </c>
      <c r="B8">
        <v>6572</v>
      </c>
      <c r="C8">
        <v>6685</v>
      </c>
      <c r="D8">
        <v>6571</v>
      </c>
      <c r="E8">
        <v>6241</v>
      </c>
      <c r="F8">
        <v>5929</v>
      </c>
      <c r="G8">
        <v>5422</v>
      </c>
      <c r="H8">
        <v>5703</v>
      </c>
      <c r="I8">
        <v>5718</v>
      </c>
      <c r="J8">
        <v>4293</v>
      </c>
      <c r="K8">
        <v>3964</v>
      </c>
      <c r="L8">
        <v>3447</v>
      </c>
      <c r="M8">
        <v>3377</v>
      </c>
      <c r="N8">
        <v>2859</v>
      </c>
      <c r="O8">
        <v>2742</v>
      </c>
      <c r="P8">
        <v>2759</v>
      </c>
      <c r="Q8">
        <v>2704</v>
      </c>
      <c r="R8">
        <v>2667</v>
      </c>
      <c r="S8">
        <v>2711</v>
      </c>
      <c r="T8">
        <v>2841</v>
      </c>
      <c r="U8">
        <v>2858</v>
      </c>
      <c r="V8">
        <v>3020</v>
      </c>
      <c r="W8">
        <v>3174</v>
      </c>
      <c r="X8">
        <v>3466</v>
      </c>
      <c r="Y8">
        <v>3592</v>
      </c>
      <c r="Z8">
        <v>3258</v>
      </c>
      <c r="AA8">
        <v>3618</v>
      </c>
      <c r="AB8">
        <v>3923</v>
      </c>
      <c r="AC8">
        <v>4388</v>
      </c>
      <c r="AD8">
        <v>4403</v>
      </c>
      <c r="AE8">
        <v>4256</v>
      </c>
      <c r="AF8">
        <v>4714</v>
      </c>
      <c r="AG8">
        <v>4878</v>
      </c>
      <c r="AH8">
        <v>4823</v>
      </c>
      <c r="AI8">
        <v>5228</v>
      </c>
      <c r="AJ8">
        <v>6082</v>
      </c>
      <c r="AK8">
        <v>6319</v>
      </c>
      <c r="AL8">
        <v>6797</v>
      </c>
      <c r="AM8">
        <v>6984</v>
      </c>
      <c r="AN8">
        <v>7164</v>
      </c>
      <c r="AO8">
        <v>7112</v>
      </c>
      <c r="AP8">
        <v>7465</v>
      </c>
      <c r="AQ8">
        <v>7656</v>
      </c>
      <c r="AR8">
        <v>7285</v>
      </c>
      <c r="AS8">
        <v>6916</v>
      </c>
      <c r="AT8">
        <v>6136</v>
      </c>
      <c r="AU8">
        <v>6196</v>
      </c>
      <c r="AV8">
        <v>6072</v>
      </c>
      <c r="AW8">
        <v>5643</v>
      </c>
      <c r="AX8">
        <v>5058</v>
      </c>
      <c r="AY8">
        <v>5120</v>
      </c>
      <c r="AZ8">
        <v>4810</v>
      </c>
      <c r="BA8">
        <v>4586</v>
      </c>
      <c r="BB8">
        <v>5781</v>
      </c>
      <c r="BC8">
        <v>5983</v>
      </c>
      <c r="BD8">
        <v>6389</v>
      </c>
      <c r="BE8">
        <v>6919</v>
      </c>
      <c r="BF8">
        <v>7471</v>
      </c>
      <c r="BG8">
        <v>7772</v>
      </c>
      <c r="BH8">
        <v>8335</v>
      </c>
      <c r="BI8">
        <v>8612</v>
      </c>
      <c r="BJ8">
        <v>8344</v>
      </c>
      <c r="BK8">
        <v>8169</v>
      </c>
      <c r="BL8">
        <v>8003</v>
      </c>
      <c r="BM8">
        <v>7973</v>
      </c>
      <c r="BN8">
        <v>7179</v>
      </c>
      <c r="BO8">
        <v>7006</v>
      </c>
      <c r="BP8">
        <v>6675</v>
      </c>
      <c r="BQ8">
        <v>6223</v>
      </c>
      <c r="BR8">
        <v>5861</v>
      </c>
      <c r="BS8">
        <v>5812</v>
      </c>
      <c r="BT8">
        <v>5473</v>
      </c>
      <c r="BU8">
        <v>6087</v>
      </c>
      <c r="BV8">
        <v>5733</v>
      </c>
      <c r="BW8">
        <v>5631</v>
      </c>
      <c r="BX8">
        <v>5803</v>
      </c>
      <c r="BY8">
        <v>5653</v>
      </c>
      <c r="BZ8">
        <v>5939</v>
      </c>
      <c r="CA8">
        <v>5697</v>
      </c>
      <c r="CB8">
        <v>5112</v>
      </c>
      <c r="CC8">
        <v>4948</v>
      </c>
      <c r="CD8">
        <v>4274</v>
      </c>
      <c r="CE8">
        <v>3815</v>
      </c>
      <c r="CF8">
        <v>3558</v>
      </c>
      <c r="CG8">
        <v>2975</v>
      </c>
      <c r="CH8">
        <v>3117</v>
      </c>
      <c r="CI8">
        <v>2511</v>
      </c>
      <c r="CJ8">
        <v>1760</v>
      </c>
      <c r="CK8">
        <v>1325</v>
      </c>
      <c r="CL8">
        <v>1875</v>
      </c>
      <c r="CM8">
        <v>1318</v>
      </c>
      <c r="CN8">
        <v>904</v>
      </c>
      <c r="CO8">
        <v>136</v>
      </c>
      <c r="CP8">
        <v>135</v>
      </c>
      <c r="CQ8">
        <v>-82</v>
      </c>
      <c r="CR8">
        <v>128</v>
      </c>
      <c r="CS8">
        <v>-483</v>
      </c>
    </row>
    <row r="9" spans="1:97">
      <c r="A9" s="9">
        <v>46242</v>
      </c>
      <c r="B9">
        <v>-930</v>
      </c>
      <c r="C9">
        <v>-1496</v>
      </c>
      <c r="D9">
        <v>-2248</v>
      </c>
      <c r="E9">
        <v>-2551</v>
      </c>
      <c r="F9">
        <v>-2995</v>
      </c>
      <c r="G9">
        <v>-3154</v>
      </c>
      <c r="H9">
        <v>-2926</v>
      </c>
      <c r="I9">
        <v>-3096</v>
      </c>
      <c r="J9">
        <v>-3558</v>
      </c>
      <c r="K9">
        <v>-3529</v>
      </c>
      <c r="L9">
        <v>-3266</v>
      </c>
      <c r="M9">
        <v>-3357</v>
      </c>
      <c r="N9">
        <v>-3527</v>
      </c>
      <c r="O9">
        <v>-3778</v>
      </c>
      <c r="P9">
        <v>-3714</v>
      </c>
      <c r="Q9">
        <v>-3734</v>
      </c>
      <c r="R9">
        <v>-3271</v>
      </c>
      <c r="S9">
        <v>-3251</v>
      </c>
      <c r="T9">
        <v>-3291</v>
      </c>
      <c r="U9">
        <v>-3360</v>
      </c>
      <c r="V9">
        <v>-3340</v>
      </c>
      <c r="W9">
        <v>-2788</v>
      </c>
      <c r="X9">
        <v>-2162</v>
      </c>
      <c r="Y9">
        <v>-1564</v>
      </c>
      <c r="Z9">
        <v>-1547</v>
      </c>
      <c r="AA9">
        <v>-1368</v>
      </c>
      <c r="AB9">
        <v>-1241</v>
      </c>
      <c r="AC9">
        <v>-1265</v>
      </c>
      <c r="AD9">
        <v>-744</v>
      </c>
      <c r="AE9">
        <v>-585</v>
      </c>
      <c r="AF9">
        <v>25</v>
      </c>
      <c r="AG9">
        <v>291</v>
      </c>
      <c r="AH9">
        <v>406</v>
      </c>
      <c r="AI9">
        <v>645</v>
      </c>
      <c r="AJ9">
        <v>1255</v>
      </c>
      <c r="AK9">
        <v>1745</v>
      </c>
      <c r="AL9">
        <v>2946</v>
      </c>
      <c r="AM9">
        <v>3322</v>
      </c>
      <c r="AN9">
        <v>4042</v>
      </c>
      <c r="AO9">
        <v>4426</v>
      </c>
      <c r="AP9">
        <v>4745</v>
      </c>
      <c r="AQ9">
        <v>4909</v>
      </c>
      <c r="AR9">
        <v>5007</v>
      </c>
      <c r="AS9">
        <v>4993</v>
      </c>
      <c r="AT9">
        <v>5089</v>
      </c>
      <c r="AU9">
        <v>4861</v>
      </c>
      <c r="AV9">
        <v>4750</v>
      </c>
      <c r="AW9">
        <v>4864</v>
      </c>
      <c r="AX9">
        <v>4541</v>
      </c>
      <c r="AY9">
        <v>4351</v>
      </c>
      <c r="AZ9">
        <v>4488</v>
      </c>
      <c r="BA9">
        <v>4434</v>
      </c>
      <c r="BB9">
        <v>4901</v>
      </c>
      <c r="BC9">
        <v>4749</v>
      </c>
      <c r="BD9">
        <v>4866</v>
      </c>
      <c r="BE9">
        <v>4512</v>
      </c>
      <c r="BF9">
        <v>4548</v>
      </c>
      <c r="BG9">
        <v>4695</v>
      </c>
      <c r="BH9">
        <v>5000</v>
      </c>
      <c r="BI9">
        <v>5058</v>
      </c>
      <c r="BJ9">
        <v>5381</v>
      </c>
      <c r="BK9">
        <v>4775</v>
      </c>
      <c r="BL9">
        <v>5679</v>
      </c>
      <c r="BM9">
        <v>5590</v>
      </c>
      <c r="BN9">
        <v>5639</v>
      </c>
      <c r="BO9">
        <v>5454</v>
      </c>
      <c r="BP9">
        <v>5162</v>
      </c>
      <c r="BQ9">
        <v>4299</v>
      </c>
      <c r="BR9">
        <v>4431</v>
      </c>
      <c r="BS9">
        <v>4215</v>
      </c>
      <c r="BT9">
        <v>4423</v>
      </c>
      <c r="BU9">
        <v>4318</v>
      </c>
      <c r="BV9">
        <v>4315</v>
      </c>
      <c r="BW9">
        <v>3991</v>
      </c>
      <c r="BX9">
        <v>4249</v>
      </c>
      <c r="BY9">
        <v>5320</v>
      </c>
      <c r="BZ9">
        <v>5976</v>
      </c>
      <c r="CA9">
        <v>5937</v>
      </c>
      <c r="CB9">
        <v>6039</v>
      </c>
      <c r="CC9">
        <v>5651</v>
      </c>
      <c r="CD9">
        <v>5587</v>
      </c>
      <c r="CE9">
        <v>5365</v>
      </c>
      <c r="CF9">
        <v>5314</v>
      </c>
      <c r="CG9">
        <v>5336</v>
      </c>
      <c r="CH9">
        <v>4744</v>
      </c>
      <c r="CI9">
        <v>4992</v>
      </c>
      <c r="CJ9">
        <v>4441</v>
      </c>
      <c r="CK9">
        <v>4360</v>
      </c>
      <c r="CL9">
        <v>4035</v>
      </c>
      <c r="CM9">
        <v>3267</v>
      </c>
      <c r="CN9">
        <v>2510</v>
      </c>
      <c r="CO9">
        <v>1983</v>
      </c>
      <c r="CP9">
        <v>1050</v>
      </c>
      <c r="CQ9">
        <v>788</v>
      </c>
      <c r="CR9">
        <v>944</v>
      </c>
      <c r="CS9">
        <v>839</v>
      </c>
    </row>
    <row r="10" spans="1:97">
      <c r="A10" s="9">
        <v>46243</v>
      </c>
      <c r="B10">
        <v>1051</v>
      </c>
      <c r="C10">
        <v>692</v>
      </c>
      <c r="D10">
        <v>531</v>
      </c>
      <c r="E10">
        <v>254</v>
      </c>
      <c r="F10">
        <v>295</v>
      </c>
      <c r="G10">
        <v>-253</v>
      </c>
      <c r="H10">
        <v>-327</v>
      </c>
      <c r="I10">
        <v>-444</v>
      </c>
      <c r="J10">
        <v>-12</v>
      </c>
      <c r="K10">
        <v>45</v>
      </c>
      <c r="L10">
        <v>55</v>
      </c>
      <c r="M10">
        <v>10</v>
      </c>
      <c r="N10">
        <v>-790</v>
      </c>
      <c r="O10">
        <v>-755</v>
      </c>
      <c r="P10">
        <v>-673</v>
      </c>
      <c r="Q10">
        <v>-788</v>
      </c>
      <c r="R10">
        <v>-498</v>
      </c>
      <c r="S10">
        <v>-593</v>
      </c>
      <c r="T10">
        <v>-507</v>
      </c>
      <c r="U10">
        <v>-274</v>
      </c>
      <c r="V10">
        <v>1281</v>
      </c>
      <c r="W10">
        <v>1427</v>
      </c>
      <c r="X10">
        <v>1484</v>
      </c>
      <c r="Y10">
        <v>1523</v>
      </c>
      <c r="Z10">
        <v>1099</v>
      </c>
      <c r="AA10">
        <v>1236</v>
      </c>
      <c r="AB10">
        <v>1489</v>
      </c>
      <c r="AC10">
        <v>1993</v>
      </c>
      <c r="AD10">
        <v>3649</v>
      </c>
      <c r="AE10">
        <v>3943</v>
      </c>
      <c r="AF10">
        <v>4033</v>
      </c>
      <c r="AG10">
        <v>4131</v>
      </c>
      <c r="AH10">
        <v>4558</v>
      </c>
      <c r="AI10">
        <v>5036</v>
      </c>
      <c r="AJ10">
        <v>5487</v>
      </c>
      <c r="AK10">
        <v>5828</v>
      </c>
      <c r="AL10">
        <v>6216</v>
      </c>
      <c r="AM10">
        <v>6205</v>
      </c>
      <c r="AN10">
        <v>6365</v>
      </c>
      <c r="AO10">
        <v>6693</v>
      </c>
      <c r="AP10">
        <v>6417</v>
      </c>
      <c r="AQ10">
        <v>6862</v>
      </c>
      <c r="AR10">
        <v>6815</v>
      </c>
      <c r="AS10">
        <v>6808</v>
      </c>
      <c r="AT10">
        <v>6946</v>
      </c>
      <c r="AU10">
        <v>6544</v>
      </c>
      <c r="AV10">
        <v>6524</v>
      </c>
      <c r="AW10">
        <v>6642</v>
      </c>
      <c r="AX10">
        <v>6691</v>
      </c>
      <c r="AY10">
        <v>6765</v>
      </c>
      <c r="AZ10">
        <v>6963</v>
      </c>
      <c r="BA10">
        <v>7287</v>
      </c>
      <c r="BB10">
        <v>8096</v>
      </c>
      <c r="BC10">
        <v>8117</v>
      </c>
      <c r="BD10">
        <v>8177</v>
      </c>
      <c r="BE10">
        <v>8305</v>
      </c>
      <c r="BF10">
        <v>7892</v>
      </c>
      <c r="BG10">
        <v>7746</v>
      </c>
      <c r="BH10">
        <v>8677</v>
      </c>
      <c r="BI10">
        <v>9009</v>
      </c>
      <c r="BJ10">
        <v>9869</v>
      </c>
      <c r="BK10">
        <v>9972</v>
      </c>
      <c r="BL10">
        <v>9954</v>
      </c>
      <c r="BM10">
        <v>10188</v>
      </c>
      <c r="BN10">
        <v>9711</v>
      </c>
      <c r="BO10">
        <v>9588</v>
      </c>
      <c r="BP10">
        <v>9649</v>
      </c>
      <c r="BQ10">
        <v>8893</v>
      </c>
      <c r="BR10">
        <v>8473</v>
      </c>
      <c r="BS10">
        <v>8497</v>
      </c>
      <c r="BT10">
        <v>8255</v>
      </c>
      <c r="BU10">
        <v>8718</v>
      </c>
      <c r="BV10">
        <v>8637</v>
      </c>
      <c r="BW10">
        <v>8946</v>
      </c>
      <c r="BX10">
        <v>8832</v>
      </c>
      <c r="BY10">
        <v>8886</v>
      </c>
      <c r="BZ10">
        <v>9428</v>
      </c>
      <c r="CA10">
        <v>9470</v>
      </c>
      <c r="CB10">
        <v>9252</v>
      </c>
      <c r="CC10">
        <v>9515</v>
      </c>
      <c r="CD10">
        <v>9684</v>
      </c>
      <c r="CE10">
        <v>9367</v>
      </c>
      <c r="CF10">
        <v>9193</v>
      </c>
      <c r="CG10">
        <v>8554</v>
      </c>
      <c r="CH10">
        <v>8904</v>
      </c>
      <c r="CI10">
        <v>8976</v>
      </c>
      <c r="CJ10">
        <v>8819</v>
      </c>
      <c r="CK10">
        <v>8842</v>
      </c>
      <c r="CL10">
        <v>8966</v>
      </c>
      <c r="CM10">
        <v>8162</v>
      </c>
      <c r="CN10">
        <v>7334</v>
      </c>
      <c r="CO10">
        <v>6325</v>
      </c>
      <c r="CP10">
        <v>6633</v>
      </c>
      <c r="CQ10">
        <v>6375</v>
      </c>
      <c r="CR10">
        <v>5758</v>
      </c>
      <c r="CS10">
        <v>5380</v>
      </c>
    </row>
    <row r="11" spans="1:97">
      <c r="A11" s="9">
        <v>46244</v>
      </c>
      <c r="B11">
        <v>5155</v>
      </c>
      <c r="C11">
        <v>5134</v>
      </c>
      <c r="D11">
        <v>4820</v>
      </c>
      <c r="E11">
        <v>4904</v>
      </c>
      <c r="F11">
        <v>4672</v>
      </c>
      <c r="G11">
        <v>3846</v>
      </c>
      <c r="H11">
        <v>3727</v>
      </c>
      <c r="I11">
        <v>3613</v>
      </c>
      <c r="J11">
        <v>4188</v>
      </c>
      <c r="K11">
        <v>3887</v>
      </c>
      <c r="L11">
        <v>3991</v>
      </c>
      <c r="M11">
        <v>3824</v>
      </c>
      <c r="N11">
        <v>3951</v>
      </c>
      <c r="O11">
        <v>3574</v>
      </c>
      <c r="P11">
        <v>3905</v>
      </c>
      <c r="Q11">
        <v>3597</v>
      </c>
      <c r="R11">
        <v>3335</v>
      </c>
      <c r="S11">
        <v>3357</v>
      </c>
      <c r="T11">
        <v>3579</v>
      </c>
      <c r="U11">
        <v>3741</v>
      </c>
      <c r="V11">
        <v>3854</v>
      </c>
      <c r="W11">
        <v>4045</v>
      </c>
      <c r="X11">
        <v>4241</v>
      </c>
      <c r="Y11">
        <v>4657</v>
      </c>
      <c r="Z11">
        <v>4587</v>
      </c>
      <c r="AA11">
        <v>4988</v>
      </c>
      <c r="AB11">
        <v>5582</v>
      </c>
      <c r="AC11">
        <v>5644</v>
      </c>
      <c r="AD11">
        <v>6426</v>
      </c>
      <c r="AE11">
        <v>6208</v>
      </c>
      <c r="AF11">
        <v>7174</v>
      </c>
      <c r="AG11">
        <v>6937</v>
      </c>
      <c r="AH11">
        <v>7465</v>
      </c>
      <c r="AI11">
        <v>7355</v>
      </c>
      <c r="AJ11">
        <v>7876</v>
      </c>
      <c r="AK11">
        <v>7700</v>
      </c>
      <c r="AL11">
        <v>8273</v>
      </c>
      <c r="AM11">
        <v>7796</v>
      </c>
      <c r="AN11">
        <v>7708</v>
      </c>
      <c r="AO11">
        <v>7911</v>
      </c>
      <c r="AP11">
        <v>7768</v>
      </c>
      <c r="AQ11">
        <v>7455</v>
      </c>
      <c r="AR11">
        <v>7171</v>
      </c>
      <c r="AS11">
        <v>6744</v>
      </c>
      <c r="AT11">
        <v>6505</v>
      </c>
      <c r="AU11">
        <v>6344</v>
      </c>
      <c r="AV11">
        <v>5991</v>
      </c>
      <c r="AW11">
        <v>5490</v>
      </c>
      <c r="AX11">
        <v>5395</v>
      </c>
      <c r="AY11">
        <v>5585</v>
      </c>
      <c r="AZ11">
        <v>6251</v>
      </c>
      <c r="BA11">
        <v>6929</v>
      </c>
      <c r="BB11">
        <v>7796</v>
      </c>
      <c r="BC11">
        <v>8625</v>
      </c>
      <c r="BD11">
        <v>9010</v>
      </c>
      <c r="BE11">
        <v>9520</v>
      </c>
      <c r="BF11">
        <v>9772</v>
      </c>
      <c r="BG11">
        <v>9790</v>
      </c>
      <c r="BH11">
        <v>10119</v>
      </c>
      <c r="BI11">
        <v>10185</v>
      </c>
      <c r="BJ11">
        <v>10376</v>
      </c>
      <c r="BK11">
        <v>9809</v>
      </c>
      <c r="BL11">
        <v>8952</v>
      </c>
      <c r="BM11">
        <v>8092</v>
      </c>
      <c r="BN11">
        <v>8878</v>
      </c>
      <c r="BO11">
        <v>9242</v>
      </c>
      <c r="BP11">
        <v>8836</v>
      </c>
      <c r="BQ11">
        <v>8987</v>
      </c>
      <c r="BR11">
        <v>9363</v>
      </c>
      <c r="BS11">
        <v>9363</v>
      </c>
      <c r="BT11">
        <v>9550</v>
      </c>
      <c r="BU11">
        <v>9655</v>
      </c>
      <c r="BV11">
        <v>10168</v>
      </c>
      <c r="BW11">
        <v>10008</v>
      </c>
      <c r="BX11">
        <v>10219</v>
      </c>
      <c r="BY11">
        <v>9920</v>
      </c>
      <c r="BZ11">
        <v>10415</v>
      </c>
      <c r="CA11">
        <v>10253</v>
      </c>
      <c r="CB11">
        <v>10779</v>
      </c>
      <c r="CC11">
        <v>9492</v>
      </c>
      <c r="CD11">
        <v>10048</v>
      </c>
      <c r="CE11">
        <v>9700</v>
      </c>
      <c r="CF11">
        <v>9094</v>
      </c>
      <c r="CG11">
        <v>8947</v>
      </c>
      <c r="CH11">
        <v>8614</v>
      </c>
      <c r="CI11">
        <v>8350</v>
      </c>
      <c r="CJ11">
        <v>7778</v>
      </c>
      <c r="CK11">
        <v>7175</v>
      </c>
      <c r="CL11">
        <v>6036</v>
      </c>
      <c r="CM11">
        <v>5212</v>
      </c>
      <c r="CN11">
        <v>4635</v>
      </c>
      <c r="CO11">
        <v>3794</v>
      </c>
      <c r="CP11">
        <v>3608</v>
      </c>
      <c r="CQ11">
        <v>3261</v>
      </c>
      <c r="CR11">
        <v>2710</v>
      </c>
      <c r="CS11">
        <v>1984</v>
      </c>
    </row>
    <row r="12" spans="1:97">
      <c r="A12" s="9">
        <v>46245</v>
      </c>
      <c r="B12">
        <v>1789</v>
      </c>
      <c r="C12">
        <v>1745</v>
      </c>
      <c r="D12">
        <v>1194</v>
      </c>
      <c r="E12">
        <v>1264</v>
      </c>
      <c r="F12">
        <v>1326</v>
      </c>
      <c r="G12">
        <v>981</v>
      </c>
      <c r="H12">
        <v>720</v>
      </c>
      <c r="I12">
        <v>287</v>
      </c>
      <c r="J12">
        <v>-484</v>
      </c>
      <c r="K12">
        <v>-610</v>
      </c>
      <c r="L12">
        <v>-502</v>
      </c>
      <c r="M12">
        <v>-652</v>
      </c>
      <c r="N12">
        <v>-630</v>
      </c>
      <c r="O12">
        <v>-556</v>
      </c>
      <c r="P12">
        <v>-682</v>
      </c>
      <c r="Q12">
        <v>-620</v>
      </c>
      <c r="R12">
        <v>-378</v>
      </c>
      <c r="S12">
        <v>-165</v>
      </c>
      <c r="T12">
        <v>320</v>
      </c>
      <c r="U12">
        <v>441</v>
      </c>
      <c r="V12">
        <v>673</v>
      </c>
      <c r="W12">
        <v>920</v>
      </c>
      <c r="X12">
        <v>1408</v>
      </c>
      <c r="Y12">
        <v>2292</v>
      </c>
      <c r="Z12">
        <v>2188</v>
      </c>
      <c r="AA12">
        <v>2337</v>
      </c>
      <c r="AB12">
        <v>2692</v>
      </c>
      <c r="AC12">
        <v>3383</v>
      </c>
      <c r="AD12">
        <v>3594</v>
      </c>
      <c r="AE12">
        <v>4009</v>
      </c>
      <c r="AF12">
        <v>4100</v>
      </c>
      <c r="AG12">
        <v>4427</v>
      </c>
      <c r="AH12">
        <v>4881</v>
      </c>
      <c r="AI12">
        <v>4753</v>
      </c>
      <c r="AJ12">
        <v>5013</v>
      </c>
      <c r="AK12">
        <v>5322</v>
      </c>
      <c r="AL12">
        <v>5241</v>
      </c>
      <c r="AM12">
        <v>5416</v>
      </c>
      <c r="AN12">
        <v>5495</v>
      </c>
      <c r="AO12">
        <v>6041</v>
      </c>
      <c r="AP12">
        <v>5858</v>
      </c>
      <c r="AQ12">
        <v>5377</v>
      </c>
      <c r="AR12">
        <v>5337</v>
      </c>
      <c r="AS12">
        <v>5400</v>
      </c>
      <c r="AT12">
        <v>5453</v>
      </c>
      <c r="AU12">
        <v>5130</v>
      </c>
      <c r="AV12">
        <v>5077</v>
      </c>
      <c r="AW12">
        <v>5229</v>
      </c>
      <c r="AX12">
        <v>5147</v>
      </c>
      <c r="AY12">
        <v>5228</v>
      </c>
      <c r="AZ12">
        <v>5213</v>
      </c>
      <c r="BA12">
        <v>5386</v>
      </c>
      <c r="BB12">
        <v>5731</v>
      </c>
      <c r="BC12">
        <v>5695</v>
      </c>
      <c r="BD12">
        <v>5767</v>
      </c>
      <c r="BE12">
        <v>5776</v>
      </c>
      <c r="BF12">
        <v>6070</v>
      </c>
      <c r="BG12">
        <v>6150</v>
      </c>
      <c r="BH12">
        <v>6814</v>
      </c>
      <c r="BI12">
        <v>6796</v>
      </c>
      <c r="BJ12">
        <v>7460</v>
      </c>
      <c r="BK12">
        <v>7921</v>
      </c>
      <c r="BL12">
        <v>8110</v>
      </c>
      <c r="BM12">
        <v>8199</v>
      </c>
      <c r="BN12">
        <v>7904</v>
      </c>
      <c r="BO12">
        <v>7736</v>
      </c>
      <c r="BP12">
        <v>7955</v>
      </c>
      <c r="BQ12">
        <v>7293</v>
      </c>
      <c r="BR12">
        <v>7698</v>
      </c>
      <c r="BS12">
        <v>8094</v>
      </c>
      <c r="BT12">
        <v>8282</v>
      </c>
      <c r="BU12">
        <v>8449</v>
      </c>
      <c r="BV12">
        <v>8072</v>
      </c>
      <c r="BW12">
        <v>7959</v>
      </c>
      <c r="BX12">
        <v>7787</v>
      </c>
      <c r="BY12">
        <v>7876</v>
      </c>
      <c r="BZ12">
        <v>8451</v>
      </c>
      <c r="CA12">
        <v>8385</v>
      </c>
      <c r="CB12">
        <v>8572</v>
      </c>
      <c r="CC12">
        <v>8520</v>
      </c>
      <c r="CD12">
        <v>8393</v>
      </c>
      <c r="CE12">
        <v>8038</v>
      </c>
      <c r="CF12">
        <v>7740</v>
      </c>
      <c r="CG12">
        <v>7441</v>
      </c>
      <c r="CH12">
        <v>7134</v>
      </c>
      <c r="CI12">
        <v>7235</v>
      </c>
      <c r="CJ12">
        <v>7685</v>
      </c>
      <c r="CK12">
        <v>7695</v>
      </c>
      <c r="CL12">
        <v>7612</v>
      </c>
      <c r="CM12">
        <v>6711</v>
      </c>
      <c r="CN12">
        <v>5964</v>
      </c>
      <c r="CO12">
        <v>5016</v>
      </c>
      <c r="CP12">
        <v>4947</v>
      </c>
      <c r="CQ12">
        <v>4605</v>
      </c>
      <c r="CR12">
        <v>4374</v>
      </c>
      <c r="CS12">
        <v>4283</v>
      </c>
    </row>
    <row r="13" spans="1:97">
      <c r="A13" s="9">
        <v>46246</v>
      </c>
      <c r="B13">
        <v>3420</v>
      </c>
      <c r="C13">
        <v>3439</v>
      </c>
      <c r="D13">
        <v>3251</v>
      </c>
      <c r="E13">
        <v>2753</v>
      </c>
      <c r="F13">
        <v>2619</v>
      </c>
      <c r="G13">
        <v>2257</v>
      </c>
      <c r="H13">
        <v>1868</v>
      </c>
      <c r="I13">
        <v>1697</v>
      </c>
      <c r="J13">
        <v>1201</v>
      </c>
      <c r="K13">
        <v>1091</v>
      </c>
      <c r="L13">
        <v>1230</v>
      </c>
      <c r="M13">
        <v>1185</v>
      </c>
      <c r="N13">
        <v>1097</v>
      </c>
      <c r="O13">
        <v>1065</v>
      </c>
      <c r="P13">
        <v>1030</v>
      </c>
      <c r="Q13">
        <v>1093</v>
      </c>
      <c r="R13">
        <v>1170</v>
      </c>
      <c r="S13">
        <v>1162</v>
      </c>
      <c r="T13">
        <v>1615</v>
      </c>
      <c r="U13">
        <v>1440</v>
      </c>
      <c r="V13">
        <v>1825</v>
      </c>
      <c r="W13">
        <v>1915</v>
      </c>
      <c r="X13">
        <v>2376</v>
      </c>
      <c r="Y13">
        <v>2087</v>
      </c>
      <c r="Z13">
        <v>1577</v>
      </c>
      <c r="AA13">
        <v>1865</v>
      </c>
      <c r="AB13">
        <v>2885</v>
      </c>
      <c r="AC13">
        <v>3285</v>
      </c>
      <c r="AD13">
        <v>3992</v>
      </c>
      <c r="AE13">
        <v>4603</v>
      </c>
      <c r="AF13">
        <v>4817</v>
      </c>
      <c r="AG13">
        <v>4980</v>
      </c>
      <c r="AH13">
        <v>5767</v>
      </c>
      <c r="AI13">
        <v>5989</v>
      </c>
      <c r="AJ13">
        <v>6387</v>
      </c>
      <c r="AK13">
        <v>6755</v>
      </c>
      <c r="AL13">
        <v>7287</v>
      </c>
      <c r="AM13">
        <v>7299</v>
      </c>
      <c r="AN13">
        <v>7453</v>
      </c>
      <c r="AO13">
        <v>7697</v>
      </c>
      <c r="AP13">
        <v>8705</v>
      </c>
      <c r="AQ13">
        <v>8580</v>
      </c>
      <c r="AR13">
        <v>8878</v>
      </c>
      <c r="AS13">
        <v>8846</v>
      </c>
      <c r="AT13">
        <v>8707</v>
      </c>
      <c r="AU13">
        <v>8398</v>
      </c>
      <c r="AV13">
        <v>8491</v>
      </c>
      <c r="AW13">
        <v>8529</v>
      </c>
      <c r="AX13">
        <v>8329</v>
      </c>
      <c r="AY13">
        <v>8626</v>
      </c>
      <c r="AZ13">
        <v>8476</v>
      </c>
      <c r="BA13">
        <v>8768</v>
      </c>
      <c r="BB13">
        <v>8696</v>
      </c>
      <c r="BC13">
        <v>9067</v>
      </c>
      <c r="BD13">
        <v>8951</v>
      </c>
      <c r="BE13">
        <v>9092</v>
      </c>
      <c r="BF13">
        <v>9139</v>
      </c>
      <c r="BG13">
        <v>9032</v>
      </c>
      <c r="BH13">
        <v>9644</v>
      </c>
      <c r="BI13">
        <v>9667</v>
      </c>
      <c r="BJ13">
        <v>9534</v>
      </c>
      <c r="BK13">
        <v>9700</v>
      </c>
      <c r="BL13">
        <v>9972</v>
      </c>
      <c r="BM13">
        <v>10028</v>
      </c>
      <c r="BN13">
        <v>9439</v>
      </c>
      <c r="BO13">
        <v>9172</v>
      </c>
      <c r="BP13">
        <v>8558</v>
      </c>
      <c r="BQ13">
        <v>8510</v>
      </c>
      <c r="BR13">
        <v>7875</v>
      </c>
      <c r="BS13">
        <v>8191</v>
      </c>
      <c r="BT13">
        <v>8096</v>
      </c>
      <c r="BU13">
        <v>8114</v>
      </c>
      <c r="BV13">
        <v>7812</v>
      </c>
      <c r="BW13">
        <v>7324</v>
      </c>
      <c r="BX13">
        <v>7594</v>
      </c>
      <c r="BY13">
        <v>7503</v>
      </c>
      <c r="BZ13">
        <v>7316</v>
      </c>
      <c r="CA13">
        <v>7257</v>
      </c>
      <c r="CB13">
        <v>7515</v>
      </c>
      <c r="CC13">
        <v>7282</v>
      </c>
      <c r="CD13">
        <v>6608</v>
      </c>
      <c r="CE13">
        <v>6416</v>
      </c>
      <c r="CF13">
        <v>6048</v>
      </c>
      <c r="CG13">
        <v>5753</v>
      </c>
      <c r="CH13">
        <v>6004</v>
      </c>
      <c r="CI13">
        <v>5815</v>
      </c>
      <c r="CJ13">
        <v>5202</v>
      </c>
      <c r="CK13">
        <v>4133</v>
      </c>
      <c r="CL13">
        <v>6040</v>
      </c>
      <c r="CM13">
        <v>5531</v>
      </c>
      <c r="CN13">
        <v>4821</v>
      </c>
      <c r="CO13">
        <v>4687</v>
      </c>
      <c r="CP13">
        <v>3935</v>
      </c>
      <c r="CQ13">
        <v>3739</v>
      </c>
      <c r="CR13">
        <v>3564</v>
      </c>
      <c r="CS13">
        <v>3450</v>
      </c>
    </row>
    <row r="14" spans="1:97">
      <c r="A14" s="9">
        <v>46247</v>
      </c>
      <c r="B14">
        <v>3600</v>
      </c>
      <c r="C14">
        <v>2433</v>
      </c>
      <c r="D14">
        <v>2587</v>
      </c>
      <c r="E14">
        <v>2265</v>
      </c>
      <c r="F14">
        <v>2890</v>
      </c>
      <c r="G14">
        <v>2638</v>
      </c>
      <c r="H14">
        <v>2279</v>
      </c>
      <c r="I14">
        <v>2083</v>
      </c>
      <c r="J14">
        <v>1092</v>
      </c>
      <c r="K14">
        <v>413</v>
      </c>
      <c r="L14">
        <v>492</v>
      </c>
      <c r="M14">
        <v>542</v>
      </c>
      <c r="N14">
        <v>1456</v>
      </c>
      <c r="O14">
        <v>1653</v>
      </c>
      <c r="P14">
        <v>1802</v>
      </c>
      <c r="Q14">
        <v>1712</v>
      </c>
      <c r="R14">
        <v>1801</v>
      </c>
      <c r="S14">
        <v>1540</v>
      </c>
      <c r="T14">
        <v>1336</v>
      </c>
      <c r="U14">
        <v>1675</v>
      </c>
      <c r="V14">
        <v>1603</v>
      </c>
      <c r="W14">
        <v>1823</v>
      </c>
      <c r="X14">
        <v>1740</v>
      </c>
      <c r="Y14">
        <v>1772</v>
      </c>
      <c r="Z14">
        <v>1229</v>
      </c>
      <c r="AA14">
        <v>1647</v>
      </c>
      <c r="AB14">
        <v>2485</v>
      </c>
      <c r="AC14">
        <v>2796</v>
      </c>
      <c r="AD14">
        <v>3250</v>
      </c>
      <c r="AE14">
        <v>4146</v>
      </c>
      <c r="AF14">
        <v>4362</v>
      </c>
      <c r="AG14">
        <v>4756</v>
      </c>
      <c r="AH14">
        <v>5378</v>
      </c>
      <c r="AI14">
        <v>5608</v>
      </c>
      <c r="AJ14">
        <v>6434</v>
      </c>
      <c r="AK14">
        <v>6643</v>
      </c>
      <c r="AL14">
        <v>7261</v>
      </c>
      <c r="AM14">
        <v>7572</v>
      </c>
      <c r="AN14">
        <v>7701</v>
      </c>
      <c r="AO14">
        <v>7900</v>
      </c>
      <c r="AP14">
        <v>7996</v>
      </c>
      <c r="AQ14">
        <v>7518</v>
      </c>
      <c r="AR14">
        <v>7425</v>
      </c>
      <c r="AS14">
        <v>7944</v>
      </c>
      <c r="AT14">
        <v>7759</v>
      </c>
      <c r="AU14">
        <v>8051</v>
      </c>
      <c r="AV14">
        <v>7692</v>
      </c>
      <c r="AW14">
        <v>7275</v>
      </c>
      <c r="AX14">
        <v>7393</v>
      </c>
      <c r="AY14">
        <v>7883</v>
      </c>
      <c r="AZ14">
        <v>7931</v>
      </c>
      <c r="BA14">
        <v>7888</v>
      </c>
      <c r="BB14">
        <v>7671</v>
      </c>
      <c r="BC14">
        <v>7655</v>
      </c>
      <c r="BD14">
        <v>7655</v>
      </c>
      <c r="BE14">
        <v>7825</v>
      </c>
      <c r="BF14">
        <v>7075</v>
      </c>
      <c r="BG14">
        <v>7082</v>
      </c>
      <c r="BH14">
        <v>7368</v>
      </c>
      <c r="BI14">
        <v>7095</v>
      </c>
      <c r="BJ14">
        <v>6516</v>
      </c>
      <c r="BK14">
        <v>6958</v>
      </c>
      <c r="BL14">
        <v>6489</v>
      </c>
      <c r="BM14">
        <v>6006</v>
      </c>
      <c r="BN14">
        <v>4756</v>
      </c>
      <c r="BO14">
        <v>3286</v>
      </c>
      <c r="BP14">
        <v>5037</v>
      </c>
      <c r="BQ14">
        <v>5507</v>
      </c>
      <c r="BR14">
        <v>4726</v>
      </c>
      <c r="BS14">
        <v>5058</v>
      </c>
      <c r="BT14">
        <v>4844</v>
      </c>
      <c r="BU14">
        <v>5221</v>
      </c>
      <c r="BV14">
        <v>4629</v>
      </c>
      <c r="BW14">
        <v>3908</v>
      </c>
      <c r="BX14">
        <v>4598</v>
      </c>
      <c r="BY14">
        <v>4483</v>
      </c>
      <c r="BZ14">
        <v>4717</v>
      </c>
      <c r="CA14">
        <v>4883</v>
      </c>
      <c r="CB14">
        <v>5026</v>
      </c>
      <c r="CC14">
        <v>4843</v>
      </c>
      <c r="CD14">
        <v>4766</v>
      </c>
      <c r="CE14">
        <v>4674</v>
      </c>
      <c r="CF14">
        <v>4208</v>
      </c>
      <c r="CG14">
        <v>4093</v>
      </c>
      <c r="CH14">
        <v>4466</v>
      </c>
      <c r="CI14">
        <v>3981</v>
      </c>
      <c r="CJ14">
        <v>3687</v>
      </c>
      <c r="CK14">
        <v>3766</v>
      </c>
      <c r="CL14">
        <v>3986</v>
      </c>
      <c r="CM14">
        <v>3884</v>
      </c>
      <c r="CN14">
        <v>3329</v>
      </c>
      <c r="CO14">
        <v>2495</v>
      </c>
      <c r="CP14">
        <v>2702</v>
      </c>
      <c r="CQ14">
        <v>2383</v>
      </c>
      <c r="CR14">
        <v>2371</v>
      </c>
      <c r="CS14">
        <v>2396</v>
      </c>
    </row>
    <row r="15" spans="1:97">
      <c r="A15" s="9">
        <v>46248</v>
      </c>
      <c r="B15">
        <v>2003</v>
      </c>
      <c r="C15">
        <v>1958</v>
      </c>
      <c r="D15">
        <v>2206</v>
      </c>
      <c r="E15">
        <v>2155</v>
      </c>
      <c r="F15">
        <v>2060</v>
      </c>
      <c r="G15">
        <v>1806</v>
      </c>
      <c r="H15">
        <v>1763</v>
      </c>
      <c r="I15">
        <v>1837</v>
      </c>
      <c r="J15">
        <v>1640</v>
      </c>
      <c r="K15">
        <v>1721</v>
      </c>
      <c r="L15">
        <v>1711</v>
      </c>
      <c r="M15">
        <v>1683</v>
      </c>
      <c r="N15">
        <v>1147</v>
      </c>
      <c r="O15">
        <v>990</v>
      </c>
      <c r="P15">
        <v>1013</v>
      </c>
      <c r="Q15">
        <v>1053</v>
      </c>
      <c r="R15">
        <v>1192</v>
      </c>
      <c r="S15">
        <v>1272</v>
      </c>
      <c r="T15">
        <v>1457</v>
      </c>
      <c r="U15">
        <v>1510</v>
      </c>
      <c r="V15">
        <v>1419</v>
      </c>
      <c r="W15">
        <v>1738</v>
      </c>
      <c r="X15">
        <v>1781</v>
      </c>
      <c r="Y15">
        <v>1569</v>
      </c>
      <c r="Z15">
        <v>2215</v>
      </c>
      <c r="AA15">
        <v>2284</v>
      </c>
      <c r="AB15">
        <v>2425</v>
      </c>
      <c r="AC15">
        <v>2502</v>
      </c>
      <c r="AD15">
        <v>3406</v>
      </c>
      <c r="AE15">
        <v>3887</v>
      </c>
      <c r="AF15">
        <v>4537</v>
      </c>
      <c r="AG15">
        <v>4745</v>
      </c>
      <c r="AH15">
        <v>4639</v>
      </c>
      <c r="AI15">
        <v>5316</v>
      </c>
      <c r="AJ15">
        <v>5474</v>
      </c>
      <c r="AK15">
        <v>5015</v>
      </c>
      <c r="AL15">
        <v>5000</v>
      </c>
      <c r="AM15">
        <v>4942</v>
      </c>
      <c r="AN15">
        <v>4805</v>
      </c>
      <c r="AO15">
        <v>4885</v>
      </c>
      <c r="AP15">
        <v>4395</v>
      </c>
      <c r="AQ15">
        <v>4106</v>
      </c>
      <c r="AR15">
        <v>4252</v>
      </c>
      <c r="AS15">
        <v>4224</v>
      </c>
      <c r="AT15">
        <v>4055</v>
      </c>
      <c r="AU15">
        <v>3851</v>
      </c>
      <c r="AV15">
        <v>3540</v>
      </c>
      <c r="AW15">
        <v>3390</v>
      </c>
      <c r="AX15">
        <v>3365</v>
      </c>
      <c r="AY15">
        <v>3648</v>
      </c>
      <c r="AZ15">
        <v>3743</v>
      </c>
      <c r="BA15">
        <v>3957</v>
      </c>
      <c r="BB15">
        <v>4134</v>
      </c>
      <c r="BC15">
        <v>4754</v>
      </c>
      <c r="BD15">
        <v>4934</v>
      </c>
      <c r="BE15">
        <v>4941</v>
      </c>
      <c r="BF15">
        <v>5299</v>
      </c>
      <c r="BG15">
        <v>5334</v>
      </c>
      <c r="BH15">
        <v>5636</v>
      </c>
      <c r="BI15">
        <v>5691</v>
      </c>
      <c r="BJ15">
        <v>6354</v>
      </c>
      <c r="BK15">
        <v>6632</v>
      </c>
      <c r="BL15">
        <v>6657</v>
      </c>
      <c r="BM15">
        <v>6168</v>
      </c>
      <c r="BN15">
        <v>6114</v>
      </c>
      <c r="BO15">
        <v>5819</v>
      </c>
      <c r="BP15">
        <v>5848</v>
      </c>
      <c r="BQ15">
        <v>6182</v>
      </c>
      <c r="BR15">
        <v>5777</v>
      </c>
      <c r="BS15">
        <v>6395</v>
      </c>
      <c r="BT15">
        <v>6526</v>
      </c>
      <c r="BU15">
        <v>6360</v>
      </c>
      <c r="BV15">
        <v>5350</v>
      </c>
      <c r="BW15">
        <v>5247</v>
      </c>
      <c r="BX15">
        <v>5679</v>
      </c>
      <c r="BY15">
        <v>6077</v>
      </c>
      <c r="BZ15">
        <v>6489</v>
      </c>
      <c r="CA15">
        <v>6561</v>
      </c>
      <c r="CB15">
        <v>7129</v>
      </c>
      <c r="CC15">
        <v>7195</v>
      </c>
      <c r="CD15">
        <v>6040</v>
      </c>
      <c r="CE15">
        <v>5735</v>
      </c>
      <c r="CF15">
        <v>6279</v>
      </c>
      <c r="CG15">
        <v>6050</v>
      </c>
      <c r="CH15">
        <v>6268</v>
      </c>
      <c r="CI15">
        <v>6138</v>
      </c>
      <c r="CJ15">
        <v>6778</v>
      </c>
      <c r="CK15">
        <v>6860</v>
      </c>
      <c r="CL15">
        <v>7166</v>
      </c>
      <c r="CM15">
        <v>7035</v>
      </c>
      <c r="CN15">
        <v>6916</v>
      </c>
      <c r="CO15">
        <v>6647</v>
      </c>
      <c r="CP15">
        <v>6135</v>
      </c>
      <c r="CQ15">
        <v>5521</v>
      </c>
      <c r="CR15">
        <v>5224</v>
      </c>
      <c r="CS15">
        <v>4868</v>
      </c>
    </row>
    <row r="16" spans="1:97">
      <c r="A16" s="9">
        <v>46249</v>
      </c>
      <c r="B16">
        <v>3522</v>
      </c>
      <c r="C16">
        <v>3626</v>
      </c>
      <c r="D16">
        <v>3605</v>
      </c>
      <c r="E16">
        <v>3550</v>
      </c>
      <c r="F16">
        <v>3501</v>
      </c>
      <c r="G16">
        <v>3385</v>
      </c>
      <c r="H16">
        <v>3413</v>
      </c>
      <c r="I16">
        <v>3450</v>
      </c>
      <c r="J16">
        <v>3610</v>
      </c>
      <c r="K16">
        <v>3505</v>
      </c>
      <c r="L16">
        <v>3495</v>
      </c>
      <c r="M16">
        <v>3419</v>
      </c>
      <c r="N16">
        <v>3309</v>
      </c>
      <c r="O16">
        <v>3301</v>
      </c>
      <c r="P16">
        <v>3269</v>
      </c>
      <c r="Q16">
        <v>3223</v>
      </c>
      <c r="R16">
        <v>3271</v>
      </c>
      <c r="S16">
        <v>3354</v>
      </c>
      <c r="T16">
        <v>3381</v>
      </c>
      <c r="U16">
        <v>3279</v>
      </c>
      <c r="V16">
        <v>3225</v>
      </c>
      <c r="W16">
        <v>3184</v>
      </c>
      <c r="X16">
        <v>3255</v>
      </c>
      <c r="Y16">
        <v>3493</v>
      </c>
      <c r="Z16">
        <v>3335</v>
      </c>
      <c r="AA16">
        <v>3515</v>
      </c>
      <c r="AB16">
        <v>3835</v>
      </c>
      <c r="AC16">
        <v>4086</v>
      </c>
      <c r="AD16">
        <v>4778</v>
      </c>
      <c r="AE16">
        <v>5171</v>
      </c>
      <c r="AF16">
        <v>5311</v>
      </c>
      <c r="AG16">
        <v>5110</v>
      </c>
      <c r="AH16">
        <v>5147</v>
      </c>
      <c r="AI16">
        <v>5399</v>
      </c>
      <c r="AJ16">
        <v>5509</v>
      </c>
      <c r="AK16">
        <v>5770</v>
      </c>
      <c r="AL16">
        <v>5697</v>
      </c>
      <c r="AM16">
        <v>5357</v>
      </c>
      <c r="AN16">
        <v>5517</v>
      </c>
      <c r="AO16">
        <v>5403</v>
      </c>
      <c r="AP16">
        <v>5934</v>
      </c>
      <c r="AQ16">
        <v>5801</v>
      </c>
      <c r="AR16">
        <v>5785</v>
      </c>
      <c r="AS16">
        <v>5857</v>
      </c>
      <c r="AT16">
        <v>5487</v>
      </c>
      <c r="AU16">
        <v>5665</v>
      </c>
      <c r="AV16">
        <v>5518</v>
      </c>
      <c r="AW16">
        <v>5634</v>
      </c>
      <c r="AX16">
        <v>5365</v>
      </c>
      <c r="AY16">
        <v>5602</v>
      </c>
      <c r="AZ16">
        <v>6418</v>
      </c>
      <c r="BA16">
        <v>6846</v>
      </c>
      <c r="BB16">
        <v>7342</v>
      </c>
      <c r="BC16">
        <v>7146</v>
      </c>
      <c r="BD16">
        <v>7577</v>
      </c>
      <c r="BE16">
        <v>7703</v>
      </c>
      <c r="BF16">
        <v>7296</v>
      </c>
      <c r="BG16">
        <v>7194</v>
      </c>
      <c r="BH16">
        <v>7625</v>
      </c>
      <c r="BI16">
        <v>7802</v>
      </c>
      <c r="BJ16">
        <v>7331</v>
      </c>
      <c r="BK16">
        <v>7851</v>
      </c>
      <c r="BL16">
        <v>7480</v>
      </c>
      <c r="BM16">
        <v>7498</v>
      </c>
      <c r="BN16">
        <v>6970</v>
      </c>
      <c r="BO16">
        <v>6934</v>
      </c>
      <c r="BP16">
        <v>7410</v>
      </c>
      <c r="BQ16">
        <v>7146</v>
      </c>
      <c r="BR16">
        <v>7364</v>
      </c>
      <c r="BS16">
        <v>7613</v>
      </c>
      <c r="BT16">
        <v>7677</v>
      </c>
      <c r="BU16">
        <v>7938</v>
      </c>
      <c r="BV16">
        <v>7715</v>
      </c>
      <c r="BW16">
        <v>7735</v>
      </c>
      <c r="BX16">
        <v>8206</v>
      </c>
      <c r="BY16">
        <v>7874</v>
      </c>
      <c r="BZ16">
        <v>8121</v>
      </c>
      <c r="CA16">
        <v>7979</v>
      </c>
      <c r="CB16">
        <v>7870</v>
      </c>
      <c r="CC16">
        <v>8060</v>
      </c>
      <c r="CD16">
        <v>8197</v>
      </c>
      <c r="CE16">
        <v>7705</v>
      </c>
      <c r="CF16">
        <v>7341</v>
      </c>
      <c r="CG16">
        <v>7037</v>
      </c>
      <c r="CH16">
        <v>6530</v>
      </c>
      <c r="CI16">
        <v>5909</v>
      </c>
      <c r="CJ16">
        <v>6540</v>
      </c>
      <c r="CK16">
        <v>6085</v>
      </c>
      <c r="CL16">
        <v>6343</v>
      </c>
      <c r="CM16">
        <v>6092</v>
      </c>
      <c r="CN16">
        <v>5583</v>
      </c>
      <c r="CO16">
        <v>4760</v>
      </c>
      <c r="CP16">
        <v>4008</v>
      </c>
      <c r="CQ16">
        <v>3765</v>
      </c>
      <c r="CR16">
        <v>3332</v>
      </c>
      <c r="CS16">
        <v>3615</v>
      </c>
    </row>
    <row r="17" spans="1:97">
      <c r="A17" s="9">
        <v>46250</v>
      </c>
      <c r="B17">
        <v>4427</v>
      </c>
      <c r="C17">
        <v>3984</v>
      </c>
      <c r="D17">
        <v>3594</v>
      </c>
      <c r="E17">
        <v>3445</v>
      </c>
      <c r="F17">
        <v>3169</v>
      </c>
      <c r="G17">
        <v>3060</v>
      </c>
      <c r="H17">
        <v>2813</v>
      </c>
      <c r="I17">
        <v>2866</v>
      </c>
      <c r="J17">
        <v>2694</v>
      </c>
      <c r="K17">
        <v>2613</v>
      </c>
      <c r="L17">
        <v>2620</v>
      </c>
      <c r="M17">
        <v>2599</v>
      </c>
      <c r="N17">
        <v>2490</v>
      </c>
      <c r="O17">
        <v>2389</v>
      </c>
      <c r="P17">
        <v>2419</v>
      </c>
      <c r="Q17">
        <v>2398</v>
      </c>
      <c r="R17">
        <v>2258</v>
      </c>
      <c r="S17">
        <v>2301</v>
      </c>
      <c r="T17">
        <v>2641</v>
      </c>
      <c r="U17">
        <v>3217</v>
      </c>
      <c r="V17">
        <v>2791</v>
      </c>
      <c r="W17">
        <v>3101</v>
      </c>
      <c r="X17">
        <v>3775</v>
      </c>
      <c r="Y17">
        <v>4133</v>
      </c>
      <c r="Z17">
        <v>3840</v>
      </c>
      <c r="AA17">
        <v>4025</v>
      </c>
      <c r="AB17">
        <v>4142</v>
      </c>
      <c r="AC17">
        <v>4299</v>
      </c>
      <c r="AD17">
        <v>4610</v>
      </c>
      <c r="AE17">
        <v>4992</v>
      </c>
      <c r="AF17">
        <v>5398</v>
      </c>
      <c r="AG17">
        <v>5695</v>
      </c>
      <c r="AH17">
        <v>6283</v>
      </c>
      <c r="AI17">
        <v>6282</v>
      </c>
      <c r="AJ17">
        <v>6127</v>
      </c>
      <c r="AK17">
        <v>5979</v>
      </c>
      <c r="AL17">
        <v>6505</v>
      </c>
      <c r="AM17">
        <v>6340</v>
      </c>
      <c r="AN17">
        <v>6304</v>
      </c>
      <c r="AO17">
        <v>6495</v>
      </c>
      <c r="AP17">
        <v>7065</v>
      </c>
      <c r="AQ17">
        <v>6910</v>
      </c>
      <c r="AR17">
        <v>6296</v>
      </c>
      <c r="AS17">
        <v>6197</v>
      </c>
      <c r="AT17">
        <v>5638</v>
      </c>
      <c r="AU17">
        <v>5943</v>
      </c>
      <c r="AV17">
        <v>5351</v>
      </c>
      <c r="AW17">
        <v>5318</v>
      </c>
      <c r="AX17">
        <v>5606</v>
      </c>
      <c r="AY17">
        <v>6035</v>
      </c>
      <c r="AZ17">
        <v>5890</v>
      </c>
      <c r="BA17">
        <v>6002</v>
      </c>
      <c r="BB17">
        <v>6042</v>
      </c>
      <c r="BC17">
        <v>5787</v>
      </c>
      <c r="BD17">
        <v>6002</v>
      </c>
      <c r="BE17">
        <v>6498</v>
      </c>
      <c r="BF17">
        <v>6844</v>
      </c>
      <c r="BG17">
        <v>7124</v>
      </c>
      <c r="BH17">
        <v>7261</v>
      </c>
      <c r="BI17">
        <v>7307</v>
      </c>
      <c r="BJ17">
        <v>6731</v>
      </c>
      <c r="BK17">
        <v>6367</v>
      </c>
      <c r="BL17">
        <v>6931</v>
      </c>
      <c r="BM17">
        <v>6479</v>
      </c>
      <c r="BN17">
        <v>6757</v>
      </c>
      <c r="BO17">
        <v>6560</v>
      </c>
      <c r="BP17">
        <v>7191</v>
      </c>
      <c r="BQ17">
        <v>6740</v>
      </c>
      <c r="BR17">
        <v>6792</v>
      </c>
      <c r="BS17">
        <v>6928</v>
      </c>
      <c r="BT17">
        <v>6665</v>
      </c>
      <c r="BU17">
        <v>6850</v>
      </c>
      <c r="BV17">
        <v>6815</v>
      </c>
      <c r="BW17">
        <v>6678</v>
      </c>
      <c r="BX17">
        <v>6704</v>
      </c>
      <c r="BY17">
        <v>6963</v>
      </c>
      <c r="BZ17">
        <v>7213</v>
      </c>
      <c r="CA17">
        <v>7386</v>
      </c>
      <c r="CB17">
        <v>7343</v>
      </c>
      <c r="CC17">
        <v>7285</v>
      </c>
      <c r="CD17">
        <v>7042</v>
      </c>
      <c r="CE17">
        <v>6739</v>
      </c>
      <c r="CF17">
        <v>6370</v>
      </c>
      <c r="CG17">
        <v>5873</v>
      </c>
      <c r="CH17">
        <v>5350</v>
      </c>
      <c r="CI17">
        <v>5403</v>
      </c>
      <c r="CJ17">
        <v>5911</v>
      </c>
      <c r="CK17">
        <v>5467</v>
      </c>
      <c r="CL17">
        <v>5806</v>
      </c>
      <c r="CM17">
        <v>5052</v>
      </c>
      <c r="CN17">
        <v>4659</v>
      </c>
      <c r="CO17">
        <v>4018</v>
      </c>
      <c r="CP17">
        <v>3823</v>
      </c>
      <c r="CQ17">
        <v>3310</v>
      </c>
      <c r="CR17">
        <v>3259</v>
      </c>
      <c r="CS17">
        <v>3783</v>
      </c>
    </row>
    <row r="18" spans="1:97">
      <c r="A18" s="9">
        <v>46251</v>
      </c>
      <c r="B18">
        <v>3342</v>
      </c>
      <c r="C18">
        <v>2731</v>
      </c>
      <c r="D18">
        <v>2652</v>
      </c>
      <c r="E18">
        <v>2047</v>
      </c>
      <c r="F18">
        <v>1013</v>
      </c>
      <c r="G18">
        <v>613</v>
      </c>
      <c r="H18">
        <v>1247</v>
      </c>
      <c r="I18">
        <v>1305</v>
      </c>
      <c r="J18">
        <v>1335</v>
      </c>
      <c r="K18">
        <v>1452</v>
      </c>
      <c r="L18">
        <v>1643</v>
      </c>
      <c r="M18">
        <v>1314</v>
      </c>
      <c r="N18">
        <v>1228</v>
      </c>
      <c r="O18">
        <v>1277</v>
      </c>
      <c r="P18">
        <v>1249</v>
      </c>
      <c r="Q18">
        <v>1448</v>
      </c>
      <c r="R18">
        <v>1470</v>
      </c>
      <c r="S18">
        <v>1630</v>
      </c>
      <c r="T18">
        <v>1967</v>
      </c>
      <c r="U18">
        <v>2092</v>
      </c>
      <c r="V18">
        <v>2539</v>
      </c>
      <c r="W18">
        <v>3308</v>
      </c>
      <c r="X18">
        <v>3518</v>
      </c>
      <c r="Y18">
        <v>3855</v>
      </c>
      <c r="Z18">
        <v>3931</v>
      </c>
      <c r="AA18">
        <v>3931</v>
      </c>
      <c r="AB18">
        <v>4241</v>
      </c>
      <c r="AC18">
        <v>4286</v>
      </c>
      <c r="AD18">
        <v>4924</v>
      </c>
      <c r="AE18">
        <v>5150</v>
      </c>
      <c r="AF18">
        <v>5465</v>
      </c>
      <c r="AG18">
        <v>5520</v>
      </c>
      <c r="AH18">
        <v>6503</v>
      </c>
      <c r="AI18">
        <v>6949</v>
      </c>
      <c r="AJ18">
        <v>6932</v>
      </c>
      <c r="AK18">
        <v>6945</v>
      </c>
      <c r="AL18">
        <v>7414</v>
      </c>
      <c r="AM18">
        <v>7601</v>
      </c>
      <c r="AN18">
        <v>7434</v>
      </c>
      <c r="AO18">
        <v>7232</v>
      </c>
      <c r="AP18">
        <v>7319</v>
      </c>
      <c r="AQ18">
        <v>7172</v>
      </c>
      <c r="AR18">
        <v>7079</v>
      </c>
      <c r="AS18">
        <v>6632</v>
      </c>
      <c r="AT18">
        <v>5952</v>
      </c>
      <c r="AU18">
        <v>5496</v>
      </c>
      <c r="AV18">
        <v>5352</v>
      </c>
      <c r="AW18">
        <v>5278</v>
      </c>
      <c r="AX18">
        <v>4577</v>
      </c>
      <c r="AY18">
        <v>4818</v>
      </c>
      <c r="AZ18">
        <v>4617</v>
      </c>
      <c r="BA18">
        <v>4799</v>
      </c>
      <c r="BB18">
        <v>5323</v>
      </c>
      <c r="BC18">
        <v>5498</v>
      </c>
      <c r="BD18">
        <v>5536</v>
      </c>
      <c r="BE18">
        <v>5723</v>
      </c>
      <c r="BF18">
        <v>5921</v>
      </c>
      <c r="BG18">
        <v>6253</v>
      </c>
      <c r="BH18">
        <v>6414</v>
      </c>
      <c r="BI18">
        <v>6261</v>
      </c>
      <c r="BJ18">
        <v>6000</v>
      </c>
      <c r="BK18">
        <v>6516</v>
      </c>
      <c r="BL18">
        <v>7008</v>
      </c>
      <c r="BM18">
        <v>7207</v>
      </c>
      <c r="BN18">
        <v>6476</v>
      </c>
      <c r="BO18">
        <v>7197</v>
      </c>
      <c r="BP18">
        <v>7143</v>
      </c>
      <c r="BQ18">
        <v>6902</v>
      </c>
      <c r="BR18">
        <v>6725</v>
      </c>
      <c r="BS18">
        <v>7268</v>
      </c>
      <c r="BT18">
        <v>7314</v>
      </c>
      <c r="BU18">
        <v>7593</v>
      </c>
      <c r="BV18">
        <v>7382</v>
      </c>
      <c r="BW18">
        <v>7640</v>
      </c>
      <c r="BX18">
        <v>7615</v>
      </c>
      <c r="BY18">
        <v>7524</v>
      </c>
      <c r="BZ18">
        <v>7293</v>
      </c>
      <c r="CA18">
        <v>7394</v>
      </c>
      <c r="CB18">
        <v>7187</v>
      </c>
      <c r="CC18">
        <v>6940</v>
      </c>
      <c r="CD18">
        <v>6882</v>
      </c>
      <c r="CE18">
        <v>6667</v>
      </c>
      <c r="CF18">
        <v>5951</v>
      </c>
      <c r="CG18">
        <v>5520</v>
      </c>
      <c r="CH18">
        <v>5403</v>
      </c>
      <c r="CI18">
        <v>5610</v>
      </c>
      <c r="CJ18">
        <v>5573</v>
      </c>
      <c r="CK18">
        <v>5771</v>
      </c>
      <c r="CL18">
        <v>6134</v>
      </c>
      <c r="CM18">
        <v>5903</v>
      </c>
      <c r="CN18">
        <v>5526</v>
      </c>
      <c r="CO18">
        <v>5180</v>
      </c>
      <c r="CP18">
        <v>4905</v>
      </c>
      <c r="CQ18">
        <v>4947</v>
      </c>
      <c r="CR18">
        <v>5247</v>
      </c>
      <c r="CS18">
        <v>5411</v>
      </c>
    </row>
    <row r="19" spans="1:97">
      <c r="A19" s="9">
        <v>46252</v>
      </c>
      <c r="B19">
        <v>3875</v>
      </c>
      <c r="C19">
        <v>3313</v>
      </c>
      <c r="D19">
        <v>2513</v>
      </c>
      <c r="E19">
        <v>1849</v>
      </c>
      <c r="F19">
        <v>655</v>
      </c>
      <c r="G19">
        <v>-45</v>
      </c>
      <c r="H19">
        <v>-167</v>
      </c>
      <c r="I19">
        <v>-200</v>
      </c>
      <c r="J19">
        <v>-18</v>
      </c>
      <c r="K19">
        <v>150</v>
      </c>
      <c r="L19">
        <v>610</v>
      </c>
      <c r="M19">
        <v>722</v>
      </c>
      <c r="N19">
        <v>-235</v>
      </c>
      <c r="O19">
        <v>-15</v>
      </c>
      <c r="P19">
        <v>-161</v>
      </c>
      <c r="Q19">
        <v>-69</v>
      </c>
      <c r="R19">
        <v>-473</v>
      </c>
      <c r="S19">
        <v>-128</v>
      </c>
      <c r="T19">
        <v>-526</v>
      </c>
      <c r="U19">
        <v>-319</v>
      </c>
      <c r="V19">
        <v>-9</v>
      </c>
      <c r="W19">
        <v>222</v>
      </c>
      <c r="X19">
        <v>155</v>
      </c>
      <c r="Y19">
        <v>227</v>
      </c>
      <c r="Z19">
        <v>-298</v>
      </c>
      <c r="AA19">
        <v>81</v>
      </c>
      <c r="AB19">
        <v>-203</v>
      </c>
      <c r="AC19">
        <v>-425</v>
      </c>
      <c r="AD19">
        <v>661</v>
      </c>
      <c r="AE19">
        <v>1115</v>
      </c>
      <c r="AF19">
        <v>1583</v>
      </c>
      <c r="AG19">
        <v>2784</v>
      </c>
      <c r="AH19">
        <v>3544</v>
      </c>
      <c r="AI19">
        <v>4796</v>
      </c>
      <c r="AJ19">
        <v>5557</v>
      </c>
      <c r="AK19">
        <v>6311</v>
      </c>
      <c r="AL19">
        <v>6487</v>
      </c>
      <c r="AM19">
        <v>6672</v>
      </c>
      <c r="AN19">
        <v>7300</v>
      </c>
      <c r="AO19">
        <v>7034</v>
      </c>
      <c r="AP19">
        <v>6654</v>
      </c>
      <c r="AQ19">
        <v>6486</v>
      </c>
      <c r="AR19">
        <v>6191</v>
      </c>
      <c r="AS19">
        <v>6234</v>
      </c>
      <c r="AT19">
        <v>5577</v>
      </c>
      <c r="AU19">
        <v>5514</v>
      </c>
      <c r="AV19">
        <v>4947</v>
      </c>
      <c r="AW19">
        <v>4738</v>
      </c>
      <c r="AX19">
        <v>5768</v>
      </c>
      <c r="AY19">
        <v>6159</v>
      </c>
      <c r="AZ19">
        <v>6381</v>
      </c>
      <c r="BA19">
        <v>6141</v>
      </c>
      <c r="BB19">
        <v>7009</v>
      </c>
      <c r="BC19">
        <v>6863</v>
      </c>
      <c r="BD19">
        <v>7080</v>
      </c>
      <c r="BE19">
        <v>6775</v>
      </c>
      <c r="BF19">
        <v>6733</v>
      </c>
      <c r="BG19">
        <v>7775</v>
      </c>
      <c r="BH19">
        <v>7957</v>
      </c>
      <c r="BI19">
        <v>8278</v>
      </c>
      <c r="BJ19">
        <v>8308</v>
      </c>
      <c r="BK19">
        <v>7778</v>
      </c>
      <c r="BL19">
        <v>7313</v>
      </c>
      <c r="BM19">
        <v>7190</v>
      </c>
      <c r="BN19">
        <v>7089</v>
      </c>
      <c r="BO19">
        <v>6691</v>
      </c>
      <c r="BP19">
        <v>6176</v>
      </c>
      <c r="BQ19">
        <v>5935</v>
      </c>
      <c r="BR19">
        <v>5842</v>
      </c>
      <c r="BS19">
        <v>6278</v>
      </c>
      <c r="BT19">
        <v>6214</v>
      </c>
      <c r="BU19">
        <v>6727</v>
      </c>
      <c r="BV19">
        <v>6480</v>
      </c>
      <c r="BW19">
        <v>6470</v>
      </c>
      <c r="BX19">
        <v>6215</v>
      </c>
      <c r="BY19">
        <v>6065</v>
      </c>
      <c r="BZ19">
        <v>7051</v>
      </c>
      <c r="CA19">
        <v>6851</v>
      </c>
      <c r="CB19">
        <v>7116</v>
      </c>
      <c r="CC19">
        <v>6817</v>
      </c>
      <c r="CD19">
        <v>6804</v>
      </c>
      <c r="CE19">
        <v>6655</v>
      </c>
      <c r="CF19">
        <v>5936</v>
      </c>
      <c r="CG19">
        <v>5429</v>
      </c>
      <c r="CH19">
        <v>5045</v>
      </c>
      <c r="CI19">
        <v>4195</v>
      </c>
      <c r="CJ19">
        <v>3748</v>
      </c>
      <c r="CK19">
        <v>3879</v>
      </c>
      <c r="CL19">
        <v>3704</v>
      </c>
      <c r="CM19">
        <v>3389</v>
      </c>
      <c r="CN19">
        <v>3002</v>
      </c>
      <c r="CO19">
        <v>3134</v>
      </c>
      <c r="CP19">
        <v>3811</v>
      </c>
      <c r="CQ19">
        <v>3614</v>
      </c>
      <c r="CR19">
        <v>3562</v>
      </c>
      <c r="CS19">
        <v>3890</v>
      </c>
    </row>
    <row r="20" spans="1:97">
      <c r="A20" s="9">
        <v>46253</v>
      </c>
      <c r="B20">
        <v>4031</v>
      </c>
      <c r="C20">
        <v>3599</v>
      </c>
      <c r="D20">
        <v>3511</v>
      </c>
      <c r="E20">
        <v>3594</v>
      </c>
      <c r="F20">
        <v>2887</v>
      </c>
      <c r="G20">
        <v>1965</v>
      </c>
      <c r="H20">
        <v>1689</v>
      </c>
      <c r="I20">
        <v>1271</v>
      </c>
      <c r="J20">
        <v>1500</v>
      </c>
      <c r="K20">
        <v>1427</v>
      </c>
      <c r="L20">
        <v>1432</v>
      </c>
      <c r="M20">
        <v>1321</v>
      </c>
      <c r="N20">
        <v>1713</v>
      </c>
      <c r="O20">
        <v>1906</v>
      </c>
      <c r="P20">
        <v>2071</v>
      </c>
      <c r="Q20">
        <v>2067</v>
      </c>
      <c r="R20">
        <v>2231</v>
      </c>
      <c r="S20">
        <v>2255</v>
      </c>
      <c r="T20">
        <v>2456</v>
      </c>
      <c r="U20">
        <v>2005</v>
      </c>
      <c r="V20">
        <v>2418</v>
      </c>
      <c r="W20">
        <v>2707</v>
      </c>
      <c r="X20">
        <v>3167</v>
      </c>
      <c r="Y20">
        <v>3568</v>
      </c>
      <c r="Z20">
        <v>3436</v>
      </c>
      <c r="AA20">
        <v>3844</v>
      </c>
      <c r="AB20">
        <v>3776</v>
      </c>
      <c r="AC20">
        <v>4257</v>
      </c>
      <c r="AD20">
        <v>5093</v>
      </c>
      <c r="AE20">
        <v>5774</v>
      </c>
      <c r="AF20">
        <v>6436</v>
      </c>
      <c r="AG20">
        <v>6351</v>
      </c>
      <c r="AH20">
        <v>6489</v>
      </c>
      <c r="AI20">
        <v>6891</v>
      </c>
      <c r="AJ20">
        <v>7391</v>
      </c>
      <c r="AK20">
        <v>7778</v>
      </c>
      <c r="AL20">
        <v>8099</v>
      </c>
      <c r="AM20">
        <v>8082</v>
      </c>
      <c r="AN20">
        <v>7509</v>
      </c>
      <c r="AO20">
        <v>7428</v>
      </c>
      <c r="AP20">
        <v>7046</v>
      </c>
      <c r="AQ20">
        <v>6504</v>
      </c>
      <c r="AR20">
        <v>5960</v>
      </c>
      <c r="AS20">
        <v>5674</v>
      </c>
      <c r="AT20">
        <v>5299</v>
      </c>
      <c r="AU20">
        <v>5296</v>
      </c>
      <c r="AV20">
        <v>5009</v>
      </c>
      <c r="AW20">
        <v>4945</v>
      </c>
      <c r="AX20">
        <v>5050</v>
      </c>
      <c r="AY20">
        <v>5252</v>
      </c>
      <c r="AZ20">
        <v>5435</v>
      </c>
      <c r="BA20">
        <v>5237</v>
      </c>
      <c r="BB20">
        <v>5823</v>
      </c>
      <c r="BC20">
        <v>5665</v>
      </c>
      <c r="BD20">
        <v>6485</v>
      </c>
      <c r="BE20">
        <v>6541</v>
      </c>
      <c r="BF20">
        <v>6732</v>
      </c>
      <c r="BG20">
        <v>6618</v>
      </c>
      <c r="BH20">
        <v>6765</v>
      </c>
      <c r="BI20">
        <v>6676</v>
      </c>
      <c r="BJ20">
        <v>6942</v>
      </c>
      <c r="BK20">
        <v>7043</v>
      </c>
      <c r="BL20">
        <v>7434</v>
      </c>
      <c r="BM20">
        <v>7464</v>
      </c>
      <c r="BN20">
        <v>7248</v>
      </c>
      <c r="BO20">
        <v>7294</v>
      </c>
      <c r="BP20">
        <v>7730</v>
      </c>
      <c r="BQ20">
        <v>7989</v>
      </c>
      <c r="BR20">
        <v>8171</v>
      </c>
      <c r="BS20">
        <v>8419</v>
      </c>
      <c r="BT20">
        <v>8302</v>
      </c>
      <c r="BU20">
        <v>8381</v>
      </c>
      <c r="BV20">
        <v>8181</v>
      </c>
      <c r="BW20">
        <v>8288</v>
      </c>
      <c r="BX20">
        <v>7926</v>
      </c>
      <c r="BY20">
        <v>7645</v>
      </c>
      <c r="BZ20">
        <v>8009</v>
      </c>
      <c r="CA20">
        <v>7901</v>
      </c>
      <c r="CB20">
        <v>7649</v>
      </c>
      <c r="CC20">
        <v>7635</v>
      </c>
      <c r="CD20">
        <v>7880</v>
      </c>
      <c r="CE20">
        <v>7564</v>
      </c>
      <c r="CF20">
        <v>7732</v>
      </c>
      <c r="CG20">
        <v>7229</v>
      </c>
      <c r="CH20">
        <v>7816</v>
      </c>
      <c r="CI20">
        <v>7895</v>
      </c>
      <c r="CJ20">
        <v>8282</v>
      </c>
      <c r="CK20">
        <v>8419</v>
      </c>
      <c r="CL20">
        <v>8646</v>
      </c>
      <c r="CM20">
        <v>8666</v>
      </c>
      <c r="CN20">
        <v>7906</v>
      </c>
      <c r="CO20">
        <v>7276</v>
      </c>
      <c r="CP20">
        <v>7098</v>
      </c>
      <c r="CQ20">
        <v>6273</v>
      </c>
      <c r="CR20">
        <v>6085</v>
      </c>
      <c r="CS20">
        <v>5382</v>
      </c>
    </row>
    <row r="21" spans="1:97">
      <c r="A21" s="9">
        <v>46254</v>
      </c>
      <c r="B21">
        <v>5659</v>
      </c>
      <c r="C21">
        <v>5799</v>
      </c>
      <c r="D21">
        <v>5924</v>
      </c>
      <c r="E21">
        <v>5580</v>
      </c>
      <c r="F21">
        <v>5553</v>
      </c>
      <c r="G21">
        <v>5509</v>
      </c>
      <c r="H21">
        <v>5305</v>
      </c>
      <c r="I21">
        <v>5329</v>
      </c>
      <c r="J21">
        <v>5442</v>
      </c>
      <c r="K21">
        <v>5250</v>
      </c>
      <c r="L21">
        <v>5149</v>
      </c>
      <c r="M21">
        <v>5208</v>
      </c>
      <c r="N21">
        <v>4797</v>
      </c>
      <c r="O21">
        <v>4879</v>
      </c>
      <c r="P21">
        <v>5051</v>
      </c>
      <c r="Q21">
        <v>4941</v>
      </c>
      <c r="R21">
        <v>4229</v>
      </c>
      <c r="S21">
        <v>4261</v>
      </c>
      <c r="T21">
        <v>4327</v>
      </c>
      <c r="U21">
        <v>4495</v>
      </c>
      <c r="V21">
        <v>4608</v>
      </c>
      <c r="W21">
        <v>5307</v>
      </c>
      <c r="X21">
        <v>5552</v>
      </c>
      <c r="Y21">
        <v>5599</v>
      </c>
      <c r="Z21">
        <v>5848</v>
      </c>
      <c r="AA21">
        <v>5928</v>
      </c>
      <c r="AB21">
        <v>6223</v>
      </c>
      <c r="AC21">
        <v>6381</v>
      </c>
      <c r="AD21">
        <v>6718</v>
      </c>
      <c r="AE21">
        <v>7081</v>
      </c>
      <c r="AF21">
        <v>7512</v>
      </c>
      <c r="AG21">
        <v>7266</v>
      </c>
      <c r="AH21">
        <v>7260</v>
      </c>
      <c r="AI21">
        <v>7477</v>
      </c>
      <c r="AJ21">
        <v>7547</v>
      </c>
      <c r="AK21">
        <v>7941</v>
      </c>
      <c r="AL21">
        <v>8101</v>
      </c>
      <c r="AM21">
        <v>8070</v>
      </c>
      <c r="AN21">
        <v>8153</v>
      </c>
      <c r="AO21">
        <v>8142</v>
      </c>
      <c r="AP21">
        <v>8237</v>
      </c>
      <c r="AQ21">
        <v>7952</v>
      </c>
      <c r="AR21">
        <v>7929</v>
      </c>
      <c r="AS21">
        <v>7854</v>
      </c>
      <c r="AT21">
        <v>7826</v>
      </c>
      <c r="AU21">
        <v>7349</v>
      </c>
      <c r="AV21">
        <v>6895</v>
      </c>
      <c r="AW21">
        <v>6657</v>
      </c>
      <c r="AX21">
        <v>7712</v>
      </c>
      <c r="AY21">
        <v>8217</v>
      </c>
      <c r="AZ21">
        <v>8343</v>
      </c>
      <c r="BA21">
        <v>7801</v>
      </c>
      <c r="BB21">
        <v>7723</v>
      </c>
      <c r="BC21">
        <v>7440</v>
      </c>
      <c r="BD21">
        <v>7634</v>
      </c>
      <c r="BE21">
        <v>7893</v>
      </c>
      <c r="BF21">
        <v>8102</v>
      </c>
      <c r="BG21">
        <v>8360</v>
      </c>
      <c r="BH21">
        <v>8412</v>
      </c>
      <c r="BI21">
        <v>8631</v>
      </c>
      <c r="BJ21">
        <v>8930</v>
      </c>
      <c r="BK21">
        <v>8902</v>
      </c>
      <c r="BL21">
        <v>8772</v>
      </c>
      <c r="BM21">
        <v>9051</v>
      </c>
      <c r="BN21">
        <v>9639</v>
      </c>
      <c r="BO21">
        <v>9502</v>
      </c>
      <c r="BP21">
        <v>9557</v>
      </c>
      <c r="BQ21">
        <v>9135</v>
      </c>
      <c r="BR21">
        <v>8754</v>
      </c>
      <c r="BS21">
        <v>9353</v>
      </c>
      <c r="BT21">
        <v>9365</v>
      </c>
      <c r="BU21">
        <v>9318</v>
      </c>
      <c r="BV21">
        <v>9821</v>
      </c>
      <c r="BW21">
        <v>10108</v>
      </c>
      <c r="BX21">
        <v>9458</v>
      </c>
      <c r="BY21">
        <v>8923</v>
      </c>
      <c r="BZ21">
        <v>8527</v>
      </c>
      <c r="CA21">
        <v>8067</v>
      </c>
      <c r="CB21">
        <v>7942</v>
      </c>
      <c r="CC21">
        <v>7595</v>
      </c>
      <c r="CD21">
        <v>8149</v>
      </c>
      <c r="CE21">
        <v>7917</v>
      </c>
      <c r="CF21">
        <v>7538</v>
      </c>
      <c r="CG21">
        <v>7116</v>
      </c>
      <c r="CH21">
        <v>7535</v>
      </c>
      <c r="CI21">
        <v>7204</v>
      </c>
      <c r="CJ21">
        <v>7393</v>
      </c>
      <c r="CK21">
        <v>7258</v>
      </c>
      <c r="CL21">
        <v>6658</v>
      </c>
      <c r="CM21">
        <v>6515</v>
      </c>
      <c r="CN21">
        <v>5810</v>
      </c>
      <c r="CO21">
        <v>4954</v>
      </c>
      <c r="CP21">
        <v>4024</v>
      </c>
      <c r="CQ21">
        <v>3567</v>
      </c>
      <c r="CR21">
        <v>3173</v>
      </c>
      <c r="CS21">
        <v>2744</v>
      </c>
    </row>
    <row r="22" spans="1:97">
      <c r="A22" s="9">
        <v>46255</v>
      </c>
      <c r="B22">
        <v>2079</v>
      </c>
      <c r="C22">
        <v>1921</v>
      </c>
      <c r="D22">
        <v>1577</v>
      </c>
      <c r="E22">
        <v>1568</v>
      </c>
      <c r="F22">
        <v>1150</v>
      </c>
      <c r="G22">
        <v>613</v>
      </c>
      <c r="H22">
        <v>343</v>
      </c>
      <c r="I22">
        <v>16</v>
      </c>
      <c r="J22">
        <v>120</v>
      </c>
      <c r="K22">
        <v>250</v>
      </c>
      <c r="L22">
        <v>440</v>
      </c>
      <c r="M22">
        <v>523</v>
      </c>
      <c r="N22">
        <v>546</v>
      </c>
      <c r="O22">
        <v>338</v>
      </c>
      <c r="P22">
        <v>538</v>
      </c>
      <c r="Q22">
        <v>1008</v>
      </c>
      <c r="R22">
        <v>1253</v>
      </c>
      <c r="S22">
        <v>1566</v>
      </c>
      <c r="T22">
        <v>1904</v>
      </c>
      <c r="U22">
        <v>1977</v>
      </c>
      <c r="V22">
        <v>2199</v>
      </c>
      <c r="W22">
        <v>2521</v>
      </c>
      <c r="X22">
        <v>2650</v>
      </c>
      <c r="Y22">
        <v>2744</v>
      </c>
      <c r="Z22">
        <v>3041</v>
      </c>
      <c r="AA22">
        <v>3438</v>
      </c>
      <c r="AB22">
        <v>3670</v>
      </c>
      <c r="AC22">
        <v>3958</v>
      </c>
      <c r="AD22">
        <v>4370</v>
      </c>
      <c r="AE22">
        <v>4669</v>
      </c>
      <c r="AF22">
        <v>5069</v>
      </c>
      <c r="AG22">
        <v>5171</v>
      </c>
      <c r="AH22">
        <v>5281</v>
      </c>
      <c r="AI22">
        <v>5549</v>
      </c>
      <c r="AJ22">
        <v>5918</v>
      </c>
      <c r="AK22">
        <v>6370</v>
      </c>
      <c r="AL22">
        <v>6891</v>
      </c>
      <c r="AM22">
        <v>7212</v>
      </c>
      <c r="AN22">
        <v>7422</v>
      </c>
      <c r="AO22">
        <v>7727</v>
      </c>
      <c r="AP22">
        <v>7547</v>
      </c>
      <c r="AQ22">
        <v>7820</v>
      </c>
      <c r="AR22">
        <v>7237</v>
      </c>
      <c r="AS22">
        <v>7325</v>
      </c>
      <c r="AT22">
        <v>6638</v>
      </c>
      <c r="AU22">
        <v>6619</v>
      </c>
      <c r="AV22">
        <v>6490</v>
      </c>
      <c r="AW22">
        <v>6822</v>
      </c>
      <c r="AX22">
        <v>6557</v>
      </c>
      <c r="AY22">
        <v>6648</v>
      </c>
      <c r="AZ22">
        <v>6889</v>
      </c>
      <c r="BA22">
        <v>6954</v>
      </c>
      <c r="BB22">
        <v>7404</v>
      </c>
      <c r="BC22">
        <v>7564</v>
      </c>
      <c r="BD22">
        <v>7626</v>
      </c>
      <c r="BE22">
        <v>7576</v>
      </c>
      <c r="BF22">
        <v>7361</v>
      </c>
      <c r="BG22">
        <v>6974</v>
      </c>
      <c r="BH22">
        <v>7232</v>
      </c>
      <c r="BI22">
        <v>7089</v>
      </c>
      <c r="BJ22">
        <v>7242</v>
      </c>
      <c r="BK22">
        <v>7987</v>
      </c>
      <c r="BL22">
        <v>8288</v>
      </c>
      <c r="BM22">
        <v>8495</v>
      </c>
      <c r="BN22">
        <v>8500</v>
      </c>
      <c r="BO22">
        <v>8799</v>
      </c>
      <c r="BP22">
        <v>8425</v>
      </c>
      <c r="BQ22">
        <v>8411</v>
      </c>
      <c r="BR22">
        <v>8271</v>
      </c>
      <c r="BS22">
        <v>8217</v>
      </c>
      <c r="BT22">
        <v>8196</v>
      </c>
      <c r="BU22">
        <v>8209</v>
      </c>
      <c r="BV22">
        <v>7958</v>
      </c>
      <c r="BW22">
        <v>7648</v>
      </c>
      <c r="BX22">
        <v>7567</v>
      </c>
      <c r="BY22">
        <v>7113</v>
      </c>
      <c r="BZ22">
        <v>7152</v>
      </c>
      <c r="CA22">
        <v>7166</v>
      </c>
      <c r="CB22">
        <v>7326</v>
      </c>
      <c r="CC22">
        <v>7201</v>
      </c>
      <c r="CD22">
        <v>7764</v>
      </c>
      <c r="CE22">
        <v>7235</v>
      </c>
      <c r="CF22">
        <v>6944</v>
      </c>
      <c r="CG22">
        <v>6955</v>
      </c>
      <c r="CH22">
        <v>6737</v>
      </c>
      <c r="CI22">
        <v>6861</v>
      </c>
      <c r="CJ22">
        <v>7031</v>
      </c>
      <c r="CK22">
        <v>7171</v>
      </c>
      <c r="CL22">
        <v>6616</v>
      </c>
      <c r="CM22">
        <v>6069</v>
      </c>
      <c r="CN22">
        <v>5614</v>
      </c>
      <c r="CO22">
        <v>4885</v>
      </c>
      <c r="CP22">
        <v>4292</v>
      </c>
      <c r="CQ22">
        <v>4185</v>
      </c>
      <c r="CR22">
        <v>4189</v>
      </c>
      <c r="CS22">
        <v>4426</v>
      </c>
    </row>
    <row r="23" spans="1:97">
      <c r="A23" s="9">
        <v>46256</v>
      </c>
      <c r="B23">
        <v>4250</v>
      </c>
      <c r="C23">
        <v>3889</v>
      </c>
      <c r="D23">
        <v>3620</v>
      </c>
      <c r="E23">
        <v>3164</v>
      </c>
      <c r="F23">
        <v>2586</v>
      </c>
      <c r="G23">
        <v>2187</v>
      </c>
      <c r="H23">
        <v>1919</v>
      </c>
      <c r="I23">
        <v>1587</v>
      </c>
      <c r="J23">
        <v>1575</v>
      </c>
      <c r="K23">
        <v>1426</v>
      </c>
      <c r="L23">
        <v>1569</v>
      </c>
      <c r="M23">
        <v>1731</v>
      </c>
      <c r="N23">
        <v>1346</v>
      </c>
      <c r="O23">
        <v>1447</v>
      </c>
      <c r="P23">
        <v>1472</v>
      </c>
      <c r="Q23">
        <v>1397</v>
      </c>
      <c r="R23">
        <v>1486</v>
      </c>
      <c r="S23">
        <v>1488</v>
      </c>
      <c r="T23">
        <v>1456</v>
      </c>
      <c r="U23">
        <v>1460</v>
      </c>
      <c r="V23">
        <v>1813</v>
      </c>
      <c r="W23">
        <v>2399</v>
      </c>
      <c r="X23">
        <v>2603</v>
      </c>
      <c r="Y23">
        <v>2993</v>
      </c>
      <c r="Z23">
        <v>2497</v>
      </c>
      <c r="AA23">
        <v>2609</v>
      </c>
      <c r="AB23">
        <v>3155</v>
      </c>
      <c r="AC23">
        <v>3113</v>
      </c>
      <c r="AD23">
        <v>3698</v>
      </c>
      <c r="AE23">
        <v>3796</v>
      </c>
      <c r="AF23">
        <v>4090</v>
      </c>
      <c r="AG23">
        <v>4171</v>
      </c>
      <c r="AH23">
        <v>4567</v>
      </c>
      <c r="AI23">
        <v>4558</v>
      </c>
      <c r="AJ23">
        <v>4962</v>
      </c>
      <c r="AK23">
        <v>5631</v>
      </c>
      <c r="AL23">
        <v>5604</v>
      </c>
      <c r="AM23">
        <v>5746</v>
      </c>
      <c r="AN23">
        <v>5822</v>
      </c>
      <c r="AO23">
        <v>6115</v>
      </c>
      <c r="AP23">
        <v>6487</v>
      </c>
      <c r="AQ23">
        <v>6628</v>
      </c>
      <c r="AR23">
        <v>7175</v>
      </c>
      <c r="AS23">
        <v>7095</v>
      </c>
      <c r="AT23">
        <v>7530</v>
      </c>
      <c r="AU23">
        <v>6666</v>
      </c>
      <c r="AV23">
        <v>6742</v>
      </c>
      <c r="AW23">
        <v>6708</v>
      </c>
      <c r="AX23">
        <v>6392</v>
      </c>
      <c r="AY23">
        <v>6482</v>
      </c>
      <c r="AZ23">
        <v>6727</v>
      </c>
      <c r="BA23">
        <v>6933</v>
      </c>
      <c r="BB23">
        <v>7243</v>
      </c>
      <c r="BC23">
        <v>7057</v>
      </c>
      <c r="BD23">
        <v>7482</v>
      </c>
      <c r="BE23">
        <v>7937</v>
      </c>
      <c r="BF23">
        <v>8243</v>
      </c>
      <c r="BG23">
        <v>8550</v>
      </c>
      <c r="BH23">
        <v>8905</v>
      </c>
      <c r="BI23">
        <v>9588</v>
      </c>
      <c r="BJ23">
        <v>8878</v>
      </c>
      <c r="BK23">
        <v>8513</v>
      </c>
      <c r="BL23">
        <v>8627</v>
      </c>
      <c r="BM23">
        <v>8370</v>
      </c>
      <c r="BN23">
        <v>8392</v>
      </c>
      <c r="BO23">
        <v>8025</v>
      </c>
      <c r="BP23">
        <v>7299</v>
      </c>
      <c r="BQ23">
        <v>7080</v>
      </c>
      <c r="BR23">
        <v>6543</v>
      </c>
      <c r="BS23">
        <v>6412</v>
      </c>
      <c r="BT23">
        <v>6223</v>
      </c>
      <c r="BU23">
        <v>5945</v>
      </c>
      <c r="BV23">
        <v>6059</v>
      </c>
      <c r="BW23">
        <v>6129</v>
      </c>
      <c r="BX23">
        <v>6210</v>
      </c>
      <c r="BY23">
        <v>6605</v>
      </c>
      <c r="BZ23">
        <v>6753</v>
      </c>
      <c r="CA23">
        <v>6512</v>
      </c>
      <c r="CB23">
        <v>6724</v>
      </c>
      <c r="CC23">
        <v>6486</v>
      </c>
      <c r="CD23">
        <v>5978</v>
      </c>
      <c r="CE23">
        <v>5663</v>
      </c>
      <c r="CF23">
        <v>5114</v>
      </c>
      <c r="CG23">
        <v>5065</v>
      </c>
      <c r="CH23">
        <v>4848</v>
      </c>
      <c r="CI23">
        <v>4702</v>
      </c>
      <c r="CJ23">
        <v>4686</v>
      </c>
      <c r="CK23">
        <v>4466</v>
      </c>
      <c r="CL23">
        <v>4379</v>
      </c>
      <c r="CM23">
        <v>3442</v>
      </c>
      <c r="CN23">
        <v>3087</v>
      </c>
      <c r="CO23">
        <v>2502</v>
      </c>
      <c r="CP23">
        <v>1963</v>
      </c>
      <c r="CQ23">
        <v>1802</v>
      </c>
      <c r="CR23">
        <v>1339</v>
      </c>
      <c r="CS23">
        <v>1193</v>
      </c>
    </row>
    <row r="24" spans="1:97">
      <c r="A24" s="9">
        <v>46257</v>
      </c>
      <c r="B24">
        <v>-127</v>
      </c>
      <c r="C24">
        <v>-550</v>
      </c>
      <c r="D24">
        <v>-959</v>
      </c>
      <c r="E24">
        <v>-1284</v>
      </c>
      <c r="F24">
        <v>-1327</v>
      </c>
      <c r="G24">
        <v>-1404</v>
      </c>
      <c r="H24">
        <v>-1457</v>
      </c>
      <c r="I24">
        <v>-1691</v>
      </c>
      <c r="J24">
        <v>-1601</v>
      </c>
      <c r="K24">
        <v>-1659</v>
      </c>
      <c r="L24">
        <v>-1726</v>
      </c>
      <c r="M24">
        <v>-1758</v>
      </c>
      <c r="N24">
        <v>-1706</v>
      </c>
      <c r="O24">
        <v>-1980</v>
      </c>
      <c r="P24">
        <v>-2056</v>
      </c>
      <c r="Q24">
        <v>-2023</v>
      </c>
      <c r="R24">
        <v>-1870</v>
      </c>
      <c r="S24">
        <v>-1486</v>
      </c>
      <c r="T24">
        <v>-1315</v>
      </c>
      <c r="U24">
        <v>-700</v>
      </c>
      <c r="V24">
        <v>-343</v>
      </c>
      <c r="W24">
        <v>93</v>
      </c>
      <c r="X24">
        <v>865</v>
      </c>
      <c r="Y24">
        <v>1373</v>
      </c>
      <c r="Z24">
        <v>1473</v>
      </c>
      <c r="AA24">
        <v>2022</v>
      </c>
      <c r="AB24">
        <v>2130</v>
      </c>
      <c r="AC24">
        <v>2375</v>
      </c>
      <c r="AD24">
        <v>2480</v>
      </c>
      <c r="AE24">
        <v>2787</v>
      </c>
      <c r="AF24">
        <v>3038</v>
      </c>
      <c r="AG24">
        <v>3022</v>
      </c>
      <c r="AH24">
        <v>3002</v>
      </c>
      <c r="AI24">
        <v>3506</v>
      </c>
      <c r="AJ24">
        <v>4142</v>
      </c>
      <c r="AK24">
        <v>4544</v>
      </c>
      <c r="AL24">
        <v>4873</v>
      </c>
      <c r="AM24">
        <v>5515</v>
      </c>
      <c r="AN24">
        <v>5489</v>
      </c>
      <c r="AO24">
        <v>5558</v>
      </c>
      <c r="AP24">
        <v>5287</v>
      </c>
      <c r="AQ24">
        <v>5295</v>
      </c>
      <c r="AR24">
        <v>4672</v>
      </c>
      <c r="AS24">
        <v>4521</v>
      </c>
      <c r="AT24">
        <v>4548</v>
      </c>
      <c r="AU24">
        <v>3821</v>
      </c>
      <c r="AV24">
        <v>3146</v>
      </c>
      <c r="AW24">
        <v>3216</v>
      </c>
      <c r="AX24">
        <v>3520</v>
      </c>
      <c r="AY24">
        <v>3926</v>
      </c>
      <c r="AZ24">
        <v>4145</v>
      </c>
      <c r="BA24">
        <v>4403</v>
      </c>
      <c r="BB24">
        <v>4853</v>
      </c>
      <c r="BC24">
        <v>4926</v>
      </c>
      <c r="BD24">
        <v>5031</v>
      </c>
      <c r="BE24">
        <v>4681</v>
      </c>
      <c r="BF24">
        <v>5185</v>
      </c>
      <c r="BG24">
        <v>5546</v>
      </c>
      <c r="BH24">
        <v>5248</v>
      </c>
      <c r="BI24">
        <v>5473</v>
      </c>
      <c r="BJ24">
        <v>5679</v>
      </c>
      <c r="BK24">
        <v>5755</v>
      </c>
      <c r="BL24">
        <v>5901</v>
      </c>
      <c r="BM24">
        <v>6378</v>
      </c>
      <c r="BN24">
        <v>6056</v>
      </c>
      <c r="BO24">
        <v>6051</v>
      </c>
      <c r="BP24">
        <v>5793</v>
      </c>
      <c r="BQ24">
        <v>6020</v>
      </c>
      <c r="BR24">
        <v>6089</v>
      </c>
      <c r="BS24">
        <v>6412</v>
      </c>
      <c r="BT24">
        <v>6037</v>
      </c>
      <c r="BU24">
        <v>6147</v>
      </c>
      <c r="BV24">
        <v>6469</v>
      </c>
      <c r="BW24">
        <v>6748</v>
      </c>
      <c r="BX24">
        <v>6733</v>
      </c>
      <c r="BY24">
        <v>7558</v>
      </c>
      <c r="BZ24">
        <v>7447</v>
      </c>
      <c r="CA24">
        <v>7768</v>
      </c>
      <c r="CB24">
        <v>7793</v>
      </c>
      <c r="CC24">
        <v>7540</v>
      </c>
      <c r="CD24">
        <v>7443</v>
      </c>
      <c r="CE24">
        <v>7402</v>
      </c>
      <c r="CF24">
        <v>7187</v>
      </c>
      <c r="CG24">
        <v>6421</v>
      </c>
      <c r="CH24">
        <v>5978</v>
      </c>
      <c r="CI24">
        <v>5595</v>
      </c>
      <c r="CJ24">
        <v>5253</v>
      </c>
      <c r="CK24">
        <v>5449</v>
      </c>
      <c r="CL24">
        <v>5330</v>
      </c>
      <c r="CM24">
        <v>5027</v>
      </c>
      <c r="CN24">
        <v>4831</v>
      </c>
      <c r="CO24">
        <v>4076</v>
      </c>
      <c r="CP24">
        <v>3686</v>
      </c>
      <c r="CQ24">
        <v>3377</v>
      </c>
      <c r="CR24">
        <v>3121</v>
      </c>
      <c r="CS24">
        <v>3223</v>
      </c>
    </row>
    <row r="25" spans="1:97">
      <c r="A25" s="9">
        <v>46258</v>
      </c>
      <c r="B25">
        <v>2474</v>
      </c>
      <c r="C25">
        <v>1500</v>
      </c>
      <c r="D25">
        <v>997</v>
      </c>
      <c r="E25">
        <v>1247</v>
      </c>
      <c r="F25">
        <v>867</v>
      </c>
      <c r="G25">
        <v>405</v>
      </c>
      <c r="H25">
        <v>184</v>
      </c>
      <c r="I25">
        <v>-195</v>
      </c>
      <c r="J25">
        <v>-3</v>
      </c>
      <c r="K25">
        <v>248</v>
      </c>
      <c r="L25">
        <v>237</v>
      </c>
      <c r="M25">
        <v>61</v>
      </c>
      <c r="N25">
        <v>-281</v>
      </c>
      <c r="O25">
        <v>-321</v>
      </c>
      <c r="P25">
        <v>-59</v>
      </c>
      <c r="Q25">
        <v>-156</v>
      </c>
      <c r="R25">
        <v>135</v>
      </c>
      <c r="S25">
        <v>462</v>
      </c>
      <c r="T25">
        <v>707</v>
      </c>
      <c r="U25">
        <v>934</v>
      </c>
      <c r="V25">
        <v>1366</v>
      </c>
      <c r="W25">
        <v>1855</v>
      </c>
      <c r="X25">
        <v>2542</v>
      </c>
      <c r="Y25">
        <v>2898</v>
      </c>
      <c r="Z25">
        <v>2341</v>
      </c>
      <c r="AA25">
        <v>3182</v>
      </c>
      <c r="AB25">
        <v>3579</v>
      </c>
      <c r="AC25">
        <v>3955</v>
      </c>
      <c r="AD25">
        <v>4676</v>
      </c>
      <c r="AE25">
        <v>4850</v>
      </c>
      <c r="AF25">
        <v>5228</v>
      </c>
      <c r="AG25">
        <v>5744</v>
      </c>
      <c r="AH25">
        <v>6790</v>
      </c>
      <c r="AI25">
        <v>7227</v>
      </c>
      <c r="AJ25">
        <v>8040</v>
      </c>
      <c r="AK25">
        <v>8485</v>
      </c>
      <c r="AL25">
        <v>9294</v>
      </c>
      <c r="AM25">
        <v>9737</v>
      </c>
      <c r="AN25">
        <v>10287</v>
      </c>
      <c r="AO25">
        <v>10727</v>
      </c>
      <c r="AP25">
        <v>10972</v>
      </c>
      <c r="AQ25">
        <v>10889</v>
      </c>
      <c r="AR25">
        <v>10596</v>
      </c>
      <c r="AS25">
        <v>10337</v>
      </c>
      <c r="AT25">
        <v>9384</v>
      </c>
      <c r="AU25">
        <v>8609</v>
      </c>
      <c r="AV25">
        <v>8647</v>
      </c>
      <c r="AW25">
        <v>7814</v>
      </c>
      <c r="AX25">
        <v>7702</v>
      </c>
      <c r="AY25">
        <v>7598</v>
      </c>
      <c r="AZ25">
        <v>7528</v>
      </c>
      <c r="BA25">
        <v>7944</v>
      </c>
      <c r="BB25">
        <v>7564</v>
      </c>
      <c r="BC25">
        <v>7390</v>
      </c>
      <c r="BD25">
        <v>7635</v>
      </c>
      <c r="BE25">
        <v>7848</v>
      </c>
      <c r="BF25">
        <v>7486</v>
      </c>
      <c r="BG25">
        <v>7764</v>
      </c>
      <c r="BH25">
        <v>7887</v>
      </c>
      <c r="BI25">
        <v>7656</v>
      </c>
      <c r="BJ25">
        <v>8302</v>
      </c>
      <c r="BK25">
        <v>8536</v>
      </c>
      <c r="BL25">
        <v>8333</v>
      </c>
      <c r="BM25">
        <v>8983</v>
      </c>
      <c r="BN25">
        <v>9000</v>
      </c>
      <c r="BO25">
        <v>9004</v>
      </c>
      <c r="BP25">
        <v>9000</v>
      </c>
      <c r="BQ25">
        <v>9206</v>
      </c>
      <c r="BR25">
        <v>9037</v>
      </c>
      <c r="BS25">
        <v>8882</v>
      </c>
      <c r="BT25">
        <v>8718</v>
      </c>
      <c r="BU25">
        <v>8563</v>
      </c>
      <c r="BV25">
        <v>8385</v>
      </c>
      <c r="BW25">
        <v>8590</v>
      </c>
      <c r="BX25">
        <v>8026</v>
      </c>
      <c r="BY25">
        <v>8050</v>
      </c>
      <c r="BZ25">
        <v>7547</v>
      </c>
      <c r="CA25">
        <v>7143</v>
      </c>
      <c r="CB25">
        <v>6979</v>
      </c>
      <c r="CC25">
        <v>7072</v>
      </c>
      <c r="CD25">
        <v>6946</v>
      </c>
      <c r="CE25">
        <v>6754</v>
      </c>
      <c r="CF25">
        <v>6242</v>
      </c>
      <c r="CG25">
        <v>6276</v>
      </c>
      <c r="CH25">
        <v>4913</v>
      </c>
      <c r="CI25">
        <v>5026</v>
      </c>
      <c r="CJ25">
        <v>5182</v>
      </c>
      <c r="CK25">
        <v>5491</v>
      </c>
      <c r="CL25">
        <v>5562</v>
      </c>
      <c r="CM25">
        <v>5340</v>
      </c>
      <c r="CN25">
        <v>4537</v>
      </c>
      <c r="CO25">
        <v>4089</v>
      </c>
      <c r="CP25">
        <v>4847</v>
      </c>
      <c r="CQ25">
        <v>4448</v>
      </c>
      <c r="CR25">
        <v>4603</v>
      </c>
      <c r="CS25">
        <v>4173</v>
      </c>
    </row>
    <row r="26" spans="1:97">
      <c r="A26" s="9">
        <v>46259</v>
      </c>
      <c r="B26">
        <v>4338</v>
      </c>
      <c r="C26">
        <v>4399</v>
      </c>
      <c r="D26">
        <v>4194</v>
      </c>
      <c r="E26">
        <v>4253</v>
      </c>
      <c r="F26">
        <v>4196</v>
      </c>
      <c r="G26">
        <v>3987</v>
      </c>
      <c r="H26">
        <v>3592</v>
      </c>
      <c r="I26">
        <v>3480</v>
      </c>
      <c r="J26">
        <v>3397</v>
      </c>
      <c r="K26">
        <v>3438</v>
      </c>
      <c r="L26">
        <v>2911</v>
      </c>
      <c r="M26">
        <v>2759</v>
      </c>
      <c r="N26">
        <v>2643</v>
      </c>
      <c r="O26">
        <v>2745</v>
      </c>
      <c r="P26">
        <v>2798</v>
      </c>
      <c r="Q26">
        <v>3072</v>
      </c>
      <c r="R26">
        <v>3464</v>
      </c>
      <c r="S26">
        <v>3728</v>
      </c>
      <c r="T26">
        <v>3835</v>
      </c>
      <c r="U26">
        <v>4048</v>
      </c>
      <c r="V26">
        <v>4476</v>
      </c>
      <c r="W26">
        <v>4868</v>
      </c>
      <c r="X26">
        <v>5194</v>
      </c>
      <c r="Y26">
        <v>5675</v>
      </c>
      <c r="Z26">
        <v>5324</v>
      </c>
      <c r="AA26">
        <v>5887</v>
      </c>
      <c r="AB26">
        <v>5744</v>
      </c>
      <c r="AC26">
        <v>6174</v>
      </c>
      <c r="AD26">
        <v>7177</v>
      </c>
      <c r="AE26">
        <v>7466</v>
      </c>
      <c r="AF26">
        <v>7914</v>
      </c>
      <c r="AG26">
        <v>7745</v>
      </c>
      <c r="AH26">
        <v>7716</v>
      </c>
      <c r="AI26">
        <v>8233</v>
      </c>
      <c r="AJ26">
        <v>8298</v>
      </c>
      <c r="AK26">
        <v>8318</v>
      </c>
      <c r="AL26">
        <v>8405</v>
      </c>
      <c r="AM26">
        <v>8409</v>
      </c>
      <c r="AN26">
        <v>8507</v>
      </c>
      <c r="AO26">
        <v>8073</v>
      </c>
      <c r="AP26">
        <v>8388</v>
      </c>
      <c r="AQ26">
        <v>8122</v>
      </c>
      <c r="AR26">
        <v>7975</v>
      </c>
      <c r="AS26">
        <v>7662</v>
      </c>
      <c r="AT26">
        <v>8058</v>
      </c>
      <c r="AU26">
        <v>7844</v>
      </c>
      <c r="AV26">
        <v>7879</v>
      </c>
      <c r="AW26">
        <v>7788</v>
      </c>
      <c r="AX26">
        <v>8058</v>
      </c>
      <c r="AY26">
        <v>8234</v>
      </c>
      <c r="AZ26">
        <v>7889</v>
      </c>
      <c r="BA26">
        <v>7809</v>
      </c>
      <c r="BB26">
        <v>8129</v>
      </c>
      <c r="BC26">
        <v>8327</v>
      </c>
      <c r="BD26">
        <v>8645</v>
      </c>
      <c r="BE26">
        <v>8792</v>
      </c>
      <c r="BF26">
        <v>8871</v>
      </c>
      <c r="BG26">
        <v>9122</v>
      </c>
      <c r="BH26">
        <v>9004</v>
      </c>
      <c r="BI26">
        <v>8672</v>
      </c>
      <c r="BJ26">
        <v>9253</v>
      </c>
      <c r="BK26">
        <v>9742</v>
      </c>
      <c r="BL26">
        <v>9983</v>
      </c>
      <c r="BM26">
        <v>10319</v>
      </c>
      <c r="BN26">
        <v>10504</v>
      </c>
      <c r="BO26">
        <v>10797</v>
      </c>
      <c r="BP26">
        <v>10626</v>
      </c>
      <c r="BQ26">
        <v>10141</v>
      </c>
      <c r="BR26">
        <v>10290</v>
      </c>
      <c r="BS26">
        <v>10008</v>
      </c>
      <c r="BT26">
        <v>10018</v>
      </c>
      <c r="BU26">
        <v>9801</v>
      </c>
      <c r="BV26">
        <v>9672</v>
      </c>
      <c r="BW26">
        <v>9471</v>
      </c>
      <c r="BX26">
        <v>9046</v>
      </c>
      <c r="BY26">
        <v>8389</v>
      </c>
      <c r="BZ26">
        <v>8153</v>
      </c>
      <c r="CA26">
        <v>7637</v>
      </c>
      <c r="CB26">
        <v>8040</v>
      </c>
      <c r="CC26">
        <v>7866</v>
      </c>
      <c r="CD26">
        <v>7737</v>
      </c>
      <c r="CE26">
        <v>7846</v>
      </c>
      <c r="CF26">
        <v>7637</v>
      </c>
      <c r="CG26">
        <v>7664</v>
      </c>
      <c r="CH26">
        <v>7355</v>
      </c>
      <c r="CI26">
        <v>7114</v>
      </c>
      <c r="CJ26">
        <v>6447</v>
      </c>
      <c r="CK26">
        <v>6882</v>
      </c>
      <c r="CL26">
        <v>7783</v>
      </c>
      <c r="CM26">
        <v>7886</v>
      </c>
      <c r="CN26">
        <v>7637</v>
      </c>
      <c r="CO26">
        <v>7162</v>
      </c>
      <c r="CP26">
        <v>6944</v>
      </c>
      <c r="CQ26">
        <v>6775</v>
      </c>
      <c r="CR26">
        <v>6649</v>
      </c>
      <c r="CS26">
        <v>5975</v>
      </c>
    </row>
    <row r="27" spans="1:97">
      <c r="A27" s="9">
        <v>46260</v>
      </c>
      <c r="B27">
        <v>4567</v>
      </c>
      <c r="C27">
        <v>4588</v>
      </c>
      <c r="D27">
        <v>4732</v>
      </c>
      <c r="E27">
        <v>4247</v>
      </c>
      <c r="F27">
        <v>4188</v>
      </c>
      <c r="G27">
        <v>3979</v>
      </c>
      <c r="H27">
        <v>3607</v>
      </c>
      <c r="I27">
        <v>3483</v>
      </c>
      <c r="J27">
        <v>3479</v>
      </c>
      <c r="K27">
        <v>3567</v>
      </c>
      <c r="L27">
        <v>3270</v>
      </c>
      <c r="M27">
        <v>3273</v>
      </c>
      <c r="N27">
        <v>3168</v>
      </c>
      <c r="O27">
        <v>3117</v>
      </c>
      <c r="P27">
        <v>3140</v>
      </c>
      <c r="Q27">
        <v>3147</v>
      </c>
      <c r="R27">
        <v>3517</v>
      </c>
      <c r="S27">
        <v>3251</v>
      </c>
      <c r="T27">
        <v>3336</v>
      </c>
      <c r="U27">
        <v>3663</v>
      </c>
      <c r="V27">
        <v>3790</v>
      </c>
      <c r="W27">
        <v>4172</v>
      </c>
      <c r="X27">
        <v>4468</v>
      </c>
      <c r="Y27">
        <v>4864</v>
      </c>
      <c r="Z27">
        <v>5418</v>
      </c>
      <c r="AA27">
        <v>5547</v>
      </c>
      <c r="AB27">
        <v>5517</v>
      </c>
      <c r="AC27">
        <v>5863</v>
      </c>
      <c r="AD27">
        <v>6325</v>
      </c>
      <c r="AE27">
        <v>6564</v>
      </c>
      <c r="AF27">
        <v>6733</v>
      </c>
      <c r="AG27">
        <v>7074</v>
      </c>
      <c r="AH27">
        <v>7383</v>
      </c>
      <c r="AI27">
        <v>7655</v>
      </c>
      <c r="AJ27">
        <v>7557</v>
      </c>
      <c r="AK27">
        <v>7743</v>
      </c>
      <c r="AL27">
        <v>7865</v>
      </c>
      <c r="AM27">
        <v>7903</v>
      </c>
      <c r="AN27">
        <v>7820</v>
      </c>
      <c r="AO27">
        <v>7817</v>
      </c>
      <c r="AP27">
        <v>8224</v>
      </c>
      <c r="AQ27">
        <v>7770</v>
      </c>
      <c r="AR27">
        <v>7239</v>
      </c>
      <c r="AS27">
        <v>7121</v>
      </c>
      <c r="AT27">
        <v>7137</v>
      </c>
      <c r="AU27">
        <v>7278</v>
      </c>
      <c r="AV27">
        <v>6846</v>
      </c>
      <c r="AW27">
        <v>6610</v>
      </c>
      <c r="AX27">
        <v>6951</v>
      </c>
      <c r="AY27">
        <v>7628</v>
      </c>
      <c r="AZ27">
        <v>7948</v>
      </c>
      <c r="BA27">
        <v>8056</v>
      </c>
      <c r="BB27">
        <v>8470</v>
      </c>
      <c r="BC27">
        <v>8892</v>
      </c>
      <c r="BD27">
        <v>8841</v>
      </c>
      <c r="BE27">
        <v>8864</v>
      </c>
      <c r="BF27">
        <v>8684</v>
      </c>
      <c r="BG27">
        <v>9273</v>
      </c>
      <c r="BH27">
        <v>9233</v>
      </c>
      <c r="BI27">
        <v>9427</v>
      </c>
      <c r="BJ27">
        <v>8900</v>
      </c>
      <c r="BK27">
        <v>8677</v>
      </c>
      <c r="BL27">
        <v>8465</v>
      </c>
      <c r="BM27">
        <v>8294</v>
      </c>
      <c r="BN27">
        <v>8938</v>
      </c>
      <c r="BO27">
        <v>9279</v>
      </c>
      <c r="BP27">
        <v>8709</v>
      </c>
      <c r="BQ27">
        <v>8867</v>
      </c>
      <c r="BR27">
        <v>8622</v>
      </c>
      <c r="BS27">
        <v>8961</v>
      </c>
      <c r="BT27">
        <v>8725</v>
      </c>
      <c r="BU27">
        <v>9080</v>
      </c>
      <c r="BV27">
        <v>9075</v>
      </c>
      <c r="BW27">
        <v>9104</v>
      </c>
      <c r="BX27">
        <v>8467</v>
      </c>
      <c r="BY27">
        <v>8185</v>
      </c>
      <c r="BZ27">
        <v>8342</v>
      </c>
      <c r="CA27">
        <v>8335</v>
      </c>
      <c r="CB27">
        <v>8868</v>
      </c>
      <c r="CC27">
        <v>8736</v>
      </c>
      <c r="CD27">
        <v>8177</v>
      </c>
      <c r="CE27">
        <v>7814</v>
      </c>
      <c r="CF27">
        <v>7611</v>
      </c>
      <c r="CG27">
        <v>7888</v>
      </c>
      <c r="CH27">
        <v>7887</v>
      </c>
      <c r="CI27">
        <v>7512</v>
      </c>
      <c r="CJ27">
        <v>6560</v>
      </c>
      <c r="CK27">
        <v>6378</v>
      </c>
      <c r="CL27">
        <v>7022</v>
      </c>
      <c r="CM27">
        <v>6628</v>
      </c>
      <c r="CN27">
        <v>5529</v>
      </c>
      <c r="CO27">
        <v>5263</v>
      </c>
      <c r="CP27">
        <v>5700</v>
      </c>
      <c r="CQ27">
        <v>5908</v>
      </c>
      <c r="CR27">
        <v>6243</v>
      </c>
      <c r="CS27">
        <v>5993</v>
      </c>
    </row>
    <row r="28" spans="1:97">
      <c r="A28" s="9">
        <v>46261</v>
      </c>
      <c r="B28">
        <v>5765</v>
      </c>
      <c r="C28">
        <v>6006</v>
      </c>
      <c r="D28">
        <v>5589</v>
      </c>
      <c r="E28">
        <v>5635</v>
      </c>
      <c r="F28">
        <v>5496</v>
      </c>
      <c r="G28">
        <v>5107</v>
      </c>
      <c r="H28">
        <v>4963</v>
      </c>
      <c r="I28">
        <v>4708</v>
      </c>
      <c r="J28">
        <v>4085</v>
      </c>
      <c r="K28">
        <v>4127</v>
      </c>
      <c r="L28">
        <v>4213</v>
      </c>
      <c r="M28">
        <v>4277</v>
      </c>
      <c r="N28">
        <v>3962</v>
      </c>
      <c r="O28">
        <v>4093</v>
      </c>
      <c r="P28">
        <v>3928</v>
      </c>
      <c r="Q28">
        <v>3627</v>
      </c>
      <c r="R28">
        <v>4131</v>
      </c>
      <c r="S28">
        <v>4125</v>
      </c>
      <c r="T28">
        <v>3928</v>
      </c>
      <c r="U28">
        <v>3926</v>
      </c>
      <c r="V28">
        <v>4034</v>
      </c>
      <c r="W28">
        <v>4206</v>
      </c>
      <c r="X28">
        <v>4285</v>
      </c>
      <c r="Y28">
        <v>4778</v>
      </c>
      <c r="Z28">
        <v>5117</v>
      </c>
      <c r="AA28">
        <v>5001</v>
      </c>
      <c r="AB28">
        <v>4879</v>
      </c>
      <c r="AC28">
        <v>4835</v>
      </c>
      <c r="AD28">
        <v>4830</v>
      </c>
      <c r="AE28">
        <v>4651</v>
      </c>
      <c r="AF28">
        <v>4612</v>
      </c>
      <c r="AG28">
        <v>5046</v>
      </c>
      <c r="AH28">
        <v>4333</v>
      </c>
      <c r="AI28">
        <v>4844</v>
      </c>
      <c r="AJ28">
        <v>5178</v>
      </c>
      <c r="AK28">
        <v>6060</v>
      </c>
      <c r="AL28">
        <v>6269</v>
      </c>
      <c r="AM28">
        <v>6360</v>
      </c>
      <c r="AN28">
        <v>6389</v>
      </c>
      <c r="AO28">
        <v>6427</v>
      </c>
      <c r="AP28">
        <v>6778</v>
      </c>
      <c r="AQ28">
        <v>6590</v>
      </c>
      <c r="AR28">
        <v>6579</v>
      </c>
      <c r="AS28">
        <v>6406</v>
      </c>
      <c r="AT28">
        <v>6055</v>
      </c>
      <c r="AU28">
        <v>5510</v>
      </c>
      <c r="AV28">
        <v>5193</v>
      </c>
      <c r="AW28">
        <v>4753</v>
      </c>
      <c r="AX28">
        <v>4258</v>
      </c>
      <c r="AY28">
        <v>4434</v>
      </c>
      <c r="AZ28">
        <v>4520</v>
      </c>
      <c r="BA28">
        <v>5375</v>
      </c>
      <c r="BB28">
        <v>6406</v>
      </c>
      <c r="BC28">
        <v>6929</v>
      </c>
      <c r="BD28">
        <v>7084</v>
      </c>
      <c r="BE28">
        <v>6891</v>
      </c>
      <c r="BF28">
        <v>7444</v>
      </c>
      <c r="BG28">
        <v>7369</v>
      </c>
      <c r="BH28">
        <v>7932</v>
      </c>
      <c r="BI28">
        <v>7975</v>
      </c>
      <c r="BJ28">
        <v>7832</v>
      </c>
      <c r="BK28">
        <v>7804</v>
      </c>
      <c r="BL28">
        <v>7664</v>
      </c>
      <c r="BM28">
        <v>7696</v>
      </c>
      <c r="BN28">
        <v>7935</v>
      </c>
      <c r="BO28">
        <v>7449</v>
      </c>
      <c r="BP28">
        <v>6976</v>
      </c>
      <c r="BQ28">
        <v>7146</v>
      </c>
      <c r="BR28">
        <v>6602</v>
      </c>
      <c r="BS28">
        <v>6623</v>
      </c>
      <c r="BT28">
        <v>6818</v>
      </c>
      <c r="BU28">
        <v>6775</v>
      </c>
      <c r="BV28">
        <v>6825</v>
      </c>
      <c r="BW28">
        <v>6856</v>
      </c>
      <c r="BX28">
        <v>6376</v>
      </c>
      <c r="BY28">
        <v>6383</v>
      </c>
      <c r="BZ28">
        <v>7054</v>
      </c>
      <c r="CA28">
        <v>6822</v>
      </c>
      <c r="CB28">
        <v>6592</v>
      </c>
      <c r="CC28">
        <v>6478</v>
      </c>
      <c r="CD28">
        <v>6312</v>
      </c>
      <c r="CE28">
        <v>5847</v>
      </c>
      <c r="CF28">
        <v>5526</v>
      </c>
      <c r="CG28">
        <v>5645</v>
      </c>
      <c r="CH28">
        <v>5564</v>
      </c>
      <c r="CI28">
        <v>5733</v>
      </c>
      <c r="CJ28">
        <v>5491</v>
      </c>
      <c r="CK28">
        <v>5822</v>
      </c>
      <c r="CL28">
        <v>6320</v>
      </c>
      <c r="CM28">
        <v>6188</v>
      </c>
      <c r="CN28">
        <v>5393</v>
      </c>
      <c r="CO28">
        <v>4774</v>
      </c>
      <c r="CP28">
        <v>4820</v>
      </c>
      <c r="CQ28">
        <v>4341</v>
      </c>
      <c r="CR28">
        <v>3689</v>
      </c>
      <c r="CS28">
        <v>3034</v>
      </c>
    </row>
    <row r="29" spans="1:97">
      <c r="A29" s="9">
        <v>46262</v>
      </c>
      <c r="B29">
        <v>2432</v>
      </c>
      <c r="C29">
        <v>2098</v>
      </c>
      <c r="D29">
        <v>1921</v>
      </c>
      <c r="E29">
        <v>2019</v>
      </c>
      <c r="F29">
        <v>1570</v>
      </c>
      <c r="G29">
        <v>1798</v>
      </c>
      <c r="H29">
        <v>1613</v>
      </c>
      <c r="I29">
        <v>1730</v>
      </c>
      <c r="J29">
        <v>2104</v>
      </c>
      <c r="K29">
        <v>2212</v>
      </c>
      <c r="L29">
        <v>2102</v>
      </c>
      <c r="M29">
        <v>2080</v>
      </c>
      <c r="N29">
        <v>2267</v>
      </c>
      <c r="O29">
        <v>2184</v>
      </c>
      <c r="P29">
        <v>2060</v>
      </c>
      <c r="Q29">
        <v>2018</v>
      </c>
      <c r="R29">
        <v>2015</v>
      </c>
      <c r="S29">
        <v>2025</v>
      </c>
      <c r="T29">
        <v>1955</v>
      </c>
      <c r="U29">
        <v>1821</v>
      </c>
      <c r="V29">
        <v>1923</v>
      </c>
      <c r="W29">
        <v>1674</v>
      </c>
      <c r="X29">
        <v>1563</v>
      </c>
      <c r="Y29">
        <v>2077</v>
      </c>
      <c r="Z29">
        <v>2634</v>
      </c>
      <c r="AA29">
        <v>3012</v>
      </c>
      <c r="AB29">
        <v>3562</v>
      </c>
      <c r="AC29">
        <v>4120</v>
      </c>
      <c r="AD29">
        <v>4831</v>
      </c>
      <c r="AE29">
        <v>5356</v>
      </c>
      <c r="AF29">
        <v>5615</v>
      </c>
      <c r="AG29">
        <v>5682</v>
      </c>
      <c r="AH29">
        <v>6180</v>
      </c>
      <c r="AI29">
        <v>6517</v>
      </c>
      <c r="AJ29">
        <v>7075</v>
      </c>
      <c r="AK29">
        <v>6968</v>
      </c>
      <c r="AL29">
        <v>7329</v>
      </c>
      <c r="AM29">
        <v>7302</v>
      </c>
      <c r="AN29">
        <v>7139</v>
      </c>
      <c r="AO29">
        <v>6640</v>
      </c>
      <c r="AP29">
        <v>7125</v>
      </c>
      <c r="AQ29">
        <v>6558</v>
      </c>
      <c r="AR29">
        <v>6343</v>
      </c>
      <c r="AS29">
        <v>6033</v>
      </c>
      <c r="AT29">
        <v>6039</v>
      </c>
      <c r="AU29">
        <v>5298</v>
      </c>
      <c r="AV29">
        <v>5154</v>
      </c>
      <c r="AW29">
        <v>4821</v>
      </c>
      <c r="AX29">
        <v>4696</v>
      </c>
      <c r="AY29">
        <v>4967</v>
      </c>
      <c r="AZ29">
        <v>4599</v>
      </c>
      <c r="BA29">
        <v>4650</v>
      </c>
      <c r="BB29">
        <v>4716</v>
      </c>
      <c r="BC29">
        <v>4248</v>
      </c>
      <c r="BD29">
        <v>4392</v>
      </c>
      <c r="BE29">
        <v>4653</v>
      </c>
      <c r="BF29">
        <v>5039</v>
      </c>
      <c r="BG29">
        <v>4968</v>
      </c>
      <c r="BH29">
        <v>5104</v>
      </c>
      <c r="BI29">
        <v>5383</v>
      </c>
      <c r="BJ29">
        <v>6125</v>
      </c>
      <c r="BK29">
        <v>6652</v>
      </c>
      <c r="BL29">
        <v>7107</v>
      </c>
      <c r="BM29">
        <v>7637</v>
      </c>
      <c r="BN29">
        <v>8176</v>
      </c>
      <c r="BO29">
        <v>8218</v>
      </c>
      <c r="BP29">
        <v>7968</v>
      </c>
      <c r="BQ29">
        <v>7800</v>
      </c>
      <c r="BR29">
        <v>8094</v>
      </c>
      <c r="BS29">
        <v>8160</v>
      </c>
      <c r="BT29">
        <v>8403</v>
      </c>
      <c r="BU29">
        <v>8540</v>
      </c>
      <c r="BV29">
        <v>8489</v>
      </c>
      <c r="BW29">
        <v>8309</v>
      </c>
      <c r="BX29">
        <v>7923</v>
      </c>
      <c r="BY29">
        <v>7588</v>
      </c>
      <c r="BZ29">
        <v>7526</v>
      </c>
      <c r="CA29">
        <v>7652</v>
      </c>
      <c r="CB29">
        <v>7744</v>
      </c>
      <c r="CC29">
        <v>7178</v>
      </c>
      <c r="CD29">
        <v>7441</v>
      </c>
      <c r="CE29">
        <v>7003</v>
      </c>
      <c r="CF29">
        <v>7126</v>
      </c>
      <c r="CG29">
        <v>7111</v>
      </c>
      <c r="CH29">
        <v>7387</v>
      </c>
      <c r="CI29">
        <v>7062</v>
      </c>
      <c r="CJ29">
        <v>6971</v>
      </c>
      <c r="CK29">
        <v>6471</v>
      </c>
      <c r="CL29">
        <v>6744</v>
      </c>
      <c r="CM29">
        <v>6031</v>
      </c>
      <c r="CN29">
        <v>5580</v>
      </c>
      <c r="CO29">
        <v>5295</v>
      </c>
      <c r="CP29">
        <v>4620</v>
      </c>
      <c r="CQ29">
        <v>4338</v>
      </c>
      <c r="CR29">
        <v>4148</v>
      </c>
      <c r="CS29">
        <v>3792</v>
      </c>
    </row>
    <row r="30" spans="1:97">
      <c r="A30" s="9">
        <v>46263</v>
      </c>
      <c r="B30">
        <v>4220</v>
      </c>
      <c r="C30">
        <v>4249</v>
      </c>
      <c r="D30">
        <v>4569</v>
      </c>
      <c r="E30">
        <v>4349</v>
      </c>
      <c r="F30">
        <v>3991</v>
      </c>
      <c r="G30">
        <v>3764</v>
      </c>
      <c r="H30">
        <v>3366</v>
      </c>
      <c r="I30">
        <v>3173</v>
      </c>
      <c r="J30">
        <v>3580</v>
      </c>
      <c r="K30">
        <v>3624</v>
      </c>
      <c r="L30">
        <v>3813</v>
      </c>
      <c r="M30">
        <v>3706</v>
      </c>
      <c r="N30">
        <v>3400</v>
      </c>
      <c r="O30">
        <v>3524</v>
      </c>
      <c r="P30">
        <v>3431</v>
      </c>
      <c r="Q30">
        <v>3618</v>
      </c>
      <c r="R30">
        <v>3032</v>
      </c>
      <c r="S30">
        <v>3265</v>
      </c>
      <c r="T30">
        <v>3333</v>
      </c>
      <c r="U30">
        <v>3997</v>
      </c>
      <c r="V30">
        <v>4230</v>
      </c>
      <c r="W30">
        <v>4678</v>
      </c>
      <c r="X30">
        <v>5323</v>
      </c>
      <c r="Y30">
        <v>5884</v>
      </c>
      <c r="Z30">
        <v>5459</v>
      </c>
      <c r="AA30">
        <v>5706</v>
      </c>
      <c r="AB30">
        <v>5996</v>
      </c>
      <c r="AC30">
        <v>5483</v>
      </c>
      <c r="AD30">
        <v>5185</v>
      </c>
      <c r="AE30">
        <v>4992</v>
      </c>
      <c r="AF30">
        <v>4731</v>
      </c>
      <c r="AG30">
        <v>4893</v>
      </c>
      <c r="AH30">
        <v>5219</v>
      </c>
      <c r="AI30">
        <v>5681</v>
      </c>
      <c r="AJ30">
        <v>6015</v>
      </c>
      <c r="AK30">
        <v>6390</v>
      </c>
      <c r="AL30">
        <v>7075</v>
      </c>
      <c r="AM30">
        <v>6814</v>
      </c>
      <c r="AN30">
        <v>7139</v>
      </c>
      <c r="AO30">
        <v>6715</v>
      </c>
      <c r="AP30">
        <v>6573</v>
      </c>
      <c r="AQ30">
        <v>5972</v>
      </c>
      <c r="AR30">
        <v>5595</v>
      </c>
      <c r="AS30">
        <v>5764</v>
      </c>
      <c r="AT30">
        <v>5068</v>
      </c>
      <c r="AU30">
        <v>4462</v>
      </c>
      <c r="AV30">
        <v>4028</v>
      </c>
      <c r="AW30">
        <v>3703</v>
      </c>
      <c r="AX30">
        <v>3081</v>
      </c>
      <c r="AY30">
        <v>2524</v>
      </c>
      <c r="AZ30">
        <v>3074</v>
      </c>
      <c r="BA30">
        <v>3469</v>
      </c>
      <c r="BB30">
        <v>3757</v>
      </c>
      <c r="BC30">
        <v>3982</v>
      </c>
      <c r="BD30">
        <v>4389</v>
      </c>
      <c r="BE30">
        <v>4360</v>
      </c>
      <c r="BF30">
        <v>5289</v>
      </c>
      <c r="BG30">
        <v>5508</v>
      </c>
      <c r="BH30">
        <v>5845</v>
      </c>
      <c r="BI30">
        <v>6237</v>
      </c>
      <c r="BJ30">
        <v>6711</v>
      </c>
      <c r="BK30">
        <v>7061</v>
      </c>
      <c r="BL30">
        <v>7218</v>
      </c>
      <c r="BM30">
        <v>7769</v>
      </c>
      <c r="BN30">
        <v>8276</v>
      </c>
      <c r="BO30">
        <v>8402</v>
      </c>
      <c r="BP30">
        <v>8549</v>
      </c>
      <c r="BQ30">
        <v>8335</v>
      </c>
      <c r="BR30">
        <v>9055</v>
      </c>
      <c r="BS30">
        <v>9307</v>
      </c>
      <c r="BT30">
        <v>9028</v>
      </c>
      <c r="BU30">
        <v>9031</v>
      </c>
      <c r="BV30">
        <v>8645</v>
      </c>
      <c r="BW30">
        <v>8504</v>
      </c>
      <c r="BX30">
        <v>8287</v>
      </c>
      <c r="BY30">
        <v>8523</v>
      </c>
      <c r="BZ30">
        <v>8275</v>
      </c>
      <c r="CA30">
        <v>8233</v>
      </c>
      <c r="CB30">
        <v>8287</v>
      </c>
      <c r="CC30">
        <v>8297</v>
      </c>
      <c r="CD30">
        <v>8310</v>
      </c>
      <c r="CE30">
        <v>7998</v>
      </c>
      <c r="CF30">
        <v>7217</v>
      </c>
      <c r="CG30">
        <v>6268</v>
      </c>
      <c r="CH30">
        <v>6100</v>
      </c>
      <c r="CI30">
        <v>5903</v>
      </c>
      <c r="CJ30">
        <v>5883</v>
      </c>
      <c r="CK30">
        <v>5788</v>
      </c>
      <c r="CL30">
        <v>6065</v>
      </c>
      <c r="CM30">
        <v>5640</v>
      </c>
      <c r="CN30">
        <v>5009</v>
      </c>
      <c r="CO30">
        <v>4538</v>
      </c>
      <c r="CP30">
        <v>4613</v>
      </c>
      <c r="CQ30">
        <v>4410</v>
      </c>
      <c r="CR30">
        <v>4265</v>
      </c>
      <c r="CS30">
        <v>4137</v>
      </c>
    </row>
    <row r="31" spans="1:97">
      <c r="A31" s="9">
        <v>46264</v>
      </c>
      <c r="B31">
        <v>4164</v>
      </c>
      <c r="C31">
        <v>4306</v>
      </c>
      <c r="D31">
        <v>3833</v>
      </c>
      <c r="E31">
        <v>3436</v>
      </c>
      <c r="F31">
        <v>3142</v>
      </c>
      <c r="G31">
        <v>2819</v>
      </c>
      <c r="H31">
        <v>2612</v>
      </c>
      <c r="I31">
        <v>2768</v>
      </c>
      <c r="J31">
        <v>2594</v>
      </c>
      <c r="K31">
        <v>2684</v>
      </c>
      <c r="L31">
        <v>2380</v>
      </c>
      <c r="M31">
        <v>2654</v>
      </c>
      <c r="N31">
        <v>2478</v>
      </c>
      <c r="O31">
        <v>2489</v>
      </c>
      <c r="P31">
        <v>2407</v>
      </c>
      <c r="Q31">
        <v>2273</v>
      </c>
      <c r="R31">
        <v>2480</v>
      </c>
      <c r="S31">
        <v>2775</v>
      </c>
      <c r="T31">
        <v>2427</v>
      </c>
      <c r="U31">
        <v>2958</v>
      </c>
      <c r="V31">
        <v>3190</v>
      </c>
      <c r="W31">
        <v>3316</v>
      </c>
      <c r="X31">
        <v>3679</v>
      </c>
      <c r="Y31">
        <v>4395</v>
      </c>
      <c r="Z31">
        <v>4550</v>
      </c>
      <c r="AA31">
        <v>4912</v>
      </c>
      <c r="AB31">
        <v>5304</v>
      </c>
      <c r="AC31">
        <v>5615</v>
      </c>
      <c r="AD31">
        <v>5420</v>
      </c>
      <c r="AE31">
        <v>5503</v>
      </c>
      <c r="AF31">
        <v>5342</v>
      </c>
      <c r="AG31">
        <v>5604</v>
      </c>
      <c r="AH31">
        <v>5851</v>
      </c>
      <c r="AI31">
        <v>6310</v>
      </c>
      <c r="AJ31">
        <v>6670</v>
      </c>
      <c r="AK31">
        <v>6622</v>
      </c>
      <c r="AL31">
        <v>6740</v>
      </c>
      <c r="AM31">
        <v>6261</v>
      </c>
      <c r="AN31">
        <v>5790</v>
      </c>
      <c r="AO31">
        <v>5773</v>
      </c>
      <c r="AP31">
        <v>5784</v>
      </c>
      <c r="AQ31">
        <v>5393</v>
      </c>
      <c r="AR31">
        <v>5538</v>
      </c>
      <c r="AS31">
        <v>5355</v>
      </c>
      <c r="AT31">
        <v>5351</v>
      </c>
      <c r="AU31">
        <v>4948</v>
      </c>
      <c r="AV31">
        <v>4902</v>
      </c>
      <c r="AW31">
        <v>4852</v>
      </c>
      <c r="AX31">
        <v>4640</v>
      </c>
      <c r="AY31">
        <v>5116</v>
      </c>
      <c r="AZ31">
        <v>5250</v>
      </c>
      <c r="BA31">
        <v>5493</v>
      </c>
      <c r="BB31">
        <v>6154</v>
      </c>
      <c r="BC31">
        <v>6713</v>
      </c>
      <c r="BD31">
        <v>7024</v>
      </c>
      <c r="BE31">
        <v>7096</v>
      </c>
      <c r="BF31">
        <v>7491</v>
      </c>
      <c r="BG31">
        <v>7662</v>
      </c>
      <c r="BH31">
        <v>8007</v>
      </c>
      <c r="BI31">
        <v>8087</v>
      </c>
      <c r="BJ31">
        <v>8623</v>
      </c>
      <c r="BK31">
        <v>8431</v>
      </c>
      <c r="BL31">
        <v>8509</v>
      </c>
      <c r="BM31">
        <v>8628</v>
      </c>
      <c r="BN31">
        <v>8157</v>
      </c>
      <c r="BO31">
        <v>8504</v>
      </c>
      <c r="BP31">
        <v>8540</v>
      </c>
      <c r="BQ31">
        <v>8837</v>
      </c>
      <c r="BR31">
        <v>8774</v>
      </c>
      <c r="BS31">
        <v>8607</v>
      </c>
      <c r="BT31">
        <v>8770</v>
      </c>
      <c r="BU31">
        <v>8857</v>
      </c>
      <c r="BV31">
        <v>9046</v>
      </c>
      <c r="BW31">
        <v>8989</v>
      </c>
      <c r="BX31">
        <v>8516</v>
      </c>
      <c r="BY31">
        <v>8510</v>
      </c>
      <c r="BZ31">
        <v>8552</v>
      </c>
      <c r="CA31">
        <v>8569</v>
      </c>
      <c r="CB31">
        <v>8192</v>
      </c>
      <c r="CC31">
        <v>7807</v>
      </c>
      <c r="CD31">
        <v>7906</v>
      </c>
      <c r="CE31">
        <v>7403</v>
      </c>
      <c r="CF31">
        <v>7148</v>
      </c>
      <c r="CG31">
        <v>6360</v>
      </c>
      <c r="CH31">
        <v>5843</v>
      </c>
      <c r="CI31">
        <v>5265</v>
      </c>
      <c r="CJ31">
        <v>5631</v>
      </c>
      <c r="CK31">
        <v>5232</v>
      </c>
      <c r="CL31">
        <v>5723</v>
      </c>
      <c r="CM31">
        <v>5187</v>
      </c>
      <c r="CN31">
        <v>4588</v>
      </c>
      <c r="CO31">
        <v>4094</v>
      </c>
      <c r="CP31">
        <v>3591</v>
      </c>
      <c r="CQ31">
        <v>3192</v>
      </c>
      <c r="CR31">
        <v>3391</v>
      </c>
      <c r="CS31">
        <v>2975</v>
      </c>
    </row>
    <row r="32" spans="1:97">
      <c r="A32" s="9">
        <v>46265</v>
      </c>
      <c r="B32">
        <v>3374</v>
      </c>
      <c r="C32">
        <v>3177</v>
      </c>
      <c r="D32">
        <v>2827</v>
      </c>
      <c r="E32">
        <v>2581</v>
      </c>
      <c r="F32">
        <v>2556</v>
      </c>
      <c r="G32">
        <v>2191</v>
      </c>
      <c r="H32">
        <v>1915</v>
      </c>
      <c r="I32">
        <v>2071</v>
      </c>
      <c r="J32">
        <v>1500</v>
      </c>
      <c r="K32">
        <v>1570</v>
      </c>
      <c r="L32">
        <v>1319</v>
      </c>
      <c r="M32">
        <v>1325</v>
      </c>
      <c r="N32">
        <v>1163</v>
      </c>
      <c r="O32">
        <v>1215</v>
      </c>
      <c r="P32">
        <v>1394</v>
      </c>
      <c r="Q32">
        <v>1177</v>
      </c>
      <c r="R32">
        <v>1147</v>
      </c>
      <c r="S32">
        <v>1262</v>
      </c>
      <c r="T32">
        <v>1279</v>
      </c>
      <c r="U32">
        <v>1333</v>
      </c>
      <c r="V32">
        <v>1540</v>
      </c>
      <c r="W32">
        <v>1776</v>
      </c>
      <c r="X32">
        <v>1875</v>
      </c>
      <c r="Y32">
        <v>2332</v>
      </c>
      <c r="Z32">
        <v>2150</v>
      </c>
      <c r="AA32">
        <v>2814</v>
      </c>
      <c r="AB32">
        <v>3544</v>
      </c>
      <c r="AC32">
        <v>3712</v>
      </c>
      <c r="AD32">
        <v>3367</v>
      </c>
      <c r="AE32">
        <v>3847</v>
      </c>
      <c r="AF32">
        <v>4163</v>
      </c>
      <c r="AG32">
        <v>4237</v>
      </c>
      <c r="AH32">
        <v>4554</v>
      </c>
      <c r="AI32">
        <v>4434</v>
      </c>
      <c r="AJ32">
        <v>5241</v>
      </c>
      <c r="AK32">
        <v>5174</v>
      </c>
      <c r="AL32">
        <v>5252</v>
      </c>
      <c r="AM32">
        <v>5048</v>
      </c>
      <c r="AN32">
        <v>5136</v>
      </c>
      <c r="AO32">
        <v>5637</v>
      </c>
      <c r="AP32">
        <v>5585</v>
      </c>
      <c r="AQ32">
        <v>5265</v>
      </c>
      <c r="AR32">
        <v>5608</v>
      </c>
      <c r="AS32">
        <v>5456</v>
      </c>
      <c r="AT32">
        <v>5288</v>
      </c>
      <c r="AU32">
        <v>5032</v>
      </c>
      <c r="AV32">
        <v>4498</v>
      </c>
      <c r="AW32">
        <v>4631</v>
      </c>
      <c r="AX32">
        <v>4725</v>
      </c>
      <c r="AY32">
        <v>4787</v>
      </c>
      <c r="AZ32">
        <v>4811</v>
      </c>
      <c r="BA32">
        <v>5014</v>
      </c>
      <c r="BB32">
        <v>5208</v>
      </c>
      <c r="BC32">
        <v>5202</v>
      </c>
      <c r="BD32">
        <v>5328</v>
      </c>
      <c r="BE32">
        <v>5386</v>
      </c>
      <c r="BF32">
        <v>6158</v>
      </c>
      <c r="BG32">
        <v>6223</v>
      </c>
      <c r="BH32">
        <v>6686</v>
      </c>
      <c r="BI32">
        <v>6787</v>
      </c>
      <c r="BJ32">
        <v>7659</v>
      </c>
      <c r="BK32">
        <v>7532</v>
      </c>
      <c r="BL32">
        <v>7547</v>
      </c>
      <c r="BM32">
        <v>7093</v>
      </c>
      <c r="BN32">
        <v>6337</v>
      </c>
      <c r="BO32">
        <v>5517</v>
      </c>
      <c r="BP32">
        <v>5611</v>
      </c>
      <c r="BQ32">
        <v>5704</v>
      </c>
      <c r="BR32">
        <v>6008</v>
      </c>
      <c r="BS32">
        <v>6107</v>
      </c>
      <c r="BT32">
        <v>5758</v>
      </c>
      <c r="BU32">
        <v>5881</v>
      </c>
      <c r="BV32">
        <v>5804</v>
      </c>
      <c r="BW32">
        <v>5412</v>
      </c>
      <c r="BX32">
        <v>5424</v>
      </c>
      <c r="BY32">
        <v>5375</v>
      </c>
      <c r="BZ32">
        <v>5547</v>
      </c>
      <c r="CA32">
        <v>5388</v>
      </c>
      <c r="CB32">
        <v>5246</v>
      </c>
      <c r="CC32">
        <v>4702</v>
      </c>
      <c r="CD32">
        <v>4842</v>
      </c>
      <c r="CE32">
        <v>4616</v>
      </c>
      <c r="CF32">
        <v>4443</v>
      </c>
      <c r="CG32">
        <v>3560</v>
      </c>
      <c r="CH32">
        <v>3246</v>
      </c>
      <c r="CI32">
        <v>3347</v>
      </c>
      <c r="CJ32">
        <v>3667</v>
      </c>
      <c r="CK32">
        <v>3657</v>
      </c>
      <c r="CL32">
        <v>3519</v>
      </c>
      <c r="CM32">
        <v>3407</v>
      </c>
      <c r="CN32">
        <v>2931</v>
      </c>
      <c r="CO32">
        <v>2884</v>
      </c>
      <c r="CP32">
        <v>2464</v>
      </c>
      <c r="CQ32">
        <v>2415</v>
      </c>
      <c r="CR32">
        <v>2935</v>
      </c>
      <c r="CS32">
        <v>2837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CS32"/>
  <sheetViews>
    <sheetView workbookViewId="0">
      <selection activeCell="A2" sqref="$A2:$XFD2"/>
    </sheetView>
  </sheetViews>
  <sheetFormatPr defaultColWidth="9" defaultRowHeight="13.5"/>
  <cols>
    <col min="1" max="1" width="11.8916666666667" style="9" customWidth="1"/>
  </cols>
  <sheetData>
    <row r="1" spans="1:97">
      <c r="A1" s="9" t="s">
        <v>0</v>
      </c>
      <c r="B1" s="1">
        <v>0.0104166666666667</v>
      </c>
      <c r="C1" s="1">
        <v>0.0208333333333333</v>
      </c>
      <c r="D1" s="1">
        <v>0.03125</v>
      </c>
      <c r="E1" s="1">
        <v>0.0416666666666667</v>
      </c>
      <c r="F1" s="1">
        <v>0.0520833333333333</v>
      </c>
      <c r="G1" s="1">
        <v>0.0625</v>
      </c>
      <c r="H1" s="1">
        <v>0.0729166666666667</v>
      </c>
      <c r="I1" s="1">
        <v>0.0833333333333333</v>
      </c>
      <c r="J1" s="1">
        <v>0.09375</v>
      </c>
      <c r="K1" s="1">
        <v>0.104166666666667</v>
      </c>
      <c r="L1" s="1">
        <v>0.114583333333333</v>
      </c>
      <c r="M1" s="1">
        <v>0.125</v>
      </c>
      <c r="N1" s="1">
        <v>0.135416666666667</v>
      </c>
      <c r="O1" s="1">
        <v>0.145833333333333</v>
      </c>
      <c r="P1" s="1">
        <v>0.15625</v>
      </c>
      <c r="Q1" s="1">
        <v>0.166666666666667</v>
      </c>
      <c r="R1" s="1">
        <v>0.177083333333333</v>
      </c>
      <c r="S1" s="1">
        <v>0.1875</v>
      </c>
      <c r="T1" s="1">
        <v>0.197916666666667</v>
      </c>
      <c r="U1" s="1">
        <v>0.208333333333333</v>
      </c>
      <c r="V1" s="1">
        <v>0.21875</v>
      </c>
      <c r="W1" s="1">
        <v>0.229166666666667</v>
      </c>
      <c r="X1" s="1">
        <v>0.239583333333333</v>
      </c>
      <c r="Y1" s="1">
        <v>0.25</v>
      </c>
      <c r="Z1" s="1">
        <v>0.260416666666667</v>
      </c>
      <c r="AA1" s="1">
        <v>0.270833333333333</v>
      </c>
      <c r="AB1" s="1">
        <v>0.28125</v>
      </c>
      <c r="AC1" s="1">
        <v>0.291666666666667</v>
      </c>
      <c r="AD1" s="1">
        <v>0.302083333333333</v>
      </c>
      <c r="AE1" s="1">
        <v>0.3125</v>
      </c>
      <c r="AF1" s="1">
        <v>0.322916666666667</v>
      </c>
      <c r="AG1" s="1">
        <v>0.333333333333333</v>
      </c>
      <c r="AH1" s="1">
        <v>0.34375</v>
      </c>
      <c r="AI1" s="1">
        <v>0.354166666666667</v>
      </c>
      <c r="AJ1" s="1">
        <v>0.364583333333333</v>
      </c>
      <c r="AK1" s="1">
        <v>0.375</v>
      </c>
      <c r="AL1" s="1">
        <v>0.385416666666667</v>
      </c>
      <c r="AM1" s="1">
        <v>0.395833333333333</v>
      </c>
      <c r="AN1" s="1">
        <v>0.40625</v>
      </c>
      <c r="AO1" s="1">
        <v>0.416666666666667</v>
      </c>
      <c r="AP1" s="1">
        <v>0.427083333333333</v>
      </c>
      <c r="AQ1" s="1">
        <v>0.4375</v>
      </c>
      <c r="AR1" s="1">
        <v>0.447916666666667</v>
      </c>
      <c r="AS1" s="1">
        <v>0.458333333333333</v>
      </c>
      <c r="AT1" s="1">
        <v>0.46875</v>
      </c>
      <c r="AU1" s="1">
        <v>0.479166666666667</v>
      </c>
      <c r="AV1" s="1">
        <v>0.489583333333333</v>
      </c>
      <c r="AW1" s="1">
        <v>0.5</v>
      </c>
      <c r="AX1" s="1">
        <v>0.510416666666667</v>
      </c>
      <c r="AY1" s="1">
        <v>0.520833333333333</v>
      </c>
      <c r="AZ1" s="1">
        <v>0.53125</v>
      </c>
      <c r="BA1" s="1">
        <v>0.541666666666667</v>
      </c>
      <c r="BB1" s="1">
        <v>0.552083333333333</v>
      </c>
      <c r="BC1" s="1">
        <v>0.5625</v>
      </c>
      <c r="BD1" s="1">
        <v>0.572916666666667</v>
      </c>
      <c r="BE1" s="1">
        <v>0.583333333333333</v>
      </c>
      <c r="BF1" s="1">
        <v>0.59375</v>
      </c>
      <c r="BG1" s="1">
        <v>0.604166666666667</v>
      </c>
      <c r="BH1" s="1">
        <v>0.614583333333333</v>
      </c>
      <c r="BI1" s="1">
        <v>0.625</v>
      </c>
      <c r="BJ1" s="1">
        <v>0.635416666666667</v>
      </c>
      <c r="BK1" s="1">
        <v>0.645833333333333</v>
      </c>
      <c r="BL1" s="1">
        <v>0.65625</v>
      </c>
      <c r="BM1" s="1">
        <v>0.666666666666667</v>
      </c>
      <c r="BN1" s="1">
        <v>0.677083333333333</v>
      </c>
      <c r="BO1" s="1">
        <v>0.6875</v>
      </c>
      <c r="BP1" s="1">
        <v>0.697916666666667</v>
      </c>
      <c r="BQ1" s="1">
        <v>0.708333333333333</v>
      </c>
      <c r="BR1" s="1">
        <v>0.71875</v>
      </c>
      <c r="BS1" s="1">
        <v>0.729166666666667</v>
      </c>
      <c r="BT1" s="1">
        <v>0.739583333333333</v>
      </c>
      <c r="BU1" s="1">
        <v>0.75</v>
      </c>
      <c r="BV1" s="1">
        <v>0.760416666666667</v>
      </c>
      <c r="BW1" s="1">
        <v>0.770833333333333</v>
      </c>
      <c r="BX1" s="1">
        <v>0.78125</v>
      </c>
      <c r="BY1" s="1">
        <v>0.791666666666667</v>
      </c>
      <c r="BZ1" s="1">
        <v>0.802083333333333</v>
      </c>
      <c r="CA1" s="1">
        <v>0.8125</v>
      </c>
      <c r="CB1" s="1">
        <v>0.822916666666667</v>
      </c>
      <c r="CC1" s="1">
        <v>0.833333333333333</v>
      </c>
      <c r="CD1" s="1">
        <v>0.84375</v>
      </c>
      <c r="CE1" s="1">
        <v>0.854166666666667</v>
      </c>
      <c r="CF1" s="1">
        <v>0.864583333333333</v>
      </c>
      <c r="CG1" s="1">
        <v>0.875</v>
      </c>
      <c r="CH1" s="1">
        <v>0.885416666666667</v>
      </c>
      <c r="CI1" s="1">
        <v>0.895833333333333</v>
      </c>
      <c r="CJ1" s="1">
        <v>0.90625</v>
      </c>
      <c r="CK1" s="1">
        <v>0.916666666666667</v>
      </c>
      <c r="CL1" s="1">
        <v>0.927083333333333</v>
      </c>
      <c r="CM1" s="1">
        <v>0.9375</v>
      </c>
      <c r="CN1" s="1">
        <v>0.947916666666667</v>
      </c>
      <c r="CO1" s="1">
        <v>0.958333333333333</v>
      </c>
      <c r="CP1" s="1">
        <v>0.96875</v>
      </c>
      <c r="CQ1" s="1">
        <v>0.979166666666667</v>
      </c>
      <c r="CR1" s="1">
        <v>0.989583333333333</v>
      </c>
      <c r="CS1" s="1">
        <v>1</v>
      </c>
    </row>
    <row r="2" spans="1:97">
      <c r="A2" s="9">
        <v>46235</v>
      </c>
      <c r="B2">
        <v>3252.1</v>
      </c>
      <c r="C2">
        <v>3239.2</v>
      </c>
      <c r="D2">
        <v>3229.4</v>
      </c>
      <c r="E2">
        <v>3214.5</v>
      </c>
      <c r="F2">
        <v>3239.6</v>
      </c>
      <c r="G2">
        <v>3249.5</v>
      </c>
      <c r="H2">
        <v>3285.2</v>
      </c>
      <c r="I2">
        <v>3270.4</v>
      </c>
      <c r="J2">
        <v>3278.5</v>
      </c>
      <c r="K2">
        <v>3266.1</v>
      </c>
      <c r="L2">
        <v>3279.9</v>
      </c>
      <c r="M2">
        <v>3268.4</v>
      </c>
      <c r="N2">
        <v>3267.9</v>
      </c>
      <c r="O2">
        <v>3283.4</v>
      </c>
      <c r="P2">
        <v>3234.5</v>
      </c>
      <c r="Q2">
        <v>3222.2</v>
      </c>
      <c r="R2">
        <v>3192.7</v>
      </c>
      <c r="S2">
        <v>3184.7</v>
      </c>
      <c r="T2">
        <v>3165.4</v>
      </c>
      <c r="U2">
        <v>3156.9</v>
      </c>
      <c r="V2">
        <v>3144.4</v>
      </c>
      <c r="W2">
        <v>3154.8</v>
      </c>
      <c r="X2">
        <v>3176</v>
      </c>
      <c r="Y2">
        <v>3174.4</v>
      </c>
      <c r="Z2">
        <v>3108.5</v>
      </c>
      <c r="AA2">
        <v>3112.2</v>
      </c>
      <c r="AB2">
        <v>3140.1</v>
      </c>
      <c r="AC2">
        <v>3196.9</v>
      </c>
      <c r="AD2">
        <v>3245.4</v>
      </c>
      <c r="AE2">
        <v>3247.7</v>
      </c>
      <c r="AF2">
        <v>3239.8</v>
      </c>
      <c r="AG2">
        <v>3258.1</v>
      </c>
      <c r="AH2">
        <v>3264.6</v>
      </c>
      <c r="AI2">
        <v>3245.8</v>
      </c>
      <c r="AJ2">
        <v>3234.9</v>
      </c>
      <c r="AK2">
        <v>3207.6</v>
      </c>
      <c r="AL2">
        <v>3199.8</v>
      </c>
      <c r="AM2">
        <v>3167.9</v>
      </c>
      <c r="AN2">
        <v>3121.7</v>
      </c>
      <c r="AO2">
        <v>3099.8</v>
      </c>
      <c r="AP2">
        <v>3091.6</v>
      </c>
      <c r="AQ2">
        <v>3082.7</v>
      </c>
      <c r="AR2">
        <v>3066.4</v>
      </c>
      <c r="AS2">
        <v>3045.5</v>
      </c>
      <c r="AT2">
        <v>3044.6</v>
      </c>
      <c r="AU2">
        <v>3069.6</v>
      </c>
      <c r="AV2">
        <v>3077.2</v>
      </c>
      <c r="AW2">
        <v>3077.2</v>
      </c>
      <c r="AX2">
        <v>3065.4</v>
      </c>
      <c r="AY2">
        <v>3053.9</v>
      </c>
      <c r="AZ2">
        <v>3073.3</v>
      </c>
      <c r="BA2">
        <v>3070.8</v>
      </c>
      <c r="BB2">
        <v>3055</v>
      </c>
      <c r="BC2">
        <v>3064.1</v>
      </c>
      <c r="BD2">
        <v>3078.9</v>
      </c>
      <c r="BE2">
        <v>3070.3</v>
      </c>
      <c r="BF2">
        <v>3075.7</v>
      </c>
      <c r="BG2">
        <v>3085.5</v>
      </c>
      <c r="BH2">
        <v>3078.2</v>
      </c>
      <c r="BI2">
        <v>3105.6</v>
      </c>
      <c r="BJ2">
        <v>3105.8</v>
      </c>
      <c r="BK2">
        <v>3100.4</v>
      </c>
      <c r="BL2">
        <v>3096.8</v>
      </c>
      <c r="BM2">
        <v>3064.7</v>
      </c>
      <c r="BN2">
        <v>3047.8</v>
      </c>
      <c r="BO2">
        <v>3029.3</v>
      </c>
      <c r="BP2">
        <v>3050.3</v>
      </c>
      <c r="BQ2">
        <v>3036.3</v>
      </c>
      <c r="BR2">
        <v>2998.5</v>
      </c>
      <c r="BS2">
        <v>2983.6</v>
      </c>
      <c r="BT2">
        <v>3010.1</v>
      </c>
      <c r="BU2">
        <v>3026.9</v>
      </c>
      <c r="BV2">
        <v>3040.4</v>
      </c>
      <c r="BW2">
        <v>3057.8</v>
      </c>
      <c r="BX2">
        <v>3095.6</v>
      </c>
      <c r="BY2">
        <v>3086.4</v>
      </c>
      <c r="BZ2">
        <v>3094.3</v>
      </c>
      <c r="CA2">
        <v>3087</v>
      </c>
      <c r="CB2">
        <v>3081.9</v>
      </c>
      <c r="CC2">
        <v>3102.9</v>
      </c>
      <c r="CD2">
        <v>3102.9</v>
      </c>
      <c r="CE2">
        <v>3115.1</v>
      </c>
      <c r="CF2">
        <v>3118.6</v>
      </c>
      <c r="CG2">
        <v>3102.9</v>
      </c>
      <c r="CH2">
        <v>3121.2</v>
      </c>
      <c r="CI2">
        <v>3111.6</v>
      </c>
      <c r="CJ2">
        <v>3052.1</v>
      </c>
      <c r="CK2">
        <v>3001.8</v>
      </c>
      <c r="CL2">
        <v>3000.9</v>
      </c>
      <c r="CM2">
        <v>3033.1</v>
      </c>
      <c r="CN2">
        <v>3035.5</v>
      </c>
      <c r="CO2">
        <v>3011.2</v>
      </c>
      <c r="CP2">
        <v>2969.2</v>
      </c>
      <c r="CQ2">
        <v>2960.8</v>
      </c>
      <c r="CR2">
        <v>2956.4</v>
      </c>
      <c r="CS2">
        <v>2973.1</v>
      </c>
    </row>
    <row r="3" spans="1:97">
      <c r="A3" s="9">
        <v>46236</v>
      </c>
      <c r="B3">
        <v>2976.4</v>
      </c>
      <c r="C3">
        <v>2959.5</v>
      </c>
      <c r="D3">
        <v>2959.3</v>
      </c>
      <c r="E3">
        <v>2970.7</v>
      </c>
      <c r="F3">
        <v>2985.9</v>
      </c>
      <c r="G3">
        <v>3048.6</v>
      </c>
      <c r="H3">
        <v>3059.1</v>
      </c>
      <c r="I3">
        <v>3078.1</v>
      </c>
      <c r="J3">
        <v>3094.6</v>
      </c>
      <c r="K3">
        <v>3104.8</v>
      </c>
      <c r="L3">
        <v>3104</v>
      </c>
      <c r="M3">
        <v>3109.4</v>
      </c>
      <c r="N3">
        <v>3110.2</v>
      </c>
      <c r="O3">
        <v>3140.3</v>
      </c>
      <c r="P3">
        <v>3152.6</v>
      </c>
      <c r="Q3">
        <v>3127.2</v>
      </c>
      <c r="R3">
        <v>3140.9</v>
      </c>
      <c r="S3">
        <v>3149.7</v>
      </c>
      <c r="T3">
        <v>3134.3</v>
      </c>
      <c r="U3">
        <v>3137.1</v>
      </c>
      <c r="V3">
        <v>3122.6</v>
      </c>
      <c r="W3">
        <v>3151.7</v>
      </c>
      <c r="X3">
        <v>3158.9</v>
      </c>
      <c r="Y3">
        <v>3113.1</v>
      </c>
      <c r="Z3">
        <v>3133.4</v>
      </c>
      <c r="AA3">
        <v>3111.3</v>
      </c>
      <c r="AB3">
        <v>3131.1</v>
      </c>
      <c r="AC3">
        <v>3118.8</v>
      </c>
      <c r="AD3">
        <v>3131.6</v>
      </c>
      <c r="AE3">
        <v>3141</v>
      </c>
      <c r="AF3">
        <v>3136.7</v>
      </c>
      <c r="AG3">
        <v>3129.4</v>
      </c>
      <c r="AH3">
        <v>3119.9</v>
      </c>
      <c r="AI3">
        <v>3124.9</v>
      </c>
      <c r="AJ3">
        <v>3103</v>
      </c>
      <c r="AK3">
        <v>3127.5</v>
      </c>
      <c r="AL3">
        <v>3125.2</v>
      </c>
      <c r="AM3">
        <v>3122.9</v>
      </c>
      <c r="AN3">
        <v>3132.8</v>
      </c>
      <c r="AO3">
        <v>3128</v>
      </c>
      <c r="AP3">
        <v>3112.4</v>
      </c>
      <c r="AQ3">
        <v>3121.4</v>
      </c>
      <c r="AR3">
        <v>3110.8</v>
      </c>
      <c r="AS3">
        <v>3120.6</v>
      </c>
      <c r="AT3">
        <v>3126.1</v>
      </c>
      <c r="AU3">
        <v>3139.7</v>
      </c>
      <c r="AV3">
        <v>3133.9</v>
      </c>
      <c r="AW3">
        <v>3137</v>
      </c>
      <c r="AX3">
        <v>3134.8</v>
      </c>
      <c r="AY3">
        <v>3131</v>
      </c>
      <c r="AZ3">
        <v>3138.4</v>
      </c>
      <c r="BA3">
        <v>3112.3</v>
      </c>
      <c r="BB3">
        <v>3113.9</v>
      </c>
      <c r="BC3">
        <v>3112.4</v>
      </c>
      <c r="BD3">
        <v>3120.8</v>
      </c>
      <c r="BE3">
        <v>3112.9</v>
      </c>
      <c r="BF3">
        <v>3114.7</v>
      </c>
      <c r="BG3">
        <v>3129.6</v>
      </c>
      <c r="BH3">
        <v>3105.6</v>
      </c>
      <c r="BI3">
        <v>3123.1</v>
      </c>
      <c r="BJ3">
        <v>3113.4</v>
      </c>
      <c r="BK3">
        <v>3132.3</v>
      </c>
      <c r="BL3">
        <v>3131.8</v>
      </c>
      <c r="BM3">
        <v>3120.2</v>
      </c>
      <c r="BN3">
        <v>3112</v>
      </c>
      <c r="BO3">
        <v>3117.6</v>
      </c>
      <c r="BP3">
        <v>3136.8</v>
      </c>
      <c r="BQ3">
        <v>3125.3</v>
      </c>
      <c r="BR3">
        <v>3123.9</v>
      </c>
      <c r="BS3">
        <v>3128.1</v>
      </c>
      <c r="BT3">
        <v>3116.2</v>
      </c>
      <c r="BU3">
        <v>3111.9</v>
      </c>
      <c r="BV3">
        <v>3111.7</v>
      </c>
      <c r="BW3">
        <v>3113.9</v>
      </c>
      <c r="BX3">
        <v>3115.1</v>
      </c>
      <c r="BY3">
        <v>3117.8</v>
      </c>
      <c r="BZ3">
        <v>3119.3</v>
      </c>
      <c r="CA3">
        <v>3133.4</v>
      </c>
      <c r="CB3">
        <v>3156.3</v>
      </c>
      <c r="CC3">
        <v>3136.5</v>
      </c>
      <c r="CD3">
        <v>3127.7</v>
      </c>
      <c r="CE3">
        <v>3117.2</v>
      </c>
      <c r="CF3">
        <v>3135.8</v>
      </c>
      <c r="CG3">
        <v>3140.3</v>
      </c>
      <c r="CH3">
        <v>3127.7</v>
      </c>
      <c r="CI3">
        <v>3127.8</v>
      </c>
      <c r="CJ3">
        <v>3103.5</v>
      </c>
      <c r="CK3">
        <v>3112.8</v>
      </c>
      <c r="CL3">
        <v>3108.8</v>
      </c>
      <c r="CM3">
        <v>3094.4</v>
      </c>
      <c r="CN3">
        <v>3066.9</v>
      </c>
      <c r="CO3">
        <v>3068.5</v>
      </c>
      <c r="CP3">
        <v>3065</v>
      </c>
      <c r="CQ3">
        <v>3069.6</v>
      </c>
      <c r="CR3">
        <v>3062.6</v>
      </c>
      <c r="CS3">
        <v>3074.7</v>
      </c>
    </row>
    <row r="4" spans="1:97">
      <c r="A4" s="9">
        <v>46237</v>
      </c>
      <c r="B4">
        <v>3051.8</v>
      </c>
      <c r="C4">
        <v>3052.4</v>
      </c>
      <c r="D4">
        <v>3063</v>
      </c>
      <c r="E4">
        <v>3068.5</v>
      </c>
      <c r="F4">
        <v>3082.1</v>
      </c>
      <c r="G4">
        <v>3077.9</v>
      </c>
      <c r="H4">
        <v>3086.1</v>
      </c>
      <c r="I4">
        <v>3103.9</v>
      </c>
      <c r="J4">
        <v>3083.7</v>
      </c>
      <c r="K4">
        <v>3072.7</v>
      </c>
      <c r="L4">
        <v>3079.8</v>
      </c>
      <c r="M4">
        <v>3074.3</v>
      </c>
      <c r="N4">
        <v>3074.3</v>
      </c>
      <c r="O4">
        <v>3076.7</v>
      </c>
      <c r="P4">
        <v>3104.7</v>
      </c>
      <c r="Q4">
        <v>3098.9</v>
      </c>
      <c r="R4">
        <v>3100.5</v>
      </c>
      <c r="S4">
        <v>3102</v>
      </c>
      <c r="T4">
        <v>3086</v>
      </c>
      <c r="U4">
        <v>3086.2</v>
      </c>
      <c r="V4">
        <v>3089.6</v>
      </c>
      <c r="W4">
        <v>3096.1</v>
      </c>
      <c r="X4">
        <v>3117.8</v>
      </c>
      <c r="Y4">
        <v>3087.7</v>
      </c>
      <c r="Z4">
        <v>3101.4</v>
      </c>
      <c r="AA4">
        <v>3119.5</v>
      </c>
      <c r="AB4">
        <v>3107.4</v>
      </c>
      <c r="AC4">
        <v>3096.6</v>
      </c>
      <c r="AD4">
        <v>3097.1</v>
      </c>
      <c r="AE4">
        <v>3101.1</v>
      </c>
      <c r="AF4">
        <v>3097.3</v>
      </c>
      <c r="AG4">
        <v>3095.5</v>
      </c>
      <c r="AH4">
        <v>3100.3</v>
      </c>
      <c r="AI4">
        <v>3104.7</v>
      </c>
      <c r="AJ4">
        <v>3115.1</v>
      </c>
      <c r="AK4">
        <v>3110.5</v>
      </c>
      <c r="AL4">
        <v>3108.4</v>
      </c>
      <c r="AM4">
        <v>3088.8</v>
      </c>
      <c r="AN4">
        <v>3085.5</v>
      </c>
      <c r="AO4">
        <v>3071.2</v>
      </c>
      <c r="AP4">
        <v>3078.4</v>
      </c>
      <c r="AQ4">
        <v>3087.6</v>
      </c>
      <c r="AR4">
        <v>3096.1</v>
      </c>
      <c r="AS4">
        <v>3072.5</v>
      </c>
      <c r="AT4">
        <v>3094.9</v>
      </c>
      <c r="AU4">
        <v>3061.9</v>
      </c>
      <c r="AV4">
        <v>3040.3</v>
      </c>
      <c r="AW4">
        <v>3052.2</v>
      </c>
      <c r="AX4">
        <v>3051.4</v>
      </c>
      <c r="AY4">
        <v>3056.8</v>
      </c>
      <c r="AZ4">
        <v>3055.8</v>
      </c>
      <c r="BA4">
        <v>3057.9</v>
      </c>
      <c r="BB4">
        <v>3059.9</v>
      </c>
      <c r="BC4">
        <v>3061.9</v>
      </c>
      <c r="BD4">
        <v>3079.6</v>
      </c>
      <c r="BE4">
        <v>3091.6</v>
      </c>
      <c r="BF4">
        <v>3088.4</v>
      </c>
      <c r="BG4">
        <v>3079.6</v>
      </c>
      <c r="BH4">
        <v>3089.8</v>
      </c>
      <c r="BI4">
        <v>3075.4</v>
      </c>
      <c r="BJ4">
        <v>3077.3</v>
      </c>
      <c r="BK4">
        <v>3071.9</v>
      </c>
      <c r="BL4">
        <v>3060.9</v>
      </c>
      <c r="BM4">
        <v>3085.4</v>
      </c>
      <c r="BN4">
        <v>3075.4</v>
      </c>
      <c r="BO4">
        <v>3084.1</v>
      </c>
      <c r="BP4">
        <v>3072.2</v>
      </c>
      <c r="BQ4">
        <v>3089.4</v>
      </c>
      <c r="BR4">
        <v>3087.4</v>
      </c>
      <c r="BS4">
        <v>3107.7</v>
      </c>
      <c r="BT4">
        <v>3099.2</v>
      </c>
      <c r="BU4">
        <v>3101.5</v>
      </c>
      <c r="BV4">
        <v>3106.6</v>
      </c>
      <c r="BW4">
        <v>3106.4</v>
      </c>
      <c r="BX4">
        <v>3112.4</v>
      </c>
      <c r="BY4">
        <v>3116.3</v>
      </c>
      <c r="BZ4">
        <v>3119.3</v>
      </c>
      <c r="CA4">
        <v>3134.9</v>
      </c>
      <c r="CB4">
        <v>3123.9</v>
      </c>
      <c r="CC4">
        <v>3120</v>
      </c>
      <c r="CD4">
        <v>3100.2</v>
      </c>
      <c r="CE4">
        <v>3098.1</v>
      </c>
      <c r="CF4">
        <v>3113.1</v>
      </c>
      <c r="CG4">
        <v>3116.2</v>
      </c>
      <c r="CH4">
        <v>3097.6</v>
      </c>
      <c r="CI4">
        <v>3104.3</v>
      </c>
      <c r="CJ4">
        <v>3105</v>
      </c>
      <c r="CK4">
        <v>3101.4</v>
      </c>
      <c r="CL4">
        <v>3090.4</v>
      </c>
      <c r="CM4">
        <v>3090.4</v>
      </c>
      <c r="CN4">
        <v>3077</v>
      </c>
      <c r="CO4">
        <v>3100.7</v>
      </c>
      <c r="CP4">
        <v>3100.7</v>
      </c>
      <c r="CQ4">
        <v>3091.1</v>
      </c>
      <c r="CR4">
        <v>3092.3</v>
      </c>
      <c r="CS4">
        <v>3116.2</v>
      </c>
    </row>
    <row r="5" spans="1:97">
      <c r="A5" s="9">
        <v>46238</v>
      </c>
      <c r="B5">
        <v>3116.6</v>
      </c>
      <c r="C5">
        <v>3108.9</v>
      </c>
      <c r="D5">
        <v>3110.4</v>
      </c>
      <c r="E5">
        <v>3114</v>
      </c>
      <c r="F5">
        <v>3123.8</v>
      </c>
      <c r="G5">
        <v>3139</v>
      </c>
      <c r="H5">
        <v>3124.7</v>
      </c>
      <c r="I5">
        <v>3122.5</v>
      </c>
      <c r="J5">
        <v>3114.8</v>
      </c>
      <c r="K5">
        <v>3115.1</v>
      </c>
      <c r="L5">
        <v>3099.9</v>
      </c>
      <c r="M5">
        <v>3118.7</v>
      </c>
      <c r="N5">
        <v>3076.8</v>
      </c>
      <c r="O5">
        <v>3085.8</v>
      </c>
      <c r="P5">
        <v>3097.4</v>
      </c>
      <c r="Q5">
        <v>3102.7</v>
      </c>
      <c r="R5">
        <v>3097</v>
      </c>
      <c r="S5">
        <v>3089.5</v>
      </c>
      <c r="T5">
        <v>3104.8</v>
      </c>
      <c r="U5">
        <v>3111.9</v>
      </c>
      <c r="V5">
        <v>3118.3</v>
      </c>
      <c r="W5">
        <v>3121.9</v>
      </c>
      <c r="X5">
        <v>3108</v>
      </c>
      <c r="Y5">
        <v>3118.4</v>
      </c>
      <c r="Z5">
        <v>3111</v>
      </c>
      <c r="AA5">
        <v>3109.4</v>
      </c>
      <c r="AB5">
        <v>3100.3</v>
      </c>
      <c r="AC5">
        <v>3099.5</v>
      </c>
      <c r="AD5">
        <v>3107.6</v>
      </c>
      <c r="AE5">
        <v>3092.1</v>
      </c>
      <c r="AF5">
        <v>3104.5</v>
      </c>
      <c r="AG5">
        <v>3104.4</v>
      </c>
      <c r="AH5">
        <v>3096.4</v>
      </c>
      <c r="AI5">
        <v>3099.3</v>
      </c>
      <c r="AJ5">
        <v>3109.4</v>
      </c>
      <c r="AK5">
        <v>3089.3</v>
      </c>
      <c r="AL5">
        <v>3101.9</v>
      </c>
      <c r="AM5">
        <v>3113.2</v>
      </c>
      <c r="AN5">
        <v>3098.4</v>
      </c>
      <c r="AO5">
        <v>3091.9</v>
      </c>
      <c r="AP5">
        <v>3100.2</v>
      </c>
      <c r="AQ5">
        <v>3099.9</v>
      </c>
      <c r="AR5">
        <v>3091.8</v>
      </c>
      <c r="AS5">
        <v>3099.3</v>
      </c>
      <c r="AT5">
        <v>3096.3</v>
      </c>
      <c r="AU5">
        <v>3077</v>
      </c>
      <c r="AV5">
        <v>3094</v>
      </c>
      <c r="AW5">
        <v>3094.2</v>
      </c>
      <c r="AX5">
        <v>3087.7</v>
      </c>
      <c r="AY5">
        <v>3064</v>
      </c>
      <c r="AZ5">
        <v>3081.4</v>
      </c>
      <c r="BA5">
        <v>3079</v>
      </c>
      <c r="BB5">
        <v>3060.1</v>
      </c>
      <c r="BC5">
        <v>3060.7</v>
      </c>
      <c r="BD5">
        <v>3060.7</v>
      </c>
      <c r="BE5">
        <v>3052.8</v>
      </c>
      <c r="BF5">
        <v>3061.9</v>
      </c>
      <c r="BG5">
        <v>3059.4</v>
      </c>
      <c r="BH5">
        <v>3051.6</v>
      </c>
      <c r="BI5">
        <v>3056.4</v>
      </c>
      <c r="BJ5">
        <v>3068.4</v>
      </c>
      <c r="BK5">
        <v>3083.8</v>
      </c>
      <c r="BL5">
        <v>3071.6</v>
      </c>
      <c r="BM5">
        <v>3052.2</v>
      </c>
      <c r="BN5">
        <v>3052.3</v>
      </c>
      <c r="BO5">
        <v>3060</v>
      </c>
      <c r="BP5">
        <v>3039.3</v>
      </c>
      <c r="BQ5">
        <v>3052.5</v>
      </c>
      <c r="BR5">
        <v>3078.2</v>
      </c>
      <c r="BS5">
        <v>3070.2</v>
      </c>
      <c r="BT5">
        <v>3073.7</v>
      </c>
      <c r="BU5">
        <v>3088.4</v>
      </c>
      <c r="BV5">
        <v>3083.1</v>
      </c>
      <c r="BW5">
        <v>3103.5</v>
      </c>
      <c r="BX5">
        <v>3101.9</v>
      </c>
      <c r="BY5">
        <v>3103.6</v>
      </c>
      <c r="BZ5">
        <v>3106</v>
      </c>
      <c r="CA5">
        <v>3101.5</v>
      </c>
      <c r="CB5">
        <v>3107.5</v>
      </c>
      <c r="CC5">
        <v>3116.7</v>
      </c>
      <c r="CD5">
        <v>3128.6</v>
      </c>
      <c r="CE5">
        <v>3130.9</v>
      </c>
      <c r="CF5">
        <v>3110.5</v>
      </c>
      <c r="CG5">
        <v>3115.7</v>
      </c>
      <c r="CH5">
        <v>3135.5</v>
      </c>
      <c r="CI5">
        <v>3123.2</v>
      </c>
      <c r="CJ5">
        <v>3136.8</v>
      </c>
      <c r="CK5">
        <v>3137.4</v>
      </c>
      <c r="CL5">
        <v>3139.4</v>
      </c>
      <c r="CM5">
        <v>3129.6</v>
      </c>
      <c r="CN5">
        <v>3138.9</v>
      </c>
      <c r="CO5">
        <v>3128.1</v>
      </c>
      <c r="CP5">
        <v>3132.6</v>
      </c>
      <c r="CQ5">
        <v>3120.5</v>
      </c>
      <c r="CR5">
        <v>3133.2</v>
      </c>
      <c r="CS5">
        <v>3133.1</v>
      </c>
    </row>
    <row r="6" spans="1:97">
      <c r="A6" s="9">
        <v>46239</v>
      </c>
      <c r="B6">
        <v>3116.6</v>
      </c>
      <c r="C6">
        <v>3108.9</v>
      </c>
      <c r="D6">
        <v>3110.4</v>
      </c>
      <c r="E6">
        <v>3114</v>
      </c>
      <c r="F6">
        <v>3123.8</v>
      </c>
      <c r="G6">
        <v>3139</v>
      </c>
      <c r="H6">
        <v>3124.7</v>
      </c>
      <c r="I6">
        <v>3122.5</v>
      </c>
      <c r="J6">
        <v>3114.8</v>
      </c>
      <c r="K6">
        <v>3115.1</v>
      </c>
      <c r="L6">
        <v>3099.9</v>
      </c>
      <c r="M6">
        <v>3118.7</v>
      </c>
      <c r="N6">
        <v>3076.8</v>
      </c>
      <c r="O6">
        <v>3085.8</v>
      </c>
      <c r="P6">
        <v>3097.4</v>
      </c>
      <c r="Q6">
        <v>3102.7</v>
      </c>
      <c r="R6">
        <v>3097</v>
      </c>
      <c r="S6">
        <v>3089.5</v>
      </c>
      <c r="T6">
        <v>3104.8</v>
      </c>
      <c r="U6">
        <v>3111.9</v>
      </c>
      <c r="V6">
        <v>3118.3</v>
      </c>
      <c r="W6">
        <v>3121.9</v>
      </c>
      <c r="X6">
        <v>3108</v>
      </c>
      <c r="Y6">
        <v>3118.4</v>
      </c>
      <c r="Z6">
        <v>3111</v>
      </c>
      <c r="AA6">
        <v>3109.4</v>
      </c>
      <c r="AB6">
        <v>3100.3</v>
      </c>
      <c r="AC6">
        <v>3099.5</v>
      </c>
      <c r="AD6">
        <v>3107.6</v>
      </c>
      <c r="AE6">
        <v>3092.1</v>
      </c>
      <c r="AF6">
        <v>3104.5</v>
      </c>
      <c r="AG6">
        <v>3104.4</v>
      </c>
      <c r="AH6">
        <v>3096.4</v>
      </c>
      <c r="AI6">
        <v>3099.3</v>
      </c>
      <c r="AJ6">
        <v>3109.4</v>
      </c>
      <c r="AK6">
        <v>3089.3</v>
      </c>
      <c r="AL6">
        <v>3101.9</v>
      </c>
      <c r="AM6">
        <v>3113.2</v>
      </c>
      <c r="AN6">
        <v>3098.4</v>
      </c>
      <c r="AO6">
        <v>3091.9</v>
      </c>
      <c r="AP6">
        <v>3100.2</v>
      </c>
      <c r="AQ6">
        <v>3099.9</v>
      </c>
      <c r="AR6">
        <v>3091.8</v>
      </c>
      <c r="AS6">
        <v>3099.3</v>
      </c>
      <c r="AT6">
        <v>3096.3</v>
      </c>
      <c r="AU6">
        <v>3077</v>
      </c>
      <c r="AV6">
        <v>3094</v>
      </c>
      <c r="AW6">
        <v>3094.2</v>
      </c>
      <c r="AX6">
        <v>3087.7</v>
      </c>
      <c r="AY6">
        <v>3064</v>
      </c>
      <c r="AZ6">
        <v>3081.4</v>
      </c>
      <c r="BA6">
        <v>3079</v>
      </c>
      <c r="BB6">
        <v>3060.1</v>
      </c>
      <c r="BC6">
        <v>3060.7</v>
      </c>
      <c r="BD6">
        <v>3060.7</v>
      </c>
      <c r="BE6">
        <v>3052.8</v>
      </c>
      <c r="BF6">
        <v>3061.9</v>
      </c>
      <c r="BG6">
        <v>3059.4</v>
      </c>
      <c r="BH6">
        <v>3051.6</v>
      </c>
      <c r="BI6">
        <v>3056.4</v>
      </c>
      <c r="BJ6">
        <v>3068.4</v>
      </c>
      <c r="BK6">
        <v>3083.8</v>
      </c>
      <c r="BL6">
        <v>3071.6</v>
      </c>
      <c r="BM6">
        <v>3052.2</v>
      </c>
      <c r="BN6">
        <v>3052.3</v>
      </c>
      <c r="BO6">
        <v>3060</v>
      </c>
      <c r="BP6">
        <v>3039.3</v>
      </c>
      <c r="BQ6">
        <v>3052.5</v>
      </c>
      <c r="BR6">
        <v>3078.2</v>
      </c>
      <c r="BS6">
        <v>3070.2</v>
      </c>
      <c r="BT6">
        <v>3073.7</v>
      </c>
      <c r="BU6">
        <v>3088.4</v>
      </c>
      <c r="BV6">
        <v>3083.1</v>
      </c>
      <c r="BW6">
        <v>3103.5</v>
      </c>
      <c r="BX6">
        <v>3101.9</v>
      </c>
      <c r="BY6">
        <v>3103.6</v>
      </c>
      <c r="BZ6">
        <v>3106</v>
      </c>
      <c r="CA6">
        <v>3101.5</v>
      </c>
      <c r="CB6">
        <v>3107.5</v>
      </c>
      <c r="CC6">
        <v>3116.7</v>
      </c>
      <c r="CD6">
        <v>3128.6</v>
      </c>
      <c r="CE6">
        <v>3130.9</v>
      </c>
      <c r="CF6">
        <v>3110.5</v>
      </c>
      <c r="CG6">
        <v>3115.7</v>
      </c>
      <c r="CH6">
        <v>3135.5</v>
      </c>
      <c r="CI6">
        <v>3123.2</v>
      </c>
      <c r="CJ6">
        <v>3136.8</v>
      </c>
      <c r="CK6">
        <v>3137.4</v>
      </c>
      <c r="CL6">
        <v>3139.4</v>
      </c>
      <c r="CM6">
        <v>3129.6</v>
      </c>
      <c r="CN6">
        <v>3138.9</v>
      </c>
      <c r="CO6">
        <v>3128.1</v>
      </c>
      <c r="CP6">
        <v>3132.6</v>
      </c>
      <c r="CQ6">
        <v>3120.5</v>
      </c>
      <c r="CR6">
        <v>3133.2</v>
      </c>
      <c r="CS6">
        <v>3133.1</v>
      </c>
    </row>
    <row r="7" spans="1:97">
      <c r="A7" s="9">
        <v>46240</v>
      </c>
      <c r="B7">
        <v>3102</v>
      </c>
      <c r="C7">
        <v>3124.1</v>
      </c>
      <c r="D7">
        <v>3100.3</v>
      </c>
      <c r="E7">
        <v>3106.1</v>
      </c>
      <c r="F7">
        <v>3120.9</v>
      </c>
      <c r="G7">
        <v>3126.3</v>
      </c>
      <c r="H7">
        <v>3104.4</v>
      </c>
      <c r="I7">
        <v>3093.3</v>
      </c>
      <c r="J7">
        <v>3082.4</v>
      </c>
      <c r="K7">
        <v>3057.1</v>
      </c>
      <c r="L7">
        <v>3020.4</v>
      </c>
      <c r="M7">
        <v>3000.3</v>
      </c>
      <c r="N7">
        <v>2953.6</v>
      </c>
      <c r="O7">
        <v>2963.4</v>
      </c>
      <c r="P7">
        <v>2959.5</v>
      </c>
      <c r="Q7">
        <v>2963.7</v>
      </c>
      <c r="R7">
        <v>2945.6</v>
      </c>
      <c r="S7">
        <v>2935.4</v>
      </c>
      <c r="T7">
        <v>2941.1</v>
      </c>
      <c r="U7">
        <v>2937.4</v>
      </c>
      <c r="V7">
        <v>2946.1</v>
      </c>
      <c r="W7">
        <v>2966.5</v>
      </c>
      <c r="X7">
        <v>2986.8</v>
      </c>
      <c r="Y7">
        <v>2999.2</v>
      </c>
      <c r="Z7">
        <v>3018</v>
      </c>
      <c r="AA7">
        <v>2995.3</v>
      </c>
      <c r="AB7">
        <v>2996.8</v>
      </c>
      <c r="AC7">
        <v>2978.6</v>
      </c>
      <c r="AD7">
        <v>2979.5</v>
      </c>
      <c r="AE7">
        <v>2984.4</v>
      </c>
      <c r="AF7">
        <v>2973.8</v>
      </c>
      <c r="AG7">
        <v>2967.6</v>
      </c>
      <c r="AH7">
        <v>2982.1</v>
      </c>
      <c r="AI7">
        <v>3007.7</v>
      </c>
      <c r="AJ7">
        <v>3035.8</v>
      </c>
      <c r="AK7">
        <v>3036.7</v>
      </c>
      <c r="AL7">
        <v>3021.4</v>
      </c>
      <c r="AM7">
        <v>3036.3</v>
      </c>
      <c r="AN7">
        <v>3044.6</v>
      </c>
      <c r="AO7">
        <v>3031</v>
      </c>
      <c r="AP7">
        <v>3023.3</v>
      </c>
      <c r="AQ7">
        <v>3026.2</v>
      </c>
      <c r="AR7">
        <v>3035.6</v>
      </c>
      <c r="AS7">
        <v>3023.7</v>
      </c>
      <c r="AT7">
        <v>3039.8</v>
      </c>
      <c r="AU7">
        <v>3025.4</v>
      </c>
      <c r="AV7">
        <v>3034.6</v>
      </c>
      <c r="AW7">
        <v>3036.4</v>
      </c>
      <c r="AX7">
        <v>3023</v>
      </c>
      <c r="AY7">
        <v>3031.6</v>
      </c>
      <c r="AZ7">
        <v>3025</v>
      </c>
      <c r="BA7">
        <v>3004.1</v>
      </c>
      <c r="BB7">
        <v>2984.3</v>
      </c>
      <c r="BC7">
        <v>2985.4</v>
      </c>
      <c r="BD7">
        <v>2988.4</v>
      </c>
      <c r="BE7">
        <v>2988.5</v>
      </c>
      <c r="BF7">
        <v>2975.6</v>
      </c>
      <c r="BG7">
        <v>2973</v>
      </c>
      <c r="BH7">
        <v>2981.2</v>
      </c>
      <c r="BI7">
        <v>2981.4</v>
      </c>
      <c r="BJ7">
        <v>2960.2</v>
      </c>
      <c r="BK7">
        <v>2962.3</v>
      </c>
      <c r="BL7">
        <v>2973.2</v>
      </c>
      <c r="BM7">
        <v>2979</v>
      </c>
      <c r="BN7">
        <v>2978.6</v>
      </c>
      <c r="BO7">
        <v>2985.1</v>
      </c>
      <c r="BP7">
        <v>2965.2</v>
      </c>
      <c r="BQ7">
        <v>2991.1</v>
      </c>
      <c r="BR7">
        <v>2991.3</v>
      </c>
      <c r="BS7">
        <v>2991.4</v>
      </c>
      <c r="BT7">
        <v>2977.2</v>
      </c>
      <c r="BU7">
        <v>2986.9</v>
      </c>
      <c r="BV7">
        <v>2973.4</v>
      </c>
      <c r="BW7">
        <v>2984.8</v>
      </c>
      <c r="BX7">
        <v>2976.3</v>
      </c>
      <c r="BY7">
        <v>2965.2</v>
      </c>
      <c r="BZ7">
        <v>2971.7</v>
      </c>
      <c r="CA7">
        <v>2972.5</v>
      </c>
      <c r="CB7">
        <v>2964.3</v>
      </c>
      <c r="CC7">
        <v>2961.4</v>
      </c>
      <c r="CD7">
        <v>2975.8</v>
      </c>
      <c r="CE7">
        <v>2978.8</v>
      </c>
      <c r="CF7">
        <v>2967.2</v>
      </c>
      <c r="CG7">
        <v>2969.4</v>
      </c>
      <c r="CH7">
        <v>2977.4</v>
      </c>
      <c r="CI7">
        <v>2990.7</v>
      </c>
      <c r="CJ7">
        <v>2977.1</v>
      </c>
      <c r="CK7">
        <v>2985.8</v>
      </c>
      <c r="CL7">
        <v>2958.4</v>
      </c>
      <c r="CM7">
        <v>2974.5</v>
      </c>
      <c r="CN7">
        <v>2973.6</v>
      </c>
      <c r="CO7">
        <v>2950.3</v>
      </c>
      <c r="CP7">
        <v>2961.3</v>
      </c>
      <c r="CQ7">
        <v>2955.6</v>
      </c>
      <c r="CR7">
        <v>2968.3</v>
      </c>
      <c r="CS7">
        <v>2967.8</v>
      </c>
    </row>
    <row r="8" spans="1:97">
      <c r="A8" s="9">
        <v>46241</v>
      </c>
      <c r="B8">
        <v>2939.6</v>
      </c>
      <c r="C8">
        <v>2949.6</v>
      </c>
      <c r="D8">
        <v>2949.9</v>
      </c>
      <c r="E8">
        <v>2950.1</v>
      </c>
      <c r="F8">
        <v>2953.1</v>
      </c>
      <c r="G8">
        <v>2967.1</v>
      </c>
      <c r="H8">
        <v>2987.7</v>
      </c>
      <c r="I8">
        <v>2987.6</v>
      </c>
      <c r="J8">
        <v>2974.2</v>
      </c>
      <c r="K8">
        <v>2963.2</v>
      </c>
      <c r="L8">
        <v>2963.7</v>
      </c>
      <c r="M8">
        <v>2980.4</v>
      </c>
      <c r="N8">
        <v>2974.3</v>
      </c>
      <c r="O8">
        <v>2965</v>
      </c>
      <c r="P8">
        <v>2986.5</v>
      </c>
      <c r="Q8">
        <v>2976.4</v>
      </c>
      <c r="R8">
        <v>2996.6</v>
      </c>
      <c r="S8">
        <v>2991.8</v>
      </c>
      <c r="T8">
        <v>2981.1</v>
      </c>
      <c r="U8">
        <v>2980.2</v>
      </c>
      <c r="V8">
        <v>2979.9</v>
      </c>
      <c r="W8">
        <v>2991</v>
      </c>
      <c r="X8">
        <v>2997.7</v>
      </c>
      <c r="Y8">
        <v>2992.5</v>
      </c>
      <c r="Z8">
        <v>2990.1</v>
      </c>
      <c r="AA8">
        <v>2989.7</v>
      </c>
      <c r="AB8">
        <v>2971.8</v>
      </c>
      <c r="AC8">
        <v>2977.2</v>
      </c>
      <c r="AD8">
        <v>2974.9</v>
      </c>
      <c r="AE8">
        <v>2989.6</v>
      </c>
      <c r="AF8">
        <v>2996.4</v>
      </c>
      <c r="AG8">
        <v>2979.3</v>
      </c>
      <c r="AH8">
        <v>2945.5</v>
      </c>
      <c r="AI8">
        <v>2864.6</v>
      </c>
      <c r="AJ8">
        <v>2860.4</v>
      </c>
      <c r="AK8">
        <v>2867.7</v>
      </c>
      <c r="AL8">
        <v>2895.9</v>
      </c>
      <c r="AM8">
        <v>2915.8</v>
      </c>
      <c r="AN8">
        <v>2963.6</v>
      </c>
      <c r="AO8">
        <v>3004.2</v>
      </c>
      <c r="AP8">
        <v>3002.7</v>
      </c>
      <c r="AQ8">
        <v>3014</v>
      </c>
      <c r="AR8">
        <v>3020.7</v>
      </c>
      <c r="AS8">
        <v>3022.9</v>
      </c>
      <c r="AT8">
        <v>3008.1</v>
      </c>
      <c r="AU8">
        <v>3011</v>
      </c>
      <c r="AV8">
        <v>2991.3</v>
      </c>
      <c r="AW8">
        <v>2988.8</v>
      </c>
      <c r="AX8">
        <v>2982.8</v>
      </c>
      <c r="AY8">
        <v>2974.9</v>
      </c>
      <c r="AZ8">
        <v>2979.2</v>
      </c>
      <c r="BA8">
        <v>2967.5</v>
      </c>
      <c r="BB8">
        <v>2970.3</v>
      </c>
      <c r="BC8">
        <v>2982.4</v>
      </c>
      <c r="BD8">
        <v>2986.4</v>
      </c>
      <c r="BE8">
        <v>2981.7</v>
      </c>
      <c r="BF8">
        <v>2976.6</v>
      </c>
      <c r="BG8">
        <v>2980.3</v>
      </c>
      <c r="BH8">
        <v>2970.5</v>
      </c>
      <c r="BI8">
        <v>2970.9</v>
      </c>
      <c r="BJ8">
        <v>2986.8</v>
      </c>
      <c r="BK8">
        <v>2971.1</v>
      </c>
      <c r="BL8">
        <v>2981.5</v>
      </c>
      <c r="BM8">
        <v>2995.3</v>
      </c>
      <c r="BN8">
        <v>2993.3</v>
      </c>
      <c r="BO8">
        <v>2994.1</v>
      </c>
      <c r="BP8">
        <v>2993.4</v>
      </c>
      <c r="BQ8">
        <v>2998.9</v>
      </c>
      <c r="BR8">
        <v>2997.7</v>
      </c>
      <c r="BS8">
        <v>2989</v>
      </c>
      <c r="BT8">
        <v>2985.1</v>
      </c>
      <c r="BU8">
        <v>2981.2</v>
      </c>
      <c r="BV8">
        <v>2970.6</v>
      </c>
      <c r="BW8">
        <v>2941.8</v>
      </c>
      <c r="BX8">
        <v>2970.8</v>
      </c>
      <c r="BY8">
        <v>2980.2</v>
      </c>
      <c r="BZ8">
        <v>2971.8</v>
      </c>
      <c r="CA8">
        <v>2974.7</v>
      </c>
      <c r="CB8">
        <v>2986.9</v>
      </c>
      <c r="CC8">
        <v>2992.3</v>
      </c>
      <c r="CD8">
        <v>2994</v>
      </c>
      <c r="CE8">
        <v>2982.1</v>
      </c>
      <c r="CF8">
        <v>3001.5</v>
      </c>
      <c r="CG8">
        <v>2997</v>
      </c>
      <c r="CH8">
        <v>2980.9</v>
      </c>
      <c r="CI8">
        <v>2997.4</v>
      </c>
      <c r="CJ8">
        <v>3015.2</v>
      </c>
      <c r="CK8">
        <v>3014.8</v>
      </c>
      <c r="CL8">
        <v>3013.5</v>
      </c>
      <c r="CM8">
        <v>2997.3</v>
      </c>
      <c r="CN8">
        <v>3008.9</v>
      </c>
      <c r="CO8">
        <v>3015.8</v>
      </c>
      <c r="CP8">
        <v>3014.5</v>
      </c>
      <c r="CQ8">
        <v>3008.9</v>
      </c>
      <c r="CR8">
        <v>3001.4</v>
      </c>
      <c r="CS8">
        <v>3003.9</v>
      </c>
    </row>
    <row r="9" spans="1:97">
      <c r="A9" s="9">
        <v>46242</v>
      </c>
      <c r="B9">
        <v>3005.7</v>
      </c>
      <c r="C9">
        <v>2992.8</v>
      </c>
      <c r="D9">
        <v>3013.4</v>
      </c>
      <c r="E9">
        <v>2987.3</v>
      </c>
      <c r="F9">
        <v>2965</v>
      </c>
      <c r="G9">
        <v>2972.9</v>
      </c>
      <c r="H9">
        <v>3013</v>
      </c>
      <c r="I9">
        <v>3021.1</v>
      </c>
      <c r="J9">
        <v>3006.6</v>
      </c>
      <c r="K9">
        <v>3025.4</v>
      </c>
      <c r="L9">
        <v>3024.8</v>
      </c>
      <c r="M9">
        <v>3015.2</v>
      </c>
      <c r="N9">
        <v>3025.1</v>
      </c>
      <c r="O9">
        <v>3024.9</v>
      </c>
      <c r="P9">
        <v>2993.1</v>
      </c>
      <c r="Q9">
        <v>2966.6</v>
      </c>
      <c r="R9">
        <v>2924.5</v>
      </c>
      <c r="S9">
        <v>2910</v>
      </c>
      <c r="T9">
        <v>2896.4</v>
      </c>
      <c r="U9">
        <v>2918.2</v>
      </c>
      <c r="V9">
        <v>2909.3</v>
      </c>
      <c r="W9">
        <v>2907.5</v>
      </c>
      <c r="X9">
        <v>2902</v>
      </c>
      <c r="Y9">
        <v>2888.6</v>
      </c>
      <c r="Z9">
        <v>2888.5</v>
      </c>
      <c r="AA9">
        <v>2903.4</v>
      </c>
      <c r="AB9">
        <v>2877.3</v>
      </c>
      <c r="AC9">
        <v>2903.8</v>
      </c>
      <c r="AD9">
        <v>2880.6</v>
      </c>
      <c r="AE9">
        <v>2889.5</v>
      </c>
      <c r="AF9">
        <v>2867.9</v>
      </c>
      <c r="AG9">
        <v>2855.5</v>
      </c>
      <c r="AH9">
        <v>2863.9</v>
      </c>
      <c r="AI9">
        <v>2858.9</v>
      </c>
      <c r="AJ9">
        <v>2871.3</v>
      </c>
      <c r="AK9">
        <v>2884.8</v>
      </c>
      <c r="AL9">
        <v>2872.7</v>
      </c>
      <c r="AM9">
        <v>2865.8</v>
      </c>
      <c r="AN9">
        <v>2857.6</v>
      </c>
      <c r="AO9">
        <v>2846</v>
      </c>
      <c r="AP9">
        <v>2842.5</v>
      </c>
      <c r="AQ9">
        <v>2829.3</v>
      </c>
      <c r="AR9">
        <v>2820</v>
      </c>
      <c r="AS9">
        <v>2839.5</v>
      </c>
      <c r="AT9">
        <v>2803</v>
      </c>
      <c r="AU9">
        <v>2806.6</v>
      </c>
      <c r="AV9">
        <v>2790.8</v>
      </c>
      <c r="AW9">
        <v>2797.3</v>
      </c>
      <c r="AX9">
        <v>2799.3</v>
      </c>
      <c r="AY9">
        <v>2765.1</v>
      </c>
      <c r="AZ9">
        <v>2767.2</v>
      </c>
      <c r="BA9">
        <v>2786.2</v>
      </c>
      <c r="BB9">
        <v>2785.3</v>
      </c>
      <c r="BC9">
        <v>2771.3</v>
      </c>
      <c r="BD9">
        <v>2760.2</v>
      </c>
      <c r="BE9">
        <v>2751.4</v>
      </c>
      <c r="BF9">
        <v>2756.1</v>
      </c>
      <c r="BG9">
        <v>2734.7</v>
      </c>
      <c r="BH9">
        <v>2731</v>
      </c>
      <c r="BI9">
        <v>2741.4</v>
      </c>
      <c r="BJ9">
        <v>2754.4</v>
      </c>
      <c r="BK9">
        <v>2752.9</v>
      </c>
      <c r="BL9">
        <v>2744.1</v>
      </c>
      <c r="BM9">
        <v>2759.2</v>
      </c>
      <c r="BN9">
        <v>2759.7</v>
      </c>
      <c r="BO9">
        <v>2741.8</v>
      </c>
      <c r="BP9">
        <v>2753.4</v>
      </c>
      <c r="BQ9">
        <v>2746.8</v>
      </c>
      <c r="BR9">
        <v>2769.1</v>
      </c>
      <c r="BS9">
        <v>2765.6</v>
      </c>
      <c r="BT9">
        <v>2759.1</v>
      </c>
      <c r="BU9">
        <v>2774.9</v>
      </c>
      <c r="BV9">
        <v>2777.2</v>
      </c>
      <c r="BW9">
        <v>2784.8</v>
      </c>
      <c r="BX9">
        <v>2800.1</v>
      </c>
      <c r="BY9">
        <v>2806.5</v>
      </c>
      <c r="BZ9">
        <v>2813</v>
      </c>
      <c r="CA9">
        <v>2806</v>
      </c>
      <c r="CB9">
        <v>2811.5</v>
      </c>
      <c r="CC9">
        <v>2792.8</v>
      </c>
      <c r="CD9">
        <v>2838.1</v>
      </c>
      <c r="CE9">
        <v>2853.2</v>
      </c>
      <c r="CF9">
        <v>2869.6</v>
      </c>
      <c r="CG9">
        <v>2865.3</v>
      </c>
      <c r="CH9">
        <v>2876</v>
      </c>
      <c r="CI9">
        <v>2897.5</v>
      </c>
      <c r="CJ9">
        <v>2891.6</v>
      </c>
      <c r="CK9">
        <v>2873.3</v>
      </c>
      <c r="CL9">
        <v>2894.6</v>
      </c>
      <c r="CM9">
        <v>2892.3</v>
      </c>
      <c r="CN9">
        <v>2911.7</v>
      </c>
      <c r="CO9">
        <v>2924.2</v>
      </c>
      <c r="CP9">
        <v>2904.6</v>
      </c>
      <c r="CQ9">
        <v>2926.4</v>
      </c>
      <c r="CR9">
        <v>2939.8</v>
      </c>
      <c r="CS9">
        <v>2935.2</v>
      </c>
    </row>
    <row r="10" spans="1:97">
      <c r="A10" s="9">
        <v>46243</v>
      </c>
      <c r="B10">
        <v>2926.8</v>
      </c>
      <c r="C10">
        <v>2949.9</v>
      </c>
      <c r="D10">
        <v>2949.7</v>
      </c>
      <c r="E10">
        <v>2944.9</v>
      </c>
      <c r="F10">
        <v>2925.9</v>
      </c>
      <c r="G10">
        <v>2935.5</v>
      </c>
      <c r="H10">
        <v>2926</v>
      </c>
      <c r="I10">
        <v>2930.8</v>
      </c>
      <c r="J10">
        <v>2923.7</v>
      </c>
      <c r="K10">
        <v>2940.3</v>
      </c>
      <c r="L10">
        <v>2939.9</v>
      </c>
      <c r="M10">
        <v>2918.2</v>
      </c>
      <c r="N10">
        <v>2939.4</v>
      </c>
      <c r="O10">
        <v>2928.5</v>
      </c>
      <c r="P10">
        <v>2938.5</v>
      </c>
      <c r="Q10">
        <v>2940.7</v>
      </c>
      <c r="R10">
        <v>2950.2</v>
      </c>
      <c r="S10">
        <v>2957.7</v>
      </c>
      <c r="T10">
        <v>2948.7</v>
      </c>
      <c r="U10">
        <v>2959</v>
      </c>
      <c r="V10">
        <v>2953.4</v>
      </c>
      <c r="W10">
        <v>2965.4</v>
      </c>
      <c r="X10">
        <v>2993.5</v>
      </c>
      <c r="Y10">
        <v>2975.5</v>
      </c>
      <c r="Z10">
        <v>2976.5</v>
      </c>
      <c r="AA10">
        <v>2960.8</v>
      </c>
      <c r="AB10">
        <v>2946</v>
      </c>
      <c r="AC10">
        <v>2939.6</v>
      </c>
      <c r="AD10">
        <v>2927</v>
      </c>
      <c r="AE10">
        <v>2934.1</v>
      </c>
      <c r="AF10">
        <v>2923.6</v>
      </c>
      <c r="AG10">
        <v>2946.6</v>
      </c>
      <c r="AH10">
        <v>2916.3</v>
      </c>
      <c r="AI10">
        <v>2931.4</v>
      </c>
      <c r="AJ10">
        <v>2926.3</v>
      </c>
      <c r="AK10">
        <v>2936.5</v>
      </c>
      <c r="AL10">
        <v>2920.4</v>
      </c>
      <c r="AM10">
        <v>2920.4</v>
      </c>
      <c r="AN10">
        <v>2931.9</v>
      </c>
      <c r="AO10">
        <v>2953.9</v>
      </c>
      <c r="AP10">
        <v>2970.8</v>
      </c>
      <c r="AQ10">
        <v>2946.3</v>
      </c>
      <c r="AR10">
        <v>2959.6</v>
      </c>
      <c r="AS10">
        <v>2960.6</v>
      </c>
      <c r="AT10">
        <v>2936.9</v>
      </c>
      <c r="AU10">
        <v>2938.6</v>
      </c>
      <c r="AV10">
        <v>2932.1</v>
      </c>
      <c r="AW10">
        <v>2943.5</v>
      </c>
      <c r="AX10">
        <v>2944.4</v>
      </c>
      <c r="AY10">
        <v>2930.9</v>
      </c>
      <c r="AZ10">
        <v>2923.6</v>
      </c>
      <c r="BA10">
        <v>2928.9</v>
      </c>
      <c r="BB10">
        <v>2953.1</v>
      </c>
      <c r="BC10">
        <v>2935.1</v>
      </c>
      <c r="BD10">
        <v>2932.2</v>
      </c>
      <c r="BE10">
        <v>2932.3</v>
      </c>
      <c r="BF10">
        <v>2904.7</v>
      </c>
      <c r="BG10">
        <v>2923.5</v>
      </c>
      <c r="BH10">
        <v>2911.4</v>
      </c>
      <c r="BI10">
        <v>2926.8</v>
      </c>
      <c r="BJ10">
        <v>2908.1</v>
      </c>
      <c r="BK10">
        <v>2919.5</v>
      </c>
      <c r="BL10">
        <v>2927.5</v>
      </c>
      <c r="BM10">
        <v>2917.9</v>
      </c>
      <c r="BN10">
        <v>2916.2</v>
      </c>
      <c r="BO10">
        <v>2938.4</v>
      </c>
      <c r="BP10">
        <v>2955.8</v>
      </c>
      <c r="BQ10">
        <v>2945.1</v>
      </c>
      <c r="BR10">
        <v>2927.1</v>
      </c>
      <c r="BS10">
        <v>2944.8</v>
      </c>
      <c r="BT10">
        <v>2941.1</v>
      </c>
      <c r="BU10">
        <v>2938.8</v>
      </c>
      <c r="BV10">
        <v>2936.7</v>
      </c>
      <c r="BW10">
        <v>2947.3</v>
      </c>
      <c r="BX10">
        <v>2934.6</v>
      </c>
      <c r="BY10">
        <v>2953.7</v>
      </c>
      <c r="BZ10">
        <v>2949.5</v>
      </c>
      <c r="CA10">
        <v>2959.7</v>
      </c>
      <c r="CB10">
        <v>2935.8</v>
      </c>
      <c r="CC10">
        <v>2941.2</v>
      </c>
      <c r="CD10">
        <v>2977.4</v>
      </c>
      <c r="CE10">
        <v>2978</v>
      </c>
      <c r="CF10">
        <v>2971.6</v>
      </c>
      <c r="CG10">
        <v>2966.5</v>
      </c>
      <c r="CH10">
        <v>2976.2</v>
      </c>
      <c r="CI10">
        <v>2983.6</v>
      </c>
      <c r="CJ10">
        <v>2979.5</v>
      </c>
      <c r="CK10">
        <v>2957.9</v>
      </c>
      <c r="CL10">
        <v>2962.4</v>
      </c>
      <c r="CM10">
        <v>2962.9</v>
      </c>
      <c r="CN10">
        <v>2955.3</v>
      </c>
      <c r="CO10">
        <v>2952.3</v>
      </c>
      <c r="CP10">
        <v>2964.4</v>
      </c>
      <c r="CQ10">
        <v>2973.5</v>
      </c>
      <c r="CR10">
        <v>2976.5</v>
      </c>
      <c r="CS10">
        <v>2969.8</v>
      </c>
    </row>
    <row r="11" spans="1:97">
      <c r="A11" s="9">
        <v>46244</v>
      </c>
      <c r="B11">
        <v>2960.6</v>
      </c>
      <c r="C11">
        <v>2961.1</v>
      </c>
      <c r="D11">
        <v>2986.2</v>
      </c>
      <c r="E11">
        <v>2979.4</v>
      </c>
      <c r="F11">
        <v>2985.1</v>
      </c>
      <c r="G11">
        <v>2956.5</v>
      </c>
      <c r="H11">
        <v>2978.7</v>
      </c>
      <c r="I11">
        <v>2994.2</v>
      </c>
      <c r="J11">
        <v>2979.2</v>
      </c>
      <c r="K11">
        <v>2982.6</v>
      </c>
      <c r="L11">
        <v>2984.6</v>
      </c>
      <c r="M11">
        <v>2979.3</v>
      </c>
      <c r="N11">
        <v>2971.9</v>
      </c>
      <c r="O11">
        <v>2970.5</v>
      </c>
      <c r="P11">
        <v>2962.2</v>
      </c>
      <c r="Q11">
        <v>2958.8</v>
      </c>
      <c r="R11">
        <v>2951.2</v>
      </c>
      <c r="S11">
        <v>2963</v>
      </c>
      <c r="T11">
        <v>2964.7</v>
      </c>
      <c r="U11">
        <v>2969.1</v>
      </c>
      <c r="V11">
        <v>2991</v>
      </c>
      <c r="W11">
        <v>3011.4</v>
      </c>
      <c r="X11">
        <v>2997.7</v>
      </c>
      <c r="Y11">
        <v>2988</v>
      </c>
      <c r="Z11">
        <v>2986</v>
      </c>
      <c r="AA11">
        <v>2965</v>
      </c>
      <c r="AB11">
        <v>2989.3</v>
      </c>
      <c r="AC11">
        <v>2996.2</v>
      </c>
      <c r="AD11">
        <v>2992.9</v>
      </c>
      <c r="AE11">
        <v>2996.5</v>
      </c>
      <c r="AF11">
        <v>2985.3</v>
      </c>
      <c r="AG11">
        <v>2981.6</v>
      </c>
      <c r="AH11">
        <v>2975.4</v>
      </c>
      <c r="AI11">
        <v>2967.5</v>
      </c>
      <c r="AJ11">
        <v>2951.8</v>
      </c>
      <c r="AK11">
        <v>2956.5</v>
      </c>
      <c r="AL11">
        <v>2976.9</v>
      </c>
      <c r="AM11">
        <v>2961.9</v>
      </c>
      <c r="AN11">
        <v>2952.5</v>
      </c>
      <c r="AO11">
        <v>2928.6</v>
      </c>
      <c r="AP11">
        <v>2904.9</v>
      </c>
      <c r="AQ11">
        <v>2938.9</v>
      </c>
      <c r="AR11">
        <v>2970.6</v>
      </c>
      <c r="AS11">
        <v>2961.8</v>
      </c>
      <c r="AT11">
        <v>2974.7</v>
      </c>
      <c r="AU11">
        <v>2999.1</v>
      </c>
      <c r="AV11">
        <v>2992.7</v>
      </c>
      <c r="AW11">
        <v>2979.1</v>
      </c>
      <c r="AX11">
        <v>2970.8</v>
      </c>
      <c r="AY11">
        <v>2980.4</v>
      </c>
      <c r="AZ11">
        <v>2977.1</v>
      </c>
      <c r="BA11">
        <v>2989.5</v>
      </c>
      <c r="BB11">
        <v>2967.4</v>
      </c>
      <c r="BC11">
        <v>2945.9</v>
      </c>
      <c r="BD11">
        <v>2951.4</v>
      </c>
      <c r="BE11">
        <v>2944.7</v>
      </c>
      <c r="BF11">
        <v>2945.3</v>
      </c>
      <c r="BG11">
        <v>2937.5</v>
      </c>
      <c r="BH11">
        <v>2943.9</v>
      </c>
      <c r="BI11">
        <v>2952.2</v>
      </c>
      <c r="BJ11">
        <v>2948.2</v>
      </c>
      <c r="BK11">
        <v>2953.6</v>
      </c>
      <c r="BL11">
        <v>2968.9</v>
      </c>
      <c r="BM11">
        <v>2978.8</v>
      </c>
      <c r="BN11">
        <v>2971.3</v>
      </c>
      <c r="BO11">
        <v>2986.9</v>
      </c>
      <c r="BP11">
        <v>2943.1</v>
      </c>
      <c r="BQ11">
        <v>2932.6</v>
      </c>
      <c r="BR11">
        <v>2898.3</v>
      </c>
      <c r="BS11">
        <v>2894.7</v>
      </c>
      <c r="BT11">
        <v>2917.6</v>
      </c>
      <c r="BU11">
        <v>2902.9</v>
      </c>
      <c r="BV11">
        <v>2917.5</v>
      </c>
      <c r="BW11">
        <v>2926.9</v>
      </c>
      <c r="BX11">
        <v>2922.2</v>
      </c>
      <c r="BY11">
        <v>2905.5</v>
      </c>
      <c r="BZ11">
        <v>2919.5</v>
      </c>
      <c r="CA11">
        <v>2916.9</v>
      </c>
      <c r="CB11">
        <v>2901.7</v>
      </c>
      <c r="CC11">
        <v>2917.4</v>
      </c>
      <c r="CD11">
        <v>2903.3</v>
      </c>
      <c r="CE11">
        <v>2917.6</v>
      </c>
      <c r="CF11">
        <v>2907.3</v>
      </c>
      <c r="CG11">
        <v>2891.6</v>
      </c>
      <c r="CH11">
        <v>2884.8</v>
      </c>
      <c r="CI11">
        <v>2883.8</v>
      </c>
      <c r="CJ11">
        <v>2884.5</v>
      </c>
      <c r="CK11">
        <v>2883.4</v>
      </c>
      <c r="CL11">
        <v>2878.3</v>
      </c>
      <c r="CM11">
        <v>2897.8</v>
      </c>
      <c r="CN11">
        <v>2913</v>
      </c>
      <c r="CO11">
        <v>2913.3</v>
      </c>
      <c r="CP11">
        <v>2931.8</v>
      </c>
      <c r="CQ11">
        <v>2947.4</v>
      </c>
      <c r="CR11">
        <v>2949.2</v>
      </c>
      <c r="CS11">
        <v>2951.1</v>
      </c>
    </row>
    <row r="12" spans="1:97">
      <c r="A12" s="9">
        <v>46245</v>
      </c>
      <c r="B12">
        <v>2959.3</v>
      </c>
      <c r="C12">
        <v>2956.1</v>
      </c>
      <c r="D12">
        <v>2984.9</v>
      </c>
      <c r="E12">
        <v>2997.9</v>
      </c>
      <c r="F12">
        <v>2992.6</v>
      </c>
      <c r="G12">
        <v>3000.6</v>
      </c>
      <c r="H12">
        <v>3002.5</v>
      </c>
      <c r="I12">
        <v>3012.2</v>
      </c>
      <c r="J12">
        <v>3012.2</v>
      </c>
      <c r="K12">
        <v>3009.6</v>
      </c>
      <c r="L12">
        <v>3006</v>
      </c>
      <c r="M12">
        <v>3019.4</v>
      </c>
      <c r="N12">
        <v>2986.7</v>
      </c>
      <c r="O12">
        <v>2991.2</v>
      </c>
      <c r="P12">
        <v>2980.9</v>
      </c>
      <c r="Q12">
        <v>2959.7</v>
      </c>
      <c r="R12">
        <v>2946.8</v>
      </c>
      <c r="S12">
        <v>2996.3</v>
      </c>
      <c r="T12">
        <v>2998.2</v>
      </c>
      <c r="U12">
        <v>3006.2</v>
      </c>
      <c r="V12">
        <v>2997.3</v>
      </c>
      <c r="W12">
        <v>2992.5</v>
      </c>
      <c r="X12">
        <v>2997.8</v>
      </c>
      <c r="Y12">
        <v>3004.9</v>
      </c>
      <c r="Z12">
        <v>3009</v>
      </c>
      <c r="AA12">
        <v>2989.9</v>
      </c>
      <c r="AB12">
        <v>2982.9</v>
      </c>
      <c r="AC12">
        <v>2988.1</v>
      </c>
      <c r="AD12">
        <v>2993.8</v>
      </c>
      <c r="AE12">
        <v>2979.3</v>
      </c>
      <c r="AF12">
        <v>2979.8</v>
      </c>
      <c r="AG12">
        <v>2973.5</v>
      </c>
      <c r="AH12">
        <v>2960</v>
      </c>
      <c r="AI12">
        <v>2948.2</v>
      </c>
      <c r="AJ12">
        <v>2958.1</v>
      </c>
      <c r="AK12">
        <v>2960.4</v>
      </c>
      <c r="AL12">
        <v>2966.3</v>
      </c>
      <c r="AM12">
        <v>2975.9</v>
      </c>
      <c r="AN12">
        <v>2949.3</v>
      </c>
      <c r="AO12">
        <v>2966.3</v>
      </c>
      <c r="AP12">
        <v>2963.5</v>
      </c>
      <c r="AQ12">
        <v>2958.6</v>
      </c>
      <c r="AR12">
        <v>2969.4</v>
      </c>
      <c r="AS12">
        <v>2963.6</v>
      </c>
      <c r="AT12">
        <v>2963.5</v>
      </c>
      <c r="AU12">
        <v>2947.8</v>
      </c>
      <c r="AV12">
        <v>2965.5</v>
      </c>
      <c r="AW12">
        <v>2908.9</v>
      </c>
      <c r="AX12">
        <v>2923.8</v>
      </c>
      <c r="AY12">
        <v>2918.1</v>
      </c>
      <c r="AZ12">
        <v>2895.4</v>
      </c>
      <c r="BA12">
        <v>2891.5</v>
      </c>
      <c r="BB12">
        <v>2861.4</v>
      </c>
      <c r="BC12">
        <v>2882.1</v>
      </c>
      <c r="BD12">
        <v>2844.5</v>
      </c>
      <c r="BE12">
        <v>2865.8</v>
      </c>
      <c r="BF12">
        <v>2858</v>
      </c>
      <c r="BG12">
        <v>2849.2</v>
      </c>
      <c r="BH12">
        <v>2847.9</v>
      </c>
      <c r="BI12">
        <v>2876.4</v>
      </c>
      <c r="BJ12">
        <v>2871</v>
      </c>
      <c r="BK12">
        <v>2868.2</v>
      </c>
      <c r="BL12">
        <v>2889.9</v>
      </c>
      <c r="BM12">
        <v>2885.3</v>
      </c>
      <c r="BN12">
        <v>2897.7</v>
      </c>
      <c r="BO12">
        <v>2901.9</v>
      </c>
      <c r="BP12">
        <v>2895.6</v>
      </c>
      <c r="BQ12">
        <v>2898.7</v>
      </c>
      <c r="BR12">
        <v>2894.5</v>
      </c>
      <c r="BS12">
        <v>2865.1</v>
      </c>
      <c r="BT12">
        <v>2867.2</v>
      </c>
      <c r="BU12">
        <v>2877.9</v>
      </c>
      <c r="BV12">
        <v>2881.3</v>
      </c>
      <c r="BW12">
        <v>2891.6</v>
      </c>
      <c r="BX12">
        <v>2890</v>
      </c>
      <c r="BY12">
        <v>2892.1</v>
      </c>
      <c r="BZ12">
        <v>2892.6</v>
      </c>
      <c r="CA12">
        <v>2896.6</v>
      </c>
      <c r="CB12">
        <v>2881.1</v>
      </c>
      <c r="CC12">
        <v>2896.7</v>
      </c>
      <c r="CD12">
        <v>2909.2</v>
      </c>
      <c r="CE12">
        <v>2903.6</v>
      </c>
      <c r="CF12">
        <v>2912.6</v>
      </c>
      <c r="CG12">
        <v>2907.5</v>
      </c>
      <c r="CH12">
        <v>2896.8</v>
      </c>
      <c r="CI12">
        <v>2900.4</v>
      </c>
      <c r="CJ12">
        <v>2918.7</v>
      </c>
      <c r="CK12">
        <v>2886.1</v>
      </c>
      <c r="CL12">
        <v>2869</v>
      </c>
      <c r="CM12">
        <v>2864.5</v>
      </c>
      <c r="CN12">
        <v>2867.9</v>
      </c>
      <c r="CO12">
        <v>2885</v>
      </c>
      <c r="CP12">
        <v>2871.6</v>
      </c>
      <c r="CQ12">
        <v>2887.8</v>
      </c>
      <c r="CR12">
        <v>2875.8</v>
      </c>
      <c r="CS12">
        <v>2865.9</v>
      </c>
    </row>
    <row r="13" spans="1:97">
      <c r="A13" s="9">
        <v>46246</v>
      </c>
      <c r="B13">
        <v>2868.3</v>
      </c>
      <c r="C13">
        <v>2910.4</v>
      </c>
      <c r="D13">
        <v>2918.4</v>
      </c>
      <c r="E13">
        <v>2917.5</v>
      </c>
      <c r="F13">
        <v>2912.7</v>
      </c>
      <c r="G13">
        <v>2928.3</v>
      </c>
      <c r="H13">
        <v>2927.6</v>
      </c>
      <c r="I13">
        <v>2920.5</v>
      </c>
      <c r="J13">
        <v>2919.8</v>
      </c>
      <c r="K13">
        <v>2891.6</v>
      </c>
      <c r="L13">
        <v>2880.5</v>
      </c>
      <c r="M13">
        <v>2859.6</v>
      </c>
      <c r="N13">
        <v>2877.2</v>
      </c>
      <c r="O13">
        <v>2883.2</v>
      </c>
      <c r="P13">
        <v>2891.1</v>
      </c>
      <c r="Q13">
        <v>2907.8</v>
      </c>
      <c r="R13">
        <v>2916</v>
      </c>
      <c r="S13">
        <v>2931</v>
      </c>
      <c r="T13">
        <v>2940.6</v>
      </c>
      <c r="U13">
        <v>2909.7</v>
      </c>
      <c r="V13">
        <v>2930.4</v>
      </c>
      <c r="W13">
        <v>2923.9</v>
      </c>
      <c r="X13">
        <v>2949.4</v>
      </c>
      <c r="Y13">
        <v>2978.9</v>
      </c>
      <c r="Z13">
        <v>2961.1</v>
      </c>
      <c r="AA13">
        <v>2990.4</v>
      </c>
      <c r="AB13">
        <v>2995.3</v>
      </c>
      <c r="AC13">
        <v>2985.7</v>
      </c>
      <c r="AD13">
        <v>2986.2</v>
      </c>
      <c r="AE13">
        <v>2988.2</v>
      </c>
      <c r="AF13">
        <v>2974.2</v>
      </c>
      <c r="AG13">
        <v>3011.6</v>
      </c>
      <c r="AH13">
        <v>2959</v>
      </c>
      <c r="AI13">
        <v>2948.5</v>
      </c>
      <c r="AJ13">
        <v>2896.5</v>
      </c>
      <c r="AK13">
        <v>2919.6</v>
      </c>
      <c r="AL13">
        <v>2914</v>
      </c>
      <c r="AM13">
        <v>2937.6</v>
      </c>
      <c r="AN13">
        <v>2957.3</v>
      </c>
      <c r="AO13">
        <v>2953.6</v>
      </c>
      <c r="AP13">
        <v>2953.1</v>
      </c>
      <c r="AQ13">
        <v>2942.3</v>
      </c>
      <c r="AR13">
        <v>2955.7</v>
      </c>
      <c r="AS13">
        <v>2958.1</v>
      </c>
      <c r="AT13">
        <v>2944.2</v>
      </c>
      <c r="AU13">
        <v>2925.9</v>
      </c>
      <c r="AV13">
        <v>2925.4</v>
      </c>
      <c r="AW13">
        <v>2934</v>
      </c>
      <c r="AX13">
        <v>2934</v>
      </c>
      <c r="AY13">
        <v>2940.2</v>
      </c>
      <c r="AZ13">
        <v>2935.8</v>
      </c>
      <c r="BA13">
        <v>2929.8</v>
      </c>
      <c r="BB13">
        <v>2932.7</v>
      </c>
      <c r="BC13">
        <v>2918.5</v>
      </c>
      <c r="BD13">
        <v>2904.5</v>
      </c>
      <c r="BE13">
        <v>2922.9</v>
      </c>
      <c r="BF13">
        <v>2936.2</v>
      </c>
      <c r="BG13">
        <v>2940.8</v>
      </c>
      <c r="BH13">
        <v>2940.5</v>
      </c>
      <c r="BI13">
        <v>2948.1</v>
      </c>
      <c r="BJ13">
        <v>2972.8</v>
      </c>
      <c r="BK13">
        <v>2988.2</v>
      </c>
      <c r="BL13">
        <v>2985</v>
      </c>
      <c r="BM13">
        <v>2963.5</v>
      </c>
      <c r="BN13">
        <v>2961.7</v>
      </c>
      <c r="BO13">
        <v>2946.4</v>
      </c>
      <c r="BP13">
        <v>2934.1</v>
      </c>
      <c r="BQ13">
        <v>2920.9</v>
      </c>
      <c r="BR13">
        <v>2913.2</v>
      </c>
      <c r="BS13">
        <v>2929.9</v>
      </c>
      <c r="BT13">
        <v>2944.9</v>
      </c>
      <c r="BU13">
        <v>2956.2</v>
      </c>
      <c r="BV13">
        <v>2948</v>
      </c>
      <c r="BW13">
        <v>2965.6</v>
      </c>
      <c r="BX13">
        <v>2959.3</v>
      </c>
      <c r="BY13">
        <v>2957.9</v>
      </c>
      <c r="BZ13">
        <v>2943</v>
      </c>
      <c r="CA13">
        <v>2917.8</v>
      </c>
      <c r="CB13">
        <v>2918.7</v>
      </c>
      <c r="CC13">
        <v>2940.3</v>
      </c>
      <c r="CD13">
        <v>2939</v>
      </c>
      <c r="CE13">
        <v>2934.3</v>
      </c>
      <c r="CF13">
        <v>2957.2</v>
      </c>
      <c r="CG13">
        <v>2945.8</v>
      </c>
      <c r="CH13">
        <v>2955.5</v>
      </c>
      <c r="CI13">
        <v>2969</v>
      </c>
      <c r="CJ13">
        <v>2958.6</v>
      </c>
      <c r="CK13">
        <v>2965.3</v>
      </c>
      <c r="CL13">
        <v>2958.3</v>
      </c>
      <c r="CM13">
        <v>2957.4</v>
      </c>
      <c r="CN13">
        <v>2964.3</v>
      </c>
      <c r="CO13">
        <v>2982.5</v>
      </c>
      <c r="CP13">
        <v>2963.3</v>
      </c>
      <c r="CQ13">
        <v>2966.7</v>
      </c>
      <c r="CR13">
        <v>2991.9</v>
      </c>
      <c r="CS13">
        <v>3014</v>
      </c>
    </row>
    <row r="14" spans="1:97">
      <c r="A14" s="9">
        <v>46247</v>
      </c>
      <c r="B14">
        <v>3025.8</v>
      </c>
      <c r="C14">
        <v>3028.6</v>
      </c>
      <c r="D14">
        <v>3020.4</v>
      </c>
      <c r="E14">
        <v>3024.2</v>
      </c>
      <c r="F14">
        <v>3012.9</v>
      </c>
      <c r="G14">
        <v>3030.7</v>
      </c>
      <c r="H14">
        <v>3019</v>
      </c>
      <c r="I14">
        <v>3021.1</v>
      </c>
      <c r="J14">
        <v>3007.8</v>
      </c>
      <c r="K14">
        <v>3020.3</v>
      </c>
      <c r="L14">
        <v>3007.8</v>
      </c>
      <c r="M14">
        <v>2984.5</v>
      </c>
      <c r="N14">
        <v>2985.5</v>
      </c>
      <c r="O14">
        <v>2993.7</v>
      </c>
      <c r="P14">
        <v>2971</v>
      </c>
      <c r="Q14">
        <v>2947</v>
      </c>
      <c r="R14">
        <v>2948.7</v>
      </c>
      <c r="S14">
        <v>2956.9</v>
      </c>
      <c r="T14">
        <v>2942.7</v>
      </c>
      <c r="U14">
        <v>2984.2</v>
      </c>
      <c r="V14">
        <v>2997.1</v>
      </c>
      <c r="W14">
        <v>3031.2</v>
      </c>
      <c r="X14">
        <v>3055</v>
      </c>
      <c r="Y14">
        <v>3067.2</v>
      </c>
      <c r="Z14">
        <v>3075.8</v>
      </c>
      <c r="AA14">
        <v>3062.3</v>
      </c>
      <c r="AB14">
        <v>3023.6</v>
      </c>
      <c r="AC14">
        <v>3035.2</v>
      </c>
      <c r="AD14">
        <v>3014.3</v>
      </c>
      <c r="AE14">
        <v>3002.1</v>
      </c>
      <c r="AF14">
        <v>3002.9</v>
      </c>
      <c r="AG14">
        <v>3042</v>
      </c>
      <c r="AH14">
        <v>3039.3</v>
      </c>
      <c r="AI14">
        <v>3034.8</v>
      </c>
      <c r="AJ14">
        <v>3036.5</v>
      </c>
      <c r="AK14">
        <v>3044</v>
      </c>
      <c r="AL14">
        <v>3063.3</v>
      </c>
      <c r="AM14">
        <v>3065.1</v>
      </c>
      <c r="AN14">
        <v>3066</v>
      </c>
      <c r="AO14">
        <v>3089.3</v>
      </c>
      <c r="AP14">
        <v>3094.9</v>
      </c>
      <c r="AQ14">
        <v>3084</v>
      </c>
      <c r="AR14">
        <v>3089.6</v>
      </c>
      <c r="AS14">
        <v>3067.5</v>
      </c>
      <c r="AT14">
        <v>3060.2</v>
      </c>
      <c r="AU14">
        <v>3061.4</v>
      </c>
      <c r="AV14">
        <v>3055.1</v>
      </c>
      <c r="AW14">
        <v>3052.4</v>
      </c>
      <c r="AX14">
        <v>3022.9</v>
      </c>
      <c r="AY14">
        <v>3011.8</v>
      </c>
      <c r="AZ14">
        <v>2920.2</v>
      </c>
      <c r="BA14">
        <v>2885</v>
      </c>
      <c r="BB14">
        <v>2871.1</v>
      </c>
      <c r="BC14">
        <v>2867.8</v>
      </c>
      <c r="BD14">
        <v>2852.9</v>
      </c>
      <c r="BE14">
        <v>2843.9</v>
      </c>
      <c r="BF14">
        <v>2845.1</v>
      </c>
      <c r="BG14">
        <v>2844.2</v>
      </c>
      <c r="BH14">
        <v>2837</v>
      </c>
      <c r="BI14">
        <v>2864.6</v>
      </c>
      <c r="BJ14">
        <v>2864.1</v>
      </c>
      <c r="BK14">
        <v>2869</v>
      </c>
      <c r="BL14">
        <v>2863.3</v>
      </c>
      <c r="BM14">
        <v>2871.9</v>
      </c>
      <c r="BN14">
        <v>2884.3</v>
      </c>
      <c r="BO14">
        <v>2890.4</v>
      </c>
      <c r="BP14">
        <v>2888.9</v>
      </c>
      <c r="BQ14">
        <v>2875.5</v>
      </c>
      <c r="BR14">
        <v>2902.3</v>
      </c>
      <c r="BS14">
        <v>2898.1</v>
      </c>
      <c r="BT14">
        <v>2897.5</v>
      </c>
      <c r="BU14">
        <v>2901.4</v>
      </c>
      <c r="BV14">
        <v>2877.5</v>
      </c>
      <c r="BW14">
        <v>2860.2</v>
      </c>
      <c r="BX14">
        <v>2836.7</v>
      </c>
      <c r="BY14">
        <v>2834.2</v>
      </c>
      <c r="BZ14">
        <v>2856.3</v>
      </c>
      <c r="CA14">
        <v>2868.9</v>
      </c>
      <c r="CB14">
        <v>2891.1</v>
      </c>
      <c r="CC14">
        <v>2885.2</v>
      </c>
      <c r="CD14">
        <v>2873.8</v>
      </c>
      <c r="CE14">
        <v>2853.4</v>
      </c>
      <c r="CF14">
        <v>2888</v>
      </c>
      <c r="CG14">
        <v>2902.9</v>
      </c>
      <c r="CH14">
        <v>2938.3</v>
      </c>
      <c r="CI14">
        <v>2963.7</v>
      </c>
      <c r="CJ14">
        <v>2954.5</v>
      </c>
      <c r="CK14">
        <v>2950.1</v>
      </c>
      <c r="CL14">
        <v>2945</v>
      </c>
      <c r="CM14">
        <v>2945.9</v>
      </c>
      <c r="CN14">
        <v>2930.6</v>
      </c>
      <c r="CO14">
        <v>2922.2</v>
      </c>
      <c r="CP14">
        <v>2921.4</v>
      </c>
      <c r="CQ14">
        <v>2900.7</v>
      </c>
      <c r="CR14">
        <v>2911.9</v>
      </c>
      <c r="CS14">
        <v>2926.8</v>
      </c>
    </row>
    <row r="15" spans="1:97">
      <c r="A15" s="9">
        <v>46248</v>
      </c>
      <c r="B15">
        <v>2921.6</v>
      </c>
      <c r="C15">
        <v>2928.6</v>
      </c>
      <c r="D15">
        <v>2929.3</v>
      </c>
      <c r="E15">
        <v>2942.7</v>
      </c>
      <c r="F15">
        <v>2956.5</v>
      </c>
      <c r="G15">
        <v>2970.8</v>
      </c>
      <c r="H15">
        <v>2977</v>
      </c>
      <c r="I15">
        <v>2979</v>
      </c>
      <c r="J15">
        <v>3033.5</v>
      </c>
      <c r="K15">
        <v>3018.3</v>
      </c>
      <c r="L15">
        <v>3042.1</v>
      </c>
      <c r="M15">
        <v>3027.1</v>
      </c>
      <c r="N15">
        <v>3016.8</v>
      </c>
      <c r="O15">
        <v>3012.5</v>
      </c>
      <c r="P15">
        <v>3000</v>
      </c>
      <c r="Q15">
        <v>3020</v>
      </c>
      <c r="R15">
        <v>3012.1</v>
      </c>
      <c r="S15">
        <v>3022.1</v>
      </c>
      <c r="T15">
        <v>3011.6</v>
      </c>
      <c r="U15">
        <v>3046.7</v>
      </c>
      <c r="V15">
        <v>3075.7</v>
      </c>
      <c r="W15">
        <v>3124.4</v>
      </c>
      <c r="X15">
        <v>3133.8</v>
      </c>
      <c r="Y15">
        <v>3158.3</v>
      </c>
      <c r="Z15">
        <v>3150.1</v>
      </c>
      <c r="AA15">
        <v>3156.6</v>
      </c>
      <c r="AB15">
        <v>3155.4</v>
      </c>
      <c r="AC15">
        <v>3146.4</v>
      </c>
      <c r="AD15">
        <v>3164.2</v>
      </c>
      <c r="AE15">
        <v>3179.9</v>
      </c>
      <c r="AF15">
        <v>3135.3</v>
      </c>
      <c r="AG15">
        <v>3097.7</v>
      </c>
      <c r="AH15">
        <v>3059.1</v>
      </c>
      <c r="AI15">
        <v>3042.2</v>
      </c>
      <c r="AJ15">
        <v>3064.5</v>
      </c>
      <c r="AK15">
        <v>3096.3</v>
      </c>
      <c r="AL15">
        <v>3101.6</v>
      </c>
      <c r="AM15">
        <v>3145.4</v>
      </c>
      <c r="AN15">
        <v>3130</v>
      </c>
      <c r="AO15">
        <v>3110.5</v>
      </c>
      <c r="AP15">
        <v>3149.1</v>
      </c>
      <c r="AQ15">
        <v>3117.7</v>
      </c>
      <c r="AR15">
        <v>3134.9</v>
      </c>
      <c r="AS15">
        <v>3157.1</v>
      </c>
      <c r="AT15">
        <v>3141.2</v>
      </c>
      <c r="AU15">
        <v>3147.1</v>
      </c>
      <c r="AV15">
        <v>3138.4</v>
      </c>
      <c r="AW15">
        <v>3147.4</v>
      </c>
      <c r="AX15">
        <v>3147.2</v>
      </c>
      <c r="AY15">
        <v>3154.2</v>
      </c>
      <c r="AZ15">
        <v>3129.8</v>
      </c>
      <c r="BA15">
        <v>3138.9</v>
      </c>
      <c r="BB15">
        <v>3126.6</v>
      </c>
      <c r="BC15">
        <v>3135.6</v>
      </c>
      <c r="BD15">
        <v>3143.7</v>
      </c>
      <c r="BE15">
        <v>3135.2</v>
      </c>
      <c r="BF15">
        <v>3124.7</v>
      </c>
      <c r="BG15">
        <v>3142.9</v>
      </c>
      <c r="BH15">
        <v>3114.8</v>
      </c>
      <c r="BI15">
        <v>3127.8</v>
      </c>
      <c r="BJ15">
        <v>3118.8</v>
      </c>
      <c r="BK15">
        <v>3103.9</v>
      </c>
      <c r="BL15">
        <v>3075.4</v>
      </c>
      <c r="BM15">
        <v>3081.1</v>
      </c>
      <c r="BN15">
        <v>3036.6</v>
      </c>
      <c r="BO15">
        <v>3021.1</v>
      </c>
      <c r="BP15">
        <v>3041.3</v>
      </c>
      <c r="BQ15">
        <v>3025.3</v>
      </c>
      <c r="BR15">
        <v>3026.6</v>
      </c>
      <c r="BS15">
        <v>3014.1</v>
      </c>
      <c r="BT15">
        <v>3078.2</v>
      </c>
      <c r="BU15">
        <v>3081.6</v>
      </c>
      <c r="BV15">
        <v>3102.3</v>
      </c>
      <c r="BW15">
        <v>3129.3</v>
      </c>
      <c r="BX15">
        <v>3120.4</v>
      </c>
      <c r="BY15">
        <v>3135.5</v>
      </c>
      <c r="BZ15">
        <v>3149.2</v>
      </c>
      <c r="CA15">
        <v>3153</v>
      </c>
      <c r="CB15">
        <v>3149.2</v>
      </c>
      <c r="CC15">
        <v>3139.3</v>
      </c>
      <c r="CD15">
        <v>3132.2</v>
      </c>
      <c r="CE15">
        <v>3143.7</v>
      </c>
      <c r="CF15">
        <v>3146.9</v>
      </c>
      <c r="CG15">
        <v>3128.4</v>
      </c>
      <c r="CH15">
        <v>3118.3</v>
      </c>
      <c r="CI15">
        <v>3120.7</v>
      </c>
      <c r="CJ15">
        <v>3127.9</v>
      </c>
      <c r="CK15">
        <v>3106.7</v>
      </c>
      <c r="CL15">
        <v>3120.3</v>
      </c>
      <c r="CM15">
        <v>3134.2</v>
      </c>
      <c r="CN15">
        <v>3134.6</v>
      </c>
      <c r="CO15">
        <v>3130.6</v>
      </c>
      <c r="CP15">
        <v>3103.5</v>
      </c>
      <c r="CQ15">
        <v>3083.5</v>
      </c>
      <c r="CR15">
        <v>3048.2</v>
      </c>
      <c r="CS15">
        <v>3071.8</v>
      </c>
    </row>
    <row r="16" spans="1:97">
      <c r="A16" s="9">
        <v>46249</v>
      </c>
      <c r="B16">
        <v>3098.5</v>
      </c>
      <c r="C16">
        <v>3087</v>
      </c>
      <c r="D16">
        <v>3095.2</v>
      </c>
      <c r="E16">
        <v>3097.1</v>
      </c>
      <c r="F16">
        <v>3068.5</v>
      </c>
      <c r="G16">
        <v>3071.5</v>
      </c>
      <c r="H16">
        <v>3109.8</v>
      </c>
      <c r="I16">
        <v>3125.5</v>
      </c>
      <c r="J16">
        <v>3125.4</v>
      </c>
      <c r="K16">
        <v>3160.6</v>
      </c>
      <c r="L16">
        <v>3188.1</v>
      </c>
      <c r="M16">
        <v>3235</v>
      </c>
      <c r="N16">
        <v>3232.9</v>
      </c>
      <c r="O16">
        <v>3263</v>
      </c>
      <c r="P16">
        <v>3262.9</v>
      </c>
      <c r="Q16">
        <v>3267</v>
      </c>
      <c r="R16">
        <v>3258</v>
      </c>
      <c r="S16">
        <v>3245.1</v>
      </c>
      <c r="T16">
        <v>3248.8</v>
      </c>
      <c r="U16">
        <v>3249.9</v>
      </c>
      <c r="V16">
        <v>3253.8</v>
      </c>
      <c r="W16">
        <v>3308</v>
      </c>
      <c r="X16">
        <v>3301.6</v>
      </c>
      <c r="Y16">
        <v>3290.9</v>
      </c>
      <c r="Z16">
        <v>3278.2</v>
      </c>
      <c r="AA16">
        <v>3285.2</v>
      </c>
      <c r="AB16">
        <v>3291.2</v>
      </c>
      <c r="AC16">
        <v>3274.7</v>
      </c>
      <c r="AD16">
        <v>3258.9</v>
      </c>
      <c r="AE16">
        <v>3277.7</v>
      </c>
      <c r="AF16">
        <v>3261.2</v>
      </c>
      <c r="AG16">
        <v>3272.2</v>
      </c>
      <c r="AH16">
        <v>3281.3</v>
      </c>
      <c r="AI16">
        <v>3298.1</v>
      </c>
      <c r="AJ16">
        <v>3236</v>
      </c>
      <c r="AK16">
        <v>3193.4</v>
      </c>
      <c r="AL16">
        <v>3190.1</v>
      </c>
      <c r="AM16">
        <v>3189.7</v>
      </c>
      <c r="AN16">
        <v>3178.6</v>
      </c>
      <c r="AO16">
        <v>3167.7</v>
      </c>
      <c r="AP16">
        <v>3150.2</v>
      </c>
      <c r="AQ16">
        <v>3177.1</v>
      </c>
      <c r="AR16">
        <v>3160.9</v>
      </c>
      <c r="AS16">
        <v>3148.3</v>
      </c>
      <c r="AT16">
        <v>3177</v>
      </c>
      <c r="AU16">
        <v>3200.3</v>
      </c>
      <c r="AV16">
        <v>3209.3</v>
      </c>
      <c r="AW16">
        <v>3190.9</v>
      </c>
      <c r="AX16">
        <v>3199.3</v>
      </c>
      <c r="AY16">
        <v>3204.5</v>
      </c>
      <c r="AZ16">
        <v>3204.6</v>
      </c>
      <c r="BA16">
        <v>3203.2</v>
      </c>
      <c r="BB16">
        <v>3197.5</v>
      </c>
      <c r="BC16">
        <v>3200.7</v>
      </c>
      <c r="BD16">
        <v>3217.5</v>
      </c>
      <c r="BE16">
        <v>3201.5</v>
      </c>
      <c r="BF16">
        <v>3212.6</v>
      </c>
      <c r="BG16">
        <v>3203.7</v>
      </c>
      <c r="BH16">
        <v>3206.9</v>
      </c>
      <c r="BI16">
        <v>3178.7</v>
      </c>
      <c r="BJ16">
        <v>3180.8</v>
      </c>
      <c r="BK16">
        <v>3171.4</v>
      </c>
      <c r="BL16">
        <v>3172.6</v>
      </c>
      <c r="BM16">
        <v>3137.8</v>
      </c>
      <c r="BN16">
        <v>3139.5</v>
      </c>
      <c r="BO16">
        <v>3158.5</v>
      </c>
      <c r="BP16">
        <v>3184.6</v>
      </c>
      <c r="BQ16">
        <v>3189.9</v>
      </c>
      <c r="BR16">
        <v>3226.5</v>
      </c>
      <c r="BS16">
        <v>3242.8</v>
      </c>
      <c r="BT16">
        <v>3243.8</v>
      </c>
      <c r="BU16">
        <v>3243.8</v>
      </c>
      <c r="BV16">
        <v>3243.7</v>
      </c>
      <c r="BW16">
        <v>3264.4</v>
      </c>
      <c r="BX16">
        <v>3265.2</v>
      </c>
      <c r="BY16">
        <v>3278.8</v>
      </c>
      <c r="BZ16">
        <v>3273.6</v>
      </c>
      <c r="CA16">
        <v>3211.8</v>
      </c>
      <c r="CB16">
        <v>3230.3</v>
      </c>
      <c r="CC16">
        <v>3226.4</v>
      </c>
      <c r="CD16">
        <v>3196.8</v>
      </c>
      <c r="CE16">
        <v>3192.6</v>
      </c>
      <c r="CF16">
        <v>3150.4</v>
      </c>
      <c r="CG16">
        <v>3190.6</v>
      </c>
      <c r="CH16">
        <v>3179.1</v>
      </c>
      <c r="CI16">
        <v>3165.3</v>
      </c>
      <c r="CJ16">
        <v>3194.2</v>
      </c>
      <c r="CK16">
        <v>3205.1</v>
      </c>
      <c r="CL16">
        <v>3223.9</v>
      </c>
      <c r="CM16">
        <v>3293.5</v>
      </c>
      <c r="CN16">
        <v>3279.3</v>
      </c>
      <c r="CO16">
        <v>3290.9</v>
      </c>
      <c r="CP16">
        <v>3283.9</v>
      </c>
      <c r="CQ16">
        <v>3249.5</v>
      </c>
      <c r="CR16">
        <v>3241.2</v>
      </c>
      <c r="CS16">
        <v>3226.8</v>
      </c>
    </row>
    <row r="17" spans="1:97">
      <c r="A17" s="9">
        <v>46250</v>
      </c>
      <c r="B17">
        <v>3188.6</v>
      </c>
      <c r="C17">
        <v>3131.4</v>
      </c>
      <c r="D17">
        <v>3160.7</v>
      </c>
      <c r="E17">
        <v>3191.3</v>
      </c>
      <c r="F17">
        <v>3178</v>
      </c>
      <c r="G17">
        <v>3221.1</v>
      </c>
      <c r="H17">
        <v>3228.3</v>
      </c>
      <c r="I17">
        <v>3208.2</v>
      </c>
      <c r="J17">
        <v>3182.5</v>
      </c>
      <c r="K17">
        <v>3178.2</v>
      </c>
      <c r="L17">
        <v>3185.2</v>
      </c>
      <c r="M17">
        <v>3184.4</v>
      </c>
      <c r="N17">
        <v>3169.4</v>
      </c>
      <c r="O17">
        <v>3189</v>
      </c>
      <c r="P17">
        <v>3202.8</v>
      </c>
      <c r="Q17">
        <v>3190.4</v>
      </c>
      <c r="R17">
        <v>3180.1</v>
      </c>
      <c r="S17">
        <v>3218.1</v>
      </c>
      <c r="T17">
        <v>3248.3</v>
      </c>
      <c r="U17">
        <v>3265.2</v>
      </c>
      <c r="V17">
        <v>3261.1</v>
      </c>
      <c r="W17">
        <v>3236.6</v>
      </c>
      <c r="X17">
        <v>3244.8</v>
      </c>
      <c r="Y17">
        <v>3259.9</v>
      </c>
      <c r="Z17">
        <v>3272.8</v>
      </c>
      <c r="AA17">
        <v>3284.7</v>
      </c>
      <c r="AB17">
        <v>3290.1</v>
      </c>
      <c r="AC17">
        <v>3234</v>
      </c>
      <c r="AD17">
        <v>3187.4</v>
      </c>
      <c r="AE17">
        <v>3131.3</v>
      </c>
      <c r="AF17">
        <v>3137.7</v>
      </c>
      <c r="AG17">
        <v>3101.7</v>
      </c>
      <c r="AH17">
        <v>3089.4</v>
      </c>
      <c r="AI17">
        <v>3083.3</v>
      </c>
      <c r="AJ17">
        <v>3093.6</v>
      </c>
      <c r="AK17">
        <v>3099</v>
      </c>
      <c r="AL17">
        <v>3062.6</v>
      </c>
      <c r="AM17">
        <v>3077.4</v>
      </c>
      <c r="AN17">
        <v>3083.3</v>
      </c>
      <c r="AO17">
        <v>3060.9</v>
      </c>
      <c r="AP17">
        <v>3056.9</v>
      </c>
      <c r="AQ17">
        <v>3054.3</v>
      </c>
      <c r="AR17">
        <v>3038</v>
      </c>
      <c r="AS17">
        <v>3044.1</v>
      </c>
      <c r="AT17">
        <v>3091.9</v>
      </c>
      <c r="AU17">
        <v>3106</v>
      </c>
      <c r="AV17">
        <v>3133</v>
      </c>
      <c r="AW17">
        <v>3146.8</v>
      </c>
      <c r="AX17">
        <v>3131.9</v>
      </c>
      <c r="AY17">
        <v>3156.6</v>
      </c>
      <c r="AZ17">
        <v>3167.8</v>
      </c>
      <c r="BA17">
        <v>3218.8</v>
      </c>
      <c r="BB17">
        <v>3248.2</v>
      </c>
      <c r="BC17">
        <v>3264.9</v>
      </c>
      <c r="BD17">
        <v>3280.1</v>
      </c>
      <c r="BE17">
        <v>3254.8</v>
      </c>
      <c r="BF17">
        <v>3223.8</v>
      </c>
      <c r="BG17">
        <v>3239.4</v>
      </c>
      <c r="BH17">
        <v>3221.3</v>
      </c>
      <c r="BI17">
        <v>3190.9</v>
      </c>
      <c r="BJ17">
        <v>3207</v>
      </c>
      <c r="BK17">
        <v>3212.6</v>
      </c>
      <c r="BL17">
        <v>3220.1</v>
      </c>
      <c r="BM17">
        <v>3209.2</v>
      </c>
      <c r="BN17">
        <v>3182.5</v>
      </c>
      <c r="BO17">
        <v>3183.4</v>
      </c>
      <c r="BP17">
        <v>3186.6</v>
      </c>
      <c r="BQ17">
        <v>3185.8</v>
      </c>
      <c r="BR17">
        <v>3197.8</v>
      </c>
      <c r="BS17">
        <v>3218</v>
      </c>
      <c r="BT17">
        <v>3199.4</v>
      </c>
      <c r="BU17">
        <v>3200.5</v>
      </c>
      <c r="BV17">
        <v>3201.9</v>
      </c>
      <c r="BW17">
        <v>3222.8</v>
      </c>
      <c r="BX17">
        <v>3218.5</v>
      </c>
      <c r="BY17">
        <v>3240.7</v>
      </c>
      <c r="BZ17">
        <v>3263.3</v>
      </c>
      <c r="CA17">
        <v>3255.1</v>
      </c>
      <c r="CB17">
        <v>3241.6</v>
      </c>
      <c r="CC17">
        <v>3219.4</v>
      </c>
      <c r="CD17">
        <v>3237.2</v>
      </c>
      <c r="CE17">
        <v>3226.4</v>
      </c>
      <c r="CF17">
        <v>3249.7</v>
      </c>
      <c r="CG17">
        <v>3235.4</v>
      </c>
      <c r="CH17">
        <v>3247.7</v>
      </c>
      <c r="CI17">
        <v>3255.2</v>
      </c>
      <c r="CJ17">
        <v>3252.1</v>
      </c>
      <c r="CK17">
        <v>3273.5</v>
      </c>
      <c r="CL17">
        <v>3292.7</v>
      </c>
      <c r="CM17">
        <v>3291.2</v>
      </c>
      <c r="CN17">
        <v>3285.6</v>
      </c>
      <c r="CO17">
        <v>3285.7</v>
      </c>
      <c r="CP17">
        <v>3281.4</v>
      </c>
      <c r="CQ17">
        <v>3279</v>
      </c>
      <c r="CR17">
        <v>3261.6</v>
      </c>
      <c r="CS17">
        <v>3268.7</v>
      </c>
    </row>
    <row r="18" spans="1:97">
      <c r="A18" s="9">
        <v>46251</v>
      </c>
      <c r="B18">
        <v>3254.8</v>
      </c>
      <c r="C18">
        <v>3259.8</v>
      </c>
      <c r="D18">
        <v>3273.4</v>
      </c>
      <c r="E18">
        <v>3239.7</v>
      </c>
      <c r="F18">
        <v>3256.1</v>
      </c>
      <c r="G18">
        <v>3248.3</v>
      </c>
      <c r="H18">
        <v>3247.1</v>
      </c>
      <c r="I18">
        <v>3251.4</v>
      </c>
      <c r="J18">
        <v>3246.6</v>
      </c>
      <c r="K18">
        <v>3236.9</v>
      </c>
      <c r="L18">
        <v>3256</v>
      </c>
      <c r="M18">
        <v>3281.4</v>
      </c>
      <c r="N18">
        <v>3259</v>
      </c>
      <c r="O18">
        <v>3230.7</v>
      </c>
      <c r="P18">
        <v>3246.4</v>
      </c>
      <c r="Q18">
        <v>3266.1</v>
      </c>
      <c r="R18">
        <v>3261</v>
      </c>
      <c r="S18">
        <v>3230.2</v>
      </c>
      <c r="T18">
        <v>3255.8</v>
      </c>
      <c r="U18">
        <v>3278.9</v>
      </c>
      <c r="V18">
        <v>3284.1</v>
      </c>
      <c r="W18">
        <v>3280.6</v>
      </c>
      <c r="X18">
        <v>3284</v>
      </c>
      <c r="Y18">
        <v>3262.6</v>
      </c>
      <c r="Z18">
        <v>3282.5</v>
      </c>
      <c r="AA18">
        <v>3285.3</v>
      </c>
      <c r="AB18">
        <v>3289.8</v>
      </c>
      <c r="AC18">
        <v>3286.1</v>
      </c>
      <c r="AD18">
        <v>3268.8</v>
      </c>
      <c r="AE18">
        <v>3270.8</v>
      </c>
      <c r="AF18">
        <v>3302.9</v>
      </c>
      <c r="AG18">
        <v>3283.8</v>
      </c>
      <c r="AH18">
        <v>3299.5</v>
      </c>
      <c r="AI18">
        <v>3300.3</v>
      </c>
      <c r="AJ18">
        <v>3313.5</v>
      </c>
      <c r="AK18">
        <v>3322.8</v>
      </c>
      <c r="AL18">
        <v>3333.3</v>
      </c>
      <c r="AM18">
        <v>3317.4</v>
      </c>
      <c r="AN18">
        <v>3285</v>
      </c>
      <c r="AO18">
        <v>3277.4</v>
      </c>
      <c r="AP18">
        <v>3288.8</v>
      </c>
      <c r="AQ18">
        <v>3272</v>
      </c>
      <c r="AR18">
        <v>3263.6</v>
      </c>
      <c r="AS18">
        <v>3260.8</v>
      </c>
      <c r="AT18">
        <v>3271.7</v>
      </c>
      <c r="AU18">
        <v>3278.9</v>
      </c>
      <c r="AV18">
        <v>3261.6</v>
      </c>
      <c r="AW18">
        <v>3238.1</v>
      </c>
      <c r="AX18">
        <v>3236.1</v>
      </c>
      <c r="AY18">
        <v>3222.4</v>
      </c>
      <c r="AZ18">
        <v>3245.7</v>
      </c>
      <c r="BA18">
        <v>3253.3</v>
      </c>
      <c r="BB18">
        <v>3245.8</v>
      </c>
      <c r="BC18">
        <v>3267.5</v>
      </c>
      <c r="BD18">
        <v>3269.1</v>
      </c>
      <c r="BE18">
        <v>3283.5</v>
      </c>
      <c r="BF18">
        <v>3296.4</v>
      </c>
      <c r="BG18">
        <v>3306.4</v>
      </c>
      <c r="BH18">
        <v>3318.3</v>
      </c>
      <c r="BI18">
        <v>3320.4</v>
      </c>
      <c r="BJ18">
        <v>3300.6</v>
      </c>
      <c r="BK18">
        <v>3295.6</v>
      </c>
      <c r="BL18">
        <v>3303</v>
      </c>
      <c r="BM18">
        <v>3308.7</v>
      </c>
      <c r="BN18">
        <v>3288.3</v>
      </c>
      <c r="BO18">
        <v>3301.3</v>
      </c>
      <c r="BP18">
        <v>3283.4</v>
      </c>
      <c r="BQ18">
        <v>3281.1</v>
      </c>
      <c r="BR18">
        <v>3264.4</v>
      </c>
      <c r="BS18">
        <v>3269.8</v>
      </c>
      <c r="BT18">
        <v>3281.8</v>
      </c>
      <c r="BU18">
        <v>3296</v>
      </c>
      <c r="BV18">
        <v>3296.6</v>
      </c>
      <c r="BW18">
        <v>3302.8</v>
      </c>
      <c r="BX18">
        <v>3304.7</v>
      </c>
      <c r="BY18">
        <v>3314.5</v>
      </c>
      <c r="BZ18">
        <v>3303</v>
      </c>
      <c r="CA18">
        <v>3304.7</v>
      </c>
      <c r="CB18">
        <v>3292.1</v>
      </c>
      <c r="CC18">
        <v>3316</v>
      </c>
      <c r="CD18">
        <v>3320.8</v>
      </c>
      <c r="CE18">
        <v>3294.8</v>
      </c>
      <c r="CF18">
        <v>3293.4</v>
      </c>
      <c r="CG18">
        <v>3315.9</v>
      </c>
      <c r="CH18">
        <v>3303.9</v>
      </c>
      <c r="CI18">
        <v>3314.5</v>
      </c>
      <c r="CJ18">
        <v>3301.7</v>
      </c>
      <c r="CK18">
        <v>3287.4</v>
      </c>
      <c r="CL18">
        <v>3275.5</v>
      </c>
      <c r="CM18">
        <v>3251.3</v>
      </c>
      <c r="CN18">
        <v>3271.4</v>
      </c>
      <c r="CO18">
        <v>3269.6</v>
      </c>
      <c r="CP18">
        <v>3268.3</v>
      </c>
      <c r="CQ18">
        <v>3269.1</v>
      </c>
      <c r="CR18">
        <v>3251.4</v>
      </c>
      <c r="CS18">
        <v>3267.6</v>
      </c>
    </row>
    <row r="19" spans="1:97">
      <c r="A19" s="9">
        <v>46252</v>
      </c>
      <c r="B19">
        <v>3265.5</v>
      </c>
      <c r="C19">
        <v>3291</v>
      </c>
      <c r="D19">
        <v>3295.9</v>
      </c>
      <c r="E19">
        <v>3305.6</v>
      </c>
      <c r="F19">
        <v>3323</v>
      </c>
      <c r="G19">
        <v>3320.3</v>
      </c>
      <c r="H19">
        <v>3327.7</v>
      </c>
      <c r="I19">
        <v>3338.1</v>
      </c>
      <c r="J19">
        <v>3331.2</v>
      </c>
      <c r="K19">
        <v>3336.4</v>
      </c>
      <c r="L19">
        <v>3351.7</v>
      </c>
      <c r="M19">
        <v>3335</v>
      </c>
      <c r="N19">
        <v>3311.9</v>
      </c>
      <c r="O19">
        <v>3307.4</v>
      </c>
      <c r="P19">
        <v>3340.7</v>
      </c>
      <c r="Q19">
        <v>3337.1</v>
      </c>
      <c r="R19">
        <v>3339.5</v>
      </c>
      <c r="S19">
        <v>3344.6</v>
      </c>
      <c r="T19">
        <v>3331.4</v>
      </c>
      <c r="U19">
        <v>3335.7</v>
      </c>
      <c r="V19">
        <v>3327</v>
      </c>
      <c r="W19">
        <v>3339.3</v>
      </c>
      <c r="X19">
        <v>3336.6</v>
      </c>
      <c r="Y19">
        <v>3311.4</v>
      </c>
      <c r="Z19">
        <v>3312.9</v>
      </c>
      <c r="AA19">
        <v>3296.1</v>
      </c>
      <c r="AB19">
        <v>3309.9</v>
      </c>
      <c r="AC19">
        <v>3325.9</v>
      </c>
      <c r="AD19">
        <v>3319.6</v>
      </c>
      <c r="AE19">
        <v>3317</v>
      </c>
      <c r="AF19">
        <v>3304.9</v>
      </c>
      <c r="AG19">
        <v>3308.4</v>
      </c>
      <c r="AH19">
        <v>3283</v>
      </c>
      <c r="AI19">
        <v>3305.4</v>
      </c>
      <c r="AJ19">
        <v>3307.6</v>
      </c>
      <c r="AK19">
        <v>3295.7</v>
      </c>
      <c r="AL19">
        <v>3291.4</v>
      </c>
      <c r="AM19">
        <v>3319.8</v>
      </c>
      <c r="AN19">
        <v>3297.4</v>
      </c>
      <c r="AO19">
        <v>3287.6</v>
      </c>
      <c r="AP19">
        <v>3255.4</v>
      </c>
      <c r="AQ19">
        <v>3262.5</v>
      </c>
      <c r="AR19">
        <v>3277.1</v>
      </c>
      <c r="AS19">
        <v>3276.8</v>
      </c>
      <c r="AT19">
        <v>3275.2</v>
      </c>
      <c r="AU19">
        <v>3285.3</v>
      </c>
      <c r="AV19">
        <v>3287.4</v>
      </c>
      <c r="AW19">
        <v>3299.4</v>
      </c>
      <c r="AX19">
        <v>3295.8</v>
      </c>
      <c r="AY19">
        <v>3295.3</v>
      </c>
      <c r="AZ19">
        <v>3297.4</v>
      </c>
      <c r="BA19">
        <v>3297.8</v>
      </c>
      <c r="BB19">
        <v>3294.6</v>
      </c>
      <c r="BC19">
        <v>3272.6</v>
      </c>
      <c r="BD19">
        <v>3274.6</v>
      </c>
      <c r="BE19">
        <v>3291.6</v>
      </c>
      <c r="BF19">
        <v>3311.2</v>
      </c>
      <c r="BG19">
        <v>3291.5</v>
      </c>
      <c r="BH19">
        <v>3280.9</v>
      </c>
      <c r="BI19">
        <v>3287.6</v>
      </c>
      <c r="BJ19">
        <v>3303.6</v>
      </c>
      <c r="BK19">
        <v>3310.6</v>
      </c>
      <c r="BL19">
        <v>3288.4</v>
      </c>
      <c r="BM19">
        <v>3296.2</v>
      </c>
      <c r="BN19">
        <v>3289.8</v>
      </c>
      <c r="BO19">
        <v>3298.9</v>
      </c>
      <c r="BP19">
        <v>3288</v>
      </c>
      <c r="BQ19">
        <v>3294.8</v>
      </c>
      <c r="BR19">
        <v>3290.2</v>
      </c>
      <c r="BS19">
        <v>3284.4</v>
      </c>
      <c r="BT19">
        <v>3289.2</v>
      </c>
      <c r="BU19">
        <v>3313.1</v>
      </c>
      <c r="BV19">
        <v>3309.1</v>
      </c>
      <c r="BW19">
        <v>3304.6</v>
      </c>
      <c r="BX19">
        <v>3294.2</v>
      </c>
      <c r="BY19">
        <v>3274.9</v>
      </c>
      <c r="BZ19">
        <v>3270.4</v>
      </c>
      <c r="CA19">
        <v>3271.6</v>
      </c>
      <c r="CB19">
        <v>3271.7</v>
      </c>
      <c r="CC19">
        <v>3275.1</v>
      </c>
      <c r="CD19">
        <v>3264.7</v>
      </c>
      <c r="CE19">
        <v>3265</v>
      </c>
      <c r="CF19">
        <v>3263.1</v>
      </c>
      <c r="CG19">
        <v>3276.3</v>
      </c>
      <c r="CH19">
        <v>3287.9</v>
      </c>
      <c r="CI19">
        <v>3286.2</v>
      </c>
      <c r="CJ19">
        <v>3279.5</v>
      </c>
      <c r="CK19">
        <v>3278.2</v>
      </c>
      <c r="CL19">
        <v>3271.2</v>
      </c>
      <c r="CM19">
        <v>3287.3</v>
      </c>
      <c r="CN19">
        <v>3288.9</v>
      </c>
      <c r="CO19">
        <v>3298.3</v>
      </c>
      <c r="CP19">
        <v>3286.2</v>
      </c>
      <c r="CQ19">
        <v>3280.1</v>
      </c>
      <c r="CR19">
        <v>3284.3</v>
      </c>
      <c r="CS19">
        <v>3289.8</v>
      </c>
    </row>
    <row r="20" spans="1:97">
      <c r="A20" s="9">
        <v>46253</v>
      </c>
      <c r="B20">
        <v>3304.1</v>
      </c>
      <c r="C20">
        <v>3306.1</v>
      </c>
      <c r="D20">
        <v>3297.6</v>
      </c>
      <c r="E20">
        <v>3292.4</v>
      </c>
      <c r="F20">
        <v>3298.1</v>
      </c>
      <c r="G20">
        <v>3309.7</v>
      </c>
      <c r="H20">
        <v>3301</v>
      </c>
      <c r="I20">
        <v>3291.8</v>
      </c>
      <c r="J20">
        <v>3291.6</v>
      </c>
      <c r="K20">
        <v>3311.9</v>
      </c>
      <c r="L20">
        <v>3299.6</v>
      </c>
      <c r="M20">
        <v>3286.6</v>
      </c>
      <c r="N20">
        <v>3290</v>
      </c>
      <c r="O20">
        <v>3295.6</v>
      </c>
      <c r="P20">
        <v>3299.3</v>
      </c>
      <c r="Q20">
        <v>3292.7</v>
      </c>
      <c r="R20">
        <v>3291.8</v>
      </c>
      <c r="S20">
        <v>3288.3</v>
      </c>
      <c r="T20">
        <v>3307.8</v>
      </c>
      <c r="U20">
        <v>3299.3</v>
      </c>
      <c r="V20">
        <v>3306.4</v>
      </c>
      <c r="W20">
        <v>3317</v>
      </c>
      <c r="X20">
        <v>3311.5</v>
      </c>
      <c r="Y20">
        <v>3309.4</v>
      </c>
      <c r="Z20">
        <v>3297.5</v>
      </c>
      <c r="AA20">
        <v>3296.7</v>
      </c>
      <c r="AB20">
        <v>3299.7</v>
      </c>
      <c r="AC20">
        <v>3300.8</v>
      </c>
      <c r="AD20">
        <v>3287.5</v>
      </c>
      <c r="AE20">
        <v>3272.6</v>
      </c>
      <c r="AF20">
        <v>3294.7</v>
      </c>
      <c r="AG20">
        <v>3290.5</v>
      </c>
      <c r="AH20">
        <v>3277.9</v>
      </c>
      <c r="AI20">
        <v>3290</v>
      </c>
      <c r="AJ20">
        <v>3288</v>
      </c>
      <c r="AK20">
        <v>3279.8</v>
      </c>
      <c r="AL20">
        <v>3275.1</v>
      </c>
      <c r="AM20">
        <v>3278.6</v>
      </c>
      <c r="AN20">
        <v>3269.3</v>
      </c>
      <c r="AO20">
        <v>3269.2</v>
      </c>
      <c r="AP20">
        <v>3266.9</v>
      </c>
      <c r="AQ20">
        <v>3254.6</v>
      </c>
      <c r="AR20">
        <v>3243.3</v>
      </c>
      <c r="AS20">
        <v>3223.9</v>
      </c>
      <c r="AT20">
        <v>3211.8</v>
      </c>
      <c r="AU20">
        <v>3188.9</v>
      </c>
      <c r="AV20">
        <v>3163.7</v>
      </c>
      <c r="AW20">
        <v>3182.7</v>
      </c>
      <c r="AX20">
        <v>3195.7</v>
      </c>
      <c r="AY20">
        <v>3211.6</v>
      </c>
      <c r="AZ20">
        <v>3205</v>
      </c>
      <c r="BA20">
        <v>3220</v>
      </c>
      <c r="BB20">
        <v>3216.5</v>
      </c>
      <c r="BC20">
        <v>3212.8</v>
      </c>
      <c r="BD20">
        <v>3219.2</v>
      </c>
      <c r="BE20">
        <v>3228</v>
      </c>
      <c r="BF20">
        <v>3249.3</v>
      </c>
      <c r="BG20">
        <v>3261.2</v>
      </c>
      <c r="BH20">
        <v>3254.2</v>
      </c>
      <c r="BI20">
        <v>3255.2</v>
      </c>
      <c r="BJ20">
        <v>3262.4</v>
      </c>
      <c r="BK20">
        <v>3251.4</v>
      </c>
      <c r="BL20">
        <v>3269.8</v>
      </c>
      <c r="BM20">
        <v>3269.1</v>
      </c>
      <c r="BN20">
        <v>3257.7</v>
      </c>
      <c r="BO20">
        <v>3276.2</v>
      </c>
      <c r="BP20">
        <v>3276.5</v>
      </c>
      <c r="BQ20">
        <v>3255.3</v>
      </c>
      <c r="BR20">
        <v>3267</v>
      </c>
      <c r="BS20">
        <v>3247.1</v>
      </c>
      <c r="BT20">
        <v>3239.9</v>
      </c>
      <c r="BU20">
        <v>3250.1</v>
      </c>
      <c r="BV20">
        <v>3264</v>
      </c>
      <c r="BW20">
        <v>3257.7</v>
      </c>
      <c r="BX20">
        <v>3270.9</v>
      </c>
      <c r="BY20">
        <v>3280.7</v>
      </c>
      <c r="BZ20">
        <v>3287.4</v>
      </c>
      <c r="CA20">
        <v>3290.8</v>
      </c>
      <c r="CB20">
        <v>3281.9</v>
      </c>
      <c r="CC20">
        <v>3290.7</v>
      </c>
      <c r="CD20">
        <v>3294.1</v>
      </c>
      <c r="CE20">
        <v>3313.9</v>
      </c>
      <c r="CF20">
        <v>3310.4</v>
      </c>
      <c r="CG20">
        <v>3308.4</v>
      </c>
      <c r="CH20">
        <v>3304.6</v>
      </c>
      <c r="CI20">
        <v>3299.3</v>
      </c>
      <c r="CJ20">
        <v>3315.3</v>
      </c>
      <c r="CK20">
        <v>3316.9</v>
      </c>
      <c r="CL20">
        <v>3310.8</v>
      </c>
      <c r="CM20">
        <v>3313.4</v>
      </c>
      <c r="CN20">
        <v>3320.2</v>
      </c>
      <c r="CO20">
        <v>3313</v>
      </c>
      <c r="CP20">
        <v>3257.2</v>
      </c>
      <c r="CQ20">
        <v>3269</v>
      </c>
      <c r="CR20">
        <v>3254.4</v>
      </c>
      <c r="CS20">
        <v>3252.7</v>
      </c>
    </row>
    <row r="21" spans="1:97">
      <c r="A21" s="9">
        <v>46254</v>
      </c>
      <c r="B21">
        <v>3298</v>
      </c>
      <c r="C21">
        <v>3297</v>
      </c>
      <c r="D21">
        <v>3255.4</v>
      </c>
      <c r="E21">
        <v>3270.7</v>
      </c>
      <c r="F21">
        <v>3281.4</v>
      </c>
      <c r="G21">
        <v>3276.9</v>
      </c>
      <c r="H21">
        <v>3287.1</v>
      </c>
      <c r="I21">
        <v>3285.9</v>
      </c>
      <c r="J21">
        <v>3289.8</v>
      </c>
      <c r="K21">
        <v>3258.5</v>
      </c>
      <c r="L21">
        <v>3262.5</v>
      </c>
      <c r="M21">
        <v>3260.7</v>
      </c>
      <c r="N21">
        <v>3218.8</v>
      </c>
      <c r="O21">
        <v>3223.7</v>
      </c>
      <c r="P21">
        <v>3253.9</v>
      </c>
      <c r="Q21">
        <v>3249.9</v>
      </c>
      <c r="R21">
        <v>3269.5</v>
      </c>
      <c r="S21">
        <v>3266.6</v>
      </c>
      <c r="T21">
        <v>3255</v>
      </c>
      <c r="U21">
        <v>3247.5</v>
      </c>
      <c r="V21">
        <v>3265.8</v>
      </c>
      <c r="W21">
        <v>3283.5</v>
      </c>
      <c r="X21">
        <v>3314</v>
      </c>
      <c r="Y21">
        <v>3302.8</v>
      </c>
      <c r="Z21">
        <v>3287.7</v>
      </c>
      <c r="AA21">
        <v>3293.9</v>
      </c>
      <c r="AB21">
        <v>3288.6</v>
      </c>
      <c r="AC21">
        <v>3267.8</v>
      </c>
      <c r="AD21">
        <v>3292.4</v>
      </c>
      <c r="AE21">
        <v>3270.9</v>
      </c>
      <c r="AF21">
        <v>3252.5</v>
      </c>
      <c r="AG21">
        <v>3271.6</v>
      </c>
      <c r="AH21">
        <v>3248</v>
      </c>
      <c r="AI21">
        <v>3246.3</v>
      </c>
      <c r="AJ21">
        <v>3247.4</v>
      </c>
      <c r="AK21">
        <v>3221.6</v>
      </c>
      <c r="AL21">
        <v>3202.4</v>
      </c>
      <c r="AM21">
        <v>3187.9</v>
      </c>
      <c r="AN21">
        <v>3167.2</v>
      </c>
      <c r="AO21">
        <v>3153</v>
      </c>
      <c r="AP21">
        <v>3151.2</v>
      </c>
      <c r="AQ21">
        <v>3161.9</v>
      </c>
      <c r="AR21">
        <v>3184.4</v>
      </c>
      <c r="AS21">
        <v>3178.6</v>
      </c>
      <c r="AT21">
        <v>3186.5</v>
      </c>
      <c r="AU21">
        <v>3196.9</v>
      </c>
      <c r="AV21">
        <v>3180.7</v>
      </c>
      <c r="AW21">
        <v>3181.8</v>
      </c>
      <c r="AX21">
        <v>3188.6</v>
      </c>
      <c r="AY21">
        <v>3196.9</v>
      </c>
      <c r="AZ21">
        <v>3196.1</v>
      </c>
      <c r="BA21">
        <v>3217.5</v>
      </c>
      <c r="BB21">
        <v>3200.1</v>
      </c>
      <c r="BC21">
        <v>3209.1</v>
      </c>
      <c r="BD21">
        <v>3225.4</v>
      </c>
      <c r="BE21">
        <v>3235.2</v>
      </c>
      <c r="BF21">
        <v>3234.9</v>
      </c>
      <c r="BG21">
        <v>3221.3</v>
      </c>
      <c r="BH21">
        <v>3224.7</v>
      </c>
      <c r="BI21">
        <v>3217.4</v>
      </c>
      <c r="BJ21">
        <v>3223.7</v>
      </c>
      <c r="BK21">
        <v>3226.2</v>
      </c>
      <c r="BL21">
        <v>3229.4</v>
      </c>
      <c r="BM21">
        <v>3222.7</v>
      </c>
      <c r="BN21">
        <v>3203.5</v>
      </c>
      <c r="BO21">
        <v>3200.3</v>
      </c>
      <c r="BP21">
        <v>3185</v>
      </c>
      <c r="BQ21">
        <v>3162.7</v>
      </c>
      <c r="BR21">
        <v>3158.8</v>
      </c>
      <c r="BS21">
        <v>3192.1</v>
      </c>
      <c r="BT21">
        <v>3196.6</v>
      </c>
      <c r="BU21">
        <v>3217.9</v>
      </c>
      <c r="BV21">
        <v>3190.8</v>
      </c>
      <c r="BW21">
        <v>3210.6</v>
      </c>
      <c r="BX21">
        <v>3194.6</v>
      </c>
      <c r="BY21">
        <v>3198.4</v>
      </c>
      <c r="BZ21">
        <v>3188.6</v>
      </c>
      <c r="CA21">
        <v>3184.1</v>
      </c>
      <c r="CB21">
        <v>3175</v>
      </c>
      <c r="CC21">
        <v>3192.3</v>
      </c>
      <c r="CD21">
        <v>3183.3</v>
      </c>
      <c r="CE21">
        <v>3173.2</v>
      </c>
      <c r="CF21">
        <v>3202.2</v>
      </c>
      <c r="CG21">
        <v>3202.1</v>
      </c>
      <c r="CH21">
        <v>3203.5</v>
      </c>
      <c r="CI21">
        <v>3208.6</v>
      </c>
      <c r="CJ21">
        <v>3198.8</v>
      </c>
      <c r="CK21">
        <v>3213</v>
      </c>
      <c r="CL21">
        <v>3223.7</v>
      </c>
      <c r="CM21">
        <v>3235.2</v>
      </c>
      <c r="CN21">
        <v>3238.6</v>
      </c>
      <c r="CO21">
        <v>3235</v>
      </c>
      <c r="CP21">
        <v>3225.7</v>
      </c>
      <c r="CQ21">
        <v>3232.8</v>
      </c>
      <c r="CR21">
        <v>3218.6</v>
      </c>
      <c r="CS21">
        <v>3179.3</v>
      </c>
    </row>
    <row r="22" spans="1:97">
      <c r="A22" s="9">
        <v>46255</v>
      </c>
      <c r="B22">
        <v>3299</v>
      </c>
      <c r="C22">
        <v>3298</v>
      </c>
      <c r="D22">
        <v>3256.4</v>
      </c>
      <c r="E22">
        <v>3271.7</v>
      </c>
      <c r="F22">
        <v>3282.4</v>
      </c>
      <c r="G22">
        <v>3277.9</v>
      </c>
      <c r="H22">
        <v>3288.1</v>
      </c>
      <c r="I22">
        <v>3286.9</v>
      </c>
      <c r="J22">
        <v>3290.8</v>
      </c>
      <c r="K22">
        <v>3259.5</v>
      </c>
      <c r="L22">
        <v>3263.5</v>
      </c>
      <c r="M22">
        <v>3261.7</v>
      </c>
      <c r="N22">
        <v>3219.8</v>
      </c>
      <c r="O22">
        <v>3224.7</v>
      </c>
      <c r="P22">
        <v>3254.9</v>
      </c>
      <c r="Q22">
        <v>3250.9</v>
      </c>
      <c r="R22">
        <v>3270.5</v>
      </c>
      <c r="S22">
        <v>3267.6</v>
      </c>
      <c r="T22">
        <v>3256</v>
      </c>
      <c r="U22">
        <v>3248.5</v>
      </c>
      <c r="V22">
        <v>3266.8</v>
      </c>
      <c r="W22">
        <v>3284.5</v>
      </c>
      <c r="X22">
        <v>3315</v>
      </c>
      <c r="Y22">
        <v>3303.8</v>
      </c>
      <c r="Z22">
        <v>3288.7</v>
      </c>
      <c r="AA22">
        <v>3294.9</v>
      </c>
      <c r="AB22">
        <v>3289.6</v>
      </c>
      <c r="AC22">
        <v>3268.8</v>
      </c>
      <c r="AD22">
        <v>3293.4</v>
      </c>
      <c r="AE22">
        <v>3271.9</v>
      </c>
      <c r="AF22">
        <v>3253.5</v>
      </c>
      <c r="AG22">
        <v>3272.6</v>
      </c>
      <c r="AH22">
        <v>3249</v>
      </c>
      <c r="AI22">
        <v>3247.3</v>
      </c>
      <c r="AJ22">
        <v>3248.4</v>
      </c>
      <c r="AK22">
        <v>3222.6</v>
      </c>
      <c r="AL22">
        <v>3203.4</v>
      </c>
      <c r="AM22">
        <v>3188.9</v>
      </c>
      <c r="AN22">
        <v>3168.2</v>
      </c>
      <c r="AO22">
        <v>3154</v>
      </c>
      <c r="AP22">
        <v>3152.2</v>
      </c>
      <c r="AQ22">
        <v>3162.9</v>
      </c>
      <c r="AR22">
        <v>3185.4</v>
      </c>
      <c r="AS22">
        <v>3179.6</v>
      </c>
      <c r="AT22">
        <v>3187.5</v>
      </c>
      <c r="AU22">
        <v>3197.9</v>
      </c>
      <c r="AV22">
        <v>3181.7</v>
      </c>
      <c r="AW22">
        <v>3182.8</v>
      </c>
      <c r="AX22">
        <v>3189.6</v>
      </c>
      <c r="AY22">
        <v>3197.9</v>
      </c>
      <c r="AZ22">
        <v>3197.1</v>
      </c>
      <c r="BA22">
        <v>3218.5</v>
      </c>
      <c r="BB22">
        <v>3201.1</v>
      </c>
      <c r="BC22">
        <v>3210.1</v>
      </c>
      <c r="BD22">
        <v>3226.4</v>
      </c>
      <c r="BE22">
        <v>3236.2</v>
      </c>
      <c r="BF22">
        <v>3235.9</v>
      </c>
      <c r="BG22">
        <v>3222.3</v>
      </c>
      <c r="BH22">
        <v>3225.7</v>
      </c>
      <c r="BI22">
        <v>3218.4</v>
      </c>
      <c r="BJ22">
        <v>3224.7</v>
      </c>
      <c r="BK22">
        <v>3227.2</v>
      </c>
      <c r="BL22">
        <v>3230.4</v>
      </c>
      <c r="BM22">
        <v>3223.7</v>
      </c>
      <c r="BN22">
        <v>3204.5</v>
      </c>
      <c r="BO22">
        <v>3201.3</v>
      </c>
      <c r="BP22">
        <v>3186</v>
      </c>
      <c r="BQ22">
        <v>3163.7</v>
      </c>
      <c r="BR22">
        <v>3159.8</v>
      </c>
      <c r="BS22">
        <v>3193.1</v>
      </c>
      <c r="BT22">
        <v>3197.6</v>
      </c>
      <c r="BU22">
        <v>3218.9</v>
      </c>
      <c r="BV22">
        <v>3191.8</v>
      </c>
      <c r="BW22">
        <v>3211.6</v>
      </c>
      <c r="BX22">
        <v>3195.6</v>
      </c>
      <c r="BY22">
        <v>3199.4</v>
      </c>
      <c r="BZ22">
        <v>3189.6</v>
      </c>
      <c r="CA22">
        <v>3185.1</v>
      </c>
      <c r="CB22">
        <v>3176</v>
      </c>
      <c r="CC22">
        <v>3193.3</v>
      </c>
      <c r="CD22">
        <v>3184.3</v>
      </c>
      <c r="CE22">
        <v>3174.2</v>
      </c>
      <c r="CF22">
        <v>3203.2</v>
      </c>
      <c r="CG22">
        <v>3203.1</v>
      </c>
      <c r="CH22">
        <v>3204.5</v>
      </c>
      <c r="CI22">
        <v>3209.6</v>
      </c>
      <c r="CJ22">
        <v>3199.8</v>
      </c>
      <c r="CK22">
        <v>3214</v>
      </c>
      <c r="CL22">
        <v>3224.7</v>
      </c>
      <c r="CM22">
        <v>3236.2</v>
      </c>
      <c r="CN22">
        <v>3239.6</v>
      </c>
      <c r="CO22">
        <v>3236</v>
      </c>
      <c r="CP22">
        <v>3226.7</v>
      </c>
      <c r="CQ22">
        <v>3233.8</v>
      </c>
      <c r="CR22">
        <v>3219.6</v>
      </c>
      <c r="CS22">
        <v>3180.3</v>
      </c>
    </row>
    <row r="23" spans="1:97">
      <c r="A23" s="9">
        <v>46256</v>
      </c>
      <c r="B23">
        <v>3004.5</v>
      </c>
      <c r="C23">
        <v>3033.6</v>
      </c>
      <c r="D23">
        <v>3050.3</v>
      </c>
      <c r="E23">
        <v>3077.5</v>
      </c>
      <c r="F23">
        <v>3073.4</v>
      </c>
      <c r="G23">
        <v>3073.8</v>
      </c>
      <c r="H23">
        <v>3084.9</v>
      </c>
      <c r="I23">
        <v>3071.8</v>
      </c>
      <c r="J23">
        <v>3072.5</v>
      </c>
      <c r="K23">
        <v>3071.4</v>
      </c>
      <c r="L23">
        <v>3031.2</v>
      </c>
      <c r="M23">
        <v>3041.6</v>
      </c>
      <c r="N23">
        <v>3043.7</v>
      </c>
      <c r="O23">
        <v>3052.4</v>
      </c>
      <c r="P23">
        <v>3043.2</v>
      </c>
      <c r="Q23">
        <v>3056.4</v>
      </c>
      <c r="R23">
        <v>3067.9</v>
      </c>
      <c r="S23">
        <v>3086.5</v>
      </c>
      <c r="T23">
        <v>3093.6</v>
      </c>
      <c r="U23">
        <v>3112.9</v>
      </c>
      <c r="V23">
        <v>3106.1</v>
      </c>
      <c r="W23">
        <v>3124.2</v>
      </c>
      <c r="X23">
        <v>3121.1</v>
      </c>
      <c r="Y23">
        <v>3095.4</v>
      </c>
      <c r="Z23">
        <v>3105</v>
      </c>
      <c r="AA23">
        <v>3114.2</v>
      </c>
      <c r="AB23">
        <v>3122.6</v>
      </c>
      <c r="AC23">
        <v>3117.3</v>
      </c>
      <c r="AD23">
        <v>3076.9</v>
      </c>
      <c r="AE23">
        <v>3067.4</v>
      </c>
      <c r="AF23">
        <v>3064.2</v>
      </c>
      <c r="AG23">
        <v>3069.2</v>
      </c>
      <c r="AH23">
        <v>3051.6</v>
      </c>
      <c r="AI23">
        <v>3025.1</v>
      </c>
      <c r="AJ23">
        <v>3046.6</v>
      </c>
      <c r="AK23">
        <v>3039.9</v>
      </c>
      <c r="AL23">
        <v>3042.9</v>
      </c>
      <c r="AM23">
        <v>3051</v>
      </c>
      <c r="AN23">
        <v>3076.8</v>
      </c>
      <c r="AO23">
        <v>3078.9</v>
      </c>
      <c r="AP23">
        <v>3082.2</v>
      </c>
      <c r="AQ23">
        <v>3056.9</v>
      </c>
      <c r="AR23">
        <v>3085.1</v>
      </c>
      <c r="AS23">
        <v>3075.8</v>
      </c>
      <c r="AT23">
        <v>3104.9</v>
      </c>
      <c r="AU23">
        <v>3076.8</v>
      </c>
      <c r="AV23">
        <v>3079.2</v>
      </c>
      <c r="AW23">
        <v>3055.8</v>
      </c>
      <c r="AX23">
        <v>3030.3</v>
      </c>
      <c r="AY23">
        <v>3024.1</v>
      </c>
      <c r="AZ23">
        <v>3030.5</v>
      </c>
      <c r="BA23">
        <v>3030.1</v>
      </c>
      <c r="BB23">
        <v>3045</v>
      </c>
      <c r="BC23">
        <v>3036.7</v>
      </c>
      <c r="BD23">
        <v>3053.6</v>
      </c>
      <c r="BE23">
        <v>3075.8</v>
      </c>
      <c r="BF23">
        <v>3053.4</v>
      </c>
      <c r="BG23">
        <v>3042.9</v>
      </c>
      <c r="BH23">
        <v>3046.1</v>
      </c>
      <c r="BI23">
        <v>3015.8</v>
      </c>
      <c r="BJ23">
        <v>3028.6</v>
      </c>
      <c r="BK23">
        <v>3034.3</v>
      </c>
      <c r="BL23">
        <v>3024.8</v>
      </c>
      <c r="BM23">
        <v>3010.6</v>
      </c>
      <c r="BN23">
        <v>2992.6</v>
      </c>
      <c r="BO23">
        <v>3010.2</v>
      </c>
      <c r="BP23">
        <v>3002.8</v>
      </c>
      <c r="BQ23">
        <v>3007.3</v>
      </c>
      <c r="BR23">
        <v>2999.8</v>
      </c>
      <c r="BS23">
        <v>3000.8</v>
      </c>
      <c r="BT23">
        <v>2992.8</v>
      </c>
      <c r="BU23">
        <v>3015.6</v>
      </c>
      <c r="BV23">
        <v>3042.9</v>
      </c>
      <c r="BW23">
        <v>3019.5</v>
      </c>
      <c r="BX23">
        <v>3015.1</v>
      </c>
      <c r="BY23">
        <v>3025.3</v>
      </c>
      <c r="BZ23">
        <v>3016.8</v>
      </c>
      <c r="CA23">
        <v>3020.8</v>
      </c>
      <c r="CB23">
        <v>2990.5</v>
      </c>
      <c r="CC23">
        <v>2971.1</v>
      </c>
      <c r="CD23">
        <v>2965.2</v>
      </c>
      <c r="CE23">
        <v>2998.3</v>
      </c>
      <c r="CF23">
        <v>2943.9</v>
      </c>
      <c r="CG23">
        <v>2914.7</v>
      </c>
      <c r="CH23">
        <v>2830.8</v>
      </c>
      <c r="CI23">
        <v>2835.1</v>
      </c>
      <c r="CJ23">
        <v>2803.6</v>
      </c>
      <c r="CK23">
        <v>2798.2</v>
      </c>
      <c r="CL23">
        <v>2801</v>
      </c>
      <c r="CM23">
        <v>2768</v>
      </c>
      <c r="CN23">
        <v>2779.5</v>
      </c>
      <c r="CO23">
        <v>2802.3</v>
      </c>
      <c r="CP23">
        <v>2828.8</v>
      </c>
      <c r="CQ23">
        <v>2826.9</v>
      </c>
      <c r="CR23">
        <v>2826.7</v>
      </c>
      <c r="CS23">
        <v>2831.5</v>
      </c>
    </row>
    <row r="24" spans="1:97">
      <c r="A24" s="9">
        <v>46257</v>
      </c>
      <c r="B24">
        <v>2821.1</v>
      </c>
      <c r="C24">
        <v>2822.3</v>
      </c>
      <c r="D24">
        <v>2823.3</v>
      </c>
      <c r="E24">
        <v>2828.5</v>
      </c>
      <c r="F24">
        <v>2847.1</v>
      </c>
      <c r="G24">
        <v>2854.9</v>
      </c>
      <c r="H24">
        <v>2855.1</v>
      </c>
      <c r="I24">
        <v>2851.2</v>
      </c>
      <c r="J24">
        <v>2881.8</v>
      </c>
      <c r="K24">
        <v>2908</v>
      </c>
      <c r="L24">
        <v>2900.3</v>
      </c>
      <c r="M24">
        <v>2896.8</v>
      </c>
      <c r="N24">
        <v>2898.9</v>
      </c>
      <c r="O24">
        <v>2899.4</v>
      </c>
      <c r="P24">
        <v>2907.1</v>
      </c>
      <c r="Q24">
        <v>2911</v>
      </c>
      <c r="R24">
        <v>2911.4</v>
      </c>
      <c r="S24">
        <v>2929.5</v>
      </c>
      <c r="T24">
        <v>2976.9</v>
      </c>
      <c r="U24">
        <v>2972.1</v>
      </c>
      <c r="V24">
        <v>2950</v>
      </c>
      <c r="W24">
        <v>2938.4</v>
      </c>
      <c r="X24">
        <v>2955.9</v>
      </c>
      <c r="Y24">
        <v>2961.9</v>
      </c>
      <c r="Z24">
        <v>2955.3</v>
      </c>
      <c r="AA24">
        <v>2957.4</v>
      </c>
      <c r="AB24">
        <v>2940.9</v>
      </c>
      <c r="AC24">
        <v>2940.3</v>
      </c>
      <c r="AD24">
        <v>2950.7</v>
      </c>
      <c r="AE24">
        <v>2941.5</v>
      </c>
      <c r="AF24">
        <v>2919</v>
      </c>
      <c r="AG24">
        <v>2937.3</v>
      </c>
      <c r="AH24">
        <v>2940.4</v>
      </c>
      <c r="AI24">
        <v>2960.4</v>
      </c>
      <c r="AJ24">
        <v>2944.9</v>
      </c>
      <c r="AK24">
        <v>2934.1</v>
      </c>
      <c r="AL24">
        <v>2931.4</v>
      </c>
      <c r="AM24">
        <v>2933.5</v>
      </c>
      <c r="AN24">
        <v>2962</v>
      </c>
      <c r="AO24">
        <v>2977.5</v>
      </c>
      <c r="AP24">
        <v>2986.7</v>
      </c>
      <c r="AQ24">
        <v>2950.7</v>
      </c>
      <c r="AR24">
        <v>2950.6</v>
      </c>
      <c r="AS24">
        <v>2928.6</v>
      </c>
      <c r="AT24">
        <v>2944.9</v>
      </c>
      <c r="AU24">
        <v>2959.7</v>
      </c>
      <c r="AV24">
        <v>2969.8</v>
      </c>
      <c r="AW24">
        <v>2971</v>
      </c>
      <c r="AX24">
        <v>2952.4</v>
      </c>
      <c r="AY24">
        <v>2937.7</v>
      </c>
      <c r="AZ24">
        <v>2931.3</v>
      </c>
      <c r="BA24">
        <v>2941.9</v>
      </c>
      <c r="BB24">
        <v>2933.8</v>
      </c>
      <c r="BC24">
        <v>2901.8</v>
      </c>
      <c r="BD24">
        <v>2907.4</v>
      </c>
      <c r="BE24">
        <v>2895.6</v>
      </c>
      <c r="BF24">
        <v>2894.6</v>
      </c>
      <c r="BG24">
        <v>2901.8</v>
      </c>
      <c r="BH24">
        <v>2892.4</v>
      </c>
      <c r="BI24">
        <v>2897</v>
      </c>
      <c r="BJ24">
        <v>2898.6</v>
      </c>
      <c r="BK24">
        <v>2888.1</v>
      </c>
      <c r="BL24">
        <v>2914.6</v>
      </c>
      <c r="BM24">
        <v>2940.3</v>
      </c>
      <c r="BN24">
        <v>2942.3</v>
      </c>
      <c r="BO24">
        <v>2953.1</v>
      </c>
      <c r="BP24">
        <v>2959.4</v>
      </c>
      <c r="BQ24">
        <v>2938.1</v>
      </c>
      <c r="BR24">
        <v>2919.9</v>
      </c>
      <c r="BS24">
        <v>2916.1</v>
      </c>
      <c r="BT24">
        <v>2912.1</v>
      </c>
      <c r="BU24">
        <v>2912.9</v>
      </c>
      <c r="BV24">
        <v>2913.9</v>
      </c>
      <c r="BW24">
        <v>2912.9</v>
      </c>
      <c r="BX24">
        <v>2904</v>
      </c>
      <c r="BY24">
        <v>2925.7</v>
      </c>
      <c r="BZ24">
        <v>2947.9</v>
      </c>
      <c r="CA24">
        <v>2938.8</v>
      </c>
      <c r="CB24">
        <v>2941.1</v>
      </c>
      <c r="CC24">
        <v>2961</v>
      </c>
      <c r="CD24">
        <v>2941.8</v>
      </c>
      <c r="CE24">
        <v>2946.3</v>
      </c>
      <c r="CF24">
        <v>2919.7</v>
      </c>
      <c r="CG24">
        <v>2928.4</v>
      </c>
      <c r="CH24">
        <v>2957.4</v>
      </c>
      <c r="CI24">
        <v>2936.2</v>
      </c>
      <c r="CJ24">
        <v>2938.5</v>
      </c>
      <c r="CK24">
        <v>2931.5</v>
      </c>
      <c r="CL24">
        <v>2949.6</v>
      </c>
      <c r="CM24">
        <v>2952</v>
      </c>
      <c r="CN24">
        <v>2973.6</v>
      </c>
      <c r="CO24">
        <v>2982.9</v>
      </c>
      <c r="CP24">
        <v>2972.5</v>
      </c>
      <c r="CQ24">
        <v>2993.2</v>
      </c>
      <c r="CR24">
        <v>2968.5</v>
      </c>
      <c r="CS24">
        <v>2985.4</v>
      </c>
    </row>
    <row r="25" spans="1:97">
      <c r="A25" s="9">
        <v>46258</v>
      </c>
      <c r="B25">
        <v>2964.2</v>
      </c>
      <c r="C25">
        <v>2908.8</v>
      </c>
      <c r="D25">
        <v>2907.1</v>
      </c>
      <c r="E25">
        <v>2918.3</v>
      </c>
      <c r="F25">
        <v>2905.1</v>
      </c>
      <c r="G25">
        <v>2901.8</v>
      </c>
      <c r="H25">
        <v>2917.7</v>
      </c>
      <c r="I25">
        <v>2979.9</v>
      </c>
      <c r="J25">
        <v>2978.4</v>
      </c>
      <c r="K25">
        <v>2960.3</v>
      </c>
      <c r="L25">
        <v>2958.8</v>
      </c>
      <c r="M25">
        <v>2961.9</v>
      </c>
      <c r="N25">
        <v>2980.3</v>
      </c>
      <c r="O25">
        <v>3007.1</v>
      </c>
      <c r="P25">
        <v>3016.2</v>
      </c>
      <c r="Q25">
        <v>3027</v>
      </c>
      <c r="R25">
        <v>3029.1</v>
      </c>
      <c r="S25">
        <v>3012.5</v>
      </c>
      <c r="T25">
        <v>2988.1</v>
      </c>
      <c r="U25">
        <v>2998.7</v>
      </c>
      <c r="V25">
        <v>3003</v>
      </c>
      <c r="W25">
        <v>2991.9</v>
      </c>
      <c r="X25">
        <v>2980.4</v>
      </c>
      <c r="Y25">
        <v>2969.9</v>
      </c>
      <c r="Z25">
        <v>2973</v>
      </c>
      <c r="AA25">
        <v>2942.9</v>
      </c>
      <c r="AB25">
        <v>2923.5</v>
      </c>
      <c r="AC25">
        <v>2866.7</v>
      </c>
      <c r="AD25">
        <v>2871.1</v>
      </c>
      <c r="AE25">
        <v>2915.8</v>
      </c>
      <c r="AF25">
        <v>2975</v>
      </c>
      <c r="AG25">
        <v>3005.6</v>
      </c>
      <c r="AH25">
        <v>2997.3</v>
      </c>
      <c r="AI25">
        <v>2997.8</v>
      </c>
      <c r="AJ25">
        <v>3023.7</v>
      </c>
      <c r="AK25">
        <v>3013.4</v>
      </c>
      <c r="AL25">
        <v>3024.7</v>
      </c>
      <c r="AM25">
        <v>3008.4</v>
      </c>
      <c r="AN25">
        <v>3031.5</v>
      </c>
      <c r="AO25">
        <v>3050.6</v>
      </c>
      <c r="AP25">
        <v>3067.8</v>
      </c>
      <c r="AQ25">
        <v>3067.6</v>
      </c>
      <c r="AR25">
        <v>3051.8</v>
      </c>
      <c r="AS25">
        <v>3048</v>
      </c>
      <c r="AT25">
        <v>3067.1</v>
      </c>
      <c r="AU25">
        <v>3052.1</v>
      </c>
      <c r="AV25">
        <v>3057.7</v>
      </c>
      <c r="AW25">
        <v>3062.5</v>
      </c>
      <c r="AX25">
        <v>3085</v>
      </c>
      <c r="AY25">
        <v>3118</v>
      </c>
      <c r="AZ25">
        <v>3142.5</v>
      </c>
      <c r="BA25">
        <v>3131.3</v>
      </c>
      <c r="BB25">
        <v>3124.9</v>
      </c>
      <c r="BC25">
        <v>3167.8</v>
      </c>
      <c r="BD25">
        <v>3147.2</v>
      </c>
      <c r="BE25">
        <v>3145.7</v>
      </c>
      <c r="BF25">
        <v>3143.5</v>
      </c>
      <c r="BG25">
        <v>3144.5</v>
      </c>
      <c r="BH25">
        <v>3161.6</v>
      </c>
      <c r="BI25">
        <v>3168.3</v>
      </c>
      <c r="BJ25">
        <v>3155.9</v>
      </c>
      <c r="BK25">
        <v>3145.9</v>
      </c>
      <c r="BL25">
        <v>3104.3</v>
      </c>
      <c r="BM25">
        <v>3132.1</v>
      </c>
      <c r="BN25">
        <v>3124.3</v>
      </c>
      <c r="BO25">
        <v>3129.3</v>
      </c>
      <c r="BP25">
        <v>3126.1</v>
      </c>
      <c r="BQ25">
        <v>3149.1</v>
      </c>
      <c r="BR25">
        <v>3184.6</v>
      </c>
      <c r="BS25">
        <v>3190.8</v>
      </c>
      <c r="BT25">
        <v>3192.6</v>
      </c>
      <c r="BU25">
        <v>3204.8</v>
      </c>
      <c r="BV25">
        <v>3170.4</v>
      </c>
      <c r="BW25">
        <v>3141.1</v>
      </c>
      <c r="BX25">
        <v>3127.8</v>
      </c>
      <c r="BY25">
        <v>3159.8</v>
      </c>
      <c r="BZ25">
        <v>3171</v>
      </c>
      <c r="CA25">
        <v>3208.7</v>
      </c>
      <c r="CB25">
        <v>3233.1</v>
      </c>
      <c r="CC25">
        <v>3237.5</v>
      </c>
      <c r="CD25">
        <v>3222.8</v>
      </c>
      <c r="CE25">
        <v>3219.9</v>
      </c>
      <c r="CF25">
        <v>3211.1</v>
      </c>
      <c r="CG25">
        <v>3224</v>
      </c>
      <c r="CH25">
        <v>3216.1</v>
      </c>
      <c r="CI25">
        <v>3201</v>
      </c>
      <c r="CJ25">
        <v>3188.4</v>
      </c>
      <c r="CK25">
        <v>3190.5</v>
      </c>
      <c r="CL25">
        <v>3184.3</v>
      </c>
      <c r="CM25">
        <v>3193.1</v>
      </c>
      <c r="CN25">
        <v>3205.3</v>
      </c>
      <c r="CO25">
        <v>3211.8</v>
      </c>
      <c r="CP25">
        <v>3209.4</v>
      </c>
      <c r="CQ25">
        <v>3222.1</v>
      </c>
      <c r="CR25">
        <v>3203.8</v>
      </c>
      <c r="CS25">
        <v>3226.1</v>
      </c>
    </row>
    <row r="26" spans="1:97">
      <c r="A26" s="9">
        <v>46259</v>
      </c>
      <c r="B26">
        <v>3204.8</v>
      </c>
      <c r="C26">
        <v>3212.1</v>
      </c>
      <c r="D26">
        <v>3182.6</v>
      </c>
      <c r="E26">
        <v>3200.3</v>
      </c>
      <c r="F26">
        <v>3203.4</v>
      </c>
      <c r="G26">
        <v>3217.2</v>
      </c>
      <c r="H26">
        <v>3214.6</v>
      </c>
      <c r="I26">
        <v>3191.8</v>
      </c>
      <c r="J26">
        <v>3193.1</v>
      </c>
      <c r="K26">
        <v>3193</v>
      </c>
      <c r="L26">
        <v>3195.1</v>
      </c>
      <c r="M26">
        <v>3206.2</v>
      </c>
      <c r="N26">
        <v>3194.3</v>
      </c>
      <c r="O26">
        <v>3199.3</v>
      </c>
      <c r="P26">
        <v>3212</v>
      </c>
      <c r="Q26">
        <v>3204.2</v>
      </c>
      <c r="R26">
        <v>3204.2</v>
      </c>
      <c r="S26">
        <v>3213.2</v>
      </c>
      <c r="T26">
        <v>3210.1</v>
      </c>
      <c r="U26">
        <v>3194.4</v>
      </c>
      <c r="V26">
        <v>3207.5</v>
      </c>
      <c r="W26">
        <v>3224.6</v>
      </c>
      <c r="X26">
        <v>3217.2</v>
      </c>
      <c r="Y26">
        <v>3201.7</v>
      </c>
      <c r="Z26">
        <v>3206.7</v>
      </c>
      <c r="AA26">
        <v>3195.3</v>
      </c>
      <c r="AB26">
        <v>3158.3</v>
      </c>
      <c r="AC26">
        <v>3135.6</v>
      </c>
      <c r="AD26">
        <v>3161.9</v>
      </c>
      <c r="AE26">
        <v>3175.6</v>
      </c>
      <c r="AF26">
        <v>3193.3</v>
      </c>
      <c r="AG26">
        <v>3227</v>
      </c>
      <c r="AH26">
        <v>3207.1</v>
      </c>
      <c r="AI26">
        <v>3243.6</v>
      </c>
      <c r="AJ26">
        <v>3229.5</v>
      </c>
      <c r="AK26">
        <v>3217.1</v>
      </c>
      <c r="AL26">
        <v>3235.1</v>
      </c>
      <c r="AM26">
        <v>3226.2</v>
      </c>
      <c r="AN26">
        <v>3211.2</v>
      </c>
      <c r="AO26">
        <v>3204.2</v>
      </c>
      <c r="AP26">
        <v>3224.4</v>
      </c>
      <c r="AQ26">
        <v>3216.2</v>
      </c>
      <c r="AR26">
        <v>3224.9</v>
      </c>
      <c r="AS26">
        <v>3200.1</v>
      </c>
      <c r="AT26">
        <v>3189.1</v>
      </c>
      <c r="AU26">
        <v>3168.3</v>
      </c>
      <c r="AV26">
        <v>3151.6</v>
      </c>
      <c r="AW26">
        <v>3133</v>
      </c>
      <c r="AX26">
        <v>3125.5</v>
      </c>
      <c r="AY26">
        <v>3145.7</v>
      </c>
      <c r="AZ26">
        <v>3155.7</v>
      </c>
      <c r="BA26">
        <v>3189</v>
      </c>
      <c r="BB26">
        <v>3179.3</v>
      </c>
      <c r="BC26">
        <v>3184.6</v>
      </c>
      <c r="BD26">
        <v>3197.5</v>
      </c>
      <c r="BE26">
        <v>3218.5</v>
      </c>
      <c r="BF26">
        <v>3217.8</v>
      </c>
      <c r="BG26">
        <v>3217.6</v>
      </c>
      <c r="BH26">
        <v>3209.8</v>
      </c>
      <c r="BI26">
        <v>3239.9</v>
      </c>
      <c r="BJ26">
        <v>3225</v>
      </c>
      <c r="BK26">
        <v>3253.9</v>
      </c>
      <c r="BL26">
        <v>3247.6</v>
      </c>
      <c r="BM26">
        <v>3257.9</v>
      </c>
      <c r="BN26">
        <v>3263.6</v>
      </c>
      <c r="BO26">
        <v>3273.6</v>
      </c>
      <c r="BP26">
        <v>3247.1</v>
      </c>
      <c r="BQ26">
        <v>3260.7</v>
      </c>
      <c r="BR26">
        <v>3260.3</v>
      </c>
      <c r="BS26">
        <v>3264.6</v>
      </c>
      <c r="BT26">
        <v>3236.7</v>
      </c>
      <c r="BU26">
        <v>3263.7</v>
      </c>
      <c r="BV26">
        <v>3251.1</v>
      </c>
      <c r="BW26">
        <v>3243.7</v>
      </c>
      <c r="BX26">
        <v>3249.4</v>
      </c>
      <c r="BY26">
        <v>3246.1</v>
      </c>
      <c r="BZ26">
        <v>3247.1</v>
      </c>
      <c r="CA26">
        <v>3232.1</v>
      </c>
      <c r="CB26">
        <v>3250.3</v>
      </c>
      <c r="CC26">
        <v>3268.7</v>
      </c>
      <c r="CD26">
        <v>3268</v>
      </c>
      <c r="CE26">
        <v>3270.8</v>
      </c>
      <c r="CF26">
        <v>3257</v>
      </c>
      <c r="CG26">
        <v>3255.8</v>
      </c>
      <c r="CH26">
        <v>3259.6</v>
      </c>
      <c r="CI26">
        <v>3242.9</v>
      </c>
      <c r="CJ26">
        <v>3247.6</v>
      </c>
      <c r="CK26">
        <v>3256.7</v>
      </c>
      <c r="CL26">
        <v>3238.7</v>
      </c>
      <c r="CM26">
        <v>3254.9</v>
      </c>
      <c r="CN26">
        <v>3247.9</v>
      </c>
      <c r="CO26">
        <v>3253.2</v>
      </c>
      <c r="CP26">
        <v>3241.6</v>
      </c>
      <c r="CQ26">
        <v>3238.6</v>
      </c>
      <c r="CR26">
        <v>3224</v>
      </c>
      <c r="CS26">
        <v>3234</v>
      </c>
    </row>
    <row r="27" spans="1:97">
      <c r="A27" s="9">
        <v>46260</v>
      </c>
      <c r="B27">
        <v>3237.1</v>
      </c>
      <c r="C27">
        <v>3236.7</v>
      </c>
      <c r="D27">
        <v>3259</v>
      </c>
      <c r="E27">
        <v>3274.9</v>
      </c>
      <c r="F27">
        <v>3285.9</v>
      </c>
      <c r="G27">
        <v>3286.4</v>
      </c>
      <c r="H27">
        <v>3288.6</v>
      </c>
      <c r="I27">
        <v>3307</v>
      </c>
      <c r="J27">
        <v>3294.4</v>
      </c>
      <c r="K27">
        <v>3307.7</v>
      </c>
      <c r="L27">
        <v>3301</v>
      </c>
      <c r="M27">
        <v>3307</v>
      </c>
      <c r="N27">
        <v>3299.9</v>
      </c>
      <c r="O27">
        <v>3287.9</v>
      </c>
      <c r="P27">
        <v>3299.3</v>
      </c>
      <c r="Q27">
        <v>3307.3</v>
      </c>
      <c r="R27">
        <v>3287.4</v>
      </c>
      <c r="S27">
        <v>3252.4</v>
      </c>
      <c r="T27">
        <v>3265.3</v>
      </c>
      <c r="U27">
        <v>3261.3</v>
      </c>
      <c r="V27">
        <v>3266</v>
      </c>
      <c r="W27">
        <v>3243.9</v>
      </c>
      <c r="X27">
        <v>3244.7</v>
      </c>
      <c r="Y27">
        <v>3220.6</v>
      </c>
      <c r="Z27">
        <v>3218.6</v>
      </c>
      <c r="AA27">
        <v>3207.4</v>
      </c>
      <c r="AB27">
        <v>3254</v>
      </c>
      <c r="AC27">
        <v>3201.8</v>
      </c>
      <c r="AD27">
        <v>3175.6</v>
      </c>
      <c r="AE27">
        <v>3184.5</v>
      </c>
      <c r="AF27">
        <v>3229</v>
      </c>
      <c r="AG27">
        <v>3245.3</v>
      </c>
      <c r="AH27">
        <v>3253</v>
      </c>
      <c r="AI27">
        <v>3239.7</v>
      </c>
      <c r="AJ27">
        <v>3199.9</v>
      </c>
      <c r="AK27">
        <v>3186.2</v>
      </c>
      <c r="AL27">
        <v>3162.7</v>
      </c>
      <c r="AM27">
        <v>3171.2</v>
      </c>
      <c r="AN27">
        <v>3157.7</v>
      </c>
      <c r="AO27">
        <v>3202.4</v>
      </c>
      <c r="AP27">
        <v>3217.8</v>
      </c>
      <c r="AQ27">
        <v>3205.7</v>
      </c>
      <c r="AR27">
        <v>3204.1</v>
      </c>
      <c r="AS27">
        <v>3219.2</v>
      </c>
      <c r="AT27">
        <v>3190.6</v>
      </c>
      <c r="AU27">
        <v>3200.8</v>
      </c>
      <c r="AV27">
        <v>3195.9</v>
      </c>
      <c r="AW27">
        <v>3196</v>
      </c>
      <c r="AX27">
        <v>3190.6</v>
      </c>
      <c r="AY27">
        <v>3176.9</v>
      </c>
      <c r="AZ27">
        <v>3154.6</v>
      </c>
      <c r="BA27">
        <v>3165.2</v>
      </c>
      <c r="BB27">
        <v>3172.8</v>
      </c>
      <c r="BC27">
        <v>3171.8</v>
      </c>
      <c r="BD27">
        <v>3149.8</v>
      </c>
      <c r="BE27">
        <v>3117.7</v>
      </c>
      <c r="BF27">
        <v>3121.2</v>
      </c>
      <c r="BG27">
        <v>3101.1</v>
      </c>
      <c r="BH27">
        <v>3090</v>
      </c>
      <c r="BI27">
        <v>3091.6</v>
      </c>
      <c r="BJ27">
        <v>3085.1</v>
      </c>
      <c r="BK27">
        <v>3100.1</v>
      </c>
      <c r="BL27">
        <v>3102.9</v>
      </c>
      <c r="BM27">
        <v>3132.1</v>
      </c>
      <c r="BN27">
        <v>3121.4</v>
      </c>
      <c r="BO27">
        <v>3129.1</v>
      </c>
      <c r="BP27">
        <v>3122.6</v>
      </c>
      <c r="BQ27">
        <v>3102.2</v>
      </c>
      <c r="BR27">
        <v>3108.6</v>
      </c>
      <c r="BS27">
        <v>3098.2</v>
      </c>
      <c r="BT27">
        <v>3096</v>
      </c>
      <c r="BU27">
        <v>3111.6</v>
      </c>
      <c r="BV27">
        <v>3115.5</v>
      </c>
      <c r="BW27">
        <v>3135.3</v>
      </c>
      <c r="BX27">
        <v>3106.8</v>
      </c>
      <c r="BY27">
        <v>3113.5</v>
      </c>
      <c r="BZ27">
        <v>3108.8</v>
      </c>
      <c r="CA27">
        <v>3110.7</v>
      </c>
      <c r="CB27">
        <v>3093.6</v>
      </c>
      <c r="CC27">
        <v>3115.8</v>
      </c>
      <c r="CD27">
        <v>3110.1</v>
      </c>
      <c r="CE27">
        <v>3109.2</v>
      </c>
      <c r="CF27">
        <v>3119.7</v>
      </c>
      <c r="CG27">
        <v>3144</v>
      </c>
      <c r="CH27">
        <v>3138.9</v>
      </c>
      <c r="CI27">
        <v>3143.7</v>
      </c>
      <c r="CJ27">
        <v>3127.9</v>
      </c>
      <c r="CK27">
        <v>3139.4</v>
      </c>
      <c r="CL27">
        <v>3139.7</v>
      </c>
      <c r="CM27">
        <v>3144.5</v>
      </c>
      <c r="CN27">
        <v>3157.2</v>
      </c>
      <c r="CO27">
        <v>3167.7</v>
      </c>
      <c r="CP27">
        <v>3169.2</v>
      </c>
      <c r="CQ27">
        <v>3147</v>
      </c>
      <c r="CR27">
        <v>3139</v>
      </c>
      <c r="CS27">
        <v>3160.1</v>
      </c>
    </row>
    <row r="28" spans="1:97">
      <c r="A28" s="9">
        <v>46261</v>
      </c>
      <c r="B28">
        <v>3132.2</v>
      </c>
      <c r="C28">
        <v>3162.2</v>
      </c>
      <c r="D28">
        <v>3157.1</v>
      </c>
      <c r="E28">
        <v>3161.4</v>
      </c>
      <c r="F28">
        <v>3161.9</v>
      </c>
      <c r="G28">
        <v>3156.4</v>
      </c>
      <c r="H28">
        <v>3132.7</v>
      </c>
      <c r="I28">
        <v>3123.7</v>
      </c>
      <c r="J28">
        <v>3121.9</v>
      </c>
      <c r="K28">
        <v>3117.4</v>
      </c>
      <c r="L28">
        <v>3124.7</v>
      </c>
      <c r="M28">
        <v>3154.7</v>
      </c>
      <c r="N28">
        <v>3157.5</v>
      </c>
      <c r="O28">
        <v>3149.5</v>
      </c>
      <c r="P28">
        <v>3125.5</v>
      </c>
      <c r="Q28">
        <v>3138.1</v>
      </c>
      <c r="R28">
        <v>3148.4</v>
      </c>
      <c r="S28">
        <v>3162.3</v>
      </c>
      <c r="T28">
        <v>3157</v>
      </c>
      <c r="U28">
        <v>3162.6</v>
      </c>
      <c r="V28">
        <v>3178.3</v>
      </c>
      <c r="W28">
        <v>3178.7</v>
      </c>
      <c r="X28">
        <v>3186.8</v>
      </c>
      <c r="Y28">
        <v>3181.3</v>
      </c>
      <c r="Z28">
        <v>3180</v>
      </c>
      <c r="AA28">
        <v>3176.2</v>
      </c>
      <c r="AB28">
        <v>3195.2</v>
      </c>
      <c r="AC28">
        <v>3174.6</v>
      </c>
      <c r="AD28">
        <v>3191.4</v>
      </c>
      <c r="AE28">
        <v>3182</v>
      </c>
      <c r="AF28">
        <v>3174.8</v>
      </c>
      <c r="AG28">
        <v>3185.4</v>
      </c>
      <c r="AH28">
        <v>3171.4</v>
      </c>
      <c r="AI28">
        <v>3187.3</v>
      </c>
      <c r="AJ28">
        <v>3177</v>
      </c>
      <c r="AK28">
        <v>3173.4</v>
      </c>
      <c r="AL28">
        <v>3152</v>
      </c>
      <c r="AM28">
        <v>3178.6</v>
      </c>
      <c r="AN28">
        <v>3158.9</v>
      </c>
      <c r="AO28">
        <v>3149.3</v>
      </c>
      <c r="AP28">
        <v>3152.4</v>
      </c>
      <c r="AQ28">
        <v>3151.6</v>
      </c>
      <c r="AR28">
        <v>3172.6</v>
      </c>
      <c r="AS28">
        <v>3152.3</v>
      </c>
      <c r="AT28">
        <v>3154.8</v>
      </c>
      <c r="AU28">
        <v>3121.6</v>
      </c>
      <c r="AV28">
        <v>3056.3</v>
      </c>
      <c r="AW28">
        <v>3005.1</v>
      </c>
      <c r="AX28">
        <v>3023</v>
      </c>
      <c r="AY28">
        <v>3021.6</v>
      </c>
      <c r="AZ28">
        <v>3026.3</v>
      </c>
      <c r="BA28">
        <v>3005.7</v>
      </c>
      <c r="BB28">
        <v>3024.3</v>
      </c>
      <c r="BC28">
        <v>3057.3</v>
      </c>
      <c r="BD28">
        <v>3069.4</v>
      </c>
      <c r="BE28">
        <v>3063.5</v>
      </c>
      <c r="BF28">
        <v>3087.4</v>
      </c>
      <c r="BG28">
        <v>3090.9</v>
      </c>
      <c r="BH28">
        <v>3062.2</v>
      </c>
      <c r="BI28">
        <v>3084.7</v>
      </c>
      <c r="BJ28">
        <v>3080.3</v>
      </c>
      <c r="BK28">
        <v>3089.5</v>
      </c>
      <c r="BL28">
        <v>3084.3</v>
      </c>
      <c r="BM28">
        <v>3072</v>
      </c>
      <c r="BN28">
        <v>3078.7</v>
      </c>
      <c r="BO28">
        <v>3071.6</v>
      </c>
      <c r="BP28">
        <v>3056.7</v>
      </c>
      <c r="BQ28">
        <v>3071.8</v>
      </c>
      <c r="BR28">
        <v>3095.4</v>
      </c>
      <c r="BS28">
        <v>3065</v>
      </c>
      <c r="BT28">
        <v>3072.9</v>
      </c>
      <c r="BU28">
        <v>3077.9</v>
      </c>
      <c r="BV28">
        <v>3103.1</v>
      </c>
      <c r="BW28">
        <v>3083.1</v>
      </c>
      <c r="BX28">
        <v>3070</v>
      </c>
      <c r="BY28">
        <v>3078</v>
      </c>
      <c r="BZ28">
        <v>3086.5</v>
      </c>
      <c r="CA28">
        <v>3067.5</v>
      </c>
      <c r="CB28">
        <v>3070.9</v>
      </c>
      <c r="CC28">
        <v>3060.5</v>
      </c>
      <c r="CD28">
        <v>3027.2</v>
      </c>
      <c r="CE28">
        <v>3036.1</v>
      </c>
      <c r="CF28">
        <v>3032.7</v>
      </c>
      <c r="CG28">
        <v>3058.9</v>
      </c>
      <c r="CH28">
        <v>3012.3</v>
      </c>
      <c r="CI28">
        <v>3017.4</v>
      </c>
      <c r="CJ28">
        <v>3040.6</v>
      </c>
      <c r="CK28">
        <v>3091.1</v>
      </c>
      <c r="CL28">
        <v>3122.9</v>
      </c>
      <c r="CM28">
        <v>3141.1</v>
      </c>
      <c r="CN28">
        <v>3124.9</v>
      </c>
      <c r="CO28">
        <v>3123.6</v>
      </c>
      <c r="CP28">
        <v>3106</v>
      </c>
      <c r="CQ28">
        <v>3103.9</v>
      </c>
      <c r="CR28">
        <v>3128.7</v>
      </c>
      <c r="CS28">
        <v>3148.8</v>
      </c>
    </row>
    <row r="29" spans="1:97">
      <c r="A29" s="9">
        <v>46262</v>
      </c>
      <c r="B29">
        <v>3142.2</v>
      </c>
      <c r="C29">
        <v>3134</v>
      </c>
      <c r="D29">
        <v>3098.1</v>
      </c>
      <c r="E29">
        <v>3134.3</v>
      </c>
      <c r="F29">
        <v>3145.3</v>
      </c>
      <c r="G29">
        <v>3069.8</v>
      </c>
      <c r="H29">
        <v>3070.2</v>
      </c>
      <c r="I29">
        <v>3083.4</v>
      </c>
      <c r="J29">
        <v>3050.3</v>
      </c>
      <c r="K29">
        <v>3024.2</v>
      </c>
      <c r="L29">
        <v>3032.9</v>
      </c>
      <c r="M29">
        <v>3048.5</v>
      </c>
      <c r="N29">
        <v>3018.4</v>
      </c>
      <c r="O29">
        <v>3010.2</v>
      </c>
      <c r="P29">
        <v>3018.9</v>
      </c>
      <c r="Q29">
        <v>3037.7</v>
      </c>
      <c r="R29">
        <v>3024.3</v>
      </c>
      <c r="S29">
        <v>3010.3</v>
      </c>
      <c r="T29">
        <v>2978</v>
      </c>
      <c r="U29">
        <v>3000.3</v>
      </c>
      <c r="V29">
        <v>3010.1</v>
      </c>
      <c r="W29">
        <v>3010.7</v>
      </c>
      <c r="X29">
        <v>3032.5</v>
      </c>
      <c r="Y29">
        <v>3027.4</v>
      </c>
      <c r="Z29">
        <v>3054.7</v>
      </c>
      <c r="AA29">
        <v>3075.2</v>
      </c>
      <c r="AB29">
        <v>3076.2</v>
      </c>
      <c r="AC29">
        <v>3092.9</v>
      </c>
      <c r="AD29">
        <v>3101.2</v>
      </c>
      <c r="AE29">
        <v>3102</v>
      </c>
      <c r="AF29">
        <v>3099.4</v>
      </c>
      <c r="AG29">
        <v>3081.6</v>
      </c>
      <c r="AH29">
        <v>3075.1</v>
      </c>
      <c r="AI29">
        <v>3060.6</v>
      </c>
      <c r="AJ29">
        <v>3031</v>
      </c>
      <c r="AK29">
        <v>3023.1</v>
      </c>
      <c r="AL29">
        <v>3010.8</v>
      </c>
      <c r="AM29">
        <v>2973.3</v>
      </c>
      <c r="AN29">
        <v>3024</v>
      </c>
      <c r="AO29">
        <v>3017.9</v>
      </c>
      <c r="AP29">
        <v>3016.3</v>
      </c>
      <c r="AQ29">
        <v>3034.7</v>
      </c>
      <c r="AR29">
        <v>3019.2</v>
      </c>
      <c r="AS29">
        <v>3036.6</v>
      </c>
      <c r="AT29">
        <v>3038.3</v>
      </c>
      <c r="AU29">
        <v>3030.1</v>
      </c>
      <c r="AV29">
        <v>3031.3</v>
      </c>
      <c r="AW29">
        <v>3035.3</v>
      </c>
      <c r="AX29">
        <v>3021.1</v>
      </c>
      <c r="AY29">
        <v>3033.8</v>
      </c>
      <c r="AZ29">
        <v>3028.6</v>
      </c>
      <c r="BA29">
        <v>3020.8</v>
      </c>
      <c r="BB29">
        <v>3026</v>
      </c>
      <c r="BC29">
        <v>3041.2</v>
      </c>
      <c r="BD29">
        <v>3052.5</v>
      </c>
      <c r="BE29">
        <v>3035.7</v>
      </c>
      <c r="BF29">
        <v>3011.5</v>
      </c>
      <c r="BG29">
        <v>3026.6</v>
      </c>
      <c r="BH29">
        <v>2984.8</v>
      </c>
      <c r="BI29">
        <v>3003.8</v>
      </c>
      <c r="BJ29">
        <v>2992.9</v>
      </c>
      <c r="BK29">
        <v>3003.2</v>
      </c>
      <c r="BL29">
        <v>3033.8</v>
      </c>
      <c r="BM29">
        <v>3025.6</v>
      </c>
      <c r="BN29">
        <v>2960.3</v>
      </c>
      <c r="BO29">
        <v>2941.7</v>
      </c>
      <c r="BP29">
        <v>2956</v>
      </c>
      <c r="BQ29">
        <v>2952.2</v>
      </c>
      <c r="BR29">
        <v>2961</v>
      </c>
      <c r="BS29">
        <v>2954.5</v>
      </c>
      <c r="BT29">
        <v>2973.7</v>
      </c>
      <c r="BU29">
        <v>2981</v>
      </c>
      <c r="BV29">
        <v>3009.8</v>
      </c>
      <c r="BW29">
        <v>2993.2</v>
      </c>
      <c r="BX29">
        <v>2999.5</v>
      </c>
      <c r="BY29">
        <v>3027.5</v>
      </c>
      <c r="BZ29">
        <v>3012.5</v>
      </c>
      <c r="CA29">
        <v>2993.2</v>
      </c>
      <c r="CB29">
        <v>2989.5</v>
      </c>
      <c r="CC29">
        <v>2982.8</v>
      </c>
      <c r="CD29">
        <v>2963.9</v>
      </c>
      <c r="CE29">
        <v>2947.9</v>
      </c>
      <c r="CF29">
        <v>2942.1</v>
      </c>
      <c r="CG29">
        <v>2957.9</v>
      </c>
      <c r="CH29">
        <v>2940.5</v>
      </c>
      <c r="CI29">
        <v>2902.3</v>
      </c>
      <c r="CJ29">
        <v>2916.8</v>
      </c>
      <c r="CK29">
        <v>2917.5</v>
      </c>
      <c r="CL29">
        <v>2946.8</v>
      </c>
      <c r="CM29">
        <v>2971.9</v>
      </c>
      <c r="CN29">
        <v>3012.2</v>
      </c>
      <c r="CO29">
        <v>3020.2</v>
      </c>
      <c r="CP29">
        <v>3008.4</v>
      </c>
      <c r="CQ29">
        <v>3001.8</v>
      </c>
      <c r="CR29">
        <v>2965.6</v>
      </c>
      <c r="CS29">
        <v>2972.4</v>
      </c>
    </row>
    <row r="30" spans="1:97">
      <c r="A30" s="9">
        <v>46263</v>
      </c>
      <c r="B30">
        <v>2966.9</v>
      </c>
      <c r="C30">
        <v>2915.9</v>
      </c>
      <c r="D30">
        <v>2985.8</v>
      </c>
      <c r="E30">
        <v>3004.4</v>
      </c>
      <c r="F30">
        <v>2949.3</v>
      </c>
      <c r="G30">
        <v>2913.9</v>
      </c>
      <c r="H30">
        <v>2921.9</v>
      </c>
      <c r="I30">
        <v>2966.6</v>
      </c>
      <c r="J30">
        <v>2972.3</v>
      </c>
      <c r="K30">
        <v>2975.1</v>
      </c>
      <c r="L30">
        <v>2963.8</v>
      </c>
      <c r="M30">
        <v>2977.5</v>
      </c>
      <c r="N30">
        <v>2939</v>
      </c>
      <c r="O30">
        <v>2938.9</v>
      </c>
      <c r="P30">
        <v>2949</v>
      </c>
      <c r="Q30">
        <v>2960.3</v>
      </c>
      <c r="R30">
        <v>2970.7</v>
      </c>
      <c r="S30">
        <v>2992.2</v>
      </c>
      <c r="T30">
        <v>3050.4</v>
      </c>
      <c r="U30">
        <v>3073.2</v>
      </c>
      <c r="V30">
        <v>3067.6</v>
      </c>
      <c r="W30">
        <v>3080.1</v>
      </c>
      <c r="X30">
        <v>3083.1</v>
      </c>
      <c r="Y30">
        <v>3144.7</v>
      </c>
      <c r="Z30">
        <v>3166.4</v>
      </c>
      <c r="AA30">
        <v>3166.9</v>
      </c>
      <c r="AB30">
        <v>3177.1</v>
      </c>
      <c r="AC30">
        <v>3226</v>
      </c>
      <c r="AD30">
        <v>3236.5</v>
      </c>
      <c r="AE30">
        <v>3212.2</v>
      </c>
      <c r="AF30">
        <v>3180.4</v>
      </c>
      <c r="AG30">
        <v>3190.4</v>
      </c>
      <c r="AH30">
        <v>3181.9</v>
      </c>
      <c r="AI30">
        <v>3182.4</v>
      </c>
      <c r="AJ30">
        <v>3135.4</v>
      </c>
      <c r="AK30">
        <v>3121.4</v>
      </c>
      <c r="AL30">
        <v>3141.3</v>
      </c>
      <c r="AM30">
        <v>3132.7</v>
      </c>
      <c r="AN30">
        <v>3167.5</v>
      </c>
      <c r="AO30">
        <v>3210.1</v>
      </c>
      <c r="AP30">
        <v>3206.4</v>
      </c>
      <c r="AQ30">
        <v>3204.5</v>
      </c>
      <c r="AR30">
        <v>3203.1</v>
      </c>
      <c r="AS30">
        <v>3204.5</v>
      </c>
      <c r="AT30">
        <v>3208.3</v>
      </c>
      <c r="AU30">
        <v>3194.5</v>
      </c>
      <c r="AV30">
        <v>3195.8</v>
      </c>
      <c r="AW30">
        <v>3193.1</v>
      </c>
      <c r="AX30">
        <v>3203</v>
      </c>
      <c r="AY30">
        <v>3215.2</v>
      </c>
      <c r="AZ30">
        <v>3246.2</v>
      </c>
      <c r="BA30">
        <v>3239.5</v>
      </c>
      <c r="BB30">
        <v>3247.3</v>
      </c>
      <c r="BC30">
        <v>3241</v>
      </c>
      <c r="BD30">
        <v>3262.6</v>
      </c>
      <c r="BE30">
        <v>3267.5</v>
      </c>
      <c r="BF30">
        <v>3259.3</v>
      </c>
      <c r="BG30">
        <v>3226.7</v>
      </c>
      <c r="BH30">
        <v>3213.7</v>
      </c>
      <c r="BI30">
        <v>3256.6</v>
      </c>
      <c r="BJ30">
        <v>3216.4</v>
      </c>
      <c r="BK30">
        <v>3216.8</v>
      </c>
      <c r="BL30">
        <v>3185.4</v>
      </c>
      <c r="BM30">
        <v>3145.6</v>
      </c>
      <c r="BN30">
        <v>3112.9</v>
      </c>
      <c r="BO30">
        <v>3132.6</v>
      </c>
      <c r="BP30">
        <v>3120</v>
      </c>
      <c r="BQ30">
        <v>3131.7</v>
      </c>
      <c r="BR30">
        <v>3124.5</v>
      </c>
      <c r="BS30">
        <v>3096.6</v>
      </c>
      <c r="BT30">
        <v>3045.8</v>
      </c>
      <c r="BU30">
        <v>2986.4</v>
      </c>
      <c r="BV30">
        <v>2988.7</v>
      </c>
      <c r="BW30">
        <v>3017.2</v>
      </c>
      <c r="BX30">
        <v>3056.4</v>
      </c>
      <c r="BY30">
        <v>3075.2</v>
      </c>
      <c r="BZ30">
        <v>3108.9</v>
      </c>
      <c r="CA30">
        <v>3105.8</v>
      </c>
      <c r="CB30">
        <v>3137.3</v>
      </c>
      <c r="CC30">
        <v>3131.5</v>
      </c>
      <c r="CD30">
        <v>3111.7</v>
      </c>
      <c r="CE30">
        <v>3133.8</v>
      </c>
      <c r="CF30">
        <v>3174.5</v>
      </c>
      <c r="CG30">
        <v>3200.8</v>
      </c>
      <c r="CH30">
        <v>3186.3</v>
      </c>
      <c r="CI30">
        <v>3190.6</v>
      </c>
      <c r="CJ30">
        <v>3190</v>
      </c>
      <c r="CK30">
        <v>3168.8</v>
      </c>
      <c r="CL30">
        <v>3170.3</v>
      </c>
      <c r="CM30">
        <v>3098.1</v>
      </c>
      <c r="CN30">
        <v>3106.8</v>
      </c>
      <c r="CO30">
        <v>3180.7</v>
      </c>
      <c r="CP30">
        <v>3187.1</v>
      </c>
      <c r="CQ30">
        <v>3139</v>
      </c>
      <c r="CR30">
        <v>3156.1</v>
      </c>
      <c r="CS30">
        <v>3136.8</v>
      </c>
    </row>
    <row r="31" spans="1:97">
      <c r="A31" s="9">
        <v>46264</v>
      </c>
      <c r="B31">
        <v>3155.6</v>
      </c>
      <c r="C31">
        <v>3139.7</v>
      </c>
      <c r="D31">
        <v>3135.6</v>
      </c>
      <c r="E31">
        <v>3131.7</v>
      </c>
      <c r="F31">
        <v>3148.9</v>
      </c>
      <c r="G31">
        <v>3136.6</v>
      </c>
      <c r="H31">
        <v>3162.3</v>
      </c>
      <c r="I31">
        <v>3134.8</v>
      </c>
      <c r="J31">
        <v>3129</v>
      </c>
      <c r="K31">
        <v>3134.4</v>
      </c>
      <c r="L31">
        <v>3155.4</v>
      </c>
      <c r="M31">
        <v>3127.4</v>
      </c>
      <c r="N31">
        <v>3131.1</v>
      </c>
      <c r="O31">
        <v>3109.5</v>
      </c>
      <c r="P31">
        <v>3100.3</v>
      </c>
      <c r="Q31">
        <v>3106.6</v>
      </c>
      <c r="R31">
        <v>3125.4</v>
      </c>
      <c r="S31">
        <v>3073.9</v>
      </c>
      <c r="T31">
        <v>3128.5</v>
      </c>
      <c r="U31">
        <v>3162.8</v>
      </c>
      <c r="V31">
        <v>3191.5</v>
      </c>
      <c r="W31">
        <v>3175</v>
      </c>
      <c r="X31">
        <v>3165.5</v>
      </c>
      <c r="Y31">
        <v>3138</v>
      </c>
      <c r="Z31">
        <v>3109.9</v>
      </c>
      <c r="AA31">
        <v>3085.7</v>
      </c>
      <c r="AB31">
        <v>3052.5</v>
      </c>
      <c r="AC31">
        <v>3055.7</v>
      </c>
      <c r="AD31">
        <v>3053.9</v>
      </c>
      <c r="AE31">
        <v>3062.1</v>
      </c>
      <c r="AF31">
        <v>3036.5</v>
      </c>
      <c r="AG31">
        <v>3029.5</v>
      </c>
      <c r="AH31">
        <v>3030.4</v>
      </c>
      <c r="AI31">
        <v>3053.6</v>
      </c>
      <c r="AJ31">
        <v>3067.7</v>
      </c>
      <c r="AK31">
        <v>3050.8</v>
      </c>
      <c r="AL31">
        <v>3042.3</v>
      </c>
      <c r="AM31">
        <v>3068.5</v>
      </c>
      <c r="AN31">
        <v>3108.2</v>
      </c>
      <c r="AO31">
        <v>3109.5</v>
      </c>
      <c r="AP31">
        <v>3117.5</v>
      </c>
      <c r="AQ31">
        <v>3120.1</v>
      </c>
      <c r="AR31">
        <v>3153.2</v>
      </c>
      <c r="AS31">
        <v>3154.9</v>
      </c>
      <c r="AT31">
        <v>3118.7</v>
      </c>
      <c r="AU31">
        <v>3096</v>
      </c>
      <c r="AV31">
        <v>3108.6</v>
      </c>
      <c r="AW31">
        <v>3108.6</v>
      </c>
      <c r="AX31">
        <v>3107.9</v>
      </c>
      <c r="AY31">
        <v>3071.2</v>
      </c>
      <c r="AZ31">
        <v>3091.9</v>
      </c>
      <c r="BA31">
        <v>3114.2</v>
      </c>
      <c r="BB31">
        <v>3110.4</v>
      </c>
      <c r="BC31">
        <v>3110.6</v>
      </c>
      <c r="BD31">
        <v>3060.7</v>
      </c>
      <c r="BE31">
        <v>3072</v>
      </c>
      <c r="BF31">
        <v>3081.1</v>
      </c>
      <c r="BG31">
        <v>3083.5</v>
      </c>
      <c r="BH31">
        <v>3078.8</v>
      </c>
      <c r="BI31">
        <v>3052.2</v>
      </c>
      <c r="BJ31">
        <v>3062.9</v>
      </c>
      <c r="BK31">
        <v>3026.5</v>
      </c>
      <c r="BL31">
        <v>3039.8</v>
      </c>
      <c r="BM31">
        <v>3049.3</v>
      </c>
      <c r="BN31">
        <v>3055.7</v>
      </c>
      <c r="BO31">
        <v>3072.4</v>
      </c>
      <c r="BP31">
        <v>3061.4</v>
      </c>
      <c r="BQ31">
        <v>3085.6</v>
      </c>
      <c r="BR31">
        <v>3065.7</v>
      </c>
      <c r="BS31">
        <v>3063.5</v>
      </c>
      <c r="BT31">
        <v>3123.8</v>
      </c>
      <c r="BU31">
        <v>3101.4</v>
      </c>
      <c r="BV31">
        <v>3112.4</v>
      </c>
      <c r="BW31">
        <v>3100.7</v>
      </c>
      <c r="BX31">
        <v>3102.5</v>
      </c>
      <c r="BY31">
        <v>3103.8</v>
      </c>
      <c r="BZ31">
        <v>3121.3</v>
      </c>
      <c r="CA31">
        <v>3085</v>
      </c>
      <c r="CB31">
        <v>3095.1</v>
      </c>
      <c r="CC31">
        <v>3082</v>
      </c>
      <c r="CD31">
        <v>3054</v>
      </c>
      <c r="CE31">
        <v>3049.5</v>
      </c>
      <c r="CF31">
        <v>3058.6</v>
      </c>
      <c r="CG31">
        <v>3052</v>
      </c>
      <c r="CH31">
        <v>3065.9</v>
      </c>
      <c r="CI31">
        <v>3059.9</v>
      </c>
      <c r="CJ31">
        <v>3059.1</v>
      </c>
      <c r="CK31">
        <v>3055.5</v>
      </c>
      <c r="CL31">
        <v>3074</v>
      </c>
      <c r="CM31">
        <v>3097.4</v>
      </c>
      <c r="CN31">
        <v>3101.3</v>
      </c>
      <c r="CO31">
        <v>3073.2</v>
      </c>
      <c r="CP31">
        <v>3090.6</v>
      </c>
      <c r="CQ31">
        <v>3061.7</v>
      </c>
      <c r="CR31">
        <v>3076.3</v>
      </c>
      <c r="CS31">
        <v>3086.5</v>
      </c>
    </row>
    <row r="32" spans="1:97">
      <c r="A32" s="9">
        <v>46265</v>
      </c>
      <c r="B32">
        <v>3071.4</v>
      </c>
      <c r="C32">
        <v>3075.2</v>
      </c>
      <c r="D32">
        <v>3124.8</v>
      </c>
      <c r="E32">
        <v>3124.2</v>
      </c>
      <c r="F32">
        <v>3130</v>
      </c>
      <c r="G32">
        <v>3109.6</v>
      </c>
      <c r="H32">
        <v>3120.9</v>
      </c>
      <c r="I32">
        <v>3069.4</v>
      </c>
      <c r="J32">
        <v>3054.2</v>
      </c>
      <c r="K32">
        <v>3045.4</v>
      </c>
      <c r="L32">
        <v>3090.9</v>
      </c>
      <c r="M32">
        <v>3119</v>
      </c>
      <c r="N32">
        <v>3105.4</v>
      </c>
      <c r="O32">
        <v>3126.2</v>
      </c>
      <c r="P32">
        <v>3123.2</v>
      </c>
      <c r="Q32">
        <v>3125.2</v>
      </c>
      <c r="R32">
        <v>3150.1</v>
      </c>
      <c r="S32">
        <v>3166.2</v>
      </c>
      <c r="T32">
        <v>3181.2</v>
      </c>
      <c r="U32">
        <v>3185.6</v>
      </c>
      <c r="V32">
        <v>3184.2</v>
      </c>
      <c r="W32">
        <v>3174.4</v>
      </c>
      <c r="X32">
        <v>3184.1</v>
      </c>
      <c r="Y32">
        <v>3229.6</v>
      </c>
      <c r="Z32">
        <v>3241.8</v>
      </c>
      <c r="AA32">
        <v>3218.2</v>
      </c>
      <c r="AB32">
        <v>3240.1</v>
      </c>
      <c r="AC32">
        <v>3249.6</v>
      </c>
      <c r="AD32">
        <v>3240.8</v>
      </c>
      <c r="AE32">
        <v>3207.6</v>
      </c>
      <c r="AF32">
        <v>3181.7</v>
      </c>
      <c r="AG32">
        <v>3179.7</v>
      </c>
      <c r="AH32">
        <v>3169.6</v>
      </c>
      <c r="AI32">
        <v>3124.6</v>
      </c>
      <c r="AJ32">
        <v>3133.3</v>
      </c>
      <c r="AK32">
        <v>3167.1</v>
      </c>
      <c r="AL32">
        <v>3177.4</v>
      </c>
      <c r="AM32">
        <v>3146.8</v>
      </c>
      <c r="AN32">
        <v>3173.2</v>
      </c>
      <c r="AO32">
        <v>3176.8</v>
      </c>
      <c r="AP32">
        <v>3174</v>
      </c>
      <c r="AQ32">
        <v>3164.4</v>
      </c>
      <c r="AR32">
        <v>3169.1</v>
      </c>
      <c r="AS32">
        <v>3170.3</v>
      </c>
      <c r="AT32">
        <v>3172.6</v>
      </c>
      <c r="AU32">
        <v>3176.9</v>
      </c>
      <c r="AV32">
        <v>3162.8</v>
      </c>
      <c r="AW32">
        <v>3155.4</v>
      </c>
      <c r="AX32">
        <v>3147.8</v>
      </c>
      <c r="AY32">
        <v>3121.9</v>
      </c>
      <c r="AZ32">
        <v>3127.4</v>
      </c>
      <c r="BA32">
        <v>3157.2</v>
      </c>
      <c r="BB32">
        <v>3192.4</v>
      </c>
      <c r="BC32">
        <v>3184.5</v>
      </c>
      <c r="BD32">
        <v>3215.1</v>
      </c>
      <c r="BE32">
        <v>3219.7</v>
      </c>
      <c r="BF32">
        <v>3222.3</v>
      </c>
      <c r="BG32">
        <v>3247.5</v>
      </c>
      <c r="BH32">
        <v>3225.2</v>
      </c>
      <c r="BI32">
        <v>3219.7</v>
      </c>
      <c r="BJ32">
        <v>3242.9</v>
      </c>
      <c r="BK32">
        <v>3247.3</v>
      </c>
      <c r="BL32">
        <v>3230.8</v>
      </c>
      <c r="BM32">
        <v>3203.9</v>
      </c>
      <c r="BN32">
        <v>3189.1</v>
      </c>
      <c r="BO32">
        <v>3166.1</v>
      </c>
      <c r="BP32">
        <v>3158.4</v>
      </c>
      <c r="BQ32">
        <v>3188.8</v>
      </c>
      <c r="BR32">
        <v>3168.7</v>
      </c>
      <c r="BS32">
        <v>3157.1</v>
      </c>
      <c r="BT32">
        <v>3182.2</v>
      </c>
      <c r="BU32">
        <v>3179.2</v>
      </c>
      <c r="BV32">
        <v>3116.2</v>
      </c>
      <c r="BW32">
        <v>3042.2</v>
      </c>
      <c r="BX32">
        <v>3048.6</v>
      </c>
      <c r="BY32">
        <v>3027.1</v>
      </c>
      <c r="BZ32">
        <v>3020.1</v>
      </c>
      <c r="CA32">
        <v>3036.5</v>
      </c>
      <c r="CB32">
        <v>3041.3</v>
      </c>
      <c r="CC32">
        <v>3096.4</v>
      </c>
      <c r="CD32">
        <v>3106.9</v>
      </c>
      <c r="CE32">
        <v>3086</v>
      </c>
      <c r="CF32">
        <v>3087.8</v>
      </c>
      <c r="CG32">
        <v>3153.1</v>
      </c>
      <c r="CH32">
        <v>3122.4</v>
      </c>
      <c r="CI32">
        <v>3071.2</v>
      </c>
      <c r="CJ32">
        <v>3049.9</v>
      </c>
      <c r="CK32">
        <v>3059.4</v>
      </c>
      <c r="CL32">
        <v>3002</v>
      </c>
      <c r="CM32">
        <v>2995.8</v>
      </c>
      <c r="CN32">
        <v>3001.3</v>
      </c>
      <c r="CO32">
        <v>3007.7</v>
      </c>
      <c r="CP32">
        <v>3031.8</v>
      </c>
      <c r="CQ32">
        <v>3022.4</v>
      </c>
      <c r="CR32">
        <v>3018.3</v>
      </c>
      <c r="CS32">
        <v>3027.9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CS42"/>
  <sheetViews>
    <sheetView workbookViewId="0">
      <selection activeCell="L52" sqref="L52"/>
    </sheetView>
  </sheetViews>
  <sheetFormatPr defaultColWidth="9" defaultRowHeight="13.5"/>
  <cols>
    <col min="1" max="1" width="11.8916666666667" style="9" customWidth="1"/>
  </cols>
  <sheetData>
    <row r="1" spans="1:97">
      <c r="A1" s="9" t="s">
        <v>0</v>
      </c>
      <c r="B1" s="1">
        <v>0.0104166666666667</v>
      </c>
      <c r="C1" s="1">
        <v>0.0208333333333333</v>
      </c>
      <c r="D1" s="1">
        <v>0.03125</v>
      </c>
      <c r="E1" s="1">
        <v>0.0416666666666667</v>
      </c>
      <c r="F1" s="1">
        <v>0.0520833333333333</v>
      </c>
      <c r="G1" s="1">
        <v>0.0625</v>
      </c>
      <c r="H1" s="1">
        <v>0.0729166666666667</v>
      </c>
      <c r="I1" s="1">
        <v>0.0833333333333333</v>
      </c>
      <c r="J1" s="1">
        <v>0.09375</v>
      </c>
      <c r="K1" s="1">
        <v>0.104166666666667</v>
      </c>
      <c r="L1" s="1">
        <v>0.114583333333333</v>
      </c>
      <c r="M1" s="1">
        <v>0.125</v>
      </c>
      <c r="N1" s="1">
        <v>0.135416666666667</v>
      </c>
      <c r="O1" s="1">
        <v>0.145833333333333</v>
      </c>
      <c r="P1" s="1">
        <v>0.15625</v>
      </c>
      <c r="Q1" s="1">
        <v>0.166666666666667</v>
      </c>
      <c r="R1" s="1">
        <v>0.177083333333333</v>
      </c>
      <c r="S1" s="1">
        <v>0.1875</v>
      </c>
      <c r="T1" s="1">
        <v>0.197916666666667</v>
      </c>
      <c r="U1" s="1">
        <v>0.208333333333333</v>
      </c>
      <c r="V1" s="1">
        <v>0.21875</v>
      </c>
      <c r="W1" s="1">
        <v>0.229166666666667</v>
      </c>
      <c r="X1" s="1">
        <v>0.239583333333333</v>
      </c>
      <c r="Y1" s="1">
        <v>0.25</v>
      </c>
      <c r="Z1" s="1">
        <v>0.260416666666667</v>
      </c>
      <c r="AA1" s="1">
        <v>0.270833333333333</v>
      </c>
      <c r="AB1" s="1">
        <v>0.28125</v>
      </c>
      <c r="AC1" s="1">
        <v>0.291666666666667</v>
      </c>
      <c r="AD1" s="1">
        <v>0.302083333333333</v>
      </c>
      <c r="AE1" s="1">
        <v>0.3125</v>
      </c>
      <c r="AF1" s="1">
        <v>0.322916666666667</v>
      </c>
      <c r="AG1" s="1">
        <v>0.333333333333333</v>
      </c>
      <c r="AH1" s="1">
        <v>0.34375</v>
      </c>
      <c r="AI1" s="1">
        <v>0.354166666666667</v>
      </c>
      <c r="AJ1" s="1">
        <v>0.364583333333333</v>
      </c>
      <c r="AK1" s="1">
        <v>0.375</v>
      </c>
      <c r="AL1" s="1">
        <v>0.385416666666667</v>
      </c>
      <c r="AM1" s="1">
        <v>0.395833333333333</v>
      </c>
      <c r="AN1" s="1">
        <v>0.40625</v>
      </c>
      <c r="AO1" s="1">
        <v>0.416666666666667</v>
      </c>
      <c r="AP1" s="1">
        <v>0.427083333333333</v>
      </c>
      <c r="AQ1" s="1">
        <v>0.4375</v>
      </c>
      <c r="AR1" s="1">
        <v>0.447916666666667</v>
      </c>
      <c r="AS1" s="1">
        <v>0.458333333333333</v>
      </c>
      <c r="AT1" s="1">
        <v>0.46875</v>
      </c>
      <c r="AU1" s="1">
        <v>0.479166666666667</v>
      </c>
      <c r="AV1" s="1">
        <v>0.489583333333333</v>
      </c>
      <c r="AW1" s="1">
        <v>0.5</v>
      </c>
      <c r="AX1" s="1">
        <v>0.510416666666667</v>
      </c>
      <c r="AY1" s="1">
        <v>0.520833333333333</v>
      </c>
      <c r="AZ1" s="1">
        <v>0.53125</v>
      </c>
      <c r="BA1" s="1">
        <v>0.541666666666667</v>
      </c>
      <c r="BB1" s="1">
        <v>0.552083333333333</v>
      </c>
      <c r="BC1" s="1">
        <v>0.5625</v>
      </c>
      <c r="BD1" s="1">
        <v>0.572916666666667</v>
      </c>
      <c r="BE1" s="1">
        <v>0.583333333333333</v>
      </c>
      <c r="BF1" s="1">
        <v>0.59375</v>
      </c>
      <c r="BG1" s="1">
        <v>0.604166666666667</v>
      </c>
      <c r="BH1" s="1">
        <v>0.614583333333333</v>
      </c>
      <c r="BI1" s="1">
        <v>0.625</v>
      </c>
      <c r="BJ1" s="1">
        <v>0.635416666666667</v>
      </c>
      <c r="BK1" s="1">
        <v>0.645833333333333</v>
      </c>
      <c r="BL1" s="1">
        <v>0.65625</v>
      </c>
      <c r="BM1" s="1">
        <v>0.666666666666667</v>
      </c>
      <c r="BN1" s="1">
        <v>0.677083333333333</v>
      </c>
      <c r="BO1" s="1">
        <v>0.6875</v>
      </c>
      <c r="BP1" s="1">
        <v>0.697916666666667</v>
      </c>
      <c r="BQ1" s="1">
        <v>0.708333333333333</v>
      </c>
      <c r="BR1" s="1">
        <v>0.71875</v>
      </c>
      <c r="BS1" s="1">
        <v>0.729166666666667</v>
      </c>
      <c r="BT1" s="1">
        <v>0.739583333333333</v>
      </c>
      <c r="BU1" s="1">
        <v>0.75</v>
      </c>
      <c r="BV1" s="1">
        <v>0.760416666666667</v>
      </c>
      <c r="BW1" s="1">
        <v>0.770833333333333</v>
      </c>
      <c r="BX1" s="1">
        <v>0.78125</v>
      </c>
      <c r="BY1" s="1">
        <v>0.791666666666667</v>
      </c>
      <c r="BZ1" s="1">
        <v>0.802083333333333</v>
      </c>
      <c r="CA1" s="1">
        <v>0.8125</v>
      </c>
      <c r="CB1" s="1">
        <v>0.822916666666667</v>
      </c>
      <c r="CC1" s="1">
        <v>0.833333333333333</v>
      </c>
      <c r="CD1" s="1">
        <v>0.84375</v>
      </c>
      <c r="CE1" s="1">
        <v>0.854166666666667</v>
      </c>
      <c r="CF1" s="1">
        <v>0.864583333333333</v>
      </c>
      <c r="CG1" s="1">
        <v>0.875</v>
      </c>
      <c r="CH1" s="1">
        <v>0.885416666666667</v>
      </c>
      <c r="CI1" s="1">
        <v>0.895833333333333</v>
      </c>
      <c r="CJ1" s="1">
        <v>0.90625</v>
      </c>
      <c r="CK1" s="1">
        <v>0.916666666666667</v>
      </c>
      <c r="CL1" s="1">
        <v>0.927083333333333</v>
      </c>
      <c r="CM1" s="1">
        <v>0.9375</v>
      </c>
      <c r="CN1" s="1">
        <v>0.947916666666667</v>
      </c>
      <c r="CO1" s="1">
        <v>0.958333333333333</v>
      </c>
      <c r="CP1" s="1">
        <v>0.96875</v>
      </c>
      <c r="CQ1" s="1">
        <v>0.979166666666667</v>
      </c>
      <c r="CR1" s="1">
        <v>0.989583333333333</v>
      </c>
      <c r="CS1" s="1">
        <v>1</v>
      </c>
    </row>
    <row r="2" spans="1:97">
      <c r="A2" s="9">
        <v>45175</v>
      </c>
    </row>
    <row r="3" spans="1:97">
      <c r="A3" s="9">
        <v>45176</v>
      </c>
    </row>
    <row r="4" spans="1:97">
      <c r="A4" s="9">
        <v>45177</v>
      </c>
    </row>
    <row r="5" spans="1:97">
      <c r="A5" s="9">
        <v>45178</v>
      </c>
    </row>
    <row r="6" spans="1:97">
      <c r="A6" s="9">
        <v>45179</v>
      </c>
    </row>
    <row r="7" spans="1:97">
      <c r="A7" s="9">
        <v>45180</v>
      </c>
    </row>
    <row r="8" spans="1:97">
      <c r="A8" s="9">
        <v>45181</v>
      </c>
    </row>
    <row r="9" spans="1:97">
      <c r="A9" s="9">
        <v>45182</v>
      </c>
    </row>
    <row r="10" spans="1:97">
      <c r="A10" s="9">
        <v>45183</v>
      </c>
    </row>
    <row r="11" spans="1:97">
      <c r="A11" s="9">
        <v>45184</v>
      </c>
    </row>
    <row r="12" spans="1:97">
      <c r="A12" s="9">
        <v>45185</v>
      </c>
    </row>
    <row r="13" spans="1:97">
      <c r="A13" s="9">
        <v>45186</v>
      </c>
    </row>
    <row r="14" spans="1:97">
      <c r="A14" s="9">
        <v>45187</v>
      </c>
    </row>
    <row r="15" spans="1:97">
      <c r="A15" s="9">
        <v>45188</v>
      </c>
    </row>
    <row r="16" spans="1:97">
      <c r="A16" s="9">
        <v>45189</v>
      </c>
    </row>
    <row r="17" spans="1:1">
      <c r="A17" s="9">
        <v>45190</v>
      </c>
    </row>
    <row r="18" spans="1:1">
      <c r="A18" s="9">
        <v>45191</v>
      </c>
    </row>
    <row r="19" spans="1:1">
      <c r="A19" s="9">
        <v>45192</v>
      </c>
    </row>
    <row r="20" spans="1:1">
      <c r="A20" s="9">
        <v>45193</v>
      </c>
    </row>
    <row r="21" spans="1:1">
      <c r="A21" s="9">
        <v>45194</v>
      </c>
    </row>
    <row r="22" spans="1:1">
      <c r="A22" s="9">
        <v>45195</v>
      </c>
    </row>
    <row r="23" spans="1:1">
      <c r="A23" s="9">
        <v>45196</v>
      </c>
    </row>
    <row r="24" spans="1:1">
      <c r="A24" s="9">
        <v>45197</v>
      </c>
    </row>
    <row r="25" spans="1:1">
      <c r="A25" s="9">
        <v>45198</v>
      </c>
    </row>
    <row r="26" spans="1:1">
      <c r="A26" s="9">
        <v>45199</v>
      </c>
    </row>
    <row r="27" spans="1:1">
      <c r="A27" s="9">
        <v>45377</v>
      </c>
    </row>
    <row r="28" spans="1:1">
      <c r="A28" s="9">
        <v>45378</v>
      </c>
    </row>
    <row r="29" spans="1:1">
      <c r="A29" s="9">
        <v>45379</v>
      </c>
    </row>
    <row r="30" spans="1:1">
      <c r="A30" s="9">
        <v>45380</v>
      </c>
    </row>
    <row r="31" spans="1:1">
      <c r="A31" s="9">
        <v>45381</v>
      </c>
    </row>
    <row r="32" spans="1:1">
      <c r="A32" s="9">
        <v>45382</v>
      </c>
    </row>
    <row r="33" spans="1:1">
      <c r="A33" s="9">
        <v>45383</v>
      </c>
    </row>
    <row r="34" spans="1:1">
      <c r="A34" s="9">
        <v>45384</v>
      </c>
    </row>
    <row r="35" spans="1:1">
      <c r="A35" s="9">
        <v>45385</v>
      </c>
    </row>
    <row r="36" spans="1:1">
      <c r="A36" s="9">
        <v>45386</v>
      </c>
    </row>
    <row r="37" spans="1:1">
      <c r="A37" s="9">
        <v>45387</v>
      </c>
    </row>
    <row r="38" spans="1:1">
      <c r="A38" s="9">
        <v>45388</v>
      </c>
    </row>
    <row r="39" spans="1:1">
      <c r="A39" s="9">
        <v>45389</v>
      </c>
    </row>
    <row r="40" spans="1:1">
      <c r="A40" s="9">
        <v>45390</v>
      </c>
    </row>
    <row r="41" spans="1:1">
      <c r="A41" s="9">
        <v>45391</v>
      </c>
    </row>
    <row r="42" spans="1:1">
      <c r="A42" s="9">
        <v>45392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CS32"/>
  <sheetViews>
    <sheetView workbookViewId="0">
      <selection activeCell="B2" sqref="B2:B32"/>
    </sheetView>
  </sheetViews>
  <sheetFormatPr defaultColWidth="9" defaultRowHeight="13.5"/>
  <cols>
    <col min="1" max="1" width="11.8916666666667" style="9" customWidth="1"/>
    <col min="2" max="2" width="12.6333333333333"/>
    <col min="3" max="15" width="11.5"/>
    <col min="16" max="16" width="12.6333333333333"/>
    <col min="17" max="20" width="11.5"/>
    <col min="21" max="21" width="12.6333333333333"/>
    <col min="22" max="22" width="11.5"/>
    <col min="23" max="24" width="12.6333333333333"/>
    <col min="25" max="25" width="11.5"/>
    <col min="26" max="32" width="12.6333333333333"/>
    <col min="33" max="33" width="11.5"/>
    <col min="34" max="37" width="12.6333333333333"/>
    <col min="38" max="38" width="11.5"/>
    <col min="39" max="44" width="12.6333333333333"/>
    <col min="45" max="45" width="11.5"/>
    <col min="46" max="49" width="12.6333333333333"/>
    <col min="50" max="50" width="11.5"/>
    <col min="51" max="51" width="12.6333333333333"/>
    <col min="52" max="52" width="11.5"/>
    <col min="53" max="59" width="12.6333333333333"/>
    <col min="60" max="60" width="11.5"/>
    <col min="61" max="67" width="12.6333333333333"/>
    <col min="68" max="68" width="11.5"/>
    <col min="69" max="75" width="12.6333333333333"/>
    <col min="76" max="76" width="11.5"/>
    <col min="77" max="79" width="12.6333333333333"/>
    <col min="80" max="80" width="11.5"/>
    <col min="81" max="97" width="12.6333333333333"/>
  </cols>
  <sheetData>
    <row r="1" spans="1:97">
      <c r="A1" s="9" t="s">
        <v>0</v>
      </c>
      <c r="B1" s="1">
        <v>0.0104166666666667</v>
      </c>
      <c r="C1" s="1">
        <v>0.0208333333333333</v>
      </c>
      <c r="D1" s="1">
        <v>0.03125</v>
      </c>
      <c r="E1" s="1">
        <v>0.0416666666666667</v>
      </c>
      <c r="F1" s="1">
        <v>0.0520833333333333</v>
      </c>
      <c r="G1" s="1">
        <v>0.0625</v>
      </c>
      <c r="H1" s="1">
        <v>0.0729166666666667</v>
      </c>
      <c r="I1" s="1">
        <v>0.0833333333333333</v>
      </c>
      <c r="J1" s="1">
        <v>0.09375</v>
      </c>
      <c r="K1" s="1">
        <v>0.104166666666667</v>
      </c>
      <c r="L1" s="1">
        <v>0.114583333333333</v>
      </c>
      <c r="M1" s="1">
        <v>0.125</v>
      </c>
      <c r="N1" s="1">
        <v>0.135416666666667</v>
      </c>
      <c r="O1" s="1">
        <v>0.145833333333333</v>
      </c>
      <c r="P1" s="1">
        <v>0.15625</v>
      </c>
      <c r="Q1" s="1">
        <v>0.166666666666667</v>
      </c>
      <c r="R1" s="1">
        <v>0.177083333333333</v>
      </c>
      <c r="S1" s="1">
        <v>0.1875</v>
      </c>
      <c r="T1" s="1">
        <v>0.197916666666667</v>
      </c>
      <c r="U1" s="1">
        <v>0.208333333333333</v>
      </c>
      <c r="V1" s="1">
        <v>0.21875</v>
      </c>
      <c r="W1" s="1">
        <v>0.229166666666667</v>
      </c>
      <c r="X1" s="1">
        <v>0.239583333333333</v>
      </c>
      <c r="Y1" s="1">
        <v>0.25</v>
      </c>
      <c r="Z1" s="1">
        <v>0.260416666666667</v>
      </c>
      <c r="AA1" s="1">
        <v>0.270833333333333</v>
      </c>
      <c r="AB1" s="1">
        <v>0.28125</v>
      </c>
      <c r="AC1" s="1">
        <v>0.291666666666667</v>
      </c>
      <c r="AD1" s="1">
        <v>0.302083333333333</v>
      </c>
      <c r="AE1" s="1">
        <v>0.3125</v>
      </c>
      <c r="AF1" s="1">
        <v>0.322916666666667</v>
      </c>
      <c r="AG1" s="1">
        <v>0.333333333333333</v>
      </c>
      <c r="AH1" s="1">
        <v>0.34375</v>
      </c>
      <c r="AI1" s="1">
        <v>0.354166666666667</v>
      </c>
      <c r="AJ1" s="1">
        <v>0.364583333333333</v>
      </c>
      <c r="AK1" s="1">
        <v>0.375</v>
      </c>
      <c r="AL1" s="1">
        <v>0.385416666666667</v>
      </c>
      <c r="AM1" s="1">
        <v>0.395833333333333</v>
      </c>
      <c r="AN1" s="1">
        <v>0.40625</v>
      </c>
      <c r="AO1" s="1">
        <v>0.416666666666667</v>
      </c>
      <c r="AP1" s="1">
        <v>0.427083333333333</v>
      </c>
      <c r="AQ1" s="1">
        <v>0.4375</v>
      </c>
      <c r="AR1" s="1">
        <v>0.447916666666667</v>
      </c>
      <c r="AS1" s="1">
        <v>0.458333333333333</v>
      </c>
      <c r="AT1" s="1">
        <v>0.46875</v>
      </c>
      <c r="AU1" s="1">
        <v>0.479166666666667</v>
      </c>
      <c r="AV1" s="1">
        <v>0.489583333333333</v>
      </c>
      <c r="AW1" s="1">
        <v>0.5</v>
      </c>
      <c r="AX1" s="1">
        <v>0.510416666666667</v>
      </c>
      <c r="AY1" s="1">
        <v>0.520833333333333</v>
      </c>
      <c r="AZ1" s="1">
        <v>0.53125</v>
      </c>
      <c r="BA1" s="1">
        <v>0.541666666666667</v>
      </c>
      <c r="BB1" s="1">
        <v>0.552083333333333</v>
      </c>
      <c r="BC1" s="1">
        <v>0.5625</v>
      </c>
      <c r="BD1" s="1">
        <v>0.572916666666667</v>
      </c>
      <c r="BE1" s="1">
        <v>0.583333333333333</v>
      </c>
      <c r="BF1" s="1">
        <v>0.59375</v>
      </c>
      <c r="BG1" s="1">
        <v>0.604166666666667</v>
      </c>
      <c r="BH1" s="1">
        <v>0.614583333333333</v>
      </c>
      <c r="BI1" s="1">
        <v>0.625</v>
      </c>
      <c r="BJ1" s="1">
        <v>0.635416666666667</v>
      </c>
      <c r="BK1" s="1">
        <v>0.645833333333333</v>
      </c>
      <c r="BL1" s="1">
        <v>0.65625</v>
      </c>
      <c r="BM1" s="1">
        <v>0.666666666666667</v>
      </c>
      <c r="BN1" s="1">
        <v>0.677083333333333</v>
      </c>
      <c r="BO1" s="1">
        <v>0.6875</v>
      </c>
      <c r="BP1" s="1">
        <v>0.697916666666667</v>
      </c>
      <c r="BQ1" s="1">
        <v>0.708333333333333</v>
      </c>
      <c r="BR1" s="1">
        <v>0.71875</v>
      </c>
      <c r="BS1" s="1">
        <v>0.729166666666667</v>
      </c>
      <c r="BT1" s="1">
        <v>0.739583333333333</v>
      </c>
      <c r="BU1" s="1">
        <v>0.75</v>
      </c>
      <c r="BV1" s="1">
        <v>0.760416666666667</v>
      </c>
      <c r="BW1" s="1">
        <v>0.770833333333333</v>
      </c>
      <c r="BX1" s="1">
        <v>0.78125</v>
      </c>
      <c r="BY1" s="1">
        <v>0.791666666666667</v>
      </c>
      <c r="BZ1" s="1">
        <v>0.802083333333333</v>
      </c>
      <c r="CA1" s="1">
        <v>0.8125</v>
      </c>
      <c r="CB1" s="1">
        <v>0.822916666666667</v>
      </c>
      <c r="CC1" s="1">
        <v>0.833333333333333</v>
      </c>
      <c r="CD1" s="1">
        <v>0.84375</v>
      </c>
      <c r="CE1" s="1">
        <v>0.854166666666667</v>
      </c>
      <c r="CF1" s="1">
        <v>0.864583333333333</v>
      </c>
      <c r="CG1" s="1">
        <v>0.875</v>
      </c>
      <c r="CH1" s="1">
        <v>0.885416666666667</v>
      </c>
      <c r="CI1" s="1">
        <v>0.895833333333333</v>
      </c>
      <c r="CJ1" s="1">
        <v>0.90625</v>
      </c>
      <c r="CK1" s="1">
        <v>0.916666666666667</v>
      </c>
      <c r="CL1" s="1">
        <v>0.927083333333333</v>
      </c>
      <c r="CM1" s="1">
        <v>0.9375</v>
      </c>
      <c r="CN1" s="1">
        <v>0.947916666666667</v>
      </c>
      <c r="CO1" s="1">
        <v>0.958333333333333</v>
      </c>
      <c r="CP1" s="1">
        <v>0.96875</v>
      </c>
      <c r="CQ1" s="1">
        <v>0.979166666666667</v>
      </c>
      <c r="CR1" s="1">
        <v>0.989583333333333</v>
      </c>
      <c r="CS1" s="1">
        <v>1</v>
      </c>
    </row>
    <row r="2" spans="1:97">
      <c r="A2" s="9">
        <v>46235</v>
      </c>
      <c r="B2" cm="1">
        <f t="array" ref="B2:CS2">负荷!B2:CS2-水电!B2:CS2-核电!B2:CS2-地方燃煤!B2:CS2-风电!B2:CS2-光伏!B2:CS2-非市场化!B2:CS2-联络线!B2:CS2</f>
        <v>10350.81</v>
      </c>
      <c r="C2">
        <v>11161.26</v>
      </c>
      <c r="D2">
        <v>10717.96</v>
      </c>
      <c r="E2">
        <v>10513.03</v>
      </c>
      <c r="F2">
        <v>10851.68</v>
      </c>
      <c r="G2">
        <v>10748.63</v>
      </c>
      <c r="H2">
        <v>10548.89</v>
      </c>
      <c r="I2">
        <v>10759.84</v>
      </c>
      <c r="J2">
        <v>11103.51</v>
      </c>
      <c r="K2">
        <v>11208.9</v>
      </c>
      <c r="L2">
        <v>11513.73</v>
      </c>
      <c r="M2">
        <v>11814.57</v>
      </c>
      <c r="N2">
        <v>12452.61</v>
      </c>
      <c r="O2">
        <v>11898.67</v>
      </c>
      <c r="P2">
        <v>12125.43</v>
      </c>
      <c r="Q2">
        <v>12116.18</v>
      </c>
      <c r="R2">
        <v>12532.02</v>
      </c>
      <c r="S2">
        <v>12463.74</v>
      </c>
      <c r="T2">
        <v>12636.25</v>
      </c>
      <c r="U2">
        <v>12103.41</v>
      </c>
      <c r="V2">
        <v>12164.54</v>
      </c>
      <c r="W2">
        <v>12709.19</v>
      </c>
      <c r="X2">
        <v>12948.62</v>
      </c>
      <c r="Y2">
        <v>13139.48</v>
      </c>
      <c r="Z2">
        <v>13859.42</v>
      </c>
      <c r="AA2">
        <v>13946.43</v>
      </c>
      <c r="AB2">
        <v>13576</v>
      </c>
      <c r="AC2">
        <v>13311.37</v>
      </c>
      <c r="AD2">
        <v>13420.03</v>
      </c>
      <c r="AE2">
        <v>13477.83</v>
      </c>
      <c r="AF2">
        <v>13752.65</v>
      </c>
      <c r="AG2">
        <v>13229.49</v>
      </c>
      <c r="AH2">
        <v>13551.63</v>
      </c>
      <c r="AI2">
        <v>13506.88</v>
      </c>
      <c r="AJ2">
        <v>13285.23</v>
      </c>
      <c r="AK2">
        <v>13020.61</v>
      </c>
      <c r="AL2">
        <v>12520.77</v>
      </c>
      <c r="AM2">
        <v>12395.95</v>
      </c>
      <c r="AN2">
        <v>11802</v>
      </c>
      <c r="AO2">
        <v>11844.03</v>
      </c>
      <c r="AP2">
        <v>12241.56</v>
      </c>
      <c r="AQ2">
        <v>11893.49</v>
      </c>
      <c r="AR2">
        <v>12092.44</v>
      </c>
      <c r="AS2">
        <v>12093.43</v>
      </c>
      <c r="AT2">
        <v>10920.39</v>
      </c>
      <c r="AU2">
        <v>11533.72</v>
      </c>
      <c r="AV2">
        <v>11110.5</v>
      </c>
      <c r="AW2">
        <v>11425.38</v>
      </c>
      <c r="AX2">
        <v>10569.54</v>
      </c>
      <c r="AY2">
        <v>10598.97</v>
      </c>
      <c r="AZ2">
        <v>10312.34</v>
      </c>
      <c r="BA2">
        <v>9894.92</v>
      </c>
      <c r="BB2">
        <v>10550.67</v>
      </c>
      <c r="BC2">
        <v>10908.38</v>
      </c>
      <c r="BD2">
        <v>11091.45</v>
      </c>
      <c r="BE2">
        <v>11323.47</v>
      </c>
      <c r="BF2">
        <v>11333.79</v>
      </c>
      <c r="BG2">
        <v>11776.05</v>
      </c>
      <c r="BH2">
        <v>12083.91</v>
      </c>
      <c r="BI2">
        <v>12472.2</v>
      </c>
      <c r="BJ2">
        <v>12830.88</v>
      </c>
      <c r="BK2">
        <v>13080.81</v>
      </c>
      <c r="BL2">
        <v>12696.97</v>
      </c>
      <c r="BM2">
        <v>12601.93</v>
      </c>
      <c r="BN2">
        <v>14002.71</v>
      </c>
      <c r="BO2">
        <v>14683.13</v>
      </c>
      <c r="BP2">
        <v>15009.89</v>
      </c>
      <c r="BQ2">
        <v>15002.08</v>
      </c>
      <c r="BR2">
        <v>16021.93</v>
      </c>
      <c r="BS2">
        <v>16769.63</v>
      </c>
      <c r="BT2">
        <v>16718.55</v>
      </c>
      <c r="BU2">
        <v>17176.61</v>
      </c>
      <c r="BV2">
        <v>17233.35</v>
      </c>
      <c r="BW2">
        <v>17390.53</v>
      </c>
      <c r="BX2">
        <v>18128.34</v>
      </c>
      <c r="BY2">
        <v>18542.08</v>
      </c>
      <c r="BZ2">
        <v>19030.3</v>
      </c>
      <c r="CA2">
        <v>19798.93</v>
      </c>
      <c r="CB2">
        <v>20509.43</v>
      </c>
      <c r="CC2">
        <v>20608.85</v>
      </c>
      <c r="CD2">
        <v>20912.81</v>
      </c>
      <c r="CE2">
        <v>21722.14</v>
      </c>
      <c r="CF2">
        <v>22053.65</v>
      </c>
      <c r="CG2">
        <v>22014.63</v>
      </c>
      <c r="CH2">
        <v>21763.48</v>
      </c>
      <c r="CI2">
        <v>20915.79</v>
      </c>
      <c r="CJ2">
        <v>20573.73</v>
      </c>
      <c r="CK2">
        <v>20236.09</v>
      </c>
      <c r="CL2">
        <v>20560.05</v>
      </c>
      <c r="CM2">
        <v>20515.26</v>
      </c>
      <c r="CN2">
        <v>19906.22</v>
      </c>
      <c r="CO2">
        <v>19088.16</v>
      </c>
      <c r="CP2">
        <v>18687.74</v>
      </c>
      <c r="CQ2">
        <v>18049.34</v>
      </c>
      <c r="CR2">
        <v>17654.42</v>
      </c>
      <c r="CS2">
        <v>17454.21</v>
      </c>
    </row>
    <row r="3" spans="1:97">
      <c r="A3" s="9">
        <v>46236</v>
      </c>
      <c r="B3" cm="1">
        <f t="array" ref="B3:CS3">负荷!B3:CS3-水电!B3:CS3-核电!B3:CS3-地方燃煤!B3:CS3-风电!B3:CS3-光伏!B3:CS3-非市场化!B3:CS3-联络线!B3:CS3</f>
        <v>19200.83</v>
      </c>
      <c r="C3">
        <v>20593.51</v>
      </c>
      <c r="D3">
        <v>21193.07</v>
      </c>
      <c r="E3">
        <v>21348.12</v>
      </c>
      <c r="F3">
        <v>21372.1</v>
      </c>
      <c r="G3">
        <v>21133.15</v>
      </c>
      <c r="H3">
        <v>21145.26</v>
      </c>
      <c r="I3">
        <v>20689.57</v>
      </c>
      <c r="J3">
        <v>20341.1</v>
      </c>
      <c r="K3">
        <v>20771.23</v>
      </c>
      <c r="L3">
        <v>20539.44</v>
      </c>
      <c r="M3">
        <v>20464.28</v>
      </c>
      <c r="N3">
        <v>20601.19</v>
      </c>
      <c r="O3">
        <v>20494.87</v>
      </c>
      <c r="P3">
        <v>20507.83</v>
      </c>
      <c r="Q3">
        <v>20492.78</v>
      </c>
      <c r="R3">
        <v>20593.59</v>
      </c>
      <c r="S3">
        <v>20236.41</v>
      </c>
      <c r="T3">
        <v>19726.83</v>
      </c>
      <c r="U3">
        <v>19267.03</v>
      </c>
      <c r="V3">
        <v>19222.88</v>
      </c>
      <c r="W3">
        <v>18638.3</v>
      </c>
      <c r="X3">
        <v>18850.36</v>
      </c>
      <c r="Y3">
        <v>19078.36</v>
      </c>
      <c r="Z3">
        <v>19530.52</v>
      </c>
      <c r="AA3">
        <v>20100.69</v>
      </c>
      <c r="AB3">
        <v>19988.11</v>
      </c>
      <c r="AC3">
        <v>19926.01</v>
      </c>
      <c r="AD3">
        <v>18688.84</v>
      </c>
      <c r="AE3">
        <v>18501.28</v>
      </c>
      <c r="AF3">
        <v>18601.04</v>
      </c>
      <c r="AG3">
        <v>18877.49</v>
      </c>
      <c r="AH3">
        <v>19221.46</v>
      </c>
      <c r="AI3">
        <v>19262.08</v>
      </c>
      <c r="AJ3">
        <v>18501</v>
      </c>
      <c r="AK3">
        <v>18038.4</v>
      </c>
      <c r="AL3">
        <v>19030.27</v>
      </c>
      <c r="AM3">
        <v>18890.49</v>
      </c>
      <c r="AN3">
        <v>18976.01</v>
      </c>
      <c r="AO3">
        <v>18360.72</v>
      </c>
      <c r="AP3">
        <v>17513.39</v>
      </c>
      <c r="AQ3">
        <v>17527.75</v>
      </c>
      <c r="AR3">
        <v>17938.5</v>
      </c>
      <c r="AS3">
        <v>17942.78</v>
      </c>
      <c r="AT3">
        <v>18241.33</v>
      </c>
      <c r="AU3">
        <v>17795.7</v>
      </c>
      <c r="AV3">
        <v>18131.65</v>
      </c>
      <c r="AW3">
        <v>17951.72</v>
      </c>
      <c r="AX3">
        <v>18110.98</v>
      </c>
      <c r="AY3">
        <v>17583.75</v>
      </c>
      <c r="AZ3">
        <v>17776.54</v>
      </c>
      <c r="BA3">
        <v>17331.78</v>
      </c>
      <c r="BB3">
        <v>18016.03</v>
      </c>
      <c r="BC3">
        <v>17876.08</v>
      </c>
      <c r="BD3">
        <v>17953.69</v>
      </c>
      <c r="BE3">
        <v>18050.96</v>
      </c>
      <c r="BF3">
        <v>18380.37</v>
      </c>
      <c r="BG3">
        <v>18385.71</v>
      </c>
      <c r="BH3">
        <v>18174.07</v>
      </c>
      <c r="BI3">
        <v>17356.22</v>
      </c>
      <c r="BJ3">
        <v>17380.55</v>
      </c>
      <c r="BK3">
        <v>17213.36</v>
      </c>
      <c r="BL3">
        <v>17766.91</v>
      </c>
      <c r="BM3">
        <v>18487.4</v>
      </c>
      <c r="BN3">
        <v>18916.81</v>
      </c>
      <c r="BO3">
        <v>19383.94</v>
      </c>
      <c r="BP3">
        <v>19458.78</v>
      </c>
      <c r="BQ3">
        <v>19036.12</v>
      </c>
      <c r="BR3">
        <v>19620.42</v>
      </c>
      <c r="BS3">
        <v>19866</v>
      </c>
      <c r="BT3">
        <v>20371.67</v>
      </c>
      <c r="BU3">
        <v>20788.66</v>
      </c>
      <c r="BV3">
        <v>20628.54</v>
      </c>
      <c r="BW3">
        <v>20372.57</v>
      </c>
      <c r="BX3">
        <v>20711.83</v>
      </c>
      <c r="BY3">
        <v>20008.23</v>
      </c>
      <c r="BZ3">
        <v>20935.26</v>
      </c>
      <c r="CA3">
        <v>21643.87</v>
      </c>
      <c r="CB3">
        <v>22095.79</v>
      </c>
      <c r="CC3">
        <v>21950.87</v>
      </c>
      <c r="CD3">
        <v>21780.06</v>
      </c>
      <c r="CE3">
        <v>21586.74</v>
      </c>
      <c r="CF3">
        <v>20777.67</v>
      </c>
      <c r="CG3">
        <v>20348.6</v>
      </c>
      <c r="CH3">
        <v>21083.93</v>
      </c>
      <c r="CI3">
        <v>21608.42</v>
      </c>
      <c r="CJ3">
        <v>20992.58</v>
      </c>
      <c r="CK3">
        <v>20408.31</v>
      </c>
      <c r="CL3">
        <v>19807.43</v>
      </c>
      <c r="CM3">
        <v>19374.61</v>
      </c>
      <c r="CN3">
        <v>19700.35</v>
      </c>
      <c r="CO3">
        <v>19776.34</v>
      </c>
      <c r="CP3">
        <v>18842.77</v>
      </c>
      <c r="CQ3">
        <v>18041.41</v>
      </c>
      <c r="CR3">
        <v>16606.7</v>
      </c>
      <c r="CS3">
        <v>15870.94</v>
      </c>
    </row>
    <row r="4" spans="1:97">
      <c r="A4" s="9">
        <v>46237</v>
      </c>
      <c r="B4" cm="1">
        <f t="array" ref="B4:CS4">负荷!B4:CS4-水电!B4:CS4-核电!B4:CS4-地方燃煤!B4:CS4-风电!B4:CS4-光伏!B4:CS4-非市场化!B4:CS4-联络线!B4:CS4</f>
        <v>16083.19</v>
      </c>
      <c r="C4">
        <v>16085.79</v>
      </c>
      <c r="D4">
        <v>16225.92</v>
      </c>
      <c r="E4">
        <v>16057.93</v>
      </c>
      <c r="F4">
        <v>16148.99</v>
      </c>
      <c r="G4">
        <v>16010.47</v>
      </c>
      <c r="H4">
        <v>15885.33</v>
      </c>
      <c r="I4">
        <v>15466.08</v>
      </c>
      <c r="J4">
        <v>15042.97</v>
      </c>
      <c r="K4">
        <v>14686.07</v>
      </c>
      <c r="L4">
        <v>13881.43</v>
      </c>
      <c r="M4">
        <v>13368.42</v>
      </c>
      <c r="N4">
        <v>13733.19</v>
      </c>
      <c r="O4">
        <v>13655.61</v>
      </c>
      <c r="P4">
        <v>13346.28</v>
      </c>
      <c r="Q4">
        <v>13310.79</v>
      </c>
      <c r="R4">
        <v>13318.62</v>
      </c>
      <c r="S4">
        <v>13475.91</v>
      </c>
      <c r="T4">
        <v>13866.41</v>
      </c>
      <c r="U4">
        <v>13924.01</v>
      </c>
      <c r="V4">
        <v>12942.42</v>
      </c>
      <c r="W4">
        <v>12517.77</v>
      </c>
      <c r="X4">
        <v>12781.45</v>
      </c>
      <c r="Y4">
        <v>12366.6</v>
      </c>
      <c r="Z4">
        <v>13739.2</v>
      </c>
      <c r="AA4">
        <v>14593.77</v>
      </c>
      <c r="AB4">
        <v>14350.75</v>
      </c>
      <c r="AC4">
        <v>14476.24</v>
      </c>
      <c r="AD4">
        <v>14241.71</v>
      </c>
      <c r="AE4">
        <v>14434.02</v>
      </c>
      <c r="AF4">
        <v>14613.51</v>
      </c>
      <c r="AG4">
        <v>14210.76</v>
      </c>
      <c r="AH4">
        <v>15230.37</v>
      </c>
      <c r="AI4">
        <v>14858.85</v>
      </c>
      <c r="AJ4">
        <v>14688.6</v>
      </c>
      <c r="AK4">
        <v>14787.66</v>
      </c>
      <c r="AL4">
        <v>15254.4</v>
      </c>
      <c r="AM4">
        <v>15189.91</v>
      </c>
      <c r="AN4">
        <v>14852.63</v>
      </c>
      <c r="AO4">
        <v>14669.72</v>
      </c>
      <c r="AP4">
        <v>15264.8</v>
      </c>
      <c r="AQ4">
        <v>15859.37</v>
      </c>
      <c r="AR4">
        <v>15439.19</v>
      </c>
      <c r="AS4">
        <v>15281.87</v>
      </c>
      <c r="AT4">
        <v>14473.84</v>
      </c>
      <c r="AU4">
        <v>14458.43</v>
      </c>
      <c r="AV4">
        <v>15049.01</v>
      </c>
      <c r="AW4">
        <v>15207.88</v>
      </c>
      <c r="AX4">
        <v>14919.77</v>
      </c>
      <c r="AY4">
        <v>14450.5</v>
      </c>
      <c r="AZ4">
        <v>15224.64</v>
      </c>
      <c r="BA4">
        <v>15382.02</v>
      </c>
      <c r="BB4">
        <v>14511.56</v>
      </c>
      <c r="BC4">
        <v>14454.58</v>
      </c>
      <c r="BD4">
        <v>14935.95</v>
      </c>
      <c r="BE4">
        <v>15028.45</v>
      </c>
      <c r="BF4">
        <v>14826.05</v>
      </c>
      <c r="BG4">
        <v>15008.45</v>
      </c>
      <c r="BH4">
        <v>15386.13</v>
      </c>
      <c r="BI4">
        <v>15285.9</v>
      </c>
      <c r="BJ4">
        <v>15392.87</v>
      </c>
      <c r="BK4">
        <v>15439.42</v>
      </c>
      <c r="BL4">
        <v>15304.04</v>
      </c>
      <c r="BM4">
        <v>15237.47</v>
      </c>
      <c r="BN4">
        <v>15135.08</v>
      </c>
      <c r="BO4">
        <v>15349.46</v>
      </c>
      <c r="BP4">
        <v>15822.45</v>
      </c>
      <c r="BQ4">
        <v>15956.69</v>
      </c>
      <c r="BR4">
        <v>16549.68</v>
      </c>
      <c r="BS4">
        <v>17099.48</v>
      </c>
      <c r="BT4">
        <v>17412.51</v>
      </c>
      <c r="BU4">
        <v>17537.26</v>
      </c>
      <c r="BV4">
        <v>17916.95</v>
      </c>
      <c r="BW4">
        <v>18205.54</v>
      </c>
      <c r="BX4">
        <v>18348.19</v>
      </c>
      <c r="BY4">
        <v>18487.63</v>
      </c>
      <c r="BZ4">
        <v>18605.43</v>
      </c>
      <c r="CA4">
        <v>18789.59</v>
      </c>
      <c r="CB4">
        <v>18670</v>
      </c>
      <c r="CC4">
        <v>18463.02</v>
      </c>
      <c r="CD4">
        <v>18347.79</v>
      </c>
      <c r="CE4">
        <v>18135.42</v>
      </c>
      <c r="CF4">
        <v>17949.52</v>
      </c>
      <c r="CG4">
        <v>17862.21</v>
      </c>
      <c r="CH4">
        <v>17066.4</v>
      </c>
      <c r="CI4">
        <v>16757.74</v>
      </c>
      <c r="CJ4">
        <v>16505.25</v>
      </c>
      <c r="CK4">
        <v>16029.03</v>
      </c>
      <c r="CL4">
        <v>15782.1</v>
      </c>
      <c r="CM4">
        <v>15250.44</v>
      </c>
      <c r="CN4">
        <v>14566.44</v>
      </c>
      <c r="CO4">
        <v>14961.42</v>
      </c>
      <c r="CP4">
        <v>13750.2</v>
      </c>
      <c r="CQ4">
        <v>12646.26</v>
      </c>
      <c r="CR4">
        <v>12711.81</v>
      </c>
      <c r="CS4">
        <v>12605.69</v>
      </c>
    </row>
    <row r="5" spans="1:97">
      <c r="A5" s="9">
        <v>46238</v>
      </c>
      <c r="B5" cm="1">
        <f t="array" ref="B5:CS5">负荷!B5:CS5-水电!B5:CS5-核电!B5:CS5-地方燃煤!B5:CS5-风电!B5:CS5-光伏!B5:CS5-非市场化!B5:CS5-联络线!B5:CS5</f>
        <v>12762.37</v>
      </c>
      <c r="C5">
        <v>13171.07</v>
      </c>
      <c r="D5">
        <v>12301.36</v>
      </c>
      <c r="E5">
        <v>13005.63</v>
      </c>
      <c r="F5">
        <v>13063.01</v>
      </c>
      <c r="G5">
        <v>13616.06</v>
      </c>
      <c r="H5">
        <v>13174.97</v>
      </c>
      <c r="I5">
        <v>12721.96</v>
      </c>
      <c r="J5">
        <v>13142.3</v>
      </c>
      <c r="K5">
        <v>13380.72</v>
      </c>
      <c r="L5">
        <v>13372.31</v>
      </c>
      <c r="M5">
        <v>13082.25</v>
      </c>
      <c r="N5">
        <v>13016.35</v>
      </c>
      <c r="O5">
        <v>12692.02</v>
      </c>
      <c r="P5">
        <v>13134.44</v>
      </c>
      <c r="Q5">
        <v>12922.72</v>
      </c>
      <c r="R5">
        <v>12470.03</v>
      </c>
      <c r="S5">
        <v>12908.13</v>
      </c>
      <c r="T5">
        <v>13061.08</v>
      </c>
      <c r="U5">
        <v>13586.44</v>
      </c>
      <c r="V5">
        <v>13373.57</v>
      </c>
      <c r="W5">
        <v>13330.72</v>
      </c>
      <c r="X5">
        <v>13021.01</v>
      </c>
      <c r="Y5">
        <v>13534.8</v>
      </c>
      <c r="Z5">
        <v>14442.69</v>
      </c>
      <c r="AA5">
        <v>14725.98</v>
      </c>
      <c r="AB5">
        <v>14811.08</v>
      </c>
      <c r="AC5">
        <v>14857.97</v>
      </c>
      <c r="AD5">
        <v>14823.99</v>
      </c>
      <c r="AE5">
        <v>14944.77</v>
      </c>
      <c r="AF5">
        <v>14652.55</v>
      </c>
      <c r="AG5">
        <v>14973.72</v>
      </c>
      <c r="AH5">
        <v>15196.65</v>
      </c>
      <c r="AI5">
        <v>15173.44</v>
      </c>
      <c r="AJ5">
        <v>14946.42</v>
      </c>
      <c r="AK5">
        <v>15004.55</v>
      </c>
      <c r="AL5">
        <v>15560.01</v>
      </c>
      <c r="AM5">
        <v>15796.66</v>
      </c>
      <c r="AN5">
        <v>15439.48</v>
      </c>
      <c r="AO5">
        <v>15243.66</v>
      </c>
      <c r="AP5">
        <v>15802.59</v>
      </c>
      <c r="AQ5">
        <v>15878.37</v>
      </c>
      <c r="AR5">
        <v>15748.66</v>
      </c>
      <c r="AS5">
        <v>14814.07</v>
      </c>
      <c r="AT5">
        <v>14634.43</v>
      </c>
      <c r="AU5">
        <v>14448.66</v>
      </c>
      <c r="AV5">
        <v>14551.06</v>
      </c>
      <c r="AW5">
        <v>13670.49</v>
      </c>
      <c r="AX5">
        <v>13262.56</v>
      </c>
      <c r="AY5">
        <v>13325.44</v>
      </c>
      <c r="AZ5">
        <v>12823.52</v>
      </c>
      <c r="BA5">
        <v>12809.23</v>
      </c>
      <c r="BB5">
        <v>13349.74</v>
      </c>
      <c r="BC5">
        <v>13623.65</v>
      </c>
      <c r="BD5">
        <v>13063.53</v>
      </c>
      <c r="BE5">
        <v>12555.89</v>
      </c>
      <c r="BF5">
        <v>13241.82</v>
      </c>
      <c r="BG5">
        <v>13652.91</v>
      </c>
      <c r="BH5">
        <v>13682.83</v>
      </c>
      <c r="BI5">
        <v>13902.55</v>
      </c>
      <c r="BJ5">
        <v>13974.62</v>
      </c>
      <c r="BK5">
        <v>13992.57</v>
      </c>
      <c r="BL5">
        <v>14923.2</v>
      </c>
      <c r="BM5">
        <v>15061.7</v>
      </c>
      <c r="BN5">
        <v>16538.27</v>
      </c>
      <c r="BO5">
        <v>16634.17</v>
      </c>
      <c r="BP5">
        <v>17165.99</v>
      </c>
      <c r="BQ5">
        <v>17486.44</v>
      </c>
      <c r="BR5">
        <v>18501.32</v>
      </c>
      <c r="BS5">
        <v>19287.86</v>
      </c>
      <c r="BT5">
        <v>19519.41</v>
      </c>
      <c r="BU5">
        <v>19944.97</v>
      </c>
      <c r="BV5">
        <v>20477.6</v>
      </c>
      <c r="BW5">
        <v>20821.18</v>
      </c>
      <c r="BX5">
        <v>20433.46</v>
      </c>
      <c r="BY5">
        <v>20298.78</v>
      </c>
      <c r="BZ5">
        <v>20635.23</v>
      </c>
      <c r="CA5">
        <v>20662.55</v>
      </c>
      <c r="CB5">
        <v>20597.84</v>
      </c>
      <c r="CC5">
        <v>20566.87</v>
      </c>
      <c r="CD5">
        <v>20311.7</v>
      </c>
      <c r="CE5">
        <v>20605.33</v>
      </c>
      <c r="CF5">
        <v>20475.08</v>
      </c>
      <c r="CG5">
        <v>20639.6</v>
      </c>
      <c r="CH5">
        <v>20307.52</v>
      </c>
      <c r="CI5">
        <v>20168.49</v>
      </c>
      <c r="CJ5">
        <v>20193.71</v>
      </c>
      <c r="CK5">
        <v>19854.69</v>
      </c>
      <c r="CL5">
        <v>18812.38</v>
      </c>
      <c r="CM5">
        <v>17968.03</v>
      </c>
      <c r="CN5">
        <v>17753.42</v>
      </c>
      <c r="CO5">
        <v>16843.37</v>
      </c>
      <c r="CP5">
        <v>16222.31</v>
      </c>
      <c r="CQ5">
        <v>15878.45</v>
      </c>
      <c r="CR5">
        <v>15132.18</v>
      </c>
      <c r="CS5">
        <v>14974.48</v>
      </c>
    </row>
    <row r="6" spans="1:97">
      <c r="A6" s="9">
        <v>46239</v>
      </c>
      <c r="B6" cm="1">
        <f t="array" ref="B6:CS6">负荷!B6:CS6-水电!B6:CS6-核电!B6:CS6-地方燃煤!B6:CS6-风电!B6:CS6-光伏!B6:CS6-非市场化!B6:CS6-联络线!B6:CS6</f>
        <v>16697.81</v>
      </c>
      <c r="C6">
        <v>16899.1</v>
      </c>
      <c r="D6">
        <v>17125.96</v>
      </c>
      <c r="E6">
        <v>17311.14</v>
      </c>
      <c r="F6">
        <v>17763.45</v>
      </c>
      <c r="G6">
        <v>17762.22</v>
      </c>
      <c r="H6">
        <v>17584.6</v>
      </c>
      <c r="I6">
        <v>17320.25</v>
      </c>
      <c r="J6">
        <v>17353.32</v>
      </c>
      <c r="K6">
        <v>17349.06</v>
      </c>
      <c r="L6">
        <v>17299.51</v>
      </c>
      <c r="M6">
        <v>17219.28</v>
      </c>
      <c r="N6">
        <v>17320.33</v>
      </c>
      <c r="O6">
        <v>17217.9</v>
      </c>
      <c r="P6">
        <v>17254.85</v>
      </c>
      <c r="Q6">
        <v>17587.59</v>
      </c>
      <c r="R6">
        <v>16961.85</v>
      </c>
      <c r="S6">
        <v>16679.57</v>
      </c>
      <c r="T6">
        <v>16499.99</v>
      </c>
      <c r="U6">
        <v>16434.09</v>
      </c>
      <c r="V6">
        <v>15678.19</v>
      </c>
      <c r="W6">
        <v>16093</v>
      </c>
      <c r="X6">
        <v>16384.54</v>
      </c>
      <c r="Y6">
        <v>15896.29</v>
      </c>
      <c r="Z6">
        <v>15930.53</v>
      </c>
      <c r="AA6">
        <v>16152.94</v>
      </c>
      <c r="AB6">
        <v>16603.57</v>
      </c>
      <c r="AC6">
        <v>16863.95</v>
      </c>
      <c r="AD6">
        <v>16709.53</v>
      </c>
      <c r="AE6">
        <v>16643.13</v>
      </c>
      <c r="AF6">
        <v>16505.37</v>
      </c>
      <c r="AG6">
        <v>16059.91</v>
      </c>
      <c r="AH6">
        <v>15723.5</v>
      </c>
      <c r="AI6">
        <v>15814.43</v>
      </c>
      <c r="AJ6">
        <v>15311.3</v>
      </c>
      <c r="AK6">
        <v>16694.19</v>
      </c>
      <c r="AL6">
        <v>16755.34</v>
      </c>
      <c r="AM6">
        <v>17079.27</v>
      </c>
      <c r="AN6">
        <v>17405.79</v>
      </c>
      <c r="AO6">
        <v>17864.73</v>
      </c>
      <c r="AP6">
        <v>17933.87</v>
      </c>
      <c r="AQ6">
        <v>18733.44</v>
      </c>
      <c r="AR6">
        <v>18767.25</v>
      </c>
      <c r="AS6">
        <v>18261.26</v>
      </c>
      <c r="AT6">
        <v>18101.98</v>
      </c>
      <c r="AU6">
        <v>17826.48</v>
      </c>
      <c r="AV6">
        <v>17990.96</v>
      </c>
      <c r="AW6">
        <v>18182.81</v>
      </c>
      <c r="AX6">
        <v>18043.36</v>
      </c>
      <c r="AY6">
        <v>17891.77</v>
      </c>
      <c r="AZ6">
        <v>18412.42</v>
      </c>
      <c r="BA6">
        <v>18170.19</v>
      </c>
      <c r="BB6">
        <v>18180.02</v>
      </c>
      <c r="BC6">
        <v>18367</v>
      </c>
      <c r="BD6">
        <v>18912.66</v>
      </c>
      <c r="BE6">
        <v>18764.69</v>
      </c>
      <c r="BF6">
        <v>19429.52</v>
      </c>
      <c r="BG6">
        <v>19679.94</v>
      </c>
      <c r="BH6">
        <v>20231.61</v>
      </c>
      <c r="BI6">
        <v>18756.29</v>
      </c>
      <c r="BJ6">
        <v>18111.82</v>
      </c>
      <c r="BK6">
        <v>18076.87</v>
      </c>
      <c r="BL6">
        <v>18549.81</v>
      </c>
      <c r="BM6">
        <v>17951.73</v>
      </c>
      <c r="BN6">
        <v>18928.28</v>
      </c>
      <c r="BO6">
        <v>19939.73</v>
      </c>
      <c r="BP6">
        <v>21476.27</v>
      </c>
      <c r="BQ6">
        <v>21980.94</v>
      </c>
      <c r="BR6">
        <v>22403.26</v>
      </c>
      <c r="BS6">
        <v>23021.06</v>
      </c>
      <c r="BT6">
        <v>23194.71</v>
      </c>
      <c r="BU6">
        <v>23155.26</v>
      </c>
      <c r="BV6">
        <v>22783.95</v>
      </c>
      <c r="BW6">
        <v>22879.45</v>
      </c>
      <c r="BX6">
        <v>22865.07</v>
      </c>
      <c r="BY6">
        <v>23064.39</v>
      </c>
      <c r="BZ6">
        <v>23191.49</v>
      </c>
      <c r="CA6">
        <v>23385.38</v>
      </c>
      <c r="CB6">
        <v>23510.14</v>
      </c>
      <c r="CC6">
        <v>23429.85</v>
      </c>
      <c r="CD6">
        <v>23072.27</v>
      </c>
      <c r="CE6">
        <v>23589.95</v>
      </c>
      <c r="CF6">
        <v>23446.48</v>
      </c>
      <c r="CG6">
        <v>23458.04</v>
      </c>
      <c r="CH6">
        <v>23273.44</v>
      </c>
      <c r="CI6">
        <v>22729.61</v>
      </c>
      <c r="CJ6">
        <v>22672.59</v>
      </c>
      <c r="CK6">
        <v>21910.27</v>
      </c>
      <c r="CL6">
        <v>21224.74</v>
      </c>
      <c r="CM6">
        <v>21025.67</v>
      </c>
      <c r="CN6">
        <v>20515.31</v>
      </c>
      <c r="CO6">
        <v>20046.99</v>
      </c>
      <c r="CP6">
        <v>20145.02</v>
      </c>
      <c r="CQ6">
        <v>19993.16</v>
      </c>
      <c r="CR6">
        <v>19923.75</v>
      </c>
      <c r="CS6">
        <v>19340.84</v>
      </c>
    </row>
    <row r="7" spans="1:97">
      <c r="A7" s="9">
        <v>46240</v>
      </c>
      <c r="B7" cm="1">
        <f t="array" ref="B7:CS7">负荷!B7:CS7-水电!B7:CS7-核电!B7:CS7-地方燃煤!B7:CS7-风电!B7:CS7-光伏!B7:CS7-非市场化!B7:CS7-联络线!B7:CS7</f>
        <v>19661.44</v>
      </c>
      <c r="C7">
        <v>20167.87</v>
      </c>
      <c r="D7">
        <v>20350</v>
      </c>
      <c r="E7">
        <v>20171.46</v>
      </c>
      <c r="F7">
        <v>19779.41</v>
      </c>
      <c r="G7">
        <v>19940.49</v>
      </c>
      <c r="H7">
        <v>19990.71</v>
      </c>
      <c r="I7">
        <v>20165.91</v>
      </c>
      <c r="J7">
        <v>20516.24</v>
      </c>
      <c r="K7">
        <v>20255.66</v>
      </c>
      <c r="L7">
        <v>20174.94</v>
      </c>
      <c r="M7">
        <v>19737.39</v>
      </c>
      <c r="N7">
        <v>19877.73</v>
      </c>
      <c r="O7">
        <v>19624.71</v>
      </c>
      <c r="P7">
        <v>19643.56</v>
      </c>
      <c r="Q7">
        <v>19369.1</v>
      </c>
      <c r="R7">
        <v>19271.94</v>
      </c>
      <c r="S7">
        <v>19095.54</v>
      </c>
      <c r="T7">
        <v>19107.2</v>
      </c>
      <c r="U7">
        <v>19140.83</v>
      </c>
      <c r="V7">
        <v>19033.1</v>
      </c>
      <c r="W7">
        <v>18822.54</v>
      </c>
      <c r="X7">
        <v>18724.56</v>
      </c>
      <c r="Y7">
        <v>17620.28</v>
      </c>
      <c r="Z7">
        <v>17307.06</v>
      </c>
      <c r="AA7">
        <v>16985.25</v>
      </c>
      <c r="AB7">
        <v>17223.99</v>
      </c>
      <c r="AC7">
        <v>17999.12</v>
      </c>
      <c r="AD7">
        <v>17613.86</v>
      </c>
      <c r="AE7">
        <v>17907.07</v>
      </c>
      <c r="AF7">
        <v>18260.35</v>
      </c>
      <c r="AG7">
        <v>19503.46</v>
      </c>
      <c r="AH7">
        <v>19884.57</v>
      </c>
      <c r="AI7">
        <v>20055.95</v>
      </c>
      <c r="AJ7">
        <v>19976.32</v>
      </c>
      <c r="AK7">
        <v>19396.13</v>
      </c>
      <c r="AL7">
        <v>19405.96</v>
      </c>
      <c r="AM7">
        <v>19640.92</v>
      </c>
      <c r="AN7">
        <v>18976.51</v>
      </c>
      <c r="AO7">
        <v>19278.59</v>
      </c>
      <c r="AP7">
        <v>18646.23</v>
      </c>
      <c r="AQ7">
        <v>18694.11</v>
      </c>
      <c r="AR7">
        <v>18497.51</v>
      </c>
      <c r="AS7">
        <v>18223.71</v>
      </c>
      <c r="AT7">
        <v>18301.79</v>
      </c>
      <c r="AU7">
        <v>18232.85</v>
      </c>
      <c r="AV7">
        <v>18303.24</v>
      </c>
      <c r="AW7">
        <v>18376.73</v>
      </c>
      <c r="AX7">
        <v>18198.18</v>
      </c>
      <c r="AY7">
        <v>17894.38</v>
      </c>
      <c r="AZ7">
        <v>17952.12</v>
      </c>
      <c r="BA7">
        <v>17520.35</v>
      </c>
      <c r="BB7">
        <v>17929.84</v>
      </c>
      <c r="BC7">
        <v>18006.25</v>
      </c>
      <c r="BD7">
        <v>18236.81</v>
      </c>
      <c r="BE7">
        <v>18252.97</v>
      </c>
      <c r="BF7">
        <v>18407.05</v>
      </c>
      <c r="BG7">
        <v>18646.03</v>
      </c>
      <c r="BH7">
        <v>18724.16</v>
      </c>
      <c r="BI7">
        <v>19270.64</v>
      </c>
      <c r="BJ7">
        <v>18814.84</v>
      </c>
      <c r="BK7">
        <v>19603.65</v>
      </c>
      <c r="BL7">
        <v>19897.92</v>
      </c>
      <c r="BM7">
        <v>20427.59</v>
      </c>
      <c r="BN7">
        <v>20417.98</v>
      </c>
      <c r="BO7">
        <v>20616.15</v>
      </c>
      <c r="BP7">
        <v>21039.02</v>
      </c>
      <c r="BQ7">
        <v>21369.65</v>
      </c>
      <c r="BR7">
        <v>21985.51</v>
      </c>
      <c r="BS7">
        <v>22146.31</v>
      </c>
      <c r="BT7">
        <v>22864.74</v>
      </c>
      <c r="BU7">
        <v>23553.27</v>
      </c>
      <c r="BV7">
        <v>23016.29</v>
      </c>
      <c r="BW7">
        <v>23022.56</v>
      </c>
      <c r="BX7">
        <v>22968.24</v>
      </c>
      <c r="BY7">
        <v>22354.94</v>
      </c>
      <c r="BZ7">
        <v>23112.74</v>
      </c>
      <c r="CA7">
        <v>23316.55</v>
      </c>
      <c r="CB7">
        <v>23331.49</v>
      </c>
      <c r="CC7">
        <v>23407.06</v>
      </c>
      <c r="CD7">
        <v>23133.31</v>
      </c>
      <c r="CE7">
        <v>23032.57</v>
      </c>
      <c r="CF7">
        <v>23088.08</v>
      </c>
      <c r="CG7">
        <v>23301.68</v>
      </c>
      <c r="CH7">
        <v>22491.21</v>
      </c>
      <c r="CI7">
        <v>22964.42</v>
      </c>
      <c r="CJ7">
        <v>22186.21</v>
      </c>
      <c r="CK7">
        <v>21129.37</v>
      </c>
      <c r="CL7">
        <v>19705.56</v>
      </c>
      <c r="CM7">
        <v>19640.11</v>
      </c>
      <c r="CN7">
        <v>19752.45</v>
      </c>
      <c r="CO7">
        <v>20095.01</v>
      </c>
      <c r="CP7">
        <v>20243.43</v>
      </c>
      <c r="CQ7">
        <v>20085.54</v>
      </c>
      <c r="CR7">
        <v>19368.31</v>
      </c>
      <c r="CS7">
        <v>18876.35</v>
      </c>
    </row>
    <row r="8" spans="1:97">
      <c r="A8" s="9">
        <v>46241</v>
      </c>
      <c r="B8" cm="1">
        <f t="array" ref="B8:CS8">负荷!B8:CS8-水电!B8:CS8-核电!B8:CS8-地方燃煤!B8:CS8-风电!B8:CS8-光伏!B8:CS8-非市场化!B8:CS8-联络线!B8:CS8</f>
        <v>16972.34</v>
      </c>
      <c r="C8">
        <v>15697.42</v>
      </c>
      <c r="D8">
        <v>14843.76</v>
      </c>
      <c r="E8">
        <v>13768.94</v>
      </c>
      <c r="F8">
        <v>13177.42</v>
      </c>
      <c r="G8">
        <v>12609.23</v>
      </c>
      <c r="H8">
        <v>11565.3</v>
      </c>
      <c r="I8">
        <v>11121.25</v>
      </c>
      <c r="J8">
        <v>11967.99</v>
      </c>
      <c r="K8">
        <v>11763.65</v>
      </c>
      <c r="L8">
        <v>11654.33</v>
      </c>
      <c r="M8">
        <v>11629.43</v>
      </c>
      <c r="N8">
        <v>11811.28</v>
      </c>
      <c r="O8">
        <v>11443.26</v>
      </c>
      <c r="P8">
        <v>10782.67</v>
      </c>
      <c r="Q8">
        <v>9926.95</v>
      </c>
      <c r="R8">
        <v>9543.64</v>
      </c>
      <c r="S8">
        <v>8788.34</v>
      </c>
      <c r="T8">
        <v>8515.73</v>
      </c>
      <c r="U8">
        <v>8329.89</v>
      </c>
      <c r="V8">
        <v>8290.85</v>
      </c>
      <c r="W8">
        <v>7805.46</v>
      </c>
      <c r="X8">
        <v>7800.36</v>
      </c>
      <c r="Y8">
        <v>8150.3</v>
      </c>
      <c r="Z8">
        <v>8452.17</v>
      </c>
      <c r="AA8">
        <v>8092.09</v>
      </c>
      <c r="AB8">
        <v>7847.26</v>
      </c>
      <c r="AC8">
        <v>7876.32</v>
      </c>
      <c r="AD8">
        <v>7863.28</v>
      </c>
      <c r="AE8">
        <v>8381.47</v>
      </c>
      <c r="AF8">
        <v>8238.67</v>
      </c>
      <c r="AG8">
        <v>8289.32</v>
      </c>
      <c r="AH8">
        <v>8390.97</v>
      </c>
      <c r="AI8">
        <v>8706.57</v>
      </c>
      <c r="AJ8">
        <v>8877.92000000001</v>
      </c>
      <c r="AK8">
        <v>8977.45</v>
      </c>
      <c r="AL8">
        <v>8914.1</v>
      </c>
      <c r="AM8">
        <v>9005.54</v>
      </c>
      <c r="AN8">
        <v>9066.71</v>
      </c>
      <c r="AO8">
        <v>9147.80999999999</v>
      </c>
      <c r="AP8">
        <v>8962.68</v>
      </c>
      <c r="AQ8">
        <v>9365.09</v>
      </c>
      <c r="AR8">
        <v>9232.97</v>
      </c>
      <c r="AS8">
        <v>8739.56000000001</v>
      </c>
      <c r="AT8">
        <v>9109.32</v>
      </c>
      <c r="AU8">
        <v>9014.17000000001</v>
      </c>
      <c r="AV8">
        <v>9432.13</v>
      </c>
      <c r="AW8">
        <v>9506.26</v>
      </c>
      <c r="AX8">
        <v>9383.41000000001</v>
      </c>
      <c r="AY8">
        <v>9052.24</v>
      </c>
      <c r="AZ8">
        <v>9217.71</v>
      </c>
      <c r="BA8">
        <v>9403.48</v>
      </c>
      <c r="BB8">
        <v>9345.99000000001</v>
      </c>
      <c r="BC8">
        <v>9439.44</v>
      </c>
      <c r="BD8">
        <v>8902.39000000001</v>
      </c>
      <c r="BE8">
        <v>9165.05</v>
      </c>
      <c r="BF8">
        <v>9145.04</v>
      </c>
      <c r="BG8">
        <v>8949.58000000001</v>
      </c>
      <c r="BH8">
        <v>8966.17000000001</v>
      </c>
      <c r="BI8">
        <v>8901.38</v>
      </c>
      <c r="BJ8">
        <v>8837.58000000001</v>
      </c>
      <c r="BK8">
        <v>8879.91</v>
      </c>
      <c r="BL8">
        <v>9044.77</v>
      </c>
      <c r="BM8">
        <v>8966.62</v>
      </c>
      <c r="BN8">
        <v>8985.26</v>
      </c>
      <c r="BO8">
        <v>9101.8</v>
      </c>
      <c r="BP8">
        <v>9075.61</v>
      </c>
      <c r="BQ8">
        <v>9050.99000000001</v>
      </c>
      <c r="BR8">
        <v>9384.34</v>
      </c>
      <c r="BS8">
        <v>9728.3</v>
      </c>
      <c r="BT8">
        <v>9779.67999999999</v>
      </c>
      <c r="BU8">
        <v>9086.87</v>
      </c>
      <c r="BV8">
        <v>9590.19</v>
      </c>
      <c r="BW8">
        <v>9384.98</v>
      </c>
      <c r="BX8">
        <v>9249.06</v>
      </c>
      <c r="BY8">
        <v>9050.39999999999</v>
      </c>
      <c r="BZ8">
        <v>8916.33</v>
      </c>
      <c r="CA8">
        <v>8894.11</v>
      </c>
      <c r="CB8">
        <v>9491.15</v>
      </c>
      <c r="CC8">
        <v>8941.27</v>
      </c>
      <c r="CD8">
        <v>9219.34</v>
      </c>
      <c r="CE8">
        <v>9625.18</v>
      </c>
      <c r="CF8">
        <v>9329.28</v>
      </c>
      <c r="CG8">
        <v>9176.88</v>
      </c>
      <c r="CH8">
        <v>8909.89</v>
      </c>
      <c r="CI8">
        <v>8888.65</v>
      </c>
      <c r="CJ8">
        <v>9299.14</v>
      </c>
      <c r="CK8">
        <v>9160.38</v>
      </c>
      <c r="CL8">
        <v>8741.68</v>
      </c>
      <c r="CM8">
        <v>8740.98</v>
      </c>
      <c r="CN8">
        <v>8576.87</v>
      </c>
      <c r="CO8">
        <v>8679.73</v>
      </c>
      <c r="CP8">
        <v>7859.38</v>
      </c>
      <c r="CQ8">
        <v>7780.28</v>
      </c>
      <c r="CR8">
        <v>7032.5</v>
      </c>
      <c r="CS8">
        <v>7356.4</v>
      </c>
    </row>
    <row r="9" spans="1:97">
      <c r="A9" s="9">
        <v>46242</v>
      </c>
      <c r="B9" cm="1">
        <f t="array" ref="B9:CS9">负荷!B9:CS9-水电!B9:CS9-核电!B9:CS9-地方燃煤!B9:CS9-风电!B9:CS9-光伏!B9:CS9-非市场化!B9:CS9-联络线!B9:CS9</f>
        <v>7996.13</v>
      </c>
      <c r="C9">
        <v>8299.56</v>
      </c>
      <c r="D9">
        <v>9092.72</v>
      </c>
      <c r="E9">
        <v>9233.5</v>
      </c>
      <c r="F9">
        <v>9118.5</v>
      </c>
      <c r="G9">
        <v>9034.56</v>
      </c>
      <c r="H9">
        <v>8389.38</v>
      </c>
      <c r="I9">
        <v>8211.15</v>
      </c>
      <c r="J9">
        <v>8581.27</v>
      </c>
      <c r="K9">
        <v>8297.96</v>
      </c>
      <c r="L9">
        <v>8271.2</v>
      </c>
      <c r="M9">
        <v>8097.29</v>
      </c>
      <c r="N9">
        <v>8731.88</v>
      </c>
      <c r="O9">
        <v>9008.62</v>
      </c>
      <c r="P9">
        <v>9086.85</v>
      </c>
      <c r="Q9">
        <v>8950.58</v>
      </c>
      <c r="R9">
        <v>8440.95</v>
      </c>
      <c r="S9">
        <v>8577.57</v>
      </c>
      <c r="T9">
        <v>8747.69</v>
      </c>
      <c r="U9">
        <v>8939.52</v>
      </c>
      <c r="V9">
        <v>9411.05</v>
      </c>
      <c r="W9">
        <v>9068.47</v>
      </c>
      <c r="X9">
        <v>8744.07</v>
      </c>
      <c r="Y9">
        <v>8594.94</v>
      </c>
      <c r="Z9">
        <v>9074.49</v>
      </c>
      <c r="AA9">
        <v>9341.31</v>
      </c>
      <c r="AB9">
        <v>9278.41</v>
      </c>
      <c r="AC9">
        <v>8972.56</v>
      </c>
      <c r="AD9">
        <v>8050.97</v>
      </c>
      <c r="AE9">
        <v>7401.8</v>
      </c>
      <c r="AF9">
        <v>7106.48</v>
      </c>
      <c r="AG9">
        <v>6786.52</v>
      </c>
      <c r="AH9">
        <v>7015.86</v>
      </c>
      <c r="AI9">
        <v>7213.3</v>
      </c>
      <c r="AJ9">
        <v>7205.91</v>
      </c>
      <c r="AK9">
        <v>7103.41</v>
      </c>
      <c r="AL9">
        <v>7056.69</v>
      </c>
      <c r="AM9">
        <v>7098.81</v>
      </c>
      <c r="AN9">
        <v>7069.25</v>
      </c>
      <c r="AO9">
        <v>7177.21</v>
      </c>
      <c r="AP9">
        <v>7021.72</v>
      </c>
      <c r="AQ9">
        <v>7114.14</v>
      </c>
      <c r="AR9">
        <v>7155.47</v>
      </c>
      <c r="AS9">
        <v>7042.52</v>
      </c>
      <c r="AT9">
        <v>7045.35</v>
      </c>
      <c r="AU9">
        <v>7072.53</v>
      </c>
      <c r="AV9">
        <v>7088.54</v>
      </c>
      <c r="AW9">
        <v>6982.48</v>
      </c>
      <c r="AX9">
        <v>6979.42</v>
      </c>
      <c r="AY9">
        <v>6992.12</v>
      </c>
      <c r="AZ9">
        <v>6990.05</v>
      </c>
      <c r="BA9">
        <v>6895.8</v>
      </c>
      <c r="BB9">
        <v>6849.43</v>
      </c>
      <c r="BC9">
        <v>6788.19</v>
      </c>
      <c r="BD9">
        <v>7085.28</v>
      </c>
      <c r="BE9">
        <v>7041.69</v>
      </c>
      <c r="BF9">
        <v>7198.6</v>
      </c>
      <c r="BG9">
        <v>7189.98</v>
      </c>
      <c r="BH9">
        <v>7198.36</v>
      </c>
      <c r="BI9">
        <v>7038.19</v>
      </c>
      <c r="BJ9">
        <v>7118.93</v>
      </c>
      <c r="BK9">
        <v>7082.32</v>
      </c>
      <c r="BL9">
        <v>6977.9</v>
      </c>
      <c r="BM9">
        <v>7436.54</v>
      </c>
      <c r="BN9">
        <v>7114.79</v>
      </c>
      <c r="BO9">
        <v>7376.44</v>
      </c>
      <c r="BP9">
        <v>8699.15</v>
      </c>
      <c r="BQ9">
        <v>9851.32</v>
      </c>
      <c r="BR9">
        <v>10260.99</v>
      </c>
      <c r="BS9">
        <v>11355.37</v>
      </c>
      <c r="BT9">
        <v>11485.88</v>
      </c>
      <c r="BU9">
        <v>11922.59</v>
      </c>
      <c r="BV9">
        <v>11697.29</v>
      </c>
      <c r="BW9">
        <v>11111.93</v>
      </c>
      <c r="BX9">
        <v>10673.28</v>
      </c>
      <c r="BY9">
        <v>9337</v>
      </c>
      <c r="BZ9">
        <v>8980.86</v>
      </c>
      <c r="CA9">
        <v>8921.26</v>
      </c>
      <c r="CB9">
        <v>8947.09999999999</v>
      </c>
      <c r="CC9">
        <v>8857.56</v>
      </c>
      <c r="CD9">
        <v>8912.96</v>
      </c>
      <c r="CE9">
        <v>8783.23</v>
      </c>
      <c r="CF9">
        <v>8419.4</v>
      </c>
      <c r="CG9">
        <v>7809.96</v>
      </c>
      <c r="CH9">
        <v>8518.03</v>
      </c>
      <c r="CI9">
        <v>7803.22</v>
      </c>
      <c r="CJ9">
        <v>7884.63</v>
      </c>
      <c r="CK9">
        <v>7477.85</v>
      </c>
      <c r="CL9">
        <v>8098.71</v>
      </c>
      <c r="CM9">
        <v>8407.96</v>
      </c>
      <c r="CN9">
        <v>8787.39</v>
      </c>
      <c r="CO9">
        <v>9098.83</v>
      </c>
      <c r="CP9">
        <v>9830.53</v>
      </c>
      <c r="CQ9">
        <v>9794.52</v>
      </c>
      <c r="CR9">
        <v>9265.39</v>
      </c>
      <c r="CS9">
        <v>9056.28</v>
      </c>
    </row>
    <row r="10" spans="1:97">
      <c r="A10" s="9">
        <v>46243</v>
      </c>
      <c r="B10" cm="1">
        <f t="array" ref="B10:CS10">负荷!B10:CS10-水电!B10:CS10-核电!B10:CS10-地方燃煤!B10:CS10-风电!B10:CS10-光伏!B10:CS10-非市场化!B10:CS10-联络线!B10:CS10</f>
        <v>9151.18</v>
      </c>
      <c r="C10">
        <v>9504.05</v>
      </c>
      <c r="D10">
        <v>9841.52</v>
      </c>
      <c r="E10">
        <v>9786.39</v>
      </c>
      <c r="F10">
        <v>10010.8</v>
      </c>
      <c r="G10">
        <v>10539.23</v>
      </c>
      <c r="H10">
        <v>10750.01</v>
      </c>
      <c r="I10">
        <v>10734.93</v>
      </c>
      <c r="J10">
        <v>10011.05</v>
      </c>
      <c r="K10">
        <v>10079.02</v>
      </c>
      <c r="L10">
        <v>10056.99</v>
      </c>
      <c r="M10">
        <v>10034.29</v>
      </c>
      <c r="N10">
        <v>10791.85</v>
      </c>
      <c r="O10">
        <v>10695.12</v>
      </c>
      <c r="P10">
        <v>10349.16</v>
      </c>
      <c r="Q10">
        <v>10255.97</v>
      </c>
      <c r="R10">
        <v>9558.56</v>
      </c>
      <c r="S10">
        <v>9795.35</v>
      </c>
      <c r="T10">
        <v>9682.09</v>
      </c>
      <c r="U10">
        <v>9557.96</v>
      </c>
      <c r="V10">
        <v>8440.18</v>
      </c>
      <c r="W10">
        <v>8406.74</v>
      </c>
      <c r="X10">
        <v>8863.27</v>
      </c>
      <c r="Y10">
        <v>9210.64</v>
      </c>
      <c r="Z10">
        <v>10511.15</v>
      </c>
      <c r="AA10">
        <v>10914.63</v>
      </c>
      <c r="AB10">
        <v>11300.42</v>
      </c>
      <c r="AC10">
        <v>11346.74</v>
      </c>
      <c r="AD10">
        <v>10209.86</v>
      </c>
      <c r="AE10">
        <v>10111.3</v>
      </c>
      <c r="AF10">
        <v>9925.55</v>
      </c>
      <c r="AG10">
        <v>9653.88</v>
      </c>
      <c r="AH10">
        <v>9381.67</v>
      </c>
      <c r="AI10">
        <v>8775.84</v>
      </c>
      <c r="AJ10">
        <v>8359.03</v>
      </c>
      <c r="AK10">
        <v>8068.11</v>
      </c>
      <c r="AL10">
        <v>7528.17</v>
      </c>
      <c r="AM10">
        <v>8164.02</v>
      </c>
      <c r="AN10">
        <v>8184.39</v>
      </c>
      <c r="AO10">
        <v>7742.5</v>
      </c>
      <c r="AP10">
        <v>8007.55</v>
      </c>
      <c r="AQ10">
        <v>7721.36</v>
      </c>
      <c r="AR10">
        <v>7878.96</v>
      </c>
      <c r="AS10">
        <v>7790.79</v>
      </c>
      <c r="AT10">
        <v>7758.41</v>
      </c>
      <c r="AU10">
        <v>7650.95</v>
      </c>
      <c r="AV10">
        <v>7622.26</v>
      </c>
      <c r="AW10">
        <v>7610.29</v>
      </c>
      <c r="AX10">
        <v>8304.8</v>
      </c>
      <c r="AY10">
        <v>8378.72</v>
      </c>
      <c r="AZ10">
        <v>8752.17</v>
      </c>
      <c r="BA10">
        <v>8592.46</v>
      </c>
      <c r="BB10">
        <v>8382.1</v>
      </c>
      <c r="BC10">
        <v>8512.86</v>
      </c>
      <c r="BD10">
        <v>8906.48</v>
      </c>
      <c r="BE10">
        <v>8606.51</v>
      </c>
      <c r="BF10">
        <v>9481.23</v>
      </c>
      <c r="BG10">
        <v>9865.95</v>
      </c>
      <c r="BH10">
        <v>9126.15</v>
      </c>
      <c r="BI10">
        <v>9581.12</v>
      </c>
      <c r="BJ10">
        <v>9658.22</v>
      </c>
      <c r="BK10">
        <v>9928.57</v>
      </c>
      <c r="BL10">
        <v>10443.94</v>
      </c>
      <c r="BM10">
        <v>10875.98</v>
      </c>
      <c r="BN10">
        <v>12276.19</v>
      </c>
      <c r="BO10">
        <v>12972.01</v>
      </c>
      <c r="BP10">
        <v>13317.66</v>
      </c>
      <c r="BQ10">
        <v>14481.55</v>
      </c>
      <c r="BR10">
        <v>15508.47</v>
      </c>
      <c r="BS10">
        <v>15728.26</v>
      </c>
      <c r="BT10">
        <v>16239.03</v>
      </c>
      <c r="BU10">
        <v>16050.66</v>
      </c>
      <c r="BV10">
        <v>15902.53</v>
      </c>
      <c r="BW10">
        <v>15700.26</v>
      </c>
      <c r="BX10">
        <v>15699.59</v>
      </c>
      <c r="BY10">
        <v>15591.36</v>
      </c>
      <c r="BZ10">
        <v>15379.39</v>
      </c>
      <c r="CA10">
        <v>15538.81</v>
      </c>
      <c r="CB10">
        <v>15693.29</v>
      </c>
      <c r="CC10">
        <v>15314.22</v>
      </c>
      <c r="CD10">
        <v>14836.82</v>
      </c>
      <c r="CE10">
        <v>14927.86</v>
      </c>
      <c r="CF10">
        <v>14826.26</v>
      </c>
      <c r="CG10">
        <v>15032.09</v>
      </c>
      <c r="CH10">
        <v>14271.17</v>
      </c>
      <c r="CI10">
        <v>13648.93</v>
      </c>
      <c r="CJ10">
        <v>13386.61</v>
      </c>
      <c r="CK10">
        <v>12700.78</v>
      </c>
      <c r="CL10">
        <v>12657.46</v>
      </c>
      <c r="CM10">
        <v>12907.19</v>
      </c>
      <c r="CN10">
        <v>13281.51</v>
      </c>
      <c r="CO10">
        <v>13869.87</v>
      </c>
      <c r="CP10">
        <v>13117.19</v>
      </c>
      <c r="CQ10">
        <v>12949.05</v>
      </c>
      <c r="CR10">
        <v>13122.28</v>
      </c>
      <c r="CS10">
        <v>12935.98</v>
      </c>
    </row>
    <row r="11" spans="1:97">
      <c r="A11" s="9">
        <v>46244</v>
      </c>
      <c r="B11" cm="1">
        <f t="array" ref="B11:CS11">负荷!B11:CS11-水电!B11:CS11-核电!B11:CS11-地方燃煤!B11:CS11-风电!B11:CS11-光伏!B11:CS11-非市场化!B11:CS11-联络线!B11:CS11</f>
        <v>12937.68</v>
      </c>
      <c r="C11">
        <v>12543.71</v>
      </c>
      <c r="D11">
        <v>12339.58</v>
      </c>
      <c r="E11">
        <v>12064.47</v>
      </c>
      <c r="F11">
        <v>12062.57</v>
      </c>
      <c r="G11">
        <v>12527.86</v>
      </c>
      <c r="H11">
        <v>12527.28</v>
      </c>
      <c r="I11">
        <v>12326.63</v>
      </c>
      <c r="J11">
        <v>11617.14</v>
      </c>
      <c r="K11">
        <v>11441.39</v>
      </c>
      <c r="L11">
        <v>11079.76</v>
      </c>
      <c r="M11">
        <v>11237.29</v>
      </c>
      <c r="N11">
        <v>10954.87</v>
      </c>
      <c r="O11">
        <v>10993.5</v>
      </c>
      <c r="P11">
        <v>10796</v>
      </c>
      <c r="Q11">
        <v>10827.57</v>
      </c>
      <c r="R11">
        <v>10843.77</v>
      </c>
      <c r="S11">
        <v>10606.72</v>
      </c>
      <c r="T11">
        <v>10471.7</v>
      </c>
      <c r="U11">
        <v>10508.6</v>
      </c>
      <c r="V11">
        <v>10833.45</v>
      </c>
      <c r="W11">
        <v>10937.25</v>
      </c>
      <c r="X11">
        <v>10875.89</v>
      </c>
      <c r="Y11">
        <v>10864.28</v>
      </c>
      <c r="Z11">
        <v>11288.8</v>
      </c>
      <c r="AA11">
        <v>10801.38</v>
      </c>
      <c r="AB11">
        <v>10375.86</v>
      </c>
      <c r="AC11">
        <v>10420.27</v>
      </c>
      <c r="AD11">
        <v>9880.93</v>
      </c>
      <c r="AE11">
        <v>10194.83</v>
      </c>
      <c r="AF11">
        <v>10046.22</v>
      </c>
      <c r="AG11">
        <v>10533.36</v>
      </c>
      <c r="AH11">
        <v>10536</v>
      </c>
      <c r="AI11">
        <v>10764.21</v>
      </c>
      <c r="AJ11">
        <v>10100.01</v>
      </c>
      <c r="AK11">
        <v>10154.44</v>
      </c>
      <c r="AL11">
        <v>9210.50999999999</v>
      </c>
      <c r="AM11">
        <v>9649.23</v>
      </c>
      <c r="AN11">
        <v>9024.75</v>
      </c>
      <c r="AO11">
        <v>8265.11</v>
      </c>
      <c r="AP11">
        <v>8353.7</v>
      </c>
      <c r="AQ11">
        <v>7957.75</v>
      </c>
      <c r="AR11">
        <v>8017.22</v>
      </c>
      <c r="AS11">
        <v>7766.98</v>
      </c>
      <c r="AT11">
        <v>7743.66999999999</v>
      </c>
      <c r="AU11">
        <v>8001.2</v>
      </c>
      <c r="AV11">
        <v>7796.21</v>
      </c>
      <c r="AW11">
        <v>7385.51</v>
      </c>
      <c r="AX11">
        <v>7532.37</v>
      </c>
      <c r="AY11">
        <v>7001.33999999999</v>
      </c>
      <c r="AZ11">
        <v>7541.78</v>
      </c>
      <c r="BA11">
        <v>7077.68000000001</v>
      </c>
      <c r="BB11">
        <v>7296</v>
      </c>
      <c r="BC11">
        <v>7403.56</v>
      </c>
      <c r="BD11">
        <v>7395.38</v>
      </c>
      <c r="BE11">
        <v>7018.12</v>
      </c>
      <c r="BF11">
        <v>7530.73</v>
      </c>
      <c r="BG11">
        <v>7779.91</v>
      </c>
      <c r="BH11">
        <v>7562.64</v>
      </c>
      <c r="BI11">
        <v>7523.69</v>
      </c>
      <c r="BJ11">
        <v>7339.26999999999</v>
      </c>
      <c r="BK11">
        <v>7385.56</v>
      </c>
      <c r="BL11">
        <v>7889.61999999999</v>
      </c>
      <c r="BM11">
        <v>8955.52</v>
      </c>
      <c r="BN11">
        <v>8523.84</v>
      </c>
      <c r="BO11">
        <v>8884.11</v>
      </c>
      <c r="BP11">
        <v>9629.82</v>
      </c>
      <c r="BQ11">
        <v>9581.44</v>
      </c>
      <c r="BR11">
        <v>9904.36</v>
      </c>
      <c r="BS11">
        <v>10297.46</v>
      </c>
      <c r="BT11">
        <v>10651.66</v>
      </c>
      <c r="BU11">
        <v>11144.82</v>
      </c>
      <c r="BV11">
        <v>10775.36</v>
      </c>
      <c r="BW11">
        <v>11242.84</v>
      </c>
      <c r="BX11">
        <v>11120.19</v>
      </c>
      <c r="BY11">
        <v>11167.36</v>
      </c>
      <c r="BZ11">
        <v>11040.75</v>
      </c>
      <c r="CA11">
        <v>11313.18</v>
      </c>
      <c r="CB11">
        <v>10655.77</v>
      </c>
      <c r="CC11">
        <v>11460.61</v>
      </c>
      <c r="CD11">
        <v>10544.56</v>
      </c>
      <c r="CE11">
        <v>10612.9</v>
      </c>
      <c r="CF11">
        <v>10558.04</v>
      </c>
      <c r="CG11">
        <v>10608.1</v>
      </c>
      <c r="CH11">
        <v>10456.08</v>
      </c>
      <c r="CI11">
        <v>9994.34</v>
      </c>
      <c r="CJ11">
        <v>10124.28</v>
      </c>
      <c r="CK11">
        <v>10022.23</v>
      </c>
      <c r="CL11">
        <v>10831.48</v>
      </c>
      <c r="CM11">
        <v>10625.76</v>
      </c>
      <c r="CN11">
        <v>10939.22</v>
      </c>
      <c r="CO11">
        <v>10744.43</v>
      </c>
      <c r="CP11">
        <v>10311.26</v>
      </c>
      <c r="CQ11">
        <v>9994.86</v>
      </c>
      <c r="CR11">
        <v>9977.01</v>
      </c>
      <c r="CS11">
        <v>9624.92</v>
      </c>
    </row>
    <row r="12" spans="1:97">
      <c r="A12" s="9">
        <v>46245</v>
      </c>
      <c r="B12" cm="1">
        <f t="array" ref="B12:CS12">负荷!B12:CS12-水电!B12:CS12-核电!B12:CS12-地方燃煤!B12:CS12-风电!B12:CS12-光伏!B12:CS12-非市场化!B12:CS12-联络线!B12:CS12</f>
        <v>9600.68</v>
      </c>
      <c r="C12">
        <v>9520.17</v>
      </c>
      <c r="D12">
        <v>9495.94</v>
      </c>
      <c r="E12">
        <v>9139.48</v>
      </c>
      <c r="F12">
        <v>8707.5</v>
      </c>
      <c r="G12">
        <v>8784.72</v>
      </c>
      <c r="H12">
        <v>8943.87</v>
      </c>
      <c r="I12">
        <v>9345.07</v>
      </c>
      <c r="J12">
        <v>9968.8</v>
      </c>
      <c r="K12">
        <v>10082.48</v>
      </c>
      <c r="L12">
        <v>9761</v>
      </c>
      <c r="M12">
        <v>9651.66</v>
      </c>
      <c r="N12">
        <v>9675.17</v>
      </c>
      <c r="O12">
        <v>9498.59</v>
      </c>
      <c r="P12">
        <v>9557.19</v>
      </c>
      <c r="Q12">
        <v>9524.14</v>
      </c>
      <c r="R12">
        <v>9353.7</v>
      </c>
      <c r="S12">
        <v>9276.39</v>
      </c>
      <c r="T12">
        <v>9060.85</v>
      </c>
      <c r="U12">
        <v>9399.28</v>
      </c>
      <c r="V12">
        <v>9780.31</v>
      </c>
      <c r="W12">
        <v>9779.51</v>
      </c>
      <c r="X12">
        <v>9982.82</v>
      </c>
      <c r="Y12">
        <v>9321.12</v>
      </c>
      <c r="Z12">
        <v>9986.59</v>
      </c>
      <c r="AA12">
        <v>9868.15</v>
      </c>
      <c r="AB12">
        <v>9875.2</v>
      </c>
      <c r="AC12">
        <v>9416.13</v>
      </c>
      <c r="AD12">
        <v>9142.75</v>
      </c>
      <c r="AE12">
        <v>8665.1</v>
      </c>
      <c r="AF12">
        <v>8644.05</v>
      </c>
      <c r="AG12">
        <v>8346.36</v>
      </c>
      <c r="AH12">
        <v>8596.74</v>
      </c>
      <c r="AI12">
        <v>8722.81</v>
      </c>
      <c r="AJ12">
        <v>8558.55</v>
      </c>
      <c r="AK12">
        <v>8424.32</v>
      </c>
      <c r="AL12">
        <v>8457.76999999999</v>
      </c>
      <c r="AM12">
        <v>8644.41</v>
      </c>
      <c r="AN12">
        <v>8629</v>
      </c>
      <c r="AO12">
        <v>7927.28</v>
      </c>
      <c r="AP12">
        <v>8272.17</v>
      </c>
      <c r="AQ12">
        <v>8585.29000000001</v>
      </c>
      <c r="AR12">
        <v>8953.12</v>
      </c>
      <c r="AS12">
        <v>8677.33999999999</v>
      </c>
      <c r="AT12">
        <v>8197.78000000001</v>
      </c>
      <c r="AU12">
        <v>8148.22</v>
      </c>
      <c r="AV12">
        <v>8145.81</v>
      </c>
      <c r="AW12">
        <v>8130.93</v>
      </c>
      <c r="AX12">
        <v>8431.08000000001</v>
      </c>
      <c r="AY12">
        <v>9048.66</v>
      </c>
      <c r="AZ12">
        <v>8717.36</v>
      </c>
      <c r="BA12">
        <v>8955.28</v>
      </c>
      <c r="BB12">
        <v>9505.39</v>
      </c>
      <c r="BC12">
        <v>9087.49</v>
      </c>
      <c r="BD12">
        <v>9661.24</v>
      </c>
      <c r="BE12">
        <v>9267.94</v>
      </c>
      <c r="BF12">
        <v>9196.97000000001</v>
      </c>
      <c r="BG12">
        <v>9683.51</v>
      </c>
      <c r="BH12">
        <v>8998.63</v>
      </c>
      <c r="BI12">
        <v>9677.93</v>
      </c>
      <c r="BJ12">
        <v>9642.53000000001</v>
      </c>
      <c r="BK12">
        <v>9649.34999999999</v>
      </c>
      <c r="BL12">
        <v>10117.79</v>
      </c>
      <c r="BM12">
        <v>10768.85</v>
      </c>
      <c r="BN12">
        <v>11877.73</v>
      </c>
      <c r="BO12">
        <v>12637.79</v>
      </c>
      <c r="BP12">
        <v>13124.06</v>
      </c>
      <c r="BQ12">
        <v>13923.88</v>
      </c>
      <c r="BR12">
        <v>14328.53</v>
      </c>
      <c r="BS12">
        <v>14732.47</v>
      </c>
      <c r="BT12">
        <v>15296.11</v>
      </c>
      <c r="BU12">
        <v>15425.77</v>
      </c>
      <c r="BV12">
        <v>16235.28</v>
      </c>
      <c r="BW12">
        <v>16463.51</v>
      </c>
      <c r="BX12">
        <v>16975.36</v>
      </c>
      <c r="BY12">
        <v>16731.06</v>
      </c>
      <c r="BZ12">
        <v>16248.47</v>
      </c>
      <c r="CA12">
        <v>16489.42</v>
      </c>
      <c r="CB12">
        <v>16546.09</v>
      </c>
      <c r="CC12">
        <v>16422.69</v>
      </c>
      <c r="CD12">
        <v>16311.82</v>
      </c>
      <c r="CE12">
        <v>16363.83</v>
      </c>
      <c r="CF12">
        <v>16115.25</v>
      </c>
      <c r="CG12">
        <v>16003.14</v>
      </c>
      <c r="CH12">
        <v>15965.19</v>
      </c>
      <c r="CI12">
        <v>15443.65</v>
      </c>
      <c r="CJ12">
        <v>14326.2</v>
      </c>
      <c r="CK12">
        <v>13361.41</v>
      </c>
      <c r="CL12">
        <v>13386.31</v>
      </c>
      <c r="CM12">
        <v>13589.27</v>
      </c>
      <c r="CN12">
        <v>13528.66</v>
      </c>
      <c r="CO12">
        <v>13725.54</v>
      </c>
      <c r="CP12">
        <v>13301.76</v>
      </c>
      <c r="CQ12">
        <v>13112.52</v>
      </c>
      <c r="CR12">
        <v>13038.37</v>
      </c>
      <c r="CS12">
        <v>12474.4</v>
      </c>
    </row>
    <row r="13" spans="1:97">
      <c r="A13" s="9">
        <v>46246</v>
      </c>
      <c r="B13" cm="1">
        <f t="array" ref="B13:CS13">负荷!B13:CS13-水电!B13:CS13-核电!B13:CS13-地方燃煤!B13:CS13-风电!B13:CS13-光伏!B13:CS13-非市场化!B13:CS13-联络线!B13:CS13</f>
        <v>13376.75</v>
      </c>
      <c r="C13">
        <v>12907.62</v>
      </c>
      <c r="D13">
        <v>12887.19</v>
      </c>
      <c r="E13">
        <v>13104.93</v>
      </c>
      <c r="F13">
        <v>13131.35</v>
      </c>
      <c r="G13">
        <v>13059.25</v>
      </c>
      <c r="H13">
        <v>13078.11</v>
      </c>
      <c r="I13">
        <v>12989.11</v>
      </c>
      <c r="J13">
        <v>13295.55</v>
      </c>
      <c r="K13">
        <v>13415.27</v>
      </c>
      <c r="L13">
        <v>13446.82</v>
      </c>
      <c r="M13">
        <v>13330.91</v>
      </c>
      <c r="N13">
        <v>13393.58</v>
      </c>
      <c r="O13">
        <v>13370.74</v>
      </c>
      <c r="P13">
        <v>13513.55</v>
      </c>
      <c r="Q13">
        <v>13251.84</v>
      </c>
      <c r="R13">
        <v>13479.79</v>
      </c>
      <c r="S13">
        <v>13392.08</v>
      </c>
      <c r="T13">
        <v>13314.01</v>
      </c>
      <c r="U13">
        <v>13671.55</v>
      </c>
      <c r="V13">
        <v>13874.43</v>
      </c>
      <c r="W13">
        <v>14054.53</v>
      </c>
      <c r="X13">
        <v>13752.34</v>
      </c>
      <c r="Y13">
        <v>14685.39</v>
      </c>
      <c r="Z13">
        <v>15957.7</v>
      </c>
      <c r="AA13">
        <v>16010.5</v>
      </c>
      <c r="AB13">
        <v>15773.2</v>
      </c>
      <c r="AC13">
        <v>15392.74</v>
      </c>
      <c r="AD13">
        <v>14870.21</v>
      </c>
      <c r="AE13">
        <v>14724.82</v>
      </c>
      <c r="AF13">
        <v>14929.09</v>
      </c>
      <c r="AG13">
        <v>14964.03</v>
      </c>
      <c r="AH13">
        <v>14705.06</v>
      </c>
      <c r="AI13">
        <v>14749.72</v>
      </c>
      <c r="AJ13">
        <v>14474.1</v>
      </c>
      <c r="AK13">
        <v>14119.11</v>
      </c>
      <c r="AL13">
        <v>13607.88</v>
      </c>
      <c r="AM13">
        <v>13617.49</v>
      </c>
      <c r="AN13">
        <v>13156.23</v>
      </c>
      <c r="AO13">
        <v>12586.53</v>
      </c>
      <c r="AP13">
        <v>11924.96</v>
      </c>
      <c r="AQ13">
        <v>11852.95</v>
      </c>
      <c r="AR13">
        <v>11821.64</v>
      </c>
      <c r="AS13">
        <v>11954.5</v>
      </c>
      <c r="AT13">
        <v>11691.43</v>
      </c>
      <c r="AU13">
        <v>12168.45</v>
      </c>
      <c r="AV13">
        <v>11657.36</v>
      </c>
      <c r="AW13">
        <v>11786.57</v>
      </c>
      <c r="AX13">
        <v>12304.96</v>
      </c>
      <c r="AY13">
        <v>12045.5</v>
      </c>
      <c r="AZ13">
        <v>12597.84</v>
      </c>
      <c r="BA13">
        <v>12206.71</v>
      </c>
      <c r="BB13">
        <v>12689.46</v>
      </c>
      <c r="BC13">
        <v>12458.66</v>
      </c>
      <c r="BD13">
        <v>12897.71</v>
      </c>
      <c r="BE13">
        <v>12933.43</v>
      </c>
      <c r="BF13">
        <v>13474.66</v>
      </c>
      <c r="BG13">
        <v>14195.97</v>
      </c>
      <c r="BH13">
        <v>14345.39</v>
      </c>
      <c r="BI13">
        <v>14500.65</v>
      </c>
      <c r="BJ13">
        <v>14777.51</v>
      </c>
      <c r="BK13">
        <v>14867.15</v>
      </c>
      <c r="BL13">
        <v>15231.4</v>
      </c>
      <c r="BM13">
        <v>15706.15</v>
      </c>
      <c r="BN13">
        <v>16756.77</v>
      </c>
      <c r="BO13">
        <v>17441.4</v>
      </c>
      <c r="BP13">
        <v>17918.74</v>
      </c>
      <c r="BQ13">
        <v>17541.88</v>
      </c>
      <c r="BR13">
        <v>18284.74</v>
      </c>
      <c r="BS13">
        <v>17993.13</v>
      </c>
      <c r="BT13">
        <v>17975.73</v>
      </c>
      <c r="BU13">
        <v>18175.82</v>
      </c>
      <c r="BV13">
        <v>18539.04</v>
      </c>
      <c r="BW13">
        <v>19008.23</v>
      </c>
      <c r="BX13">
        <v>18994.2</v>
      </c>
      <c r="BY13">
        <v>18888.75</v>
      </c>
      <c r="BZ13">
        <v>19480.68</v>
      </c>
      <c r="CA13">
        <v>19299.26</v>
      </c>
      <c r="CB13">
        <v>19088.32</v>
      </c>
      <c r="CC13">
        <v>18584.13</v>
      </c>
      <c r="CD13">
        <v>18716.93</v>
      </c>
      <c r="CE13">
        <v>18540.86</v>
      </c>
      <c r="CF13">
        <v>18662.51</v>
      </c>
      <c r="CG13">
        <v>18288.38</v>
      </c>
      <c r="CH13">
        <v>17699.13</v>
      </c>
      <c r="CI13">
        <v>17301.58</v>
      </c>
      <c r="CJ13">
        <v>17137.49</v>
      </c>
      <c r="CK13">
        <v>17726.44</v>
      </c>
      <c r="CL13">
        <v>15576.93</v>
      </c>
      <c r="CM13">
        <v>15357.2</v>
      </c>
      <c r="CN13">
        <v>15399.37</v>
      </c>
      <c r="CO13">
        <v>14790.83</v>
      </c>
      <c r="CP13">
        <v>15198.13</v>
      </c>
      <c r="CQ13">
        <v>14926.85</v>
      </c>
      <c r="CR13">
        <v>14550.43</v>
      </c>
      <c r="CS13">
        <v>14133.47</v>
      </c>
    </row>
    <row r="14" spans="1:97">
      <c r="A14" s="9">
        <v>46247</v>
      </c>
      <c r="B14" cm="1">
        <f t="array" ref="B14:CS14">负荷!B14:CS14-水电!B14:CS14-核电!B14:CS14-地方燃煤!B14:CS14-风电!B14:CS14-光伏!B14:CS14-非市场化!B14:CS14-联络线!B14:CS14</f>
        <v>13825.31</v>
      </c>
      <c r="C14">
        <v>14857.85</v>
      </c>
      <c r="D14">
        <v>14192.57</v>
      </c>
      <c r="E14">
        <v>14458.45</v>
      </c>
      <c r="F14">
        <v>13468.4</v>
      </c>
      <c r="G14">
        <v>13748.97</v>
      </c>
      <c r="H14">
        <v>14052.83</v>
      </c>
      <c r="I14">
        <v>13765.45</v>
      </c>
      <c r="J14">
        <v>14824.23</v>
      </c>
      <c r="K14">
        <v>15189.75</v>
      </c>
      <c r="L14">
        <v>14934.94</v>
      </c>
      <c r="M14">
        <v>14900.76</v>
      </c>
      <c r="N14">
        <v>13955.86</v>
      </c>
      <c r="O14">
        <v>13894.68</v>
      </c>
      <c r="P14">
        <v>13714.15</v>
      </c>
      <c r="Q14">
        <v>13592.44</v>
      </c>
      <c r="R14">
        <v>13694.48</v>
      </c>
      <c r="S14">
        <v>13951.87</v>
      </c>
      <c r="T14">
        <v>14137.82</v>
      </c>
      <c r="U14">
        <v>14061.58</v>
      </c>
      <c r="V14">
        <v>14313.08</v>
      </c>
      <c r="W14">
        <v>14278.48</v>
      </c>
      <c r="X14">
        <v>14889.29</v>
      </c>
      <c r="Y14">
        <v>15133.4</v>
      </c>
      <c r="Z14">
        <v>16133.89</v>
      </c>
      <c r="AA14">
        <v>16222.3</v>
      </c>
      <c r="AB14">
        <v>15923.15</v>
      </c>
      <c r="AC14">
        <v>15716.14</v>
      </c>
      <c r="AD14">
        <v>15591.43</v>
      </c>
      <c r="AE14">
        <v>14890.08</v>
      </c>
      <c r="AF14">
        <v>14931.23</v>
      </c>
      <c r="AG14">
        <v>15009.59</v>
      </c>
      <c r="AH14">
        <v>15476.16</v>
      </c>
      <c r="AI14">
        <v>15582.88</v>
      </c>
      <c r="AJ14">
        <v>15003.96</v>
      </c>
      <c r="AK14">
        <v>14940.22</v>
      </c>
      <c r="AL14">
        <v>14418.07</v>
      </c>
      <c r="AM14">
        <v>14296.52</v>
      </c>
      <c r="AN14">
        <v>14097.14</v>
      </c>
      <c r="AO14">
        <v>13487.95</v>
      </c>
      <c r="AP14">
        <v>13240.91</v>
      </c>
      <c r="AQ14">
        <v>13731.03</v>
      </c>
      <c r="AR14">
        <v>13703.07</v>
      </c>
      <c r="AS14">
        <v>13007.29</v>
      </c>
      <c r="AT14">
        <v>12759.67</v>
      </c>
      <c r="AU14">
        <v>11728.67</v>
      </c>
      <c r="AV14">
        <v>11740.52</v>
      </c>
      <c r="AW14">
        <v>11763.99</v>
      </c>
      <c r="AX14">
        <v>11540.34</v>
      </c>
      <c r="AY14">
        <v>10848.01</v>
      </c>
      <c r="AZ14">
        <v>10992.05</v>
      </c>
      <c r="BA14">
        <v>10747.12</v>
      </c>
      <c r="BB14">
        <v>10992.02</v>
      </c>
      <c r="BC14">
        <v>11175.97</v>
      </c>
      <c r="BD14">
        <v>11353.43</v>
      </c>
      <c r="BE14">
        <v>11331.95</v>
      </c>
      <c r="BF14">
        <v>12209.53</v>
      </c>
      <c r="BG14">
        <v>12788.92</v>
      </c>
      <c r="BH14">
        <v>12655.62</v>
      </c>
      <c r="BI14">
        <v>12966.33</v>
      </c>
      <c r="BJ14">
        <v>14253.04</v>
      </c>
      <c r="BK14">
        <v>14193.14</v>
      </c>
      <c r="BL14">
        <v>14932.03</v>
      </c>
      <c r="BM14">
        <v>16004.51</v>
      </c>
      <c r="BN14">
        <v>17823</v>
      </c>
      <c r="BO14">
        <v>19786.6</v>
      </c>
      <c r="BP14">
        <v>18293.3</v>
      </c>
      <c r="BQ14">
        <v>17605.62</v>
      </c>
      <c r="BR14">
        <v>18997.29</v>
      </c>
      <c r="BS14">
        <v>19169.01</v>
      </c>
      <c r="BT14">
        <v>19651.63</v>
      </c>
      <c r="BU14">
        <v>19500.25</v>
      </c>
      <c r="BV14">
        <v>20303.27</v>
      </c>
      <c r="BW14">
        <v>21196.93</v>
      </c>
      <c r="BX14">
        <v>20682.74</v>
      </c>
      <c r="BY14">
        <v>20807.56</v>
      </c>
      <c r="BZ14">
        <v>20767.87</v>
      </c>
      <c r="CA14">
        <v>20748.93</v>
      </c>
      <c r="CB14">
        <v>20450.29</v>
      </c>
      <c r="CC14">
        <v>20344.73</v>
      </c>
      <c r="CD14">
        <v>20203.59</v>
      </c>
      <c r="CE14">
        <v>20110.44</v>
      </c>
      <c r="CF14">
        <v>20230.7</v>
      </c>
      <c r="CG14">
        <v>19860.81</v>
      </c>
      <c r="CH14">
        <v>19348.4</v>
      </c>
      <c r="CI14">
        <v>19209.64</v>
      </c>
      <c r="CJ14">
        <v>18999.27</v>
      </c>
      <c r="CK14">
        <v>18360.69</v>
      </c>
      <c r="CL14">
        <v>18089.8</v>
      </c>
      <c r="CM14">
        <v>17507.05</v>
      </c>
      <c r="CN14">
        <v>17706.3</v>
      </c>
      <c r="CO14">
        <v>18127.11</v>
      </c>
      <c r="CP14">
        <v>17103.78</v>
      </c>
      <c r="CQ14">
        <v>16908.42</v>
      </c>
      <c r="CR14">
        <v>16313.35</v>
      </c>
      <c r="CS14">
        <v>15831.61</v>
      </c>
    </row>
    <row r="15" spans="1:97">
      <c r="A15" s="9">
        <v>46248</v>
      </c>
      <c r="B15" cm="1">
        <f t="array" ref="B15:CS15">负荷!B15:CS15-水电!B15:CS15-核电!B15:CS15-地方燃煤!B15:CS15-风电!B15:CS15-光伏!B15:CS15-非市场化!B15:CS15-联络线!B15:CS15</f>
        <v>15723.02</v>
      </c>
      <c r="C15">
        <v>15325.79</v>
      </c>
      <c r="D15">
        <v>14824.64</v>
      </c>
      <c r="E15">
        <v>14525.34</v>
      </c>
      <c r="F15">
        <v>14231.61</v>
      </c>
      <c r="G15">
        <v>14252.73</v>
      </c>
      <c r="H15">
        <v>14006.76</v>
      </c>
      <c r="I15">
        <v>13819.5</v>
      </c>
      <c r="J15">
        <v>13701.76</v>
      </c>
      <c r="K15">
        <v>13581.67</v>
      </c>
      <c r="L15">
        <v>13274.37</v>
      </c>
      <c r="M15">
        <v>13103.32</v>
      </c>
      <c r="N15">
        <v>13642.89</v>
      </c>
      <c r="O15">
        <v>13568.86</v>
      </c>
      <c r="P15">
        <v>13656.26</v>
      </c>
      <c r="Q15">
        <v>13535.22</v>
      </c>
      <c r="R15">
        <v>13368.72</v>
      </c>
      <c r="S15">
        <v>13140.94</v>
      </c>
      <c r="T15">
        <v>12997.8</v>
      </c>
      <c r="U15">
        <v>13125.41</v>
      </c>
      <c r="V15">
        <v>13724.34</v>
      </c>
      <c r="W15">
        <v>13927.04</v>
      </c>
      <c r="X15">
        <v>13946.51</v>
      </c>
      <c r="Y15">
        <v>14392.12</v>
      </c>
      <c r="Z15">
        <v>14189.7</v>
      </c>
      <c r="AA15">
        <v>14260.87</v>
      </c>
      <c r="AB15">
        <v>14227.79</v>
      </c>
      <c r="AC15">
        <v>14284.51</v>
      </c>
      <c r="AD15">
        <v>13289.27</v>
      </c>
      <c r="AE15">
        <v>12710.13</v>
      </c>
      <c r="AF15">
        <v>12352.25</v>
      </c>
      <c r="AG15">
        <v>12049.8</v>
      </c>
      <c r="AH15">
        <v>12577.56</v>
      </c>
      <c r="AI15">
        <v>12060.73</v>
      </c>
      <c r="AJ15">
        <v>11615.54</v>
      </c>
      <c r="AK15">
        <v>11700.28</v>
      </c>
      <c r="AL15">
        <v>11439.03</v>
      </c>
      <c r="AM15">
        <v>11155.24</v>
      </c>
      <c r="AN15">
        <v>11211.15</v>
      </c>
      <c r="AO15">
        <v>11006.03</v>
      </c>
      <c r="AP15">
        <v>11196.98</v>
      </c>
      <c r="AQ15">
        <v>10874.65</v>
      </c>
      <c r="AR15">
        <v>10851.54</v>
      </c>
      <c r="AS15">
        <v>10876.77</v>
      </c>
      <c r="AT15">
        <v>10795.69</v>
      </c>
      <c r="AU15">
        <v>11108.11</v>
      </c>
      <c r="AV15">
        <v>11177.21</v>
      </c>
      <c r="AW15">
        <v>11057.51</v>
      </c>
      <c r="AX15">
        <v>11106.78</v>
      </c>
      <c r="AY15">
        <v>10936.37</v>
      </c>
      <c r="AZ15">
        <v>11448.9</v>
      </c>
      <c r="BA15">
        <v>11505.54</v>
      </c>
      <c r="BB15">
        <v>11642.39</v>
      </c>
      <c r="BC15">
        <v>11242.8</v>
      </c>
      <c r="BD15">
        <v>11114.94</v>
      </c>
      <c r="BE15">
        <v>11628.13</v>
      </c>
      <c r="BF15">
        <v>11552.67</v>
      </c>
      <c r="BG15">
        <v>12021.07</v>
      </c>
      <c r="BH15">
        <v>12235.29</v>
      </c>
      <c r="BI15">
        <v>12567.47</v>
      </c>
      <c r="BJ15">
        <v>12809.77</v>
      </c>
      <c r="BK15">
        <v>13139.99</v>
      </c>
      <c r="BL15">
        <v>13931.62</v>
      </c>
      <c r="BM15">
        <v>14852.49</v>
      </c>
      <c r="BN15">
        <v>15517.93</v>
      </c>
      <c r="BO15">
        <v>16240.09</v>
      </c>
      <c r="BP15">
        <v>16806.76</v>
      </c>
      <c r="BQ15">
        <v>16436.71</v>
      </c>
      <c r="BR15">
        <v>17306.71</v>
      </c>
      <c r="BS15">
        <v>17245.41</v>
      </c>
      <c r="BT15">
        <v>17354.87</v>
      </c>
      <c r="BU15">
        <v>17689.23</v>
      </c>
      <c r="BV15">
        <v>18569.45</v>
      </c>
      <c r="BW15">
        <v>18515.82</v>
      </c>
      <c r="BX15">
        <v>17755.14</v>
      </c>
      <c r="BY15">
        <v>17010.89</v>
      </c>
      <c r="BZ15">
        <v>16399.24</v>
      </c>
      <c r="CA15">
        <v>16050.87</v>
      </c>
      <c r="CB15">
        <v>15273.88</v>
      </c>
      <c r="CC15">
        <v>14660.17</v>
      </c>
      <c r="CD15">
        <v>15524.94</v>
      </c>
      <c r="CE15">
        <v>15486.2</v>
      </c>
      <c r="CF15">
        <v>14310.34</v>
      </c>
      <c r="CG15">
        <v>14065.1</v>
      </c>
      <c r="CH15">
        <v>13685.21</v>
      </c>
      <c r="CI15">
        <v>13211.08</v>
      </c>
      <c r="CJ15">
        <v>12129.33</v>
      </c>
      <c r="CK15">
        <v>11819.06</v>
      </c>
      <c r="CL15">
        <v>11566.17</v>
      </c>
      <c r="CM15">
        <v>11355.97</v>
      </c>
      <c r="CN15">
        <v>11168.38</v>
      </c>
      <c r="CO15">
        <v>11182.1</v>
      </c>
      <c r="CP15">
        <v>11243.36</v>
      </c>
      <c r="CQ15">
        <v>11677.67</v>
      </c>
      <c r="CR15">
        <v>11855.57</v>
      </c>
      <c r="CS15">
        <v>11770.02</v>
      </c>
    </row>
    <row r="16" spans="1:97">
      <c r="A16" s="9">
        <v>46249</v>
      </c>
      <c r="B16" cm="1">
        <f t="array" ref="B16:CS16">负荷!B16:CS16-水电!B16:CS16-核电!B16:CS16-地方燃煤!B16:CS16-风电!B16:CS16-光伏!B16:CS16-非市场化!B16:CS16-联络线!B16:CS16</f>
        <v>12916.26</v>
      </c>
      <c r="C16">
        <v>12563.54</v>
      </c>
      <c r="D16">
        <v>12537.27</v>
      </c>
      <c r="E16">
        <v>12220.1</v>
      </c>
      <c r="F16">
        <v>12286.32</v>
      </c>
      <c r="G16">
        <v>12190.66</v>
      </c>
      <c r="H16">
        <v>12208.05</v>
      </c>
      <c r="I16">
        <v>11916.58</v>
      </c>
      <c r="J16">
        <v>11874.79</v>
      </c>
      <c r="K16">
        <v>11719.01</v>
      </c>
      <c r="L16">
        <v>11678.13</v>
      </c>
      <c r="M16">
        <v>11706.25</v>
      </c>
      <c r="N16">
        <v>11902.2</v>
      </c>
      <c r="O16">
        <v>11925.61</v>
      </c>
      <c r="P16">
        <v>11855.5</v>
      </c>
      <c r="Q16">
        <v>11972.1</v>
      </c>
      <c r="R16">
        <v>12356.12</v>
      </c>
      <c r="S16">
        <v>12206.92</v>
      </c>
      <c r="T16">
        <v>12393.1</v>
      </c>
      <c r="U16">
        <v>12834.24</v>
      </c>
      <c r="V16">
        <v>13305.33</v>
      </c>
      <c r="W16">
        <v>13426.41</v>
      </c>
      <c r="X16">
        <v>13589.25</v>
      </c>
      <c r="Y16">
        <v>13644.05</v>
      </c>
      <c r="Z16">
        <v>13903.59</v>
      </c>
      <c r="AA16">
        <v>13769.95</v>
      </c>
      <c r="AB16">
        <v>13616.17</v>
      </c>
      <c r="AC16">
        <v>13459.94</v>
      </c>
      <c r="AD16">
        <v>12701.51</v>
      </c>
      <c r="AE16">
        <v>12536.29</v>
      </c>
      <c r="AF16">
        <v>12459.43</v>
      </c>
      <c r="AG16">
        <v>12800.38</v>
      </c>
      <c r="AH16">
        <v>13048.7</v>
      </c>
      <c r="AI16">
        <v>12819.58</v>
      </c>
      <c r="AJ16">
        <v>12765.82</v>
      </c>
      <c r="AK16">
        <v>12582.6</v>
      </c>
      <c r="AL16">
        <v>13218.78</v>
      </c>
      <c r="AM16">
        <v>13654.22</v>
      </c>
      <c r="AN16">
        <v>13270.92</v>
      </c>
      <c r="AO16">
        <v>13767.62</v>
      </c>
      <c r="AP16">
        <v>13402.25</v>
      </c>
      <c r="AQ16">
        <v>13258.42</v>
      </c>
      <c r="AR16">
        <v>13667.59</v>
      </c>
      <c r="AS16">
        <v>13457.38</v>
      </c>
      <c r="AT16">
        <v>13689.1</v>
      </c>
      <c r="AU16">
        <v>13338.93</v>
      </c>
      <c r="AV16">
        <v>13237.13</v>
      </c>
      <c r="AW16">
        <v>12783.75</v>
      </c>
      <c r="AX16">
        <v>13295.64</v>
      </c>
      <c r="AY16">
        <v>13564.68</v>
      </c>
      <c r="AZ16">
        <v>12863.24</v>
      </c>
      <c r="BA16">
        <v>13047.06</v>
      </c>
      <c r="BB16">
        <v>13334.27</v>
      </c>
      <c r="BC16">
        <v>13269.64</v>
      </c>
      <c r="BD16">
        <v>13497.86</v>
      </c>
      <c r="BE16">
        <v>13681.27</v>
      </c>
      <c r="BF16">
        <v>14405.55</v>
      </c>
      <c r="BG16">
        <v>14593.68</v>
      </c>
      <c r="BH16">
        <v>14550.39</v>
      </c>
      <c r="BI16">
        <v>14789.85</v>
      </c>
      <c r="BJ16">
        <v>15718.73</v>
      </c>
      <c r="BK16">
        <v>15714.21</v>
      </c>
      <c r="BL16">
        <v>16356.08</v>
      </c>
      <c r="BM16">
        <v>17191.17</v>
      </c>
      <c r="BN16">
        <v>18079.5</v>
      </c>
      <c r="BO16">
        <v>18139.4</v>
      </c>
      <c r="BP16">
        <v>17789.09</v>
      </c>
      <c r="BQ16">
        <v>17600.05</v>
      </c>
      <c r="BR16">
        <v>17657.39</v>
      </c>
      <c r="BS16">
        <v>17345.29</v>
      </c>
      <c r="BT16">
        <v>17466.59</v>
      </c>
      <c r="BU16">
        <v>16967.16</v>
      </c>
      <c r="BV16">
        <v>17048.6</v>
      </c>
      <c r="BW16">
        <v>17061.57</v>
      </c>
      <c r="BX16">
        <v>16525.39</v>
      </c>
      <c r="BY16">
        <v>16835.49</v>
      </c>
      <c r="BZ16">
        <v>16669.16</v>
      </c>
      <c r="CA16">
        <v>16842.28</v>
      </c>
      <c r="CB16">
        <v>16727.87</v>
      </c>
      <c r="CC16">
        <v>16010.71</v>
      </c>
      <c r="CD16">
        <v>15832.17</v>
      </c>
      <c r="CE16">
        <v>16025.03</v>
      </c>
      <c r="CF16">
        <v>16092.48</v>
      </c>
      <c r="CG16">
        <v>15760.66</v>
      </c>
      <c r="CH16">
        <v>15934.13</v>
      </c>
      <c r="CI16">
        <v>15988.78</v>
      </c>
      <c r="CJ16">
        <v>14944.73</v>
      </c>
      <c r="CK16">
        <v>14917.56</v>
      </c>
      <c r="CL16">
        <v>14698.08</v>
      </c>
      <c r="CM16">
        <v>14451.58</v>
      </c>
      <c r="CN16">
        <v>14568.76</v>
      </c>
      <c r="CO16">
        <v>14752.77</v>
      </c>
      <c r="CP16">
        <v>14892.15</v>
      </c>
      <c r="CQ16">
        <v>14840.03</v>
      </c>
      <c r="CR16">
        <v>14865.57</v>
      </c>
      <c r="CS16">
        <v>14226.62</v>
      </c>
    </row>
    <row r="17" spans="1:97">
      <c r="A17" s="9">
        <v>46250</v>
      </c>
      <c r="B17" cm="1">
        <f t="array" ref="B17:CS17">负荷!B17:CS17-水电!B17:CS17-核电!B17:CS17-地方燃煤!B17:CS17-风电!B17:CS17-光伏!B17:CS17-非市场化!B17:CS17-联络线!B17:CS17</f>
        <v>12896.2</v>
      </c>
      <c r="C17">
        <v>13396.75</v>
      </c>
      <c r="D17">
        <v>13537.02</v>
      </c>
      <c r="E17">
        <v>13635.21</v>
      </c>
      <c r="F17">
        <v>13831.37</v>
      </c>
      <c r="G17">
        <v>13830.35</v>
      </c>
      <c r="H17">
        <v>13735.59</v>
      </c>
      <c r="I17">
        <v>13653.04</v>
      </c>
      <c r="J17">
        <v>13819.47</v>
      </c>
      <c r="K17">
        <v>13715.32</v>
      </c>
      <c r="L17">
        <v>13651.24</v>
      </c>
      <c r="M17">
        <v>13653.58</v>
      </c>
      <c r="N17">
        <v>13786.84</v>
      </c>
      <c r="O17">
        <v>13758.87</v>
      </c>
      <c r="P17">
        <v>13914.27</v>
      </c>
      <c r="Q17">
        <v>13874.89</v>
      </c>
      <c r="R17">
        <v>14353.4</v>
      </c>
      <c r="S17">
        <v>14134.73</v>
      </c>
      <c r="T17">
        <v>14076.62</v>
      </c>
      <c r="U17">
        <v>13789.77</v>
      </c>
      <c r="V17">
        <v>14579.16</v>
      </c>
      <c r="W17">
        <v>14283.24</v>
      </c>
      <c r="X17">
        <v>14158.03</v>
      </c>
      <c r="Y17">
        <v>13698.65</v>
      </c>
      <c r="Z17">
        <v>14161.52</v>
      </c>
      <c r="AA17">
        <v>13965.75</v>
      </c>
      <c r="AB17">
        <v>14015.47</v>
      </c>
      <c r="AC17">
        <v>13627.23</v>
      </c>
      <c r="AD17">
        <v>13557.18</v>
      </c>
      <c r="AE17">
        <v>12942.86</v>
      </c>
      <c r="AF17">
        <v>12487.18</v>
      </c>
      <c r="AG17">
        <v>12377.7</v>
      </c>
      <c r="AH17">
        <v>12112.99</v>
      </c>
      <c r="AI17">
        <v>12089.63</v>
      </c>
      <c r="AJ17">
        <v>12016.6</v>
      </c>
      <c r="AK17">
        <v>12004.35</v>
      </c>
      <c r="AL17">
        <v>12093.27</v>
      </c>
      <c r="AM17">
        <v>12229.1</v>
      </c>
      <c r="AN17">
        <v>12201.13</v>
      </c>
      <c r="AO17">
        <v>12675.24</v>
      </c>
      <c r="AP17">
        <v>12383.46</v>
      </c>
      <c r="AQ17">
        <v>12493.07</v>
      </c>
      <c r="AR17">
        <v>13588.19</v>
      </c>
      <c r="AS17">
        <v>13675.75</v>
      </c>
      <c r="AT17">
        <v>14467.42</v>
      </c>
      <c r="AU17">
        <v>14088.68</v>
      </c>
      <c r="AV17">
        <v>14142.53</v>
      </c>
      <c r="AW17">
        <v>14212.79</v>
      </c>
      <c r="AX17">
        <v>14197.82</v>
      </c>
      <c r="AY17">
        <v>13587.87</v>
      </c>
      <c r="AZ17">
        <v>14367.32</v>
      </c>
      <c r="BA17">
        <v>14172.84</v>
      </c>
      <c r="BB17">
        <v>14431.67</v>
      </c>
      <c r="BC17">
        <v>14754.01</v>
      </c>
      <c r="BD17">
        <v>14909.3</v>
      </c>
      <c r="BE17">
        <v>14299.99</v>
      </c>
      <c r="BF17">
        <v>14449.07</v>
      </c>
      <c r="BG17">
        <v>14419.21</v>
      </c>
      <c r="BH17">
        <v>14299.84</v>
      </c>
      <c r="BI17">
        <v>14546.33</v>
      </c>
      <c r="BJ17">
        <v>15722.73</v>
      </c>
      <c r="BK17">
        <v>16381.91</v>
      </c>
      <c r="BL17">
        <v>16285.36</v>
      </c>
      <c r="BM17">
        <v>17398.73</v>
      </c>
      <c r="BN17">
        <v>17631.81</v>
      </c>
      <c r="BO17">
        <v>18485.64</v>
      </c>
      <c r="BP17">
        <v>18085.67</v>
      </c>
      <c r="BQ17">
        <v>18238.13</v>
      </c>
      <c r="BR17">
        <v>18227.45</v>
      </c>
      <c r="BS17">
        <v>18231.09</v>
      </c>
      <c r="BT17">
        <v>18646.01</v>
      </c>
      <c r="BU17">
        <v>18360.59</v>
      </c>
      <c r="BV17">
        <v>18440.85</v>
      </c>
      <c r="BW17">
        <v>18617.57</v>
      </c>
      <c r="BX17">
        <v>18868.98</v>
      </c>
      <c r="BY17">
        <v>18627.98</v>
      </c>
      <c r="BZ17">
        <v>18660.67</v>
      </c>
      <c r="CA17">
        <v>18428.15</v>
      </c>
      <c r="CB17">
        <v>18578.55</v>
      </c>
      <c r="CC17">
        <v>18176.03</v>
      </c>
      <c r="CD17">
        <v>18215.92</v>
      </c>
      <c r="CE17">
        <v>17916.17</v>
      </c>
      <c r="CF17">
        <v>17911.1</v>
      </c>
      <c r="CG17">
        <v>17752.1</v>
      </c>
      <c r="CH17">
        <v>17778.17</v>
      </c>
      <c r="CI17">
        <v>17377.25</v>
      </c>
      <c r="CJ17">
        <v>16205.81</v>
      </c>
      <c r="CK17">
        <v>15689.03</v>
      </c>
      <c r="CL17">
        <v>15302.79</v>
      </c>
      <c r="CM17">
        <v>15119.5</v>
      </c>
      <c r="CN17">
        <v>15042.63</v>
      </c>
      <c r="CO17">
        <v>14880.08</v>
      </c>
      <c r="CP17">
        <v>14543.35</v>
      </c>
      <c r="CQ17">
        <v>14410.86</v>
      </c>
      <c r="CR17">
        <v>13821.79</v>
      </c>
      <c r="CS17">
        <v>12767.6</v>
      </c>
    </row>
    <row r="18" spans="1:97">
      <c r="A18" s="9">
        <v>46251</v>
      </c>
      <c r="B18" cm="1">
        <f t="array" ref="B18:CS18">负荷!B18:CS18-水电!B18:CS18-核电!B18:CS18-地方燃煤!B18:CS18-风电!B18:CS18-光伏!B18:CS18-非市场化!B18:CS18-联络线!B18:CS18</f>
        <v>12816.41</v>
      </c>
      <c r="C18">
        <v>13172.58</v>
      </c>
      <c r="D18">
        <v>13155.26</v>
      </c>
      <c r="E18">
        <v>13620.92</v>
      </c>
      <c r="F18">
        <v>14551.23</v>
      </c>
      <c r="G18">
        <v>15103.1</v>
      </c>
      <c r="H18">
        <v>14318.88</v>
      </c>
      <c r="I18">
        <v>14468.91</v>
      </c>
      <c r="J18">
        <v>14166.23</v>
      </c>
      <c r="K18">
        <v>13912.81</v>
      </c>
      <c r="L18">
        <v>13604.97</v>
      </c>
      <c r="M18">
        <v>13282.31</v>
      </c>
      <c r="N18">
        <v>13159.88</v>
      </c>
      <c r="O18">
        <v>12988.43</v>
      </c>
      <c r="P18">
        <v>13274</v>
      </c>
      <c r="Q18">
        <v>13031.8</v>
      </c>
      <c r="R18">
        <v>13389.11</v>
      </c>
      <c r="S18">
        <v>13419.11</v>
      </c>
      <c r="T18">
        <v>13370.5</v>
      </c>
      <c r="U18">
        <v>13488.33</v>
      </c>
      <c r="V18">
        <v>13165.08</v>
      </c>
      <c r="W18">
        <v>12798.28</v>
      </c>
      <c r="X18">
        <v>12484.85</v>
      </c>
      <c r="Y18">
        <v>12387</v>
      </c>
      <c r="Z18">
        <v>13172.65</v>
      </c>
      <c r="AA18">
        <v>13207.65</v>
      </c>
      <c r="AB18">
        <v>13215.65</v>
      </c>
      <c r="AC18">
        <v>13363.71</v>
      </c>
      <c r="AD18">
        <v>13592.32</v>
      </c>
      <c r="AE18">
        <v>13572.73</v>
      </c>
      <c r="AF18">
        <v>13574.99</v>
      </c>
      <c r="AG18">
        <v>13920.01</v>
      </c>
      <c r="AH18">
        <v>13917.8</v>
      </c>
      <c r="AI18">
        <v>13859.98</v>
      </c>
      <c r="AJ18">
        <v>13855.72</v>
      </c>
      <c r="AK18">
        <v>14114.28</v>
      </c>
      <c r="AL18">
        <v>13798.35</v>
      </c>
      <c r="AM18">
        <v>13953.91</v>
      </c>
      <c r="AN18">
        <v>14134.15</v>
      </c>
      <c r="AO18">
        <v>13971.66</v>
      </c>
      <c r="AP18">
        <v>13686.9</v>
      </c>
      <c r="AQ18">
        <v>13263.75</v>
      </c>
      <c r="AR18">
        <v>13197.38</v>
      </c>
      <c r="AS18">
        <v>13474.43</v>
      </c>
      <c r="AT18">
        <v>13707.95</v>
      </c>
      <c r="AU18">
        <v>13692.6</v>
      </c>
      <c r="AV18">
        <v>13447.18</v>
      </c>
      <c r="AW18">
        <v>12872.51</v>
      </c>
      <c r="AX18">
        <v>13743.41</v>
      </c>
      <c r="AY18">
        <v>13195.7</v>
      </c>
      <c r="AZ18">
        <v>13983.63</v>
      </c>
      <c r="BA18">
        <v>13743.48</v>
      </c>
      <c r="BB18">
        <v>13162.39</v>
      </c>
      <c r="BC18">
        <v>13006.68</v>
      </c>
      <c r="BD18">
        <v>13181.62</v>
      </c>
      <c r="BE18">
        <v>12990.97</v>
      </c>
      <c r="BF18">
        <v>12793.85</v>
      </c>
      <c r="BG18">
        <v>13041.21</v>
      </c>
      <c r="BH18">
        <v>12651.79</v>
      </c>
      <c r="BI18">
        <v>13302.06</v>
      </c>
      <c r="BJ18">
        <v>13912.4</v>
      </c>
      <c r="BK18">
        <v>13761.85</v>
      </c>
      <c r="BL18">
        <v>13554.24</v>
      </c>
      <c r="BM18">
        <v>13732.44</v>
      </c>
      <c r="BN18">
        <v>14787.18</v>
      </c>
      <c r="BO18">
        <v>14257.05</v>
      </c>
      <c r="BP18">
        <v>14631.43</v>
      </c>
      <c r="BQ18">
        <v>14689.46</v>
      </c>
      <c r="BR18">
        <v>15550.8</v>
      </c>
      <c r="BS18">
        <v>15210.86</v>
      </c>
      <c r="BT18">
        <v>14979.43</v>
      </c>
      <c r="BU18">
        <v>14829.1</v>
      </c>
      <c r="BV18">
        <v>15107.66</v>
      </c>
      <c r="BW18">
        <v>15004.69</v>
      </c>
      <c r="BX18">
        <v>15235.92</v>
      </c>
      <c r="BY18">
        <v>15486.81</v>
      </c>
      <c r="BZ18">
        <v>16094.63</v>
      </c>
      <c r="CA18">
        <v>15982.4</v>
      </c>
      <c r="CB18">
        <v>16036.01</v>
      </c>
      <c r="CC18">
        <v>16029.76</v>
      </c>
      <c r="CD18">
        <v>15895.88</v>
      </c>
      <c r="CE18">
        <v>15981.43</v>
      </c>
      <c r="CF18">
        <v>16123.01</v>
      </c>
      <c r="CG18">
        <v>15939.39</v>
      </c>
      <c r="CH18">
        <v>15994.37</v>
      </c>
      <c r="CI18">
        <v>15124.28</v>
      </c>
      <c r="CJ18">
        <v>14856.43</v>
      </c>
      <c r="CK18">
        <v>14403.21</v>
      </c>
      <c r="CL18">
        <v>13912.45</v>
      </c>
      <c r="CM18">
        <v>13759.23</v>
      </c>
      <c r="CN18">
        <v>13875.69</v>
      </c>
      <c r="CO18">
        <v>13689.4</v>
      </c>
      <c r="CP18">
        <v>13419.21</v>
      </c>
      <c r="CQ18">
        <v>13089.79</v>
      </c>
      <c r="CR18">
        <v>12112.7</v>
      </c>
      <c r="CS18">
        <v>11367.16</v>
      </c>
    </row>
    <row r="19" spans="1:97">
      <c r="A19" s="9">
        <v>46252</v>
      </c>
      <c r="B19" cm="1">
        <f t="array" ref="B19:CS19">负荷!B19:CS19-水电!B19:CS19-核电!B19:CS19-地方燃煤!B19:CS19-风电!B19:CS19-光伏!B19:CS19-非市场化!B19:CS19-联络线!B19:CS19</f>
        <v>12339.43</v>
      </c>
      <c r="C19">
        <v>12548.24</v>
      </c>
      <c r="D19">
        <v>12937.92</v>
      </c>
      <c r="E19">
        <v>13253</v>
      </c>
      <c r="F19">
        <v>14236.11</v>
      </c>
      <c r="G19">
        <v>14646.71</v>
      </c>
      <c r="H19">
        <v>14787.17</v>
      </c>
      <c r="I19">
        <v>14526.22</v>
      </c>
      <c r="J19">
        <v>14518.29</v>
      </c>
      <c r="K19">
        <v>14227.71</v>
      </c>
      <c r="L19">
        <v>13955.14</v>
      </c>
      <c r="M19">
        <v>13531.76</v>
      </c>
      <c r="N19">
        <v>14729.21</v>
      </c>
      <c r="O19">
        <v>14711.19</v>
      </c>
      <c r="P19">
        <v>14782.82</v>
      </c>
      <c r="Q19">
        <v>14869.19</v>
      </c>
      <c r="R19">
        <v>15614.74</v>
      </c>
      <c r="S19">
        <v>15526.82</v>
      </c>
      <c r="T19">
        <v>16127.54</v>
      </c>
      <c r="U19">
        <v>16388.7</v>
      </c>
      <c r="V19">
        <v>16438.4</v>
      </c>
      <c r="W19">
        <v>16549.15</v>
      </c>
      <c r="X19">
        <v>17008</v>
      </c>
      <c r="Y19">
        <v>17423.48</v>
      </c>
      <c r="Z19">
        <v>18468.4</v>
      </c>
      <c r="AA19">
        <v>18357.63</v>
      </c>
      <c r="AB19">
        <v>18929.48</v>
      </c>
      <c r="AC19">
        <v>19073.04</v>
      </c>
      <c r="AD19">
        <v>18523</v>
      </c>
      <c r="AE19">
        <v>18171.7</v>
      </c>
      <c r="AF19">
        <v>17900.76</v>
      </c>
      <c r="AG19">
        <v>17270.58</v>
      </c>
      <c r="AH19">
        <v>16970.97</v>
      </c>
      <c r="AI19">
        <v>15896.81</v>
      </c>
      <c r="AJ19">
        <v>15133.83</v>
      </c>
      <c r="AK19">
        <v>14398.16</v>
      </c>
      <c r="AL19">
        <v>14668.75</v>
      </c>
      <c r="AM19">
        <v>14320.42</v>
      </c>
      <c r="AN19">
        <v>13689.27</v>
      </c>
      <c r="AO19">
        <v>13849.32</v>
      </c>
      <c r="AP19">
        <v>14023.63</v>
      </c>
      <c r="AQ19">
        <v>14426.77</v>
      </c>
      <c r="AR19">
        <v>14083.38</v>
      </c>
      <c r="AS19">
        <v>13896.59</v>
      </c>
      <c r="AT19">
        <v>14224.39</v>
      </c>
      <c r="AU19">
        <v>13883.79</v>
      </c>
      <c r="AV19">
        <v>14697.01</v>
      </c>
      <c r="AW19">
        <v>14580.4</v>
      </c>
      <c r="AX19">
        <v>13552.21</v>
      </c>
      <c r="AY19">
        <v>13331.26</v>
      </c>
      <c r="AZ19">
        <v>13557.33</v>
      </c>
      <c r="BA19">
        <v>13686.22</v>
      </c>
      <c r="BB19">
        <v>13255.88</v>
      </c>
      <c r="BC19">
        <v>13577.15</v>
      </c>
      <c r="BD19">
        <v>13659.13</v>
      </c>
      <c r="BE19">
        <v>14234.8</v>
      </c>
      <c r="BF19">
        <v>14702.19</v>
      </c>
      <c r="BG19">
        <v>13979.22</v>
      </c>
      <c r="BH19">
        <v>14143.12</v>
      </c>
      <c r="BI19">
        <v>14278.34</v>
      </c>
      <c r="BJ19">
        <v>14914.07</v>
      </c>
      <c r="BK19">
        <v>15882.4</v>
      </c>
      <c r="BL19">
        <v>16258.84</v>
      </c>
      <c r="BM19">
        <v>17074.52</v>
      </c>
      <c r="BN19">
        <v>17792.03</v>
      </c>
      <c r="BO19">
        <v>18434.19</v>
      </c>
      <c r="BP19">
        <v>19070.32</v>
      </c>
      <c r="BQ19">
        <v>19105.35</v>
      </c>
      <c r="BR19">
        <v>19338.76</v>
      </c>
      <c r="BS19">
        <v>19422.43</v>
      </c>
      <c r="BT19">
        <v>19696.52</v>
      </c>
      <c r="BU19">
        <v>19280.64</v>
      </c>
      <c r="BV19">
        <v>19410.17</v>
      </c>
      <c r="BW19">
        <v>19574.89</v>
      </c>
      <c r="BX19">
        <v>20066.94</v>
      </c>
      <c r="BY19">
        <v>20218.03</v>
      </c>
      <c r="BZ19">
        <v>19627.71</v>
      </c>
      <c r="CA19">
        <v>19747.99</v>
      </c>
      <c r="CB19">
        <v>19502.03</v>
      </c>
      <c r="CC19">
        <v>19617.75</v>
      </c>
      <c r="CD19">
        <v>19343.59</v>
      </c>
      <c r="CE19">
        <v>19234.96</v>
      </c>
      <c r="CF19">
        <v>19689.07</v>
      </c>
      <c r="CG19">
        <v>19714.62</v>
      </c>
      <c r="CH19">
        <v>20125.14</v>
      </c>
      <c r="CI19">
        <v>20443.07</v>
      </c>
      <c r="CJ19">
        <v>20372.24</v>
      </c>
      <c r="CK19">
        <v>19744.81</v>
      </c>
      <c r="CL19">
        <v>19929.35</v>
      </c>
      <c r="CM19">
        <v>19811.21</v>
      </c>
      <c r="CN19">
        <v>19532.1</v>
      </c>
      <c r="CO19">
        <v>18897.95</v>
      </c>
      <c r="CP19">
        <v>17589.24</v>
      </c>
      <c r="CQ19">
        <v>17297.27</v>
      </c>
      <c r="CR19">
        <v>16936.12</v>
      </c>
      <c r="CS19">
        <v>16055.36</v>
      </c>
    </row>
    <row r="20" spans="1:97">
      <c r="A20" s="9">
        <v>46253</v>
      </c>
      <c r="B20" cm="1">
        <f t="array" ref="B20:CS20">负荷!B20:CS20-水电!B20:CS20-核电!B20:CS20-地方燃煤!B20:CS20-风电!B20:CS20-光伏!B20:CS20-非市场化!B20:CS20-联络线!B20:CS20</f>
        <v>15861.74</v>
      </c>
      <c r="C20">
        <v>15978</v>
      </c>
      <c r="D20">
        <v>15927.36</v>
      </c>
      <c r="E20">
        <v>15597.3</v>
      </c>
      <c r="F20">
        <v>16208.49</v>
      </c>
      <c r="G20">
        <v>16590.49</v>
      </c>
      <c r="H20">
        <v>16990.19</v>
      </c>
      <c r="I20">
        <v>17014.03</v>
      </c>
      <c r="J20">
        <v>16576.2</v>
      </c>
      <c r="K20">
        <v>16502.08</v>
      </c>
      <c r="L20">
        <v>16629.75</v>
      </c>
      <c r="M20">
        <v>16567.49</v>
      </c>
      <c r="N20">
        <v>16209.7</v>
      </c>
      <c r="O20">
        <v>15891.59</v>
      </c>
      <c r="P20">
        <v>15729.64</v>
      </c>
      <c r="Q20">
        <v>15766.26</v>
      </c>
      <c r="R20">
        <v>15631.68</v>
      </c>
      <c r="S20">
        <v>15671.53</v>
      </c>
      <c r="T20">
        <v>15816.74</v>
      </c>
      <c r="U20">
        <v>16303.91</v>
      </c>
      <c r="V20">
        <v>16138.27</v>
      </c>
      <c r="W20">
        <v>16272.69</v>
      </c>
      <c r="X20">
        <v>16036.53</v>
      </c>
      <c r="Y20">
        <v>16005.7</v>
      </c>
      <c r="Z20">
        <v>16220.12</v>
      </c>
      <c r="AA20">
        <v>16004.87</v>
      </c>
      <c r="AB20">
        <v>16096.36</v>
      </c>
      <c r="AC20">
        <v>15481.11</v>
      </c>
      <c r="AD20">
        <v>14845.7</v>
      </c>
      <c r="AE20">
        <v>14197.77</v>
      </c>
      <c r="AF20">
        <v>13221.8</v>
      </c>
      <c r="AG20">
        <v>13636.69</v>
      </c>
      <c r="AH20">
        <v>13979.55</v>
      </c>
      <c r="AI20">
        <v>13535.56</v>
      </c>
      <c r="AJ20">
        <v>13390.65</v>
      </c>
      <c r="AK20">
        <v>12989.04</v>
      </c>
      <c r="AL20">
        <v>12802</v>
      </c>
      <c r="AM20">
        <v>12942.07</v>
      </c>
      <c r="AN20">
        <v>13563.41</v>
      </c>
      <c r="AO20">
        <v>13811.34</v>
      </c>
      <c r="AP20">
        <v>14199.55</v>
      </c>
      <c r="AQ20">
        <v>14835.01</v>
      </c>
      <c r="AR20">
        <v>15880.55</v>
      </c>
      <c r="AS20">
        <v>15857.94</v>
      </c>
      <c r="AT20">
        <v>16176.77</v>
      </c>
      <c r="AU20">
        <v>15641.28</v>
      </c>
      <c r="AV20">
        <v>15850.34</v>
      </c>
      <c r="AW20">
        <v>15767.44</v>
      </c>
      <c r="AX20">
        <v>15413.44</v>
      </c>
      <c r="AY20">
        <v>15252.5</v>
      </c>
      <c r="AZ20">
        <v>15416.77</v>
      </c>
      <c r="BA20">
        <v>15689.57</v>
      </c>
      <c r="BB20">
        <v>15544.49</v>
      </c>
      <c r="BC20">
        <v>15930.14</v>
      </c>
      <c r="BD20">
        <v>15261.11</v>
      </c>
      <c r="BE20">
        <v>15438.61</v>
      </c>
      <c r="BF20">
        <v>15681.59</v>
      </c>
      <c r="BG20">
        <v>16108.65</v>
      </c>
      <c r="BH20">
        <v>16152.69</v>
      </c>
      <c r="BI20">
        <v>16636.1</v>
      </c>
      <c r="BJ20">
        <v>16951.38</v>
      </c>
      <c r="BK20">
        <v>17279.18</v>
      </c>
      <c r="BL20">
        <v>17145.94</v>
      </c>
      <c r="BM20">
        <v>17660.43</v>
      </c>
      <c r="BN20">
        <v>18395.61</v>
      </c>
      <c r="BO20">
        <v>18747.17</v>
      </c>
      <c r="BP20">
        <v>18439.22</v>
      </c>
      <c r="BQ20">
        <v>17807.3</v>
      </c>
      <c r="BR20">
        <v>17591</v>
      </c>
      <c r="BS20">
        <v>17731.73</v>
      </c>
      <c r="BT20">
        <v>17823.06</v>
      </c>
      <c r="BU20">
        <v>17727.49</v>
      </c>
      <c r="BV20">
        <v>17709.67</v>
      </c>
      <c r="BW20">
        <v>17351.04</v>
      </c>
      <c r="BX20">
        <v>17654.15</v>
      </c>
      <c r="BY20">
        <v>18024.18</v>
      </c>
      <c r="BZ20">
        <v>17802.8</v>
      </c>
      <c r="CA20">
        <v>17735.22</v>
      </c>
      <c r="CB20">
        <v>17880.04</v>
      </c>
      <c r="CC20">
        <v>17429.98</v>
      </c>
      <c r="CD20">
        <v>16737.55</v>
      </c>
      <c r="CE20">
        <v>16850.65</v>
      </c>
      <c r="CF20">
        <v>16245.23</v>
      </c>
      <c r="CG20">
        <v>16212.03</v>
      </c>
      <c r="CH20">
        <v>15314.44</v>
      </c>
      <c r="CI20">
        <v>14812.15</v>
      </c>
      <c r="CJ20">
        <v>13951.92</v>
      </c>
      <c r="CK20">
        <v>13241.47</v>
      </c>
      <c r="CL20">
        <v>12936.29</v>
      </c>
      <c r="CM20">
        <v>12464.71</v>
      </c>
      <c r="CN20">
        <v>12602.89</v>
      </c>
      <c r="CO20">
        <v>12643.44</v>
      </c>
      <c r="CP20">
        <v>12659.15</v>
      </c>
      <c r="CQ20">
        <v>13223.78</v>
      </c>
      <c r="CR20">
        <v>12648.06</v>
      </c>
      <c r="CS20">
        <v>13169.61</v>
      </c>
    </row>
    <row r="21" spans="1:97">
      <c r="A21" s="9">
        <v>46254</v>
      </c>
      <c r="B21" cm="1">
        <f t="array" ref="B21:CS21">负荷!B21:CS21-水电!B21:CS21-核电!B21:CS21-地方燃煤!B21:CS21-风电!B21:CS21-光伏!B21:CS21-非市场化!B21:CS21-联络线!B21:CS21</f>
        <v>12281.67</v>
      </c>
      <c r="C21">
        <v>11991.89</v>
      </c>
      <c r="D21">
        <v>11504.73</v>
      </c>
      <c r="E21">
        <v>11405.43</v>
      </c>
      <c r="F21">
        <v>11256.22</v>
      </c>
      <c r="G21">
        <v>11062.53</v>
      </c>
      <c r="H21">
        <v>10720.91</v>
      </c>
      <c r="I21">
        <v>10387.17</v>
      </c>
      <c r="J21">
        <v>10172.1</v>
      </c>
      <c r="K21">
        <v>10033.32</v>
      </c>
      <c r="L21">
        <v>9825.09</v>
      </c>
      <c r="M21">
        <v>9818.07</v>
      </c>
      <c r="N21">
        <v>10088.05</v>
      </c>
      <c r="O21">
        <v>10010.78</v>
      </c>
      <c r="P21">
        <v>9821.64</v>
      </c>
      <c r="Q21">
        <v>9924.89</v>
      </c>
      <c r="R21">
        <v>10807.26</v>
      </c>
      <c r="S21">
        <v>10967.35</v>
      </c>
      <c r="T21">
        <v>11124.6</v>
      </c>
      <c r="U21">
        <v>11300.14</v>
      </c>
      <c r="V21">
        <v>11755.23</v>
      </c>
      <c r="W21">
        <v>11333.3</v>
      </c>
      <c r="X21">
        <v>11721.94</v>
      </c>
      <c r="Y21">
        <v>11726.07</v>
      </c>
      <c r="Z21">
        <v>11840.58</v>
      </c>
      <c r="AA21">
        <v>12012.77</v>
      </c>
      <c r="AB21">
        <v>11984.05</v>
      </c>
      <c r="AC21">
        <v>11922.75</v>
      </c>
      <c r="AD21">
        <v>11960.57</v>
      </c>
      <c r="AE21">
        <v>11812.9</v>
      </c>
      <c r="AF21">
        <v>11440.9</v>
      </c>
      <c r="AG21">
        <v>11575.35</v>
      </c>
      <c r="AH21">
        <v>12096.82</v>
      </c>
      <c r="AI21">
        <v>12020.64</v>
      </c>
      <c r="AJ21">
        <v>11752.28</v>
      </c>
      <c r="AK21">
        <v>11495.89</v>
      </c>
      <c r="AL21">
        <v>11359.41</v>
      </c>
      <c r="AM21">
        <v>11383.09</v>
      </c>
      <c r="AN21">
        <v>11217.96</v>
      </c>
      <c r="AO21">
        <v>11272.03</v>
      </c>
      <c r="AP21">
        <v>11416.58</v>
      </c>
      <c r="AQ21">
        <v>11922.03</v>
      </c>
      <c r="AR21">
        <v>11705.66</v>
      </c>
      <c r="AS21">
        <v>11347.86</v>
      </c>
      <c r="AT21">
        <v>11195.64</v>
      </c>
      <c r="AU21">
        <v>11016.09</v>
      </c>
      <c r="AV21">
        <v>11054.67</v>
      </c>
      <c r="AW21">
        <v>10749.96</v>
      </c>
      <c r="AX21">
        <v>9842.39</v>
      </c>
      <c r="AY21">
        <v>9583.03000000001</v>
      </c>
      <c r="AZ21">
        <v>9335.59</v>
      </c>
      <c r="BA21">
        <v>9886.89</v>
      </c>
      <c r="BB21">
        <v>10496.64</v>
      </c>
      <c r="BC21">
        <v>10964.09</v>
      </c>
      <c r="BD21">
        <v>10489.16</v>
      </c>
      <c r="BE21">
        <v>10376.89</v>
      </c>
      <c r="BF21">
        <v>10241.18</v>
      </c>
      <c r="BG21">
        <v>9917.12000000001</v>
      </c>
      <c r="BH21">
        <v>10524.73</v>
      </c>
      <c r="BI21">
        <v>10561.77</v>
      </c>
      <c r="BJ21">
        <v>10604.45</v>
      </c>
      <c r="BK21">
        <v>10988.48</v>
      </c>
      <c r="BL21">
        <v>11210.45</v>
      </c>
      <c r="BM21">
        <v>11382.96</v>
      </c>
      <c r="BN21">
        <v>11189.98</v>
      </c>
      <c r="BO21">
        <v>11536.25</v>
      </c>
      <c r="BP21">
        <v>11884.42</v>
      </c>
      <c r="BQ21">
        <v>12425.75</v>
      </c>
      <c r="BR21">
        <v>13087</v>
      </c>
      <c r="BS21">
        <v>12836.58</v>
      </c>
      <c r="BT21">
        <v>12934.75</v>
      </c>
      <c r="BU21">
        <v>13239.18</v>
      </c>
      <c r="BV21">
        <v>12639.72</v>
      </c>
      <c r="BW21">
        <v>12425.3</v>
      </c>
      <c r="BX21">
        <v>13132.18</v>
      </c>
      <c r="BY21">
        <v>13582.18</v>
      </c>
      <c r="BZ21">
        <v>14113.69</v>
      </c>
      <c r="CA21">
        <v>14640.95</v>
      </c>
      <c r="CB21">
        <v>14735.55</v>
      </c>
      <c r="CC21">
        <v>14467.51</v>
      </c>
      <c r="CD21">
        <v>13771.6</v>
      </c>
      <c r="CE21">
        <v>13830.64</v>
      </c>
      <c r="CF21">
        <v>13603.38</v>
      </c>
      <c r="CG21">
        <v>13479.67</v>
      </c>
      <c r="CH21">
        <v>12664.57</v>
      </c>
      <c r="CI21">
        <v>12402.97</v>
      </c>
      <c r="CJ21">
        <v>11384.8</v>
      </c>
      <c r="CK21">
        <v>10879.94</v>
      </c>
      <c r="CL21">
        <v>11537.21</v>
      </c>
      <c r="CM21">
        <v>10817.86</v>
      </c>
      <c r="CN21">
        <v>11280.68</v>
      </c>
      <c r="CO21">
        <v>11483.36</v>
      </c>
      <c r="CP21">
        <v>12037.05</v>
      </c>
      <c r="CQ21">
        <v>11942.86</v>
      </c>
      <c r="CR21">
        <v>11854.99</v>
      </c>
      <c r="CS21">
        <v>11506.45</v>
      </c>
    </row>
    <row r="22" spans="1:97">
      <c r="A22" s="9">
        <v>46255</v>
      </c>
      <c r="B22" cm="1">
        <f t="array" ref="B22:CS22">负荷!B22:CS22-水电!B22:CS22-核电!B22:CS22-地方燃煤!B22:CS22-风电!B22:CS22-光伏!B22:CS22-非市场化!B22:CS22-联络线!B22:CS22</f>
        <v>11135.5544</v>
      </c>
      <c r="C22">
        <v>11139.3784</v>
      </c>
      <c r="D22">
        <v>11148.1204</v>
      </c>
      <c r="E22">
        <v>11143.4196</v>
      </c>
      <c r="F22">
        <v>11431.6048</v>
      </c>
      <c r="G22">
        <v>11740.8196</v>
      </c>
      <c r="H22">
        <v>11900.1956</v>
      </c>
      <c r="I22">
        <v>11917.6568</v>
      </c>
      <c r="J22">
        <v>11745.5744</v>
      </c>
      <c r="K22">
        <v>11695.8976</v>
      </c>
      <c r="L22">
        <v>11433.6808</v>
      </c>
      <c r="M22">
        <v>11403.3576</v>
      </c>
      <c r="N22">
        <v>11688.7356</v>
      </c>
      <c r="O22">
        <v>11949.9728</v>
      </c>
      <c r="P22">
        <v>11864.8324</v>
      </c>
      <c r="Q22">
        <v>11594.1824</v>
      </c>
      <c r="R22">
        <v>11410.518</v>
      </c>
      <c r="S22">
        <v>11158.6372</v>
      </c>
      <c r="T22">
        <v>10896.606</v>
      </c>
      <c r="U22">
        <v>11232.3692</v>
      </c>
      <c r="V22">
        <v>11193.5684</v>
      </c>
      <c r="W22">
        <v>11480.536</v>
      </c>
      <c r="X22">
        <v>11768.0216</v>
      </c>
      <c r="Y22">
        <v>12087.468</v>
      </c>
      <c r="Z22">
        <v>12202.4156</v>
      </c>
      <c r="AA22">
        <v>12331.112</v>
      </c>
      <c r="AB22">
        <v>12282.7716</v>
      </c>
      <c r="AC22">
        <v>12011.7824</v>
      </c>
      <c r="AD22">
        <v>11756.0204</v>
      </c>
      <c r="AE22">
        <v>11745.3832</v>
      </c>
      <c r="AF22">
        <v>11791.4052</v>
      </c>
      <c r="AG22">
        <v>11536.2984</v>
      </c>
      <c r="AH22">
        <v>12227.888</v>
      </c>
      <c r="AI22">
        <v>12163.1564</v>
      </c>
      <c r="AJ22">
        <v>11776.7648</v>
      </c>
      <c r="AK22">
        <v>11468.9744</v>
      </c>
      <c r="AL22">
        <v>11410.084</v>
      </c>
      <c r="AM22">
        <v>11340.4768</v>
      </c>
      <c r="AN22">
        <v>11586.6336</v>
      </c>
      <c r="AO22">
        <v>11209.9488</v>
      </c>
      <c r="AP22">
        <v>11674.5516</v>
      </c>
      <c r="AQ22">
        <v>11658.5212</v>
      </c>
      <c r="AR22">
        <v>12801.4768</v>
      </c>
      <c r="AS22">
        <v>12516.2416</v>
      </c>
      <c r="AT22">
        <v>13107.3356</v>
      </c>
      <c r="AU22">
        <v>12832.1804</v>
      </c>
      <c r="AV22">
        <v>12553.2708</v>
      </c>
      <c r="AW22">
        <v>12019.5876</v>
      </c>
      <c r="AX22">
        <v>12165.8324</v>
      </c>
      <c r="AY22">
        <v>12228.0224</v>
      </c>
      <c r="AZ22">
        <v>12838.7444</v>
      </c>
      <c r="BA22">
        <v>12466.538</v>
      </c>
      <c r="BB22">
        <v>12430.6988</v>
      </c>
      <c r="BC22">
        <v>12132.8364</v>
      </c>
      <c r="BD22">
        <v>12436.0512</v>
      </c>
      <c r="BE22">
        <v>12627.1728</v>
      </c>
      <c r="BF22">
        <v>13172.5924</v>
      </c>
      <c r="BG22">
        <v>13703.5832</v>
      </c>
      <c r="BH22">
        <v>13859.1072</v>
      </c>
      <c r="BI22">
        <v>14466.4292</v>
      </c>
      <c r="BJ22">
        <v>14497.3832</v>
      </c>
      <c r="BK22">
        <v>14086.2584</v>
      </c>
      <c r="BL22">
        <v>14171.4016</v>
      </c>
      <c r="BM22">
        <v>14691.0308</v>
      </c>
      <c r="BN22">
        <v>15446.1588</v>
      </c>
      <c r="BO22">
        <v>15451.3448</v>
      </c>
      <c r="BP22">
        <v>16523.8232</v>
      </c>
      <c r="BQ22">
        <v>16250.7412</v>
      </c>
      <c r="BR22">
        <v>16538.6456</v>
      </c>
      <c r="BS22">
        <v>16790.1744</v>
      </c>
      <c r="BT22">
        <v>16860.2496</v>
      </c>
      <c r="BU22">
        <v>17090.6372</v>
      </c>
      <c r="BV22">
        <v>17431.548</v>
      </c>
      <c r="BW22">
        <v>17667.2488</v>
      </c>
      <c r="BX22">
        <v>17720.0892</v>
      </c>
      <c r="BY22">
        <v>18020.8592</v>
      </c>
      <c r="BZ22">
        <v>18202.9376</v>
      </c>
      <c r="CA22">
        <v>18117.07</v>
      </c>
      <c r="CB22">
        <v>18096.558</v>
      </c>
      <c r="CC22">
        <v>17954.8896</v>
      </c>
      <c r="CD22">
        <v>17038.692</v>
      </c>
      <c r="CE22">
        <v>17070.628</v>
      </c>
      <c r="CF22">
        <v>17017.5724</v>
      </c>
      <c r="CG22">
        <v>16400.9592</v>
      </c>
      <c r="CH22">
        <v>16130.0588</v>
      </c>
      <c r="CI22">
        <v>15493.3604</v>
      </c>
      <c r="CJ22">
        <v>14888.386</v>
      </c>
      <c r="CK22">
        <v>14181.5296</v>
      </c>
      <c r="CL22">
        <v>14750.3</v>
      </c>
      <c r="CM22">
        <v>14929.2492</v>
      </c>
      <c r="CN22">
        <v>15032.266</v>
      </c>
      <c r="CO22">
        <v>15306.5468</v>
      </c>
      <c r="CP22">
        <v>15222.1392</v>
      </c>
      <c r="CQ22">
        <v>15052.246</v>
      </c>
      <c r="CR22">
        <v>14627.9772</v>
      </c>
      <c r="CS22">
        <v>13797.836</v>
      </c>
    </row>
    <row r="23" spans="1:97">
      <c r="A23" s="9">
        <v>46256</v>
      </c>
      <c r="B23" cm="1">
        <f t="array" ref="B23:CS23">负荷!B23:CS23-水电!B23:CS23-核电!B23:CS23-地方燃煤!B23:CS23-风电!B23:CS23-光伏!B23:CS23-非市场化!B23:CS23-联络线!B23:CS23</f>
        <v>13825.02</v>
      </c>
      <c r="C23">
        <v>13955.58</v>
      </c>
      <c r="D23">
        <v>14034.45</v>
      </c>
      <c r="E23">
        <v>14266.83</v>
      </c>
      <c r="F23">
        <v>14515.82</v>
      </c>
      <c r="G23">
        <v>14486.44</v>
      </c>
      <c r="H23">
        <v>14576.82</v>
      </c>
      <c r="I23">
        <v>14534.42</v>
      </c>
      <c r="J23">
        <v>14322.96</v>
      </c>
      <c r="K23">
        <v>14121.75</v>
      </c>
      <c r="L23">
        <v>13855.2</v>
      </c>
      <c r="M23">
        <v>13558.76</v>
      </c>
      <c r="N23">
        <v>14054.42</v>
      </c>
      <c r="O23">
        <v>13744.01</v>
      </c>
      <c r="P23">
        <v>13723.44</v>
      </c>
      <c r="Q23">
        <v>13732.19</v>
      </c>
      <c r="R23">
        <v>13890.46</v>
      </c>
      <c r="S23">
        <v>13968.51</v>
      </c>
      <c r="T23">
        <v>14274.2</v>
      </c>
      <c r="U23">
        <v>14493.02</v>
      </c>
      <c r="V23">
        <v>14398.27</v>
      </c>
      <c r="W23">
        <v>14315.9</v>
      </c>
      <c r="X23">
        <v>14568.69</v>
      </c>
      <c r="Y23">
        <v>14186.22</v>
      </c>
      <c r="Z23">
        <v>14865.68</v>
      </c>
      <c r="AA23">
        <v>14994.21</v>
      </c>
      <c r="AB23">
        <v>14600.95</v>
      </c>
      <c r="AC23">
        <v>14822.45</v>
      </c>
      <c r="AD23">
        <v>14380.81</v>
      </c>
      <c r="AE23">
        <v>14476.16</v>
      </c>
      <c r="AF23">
        <v>13882.22</v>
      </c>
      <c r="AG23">
        <v>13922.78</v>
      </c>
      <c r="AH23">
        <v>14242.65</v>
      </c>
      <c r="AI23">
        <v>14523.86</v>
      </c>
      <c r="AJ23">
        <v>14101.64</v>
      </c>
      <c r="AK23">
        <v>13700.75</v>
      </c>
      <c r="AL23">
        <v>13833.04</v>
      </c>
      <c r="AM23">
        <v>13944.8</v>
      </c>
      <c r="AN23">
        <v>13812.8</v>
      </c>
      <c r="AO23">
        <v>13458.54</v>
      </c>
      <c r="AP23">
        <v>12959.67</v>
      </c>
      <c r="AQ23">
        <v>12727.72</v>
      </c>
      <c r="AR23">
        <v>12327.56</v>
      </c>
      <c r="AS23">
        <v>12412.82</v>
      </c>
      <c r="AT23">
        <v>11855.81</v>
      </c>
      <c r="AU23">
        <v>12024.9</v>
      </c>
      <c r="AV23">
        <v>11615.84</v>
      </c>
      <c r="AW23">
        <v>11696.13</v>
      </c>
      <c r="AX23">
        <v>11923.26</v>
      </c>
      <c r="AY23">
        <v>12193.68</v>
      </c>
      <c r="AZ23">
        <v>12382.11</v>
      </c>
      <c r="BA23">
        <v>12179.03</v>
      </c>
      <c r="BB23">
        <v>12233.88</v>
      </c>
      <c r="BC23">
        <v>12394.61</v>
      </c>
      <c r="BD23">
        <v>12179.72</v>
      </c>
      <c r="BE23">
        <v>11529.9</v>
      </c>
      <c r="BF23">
        <v>11273.71</v>
      </c>
      <c r="BG23">
        <v>11072.71</v>
      </c>
      <c r="BH23">
        <v>10757.87</v>
      </c>
      <c r="BI23">
        <v>10053.82</v>
      </c>
      <c r="BJ23">
        <v>11322.38</v>
      </c>
      <c r="BK23">
        <v>11906.92</v>
      </c>
      <c r="BL23">
        <v>11978.04</v>
      </c>
      <c r="BM23">
        <v>12739.12</v>
      </c>
      <c r="BN23">
        <v>13203.47</v>
      </c>
      <c r="BO23">
        <v>14407.97</v>
      </c>
      <c r="BP23">
        <v>15166.46</v>
      </c>
      <c r="BQ23">
        <v>15121.11</v>
      </c>
      <c r="BR23">
        <v>15713.8</v>
      </c>
      <c r="BS23">
        <v>15802.21</v>
      </c>
      <c r="BT23">
        <v>15621.6</v>
      </c>
      <c r="BU23">
        <v>15913.75</v>
      </c>
      <c r="BV23">
        <v>15229.75</v>
      </c>
      <c r="BW23">
        <v>14680.21</v>
      </c>
      <c r="BX23">
        <v>14147.61</v>
      </c>
      <c r="BY23">
        <v>13568.32</v>
      </c>
      <c r="BZ23">
        <v>13452.93</v>
      </c>
      <c r="CA23">
        <v>13056.38</v>
      </c>
      <c r="CB23">
        <v>12819.75</v>
      </c>
      <c r="CC23">
        <v>12730.46</v>
      </c>
      <c r="CD23">
        <v>13131.05</v>
      </c>
      <c r="CE23">
        <v>13151.46</v>
      </c>
      <c r="CF23">
        <v>13117.7</v>
      </c>
      <c r="CG23">
        <v>12940.37</v>
      </c>
      <c r="CH23">
        <v>12979.34</v>
      </c>
      <c r="CI23">
        <v>12266.88</v>
      </c>
      <c r="CJ23">
        <v>11827.35</v>
      </c>
      <c r="CK23">
        <v>11359.18</v>
      </c>
      <c r="CL23">
        <v>11671.31</v>
      </c>
      <c r="CM23">
        <v>12013.83</v>
      </c>
      <c r="CN23">
        <v>12036.7</v>
      </c>
      <c r="CO23">
        <v>11933.05</v>
      </c>
      <c r="CP23">
        <v>11944.16</v>
      </c>
      <c r="CQ23">
        <v>11548.91</v>
      </c>
      <c r="CR23">
        <v>11367.75</v>
      </c>
      <c r="CS23">
        <v>10853.68</v>
      </c>
    </row>
    <row r="24" spans="1:97">
      <c r="A24" s="9">
        <v>46257</v>
      </c>
      <c r="B24" cm="1">
        <f t="array" ref="B24:CS24">负荷!B24:CS24-水电!B24:CS24-核电!B24:CS24-地方燃煤!B24:CS24-风电!B24:CS24-光伏!B24:CS24-非市场化!B24:CS24-联络线!B24:CS24</f>
        <v>11522.61</v>
      </c>
      <c r="C24">
        <v>11370.56</v>
      </c>
      <c r="D24">
        <v>11230.08</v>
      </c>
      <c r="E24">
        <v>11386.25</v>
      </c>
      <c r="F24">
        <v>10967.29</v>
      </c>
      <c r="G24">
        <v>10748.31</v>
      </c>
      <c r="H24">
        <v>10607.12</v>
      </c>
      <c r="I24">
        <v>10577.89</v>
      </c>
      <c r="J24">
        <v>10372.64</v>
      </c>
      <c r="K24">
        <v>10452.22</v>
      </c>
      <c r="L24">
        <v>10550.1</v>
      </c>
      <c r="M24">
        <v>10586.51</v>
      </c>
      <c r="N24">
        <v>10763.61</v>
      </c>
      <c r="O24">
        <v>10882.25</v>
      </c>
      <c r="P24">
        <v>10855.97</v>
      </c>
      <c r="Q24">
        <v>10823.58</v>
      </c>
      <c r="R24">
        <v>10934.07</v>
      </c>
      <c r="S24">
        <v>10630.9</v>
      </c>
      <c r="T24">
        <v>10201.42</v>
      </c>
      <c r="U24">
        <v>9775.46</v>
      </c>
      <c r="V24">
        <v>10223.99</v>
      </c>
      <c r="W24">
        <v>10276.71</v>
      </c>
      <c r="X24">
        <v>10298.43</v>
      </c>
      <c r="Y24">
        <v>10032.02</v>
      </c>
      <c r="Z24">
        <v>10318.63</v>
      </c>
      <c r="AA24">
        <v>9949.5</v>
      </c>
      <c r="AB24">
        <v>10238.12</v>
      </c>
      <c r="AC24">
        <v>9944.46</v>
      </c>
      <c r="AD24">
        <v>9916.68</v>
      </c>
      <c r="AE24">
        <v>9999.18</v>
      </c>
      <c r="AF24">
        <v>9637.21</v>
      </c>
      <c r="AG24">
        <v>9676.22</v>
      </c>
      <c r="AH24">
        <v>9971.76</v>
      </c>
      <c r="AI24">
        <v>9398.36</v>
      </c>
      <c r="AJ24">
        <v>9045.84</v>
      </c>
      <c r="AK24">
        <v>8740.17</v>
      </c>
      <c r="AL24">
        <v>9114.62</v>
      </c>
      <c r="AM24">
        <v>8454.95</v>
      </c>
      <c r="AN24">
        <v>8847.64</v>
      </c>
      <c r="AO24">
        <v>9106.23</v>
      </c>
      <c r="AP24">
        <v>9460.96</v>
      </c>
      <c r="AQ24">
        <v>9873.08</v>
      </c>
      <c r="AR24">
        <v>10508.67</v>
      </c>
      <c r="AS24">
        <v>10490.34</v>
      </c>
      <c r="AT24">
        <v>11252.94</v>
      </c>
      <c r="AU24">
        <v>11671.49</v>
      </c>
      <c r="AV24">
        <v>12193.65</v>
      </c>
      <c r="AW24">
        <v>11912.46</v>
      </c>
      <c r="AX24">
        <v>11530.73</v>
      </c>
      <c r="AY24">
        <v>11880.86</v>
      </c>
      <c r="AZ24">
        <v>11783.15</v>
      </c>
      <c r="BA24">
        <v>11342.15</v>
      </c>
      <c r="BB24">
        <v>11732.76</v>
      </c>
      <c r="BC24">
        <v>11957.56</v>
      </c>
      <c r="BD24">
        <v>12496.53</v>
      </c>
      <c r="BE24">
        <v>13366.64</v>
      </c>
      <c r="BF24">
        <v>13725.81</v>
      </c>
      <c r="BG24">
        <v>13860.26</v>
      </c>
      <c r="BH24">
        <v>14908.51</v>
      </c>
      <c r="BI24">
        <v>15413.08</v>
      </c>
      <c r="BJ24">
        <v>15759.48</v>
      </c>
      <c r="BK24">
        <v>16319.66</v>
      </c>
      <c r="BL24">
        <v>16416.47</v>
      </c>
      <c r="BM24">
        <v>16276.52</v>
      </c>
      <c r="BN24">
        <v>17518.76</v>
      </c>
      <c r="BO24">
        <v>17992.15</v>
      </c>
      <c r="BP24">
        <v>18495.64</v>
      </c>
      <c r="BQ24">
        <v>18083.63</v>
      </c>
      <c r="BR24">
        <v>18563.9</v>
      </c>
      <c r="BS24">
        <v>18918.44</v>
      </c>
      <c r="BT24">
        <v>19246.57</v>
      </c>
      <c r="BU24">
        <v>19362.38</v>
      </c>
      <c r="BV24">
        <v>18881.44</v>
      </c>
      <c r="BW24">
        <v>18882.6</v>
      </c>
      <c r="BX24">
        <v>18996.32</v>
      </c>
      <c r="BY24">
        <v>18362.03</v>
      </c>
      <c r="BZ24">
        <v>18720.38</v>
      </c>
      <c r="CA24">
        <v>18603.41</v>
      </c>
      <c r="CB24">
        <v>18537.11</v>
      </c>
      <c r="CC24">
        <v>18545.38</v>
      </c>
      <c r="CD24">
        <v>18311.79</v>
      </c>
      <c r="CE24">
        <v>18272.91</v>
      </c>
      <c r="CF24">
        <v>17987.33</v>
      </c>
      <c r="CG24">
        <v>18068.43</v>
      </c>
      <c r="CH24">
        <v>18227.04</v>
      </c>
      <c r="CI24">
        <v>18136.31</v>
      </c>
      <c r="CJ24">
        <v>17756.67</v>
      </c>
      <c r="CK24">
        <v>16879.32</v>
      </c>
      <c r="CL24">
        <v>16924.55</v>
      </c>
      <c r="CM24">
        <v>16889.33</v>
      </c>
      <c r="CN24">
        <v>16110.22</v>
      </c>
      <c r="CO24">
        <v>16293.63</v>
      </c>
      <c r="CP24">
        <v>16171.88</v>
      </c>
      <c r="CQ24">
        <v>15849.83</v>
      </c>
      <c r="CR24">
        <v>15733.41</v>
      </c>
      <c r="CS24">
        <v>14772.09</v>
      </c>
    </row>
    <row r="25" spans="1:97">
      <c r="A25" s="9">
        <v>46258</v>
      </c>
      <c r="B25" cm="1">
        <f t="array" ref="B25:CS25">负荷!B25:CS25-水电!B25:CS25-核电!B25:CS25-地方燃煤!B25:CS25-风电!B25:CS25-光伏!B25:CS25-非市场化!B25:CS25-联络线!B25:CS25</f>
        <v>15201.38</v>
      </c>
      <c r="C25">
        <v>16145.22</v>
      </c>
      <c r="D25">
        <v>16349.31</v>
      </c>
      <c r="E25">
        <v>16041.86</v>
      </c>
      <c r="F25">
        <v>16164.83</v>
      </c>
      <c r="G25">
        <v>16471.94</v>
      </c>
      <c r="H25">
        <v>16643.16</v>
      </c>
      <c r="I25">
        <v>16879.1</v>
      </c>
      <c r="J25">
        <v>16489.33</v>
      </c>
      <c r="K25">
        <v>16057.22</v>
      </c>
      <c r="L25">
        <v>16118.53</v>
      </c>
      <c r="M25">
        <v>15911.97</v>
      </c>
      <c r="N25">
        <v>16357.61</v>
      </c>
      <c r="O25">
        <v>16369.96</v>
      </c>
      <c r="P25">
        <v>15773.76</v>
      </c>
      <c r="Q25">
        <v>15819.98</v>
      </c>
      <c r="R25">
        <v>15707.5</v>
      </c>
      <c r="S25">
        <v>15136.87</v>
      </c>
      <c r="T25">
        <v>15200.18</v>
      </c>
      <c r="U25">
        <v>14729.3</v>
      </c>
      <c r="V25">
        <v>14712.31</v>
      </c>
      <c r="W25">
        <v>14346.19</v>
      </c>
      <c r="X25">
        <v>14255.45</v>
      </c>
      <c r="Y25">
        <v>14746.72</v>
      </c>
      <c r="Z25">
        <v>15836.46</v>
      </c>
      <c r="AA25">
        <v>15447.93</v>
      </c>
      <c r="AB25">
        <v>15882.4</v>
      </c>
      <c r="AC25">
        <v>16071.46</v>
      </c>
      <c r="AD25">
        <v>15750.43</v>
      </c>
      <c r="AE25">
        <v>16151.58</v>
      </c>
      <c r="AF25">
        <v>16164.94</v>
      </c>
      <c r="AG25">
        <v>16243.58</v>
      </c>
      <c r="AH25">
        <v>16078.46</v>
      </c>
      <c r="AI25">
        <v>16188.23</v>
      </c>
      <c r="AJ25">
        <v>15980.4</v>
      </c>
      <c r="AK25">
        <v>16008.55</v>
      </c>
      <c r="AL25">
        <v>15446.46</v>
      </c>
      <c r="AM25">
        <v>15372.24</v>
      </c>
      <c r="AN25">
        <v>14614.29</v>
      </c>
      <c r="AO25">
        <v>14102.55</v>
      </c>
      <c r="AP25">
        <v>13481.85</v>
      </c>
      <c r="AQ25">
        <v>13472.32</v>
      </c>
      <c r="AR25">
        <v>13445.27</v>
      </c>
      <c r="AS25">
        <v>13151.21</v>
      </c>
      <c r="AT25">
        <v>12923.48</v>
      </c>
      <c r="AU25">
        <v>12833</v>
      </c>
      <c r="AV25">
        <v>12256.92</v>
      </c>
      <c r="AW25">
        <v>12554.82</v>
      </c>
      <c r="AX25">
        <v>12156.69</v>
      </c>
      <c r="AY25">
        <v>11463.41</v>
      </c>
      <c r="AZ25">
        <v>10960.42</v>
      </c>
      <c r="BA25">
        <v>10612.28</v>
      </c>
      <c r="BB25">
        <v>10782.06</v>
      </c>
      <c r="BC25">
        <v>10710.72</v>
      </c>
      <c r="BD25">
        <v>10570.46</v>
      </c>
      <c r="BE25">
        <v>11094.04</v>
      </c>
      <c r="BF25">
        <v>11759.26</v>
      </c>
      <c r="BG25">
        <v>11759.98</v>
      </c>
      <c r="BH25">
        <v>11693.02</v>
      </c>
      <c r="BI25">
        <v>11492.03</v>
      </c>
      <c r="BJ25">
        <v>10804.6</v>
      </c>
      <c r="BK25">
        <v>11223.09</v>
      </c>
      <c r="BL25">
        <v>11465.37</v>
      </c>
      <c r="BM25">
        <v>10859.8</v>
      </c>
      <c r="BN25">
        <v>11124.83</v>
      </c>
      <c r="BO25">
        <v>11468.89</v>
      </c>
      <c r="BP25">
        <v>12071.5</v>
      </c>
      <c r="BQ25">
        <v>11614.85</v>
      </c>
      <c r="BR25">
        <v>12408.97</v>
      </c>
      <c r="BS25">
        <v>12929.99</v>
      </c>
      <c r="BT25">
        <v>13357.68</v>
      </c>
      <c r="BU25">
        <v>13580.39</v>
      </c>
      <c r="BV25">
        <v>13975.23</v>
      </c>
      <c r="BW25">
        <v>13822.32</v>
      </c>
      <c r="BX25">
        <v>14432.47</v>
      </c>
      <c r="BY25">
        <v>14234.38</v>
      </c>
      <c r="BZ25">
        <v>14695.55</v>
      </c>
      <c r="CA25">
        <v>14665.57</v>
      </c>
      <c r="CB25">
        <v>14530.31</v>
      </c>
      <c r="CC25">
        <v>13994.44</v>
      </c>
      <c r="CD25">
        <v>14345.95</v>
      </c>
      <c r="CE25">
        <v>14180.92</v>
      </c>
      <c r="CF25">
        <v>14143.93</v>
      </c>
      <c r="CG25">
        <v>13454.32</v>
      </c>
      <c r="CH25">
        <v>14535.55</v>
      </c>
      <c r="CI25">
        <v>13707.2</v>
      </c>
      <c r="CJ25">
        <v>13032.67</v>
      </c>
      <c r="CK25">
        <v>11853.23</v>
      </c>
      <c r="CL25">
        <v>11823.57</v>
      </c>
      <c r="CM25">
        <v>11521.25</v>
      </c>
      <c r="CN25">
        <v>11655.48</v>
      </c>
      <c r="CO25">
        <v>11425.69</v>
      </c>
      <c r="CP25">
        <v>10456.19</v>
      </c>
      <c r="CQ25">
        <v>10448.27</v>
      </c>
      <c r="CR25">
        <v>9679.94</v>
      </c>
      <c r="CS25">
        <v>9881.45</v>
      </c>
    </row>
    <row r="26" spans="1:97">
      <c r="A26" s="9">
        <v>46259</v>
      </c>
      <c r="B26" cm="1">
        <f t="array" ref="B26:CS26">负荷!B26:CS26-水电!B26:CS26-核电!B26:CS26-地方燃煤!B26:CS26-风电!B26:CS26-光伏!B26:CS26-非市场化!B26:CS26-联络线!B26:CS26</f>
        <v>9284.1</v>
      </c>
      <c r="C26">
        <v>9325.73</v>
      </c>
      <c r="D26">
        <v>9534.17</v>
      </c>
      <c r="E26">
        <v>9258.83</v>
      </c>
      <c r="F26">
        <v>9390.55</v>
      </c>
      <c r="G26">
        <v>9389.81</v>
      </c>
      <c r="H26">
        <v>9784.61</v>
      </c>
      <c r="I26">
        <v>9941.64</v>
      </c>
      <c r="J26">
        <v>9894</v>
      </c>
      <c r="K26">
        <v>9956.21</v>
      </c>
      <c r="L26">
        <v>10722.09</v>
      </c>
      <c r="M26">
        <v>10893.03</v>
      </c>
      <c r="N26">
        <v>11076.02</v>
      </c>
      <c r="O26">
        <v>11009.14</v>
      </c>
      <c r="P26">
        <v>11181.98</v>
      </c>
      <c r="Q26">
        <v>11072.77</v>
      </c>
      <c r="R26">
        <v>10965.06</v>
      </c>
      <c r="S26">
        <v>10704.85</v>
      </c>
      <c r="T26">
        <v>10859.15</v>
      </c>
      <c r="U26">
        <v>10740.66</v>
      </c>
      <c r="V26">
        <v>10885.07</v>
      </c>
      <c r="W26">
        <v>10930.77</v>
      </c>
      <c r="X26">
        <v>11153.12</v>
      </c>
      <c r="Y26">
        <v>10979.89</v>
      </c>
      <c r="Z26">
        <v>11729.98</v>
      </c>
      <c r="AA26">
        <v>11599.4</v>
      </c>
      <c r="AB26">
        <v>11833.12</v>
      </c>
      <c r="AC26">
        <v>11602.07</v>
      </c>
      <c r="AD26">
        <v>10935.26</v>
      </c>
      <c r="AE26">
        <v>10729.23</v>
      </c>
      <c r="AF26">
        <v>10515.1</v>
      </c>
      <c r="AG26">
        <v>10982</v>
      </c>
      <c r="AH26">
        <v>11536.66</v>
      </c>
      <c r="AI26">
        <v>11339.15</v>
      </c>
      <c r="AJ26">
        <v>11261.99</v>
      </c>
      <c r="AK26">
        <v>11299.76</v>
      </c>
      <c r="AL26">
        <v>10991.99</v>
      </c>
      <c r="AM26">
        <v>10559.43</v>
      </c>
      <c r="AN26">
        <v>10199.07</v>
      </c>
      <c r="AO26">
        <v>10501.86</v>
      </c>
      <c r="AP26">
        <v>10172.38</v>
      </c>
      <c r="AQ26">
        <v>10292.74</v>
      </c>
      <c r="AR26">
        <v>10672.28</v>
      </c>
      <c r="AS26">
        <v>11028.84</v>
      </c>
      <c r="AT26">
        <v>10965.88</v>
      </c>
      <c r="AU26">
        <v>10269.66</v>
      </c>
      <c r="AV26">
        <v>10530.61</v>
      </c>
      <c r="AW26">
        <v>11290.85</v>
      </c>
      <c r="AX26">
        <v>11492.66</v>
      </c>
      <c r="AY26">
        <v>11509.92</v>
      </c>
      <c r="AZ26">
        <v>12265.78</v>
      </c>
      <c r="BA26">
        <v>12399.16</v>
      </c>
      <c r="BB26">
        <v>13222.86</v>
      </c>
      <c r="BC26">
        <v>13551.63</v>
      </c>
      <c r="BD26">
        <v>13886.42</v>
      </c>
      <c r="BE26">
        <v>13844.38</v>
      </c>
      <c r="BF26">
        <v>14078.64</v>
      </c>
      <c r="BG26">
        <v>14290.03</v>
      </c>
      <c r="BH26">
        <v>14459.26</v>
      </c>
      <c r="BI26">
        <v>14663</v>
      </c>
      <c r="BJ26">
        <v>13811.24</v>
      </c>
      <c r="BK26">
        <v>13829.52</v>
      </c>
      <c r="BL26">
        <v>14196.93</v>
      </c>
      <c r="BM26">
        <v>13891.4</v>
      </c>
      <c r="BN26">
        <v>14416.42</v>
      </c>
      <c r="BO26">
        <v>14209.87</v>
      </c>
      <c r="BP26">
        <v>14259.61</v>
      </c>
      <c r="BQ26">
        <v>14275.35</v>
      </c>
      <c r="BR26">
        <v>13976.17</v>
      </c>
      <c r="BS26">
        <v>14556.55</v>
      </c>
      <c r="BT26">
        <v>14619.21</v>
      </c>
      <c r="BU26">
        <v>15010.01</v>
      </c>
      <c r="BV26">
        <v>15214.12</v>
      </c>
      <c r="BW26">
        <v>15498.94</v>
      </c>
      <c r="BX26">
        <v>16306.68</v>
      </c>
      <c r="BY26">
        <v>16908.31</v>
      </c>
      <c r="BZ26">
        <v>17533.34</v>
      </c>
      <c r="CA26">
        <v>17834.25</v>
      </c>
      <c r="CB26">
        <v>17485.77</v>
      </c>
      <c r="CC26">
        <v>17581.11</v>
      </c>
      <c r="CD26">
        <v>17376.66</v>
      </c>
      <c r="CE26">
        <v>17022.54</v>
      </c>
      <c r="CF26">
        <v>16737.59</v>
      </c>
      <c r="CG26">
        <v>16247.67</v>
      </c>
      <c r="CH26">
        <v>16508.48</v>
      </c>
      <c r="CI26">
        <v>16340.34</v>
      </c>
      <c r="CJ26">
        <v>16646.76</v>
      </c>
      <c r="CK26">
        <v>15586.16</v>
      </c>
      <c r="CL26">
        <v>14751.69</v>
      </c>
      <c r="CM26">
        <v>14187.6</v>
      </c>
      <c r="CN26">
        <v>14098.19</v>
      </c>
      <c r="CO26">
        <v>13955.7</v>
      </c>
      <c r="CP26">
        <v>13821.11</v>
      </c>
      <c r="CQ26">
        <v>13537.96</v>
      </c>
      <c r="CR26">
        <v>13075.2</v>
      </c>
      <c r="CS26">
        <v>13256.33</v>
      </c>
    </row>
    <row r="27" spans="1:97">
      <c r="A27" s="9">
        <v>46260</v>
      </c>
      <c r="B27" cm="1">
        <f t="array" ref="B27:CS27">负荷!B27:CS27-水电!B27:CS27-核电!B27:CS27-地方燃煤!B27:CS27-风电!B27:CS27-光伏!B27:CS27-非市场化!B27:CS27-联络线!B27:CS27</f>
        <v>14260.13</v>
      </c>
      <c r="C27">
        <v>14102.52</v>
      </c>
      <c r="D27">
        <v>13256.29</v>
      </c>
      <c r="E27">
        <v>13456.22</v>
      </c>
      <c r="F27">
        <v>13401.72</v>
      </c>
      <c r="G27">
        <v>13399.25</v>
      </c>
      <c r="H27">
        <v>13697.76</v>
      </c>
      <c r="I27">
        <v>13588.41</v>
      </c>
      <c r="J27">
        <v>13092.7</v>
      </c>
      <c r="K27">
        <v>12908.57</v>
      </c>
      <c r="L27">
        <v>12990.17</v>
      </c>
      <c r="M27">
        <v>12840.31</v>
      </c>
      <c r="N27">
        <v>13052.48</v>
      </c>
      <c r="O27">
        <v>13109.78</v>
      </c>
      <c r="P27">
        <v>13025.12</v>
      </c>
      <c r="Q27">
        <v>12948.01</v>
      </c>
      <c r="R27">
        <v>12749.09</v>
      </c>
      <c r="S27">
        <v>12953.23</v>
      </c>
      <c r="T27">
        <v>12471.33</v>
      </c>
      <c r="U27">
        <v>12177.71</v>
      </c>
      <c r="V27">
        <v>12214.78</v>
      </c>
      <c r="W27">
        <v>11780.92</v>
      </c>
      <c r="X27">
        <v>11956.66</v>
      </c>
      <c r="Y27">
        <v>11771.15</v>
      </c>
      <c r="Z27">
        <v>11770.23</v>
      </c>
      <c r="AA27">
        <v>11951.7</v>
      </c>
      <c r="AB27">
        <v>12378.83</v>
      </c>
      <c r="AC27">
        <v>12609.53</v>
      </c>
      <c r="AD27">
        <v>12572.09</v>
      </c>
      <c r="AE27">
        <v>12581.82</v>
      </c>
      <c r="AF27">
        <v>12631.37</v>
      </c>
      <c r="AG27">
        <v>12383.57</v>
      </c>
      <c r="AH27">
        <v>12814.09</v>
      </c>
      <c r="AI27">
        <v>12632.18</v>
      </c>
      <c r="AJ27">
        <v>13384.28</v>
      </c>
      <c r="AK27">
        <v>13575.29</v>
      </c>
      <c r="AL27">
        <v>13093.57</v>
      </c>
      <c r="AM27">
        <v>13153.65</v>
      </c>
      <c r="AN27">
        <v>13097.67</v>
      </c>
      <c r="AO27">
        <v>12823.51</v>
      </c>
      <c r="AP27">
        <v>12103.87</v>
      </c>
      <c r="AQ27">
        <v>11800.55</v>
      </c>
      <c r="AR27">
        <v>11815.01</v>
      </c>
      <c r="AS27">
        <v>10911.13</v>
      </c>
      <c r="AT27">
        <v>10908.36</v>
      </c>
      <c r="AU27">
        <v>10177.32</v>
      </c>
      <c r="AV27">
        <v>10263.31</v>
      </c>
      <c r="AW27">
        <v>10157.22</v>
      </c>
      <c r="AX27">
        <v>10090.39</v>
      </c>
      <c r="AY27">
        <v>9359.79</v>
      </c>
      <c r="AZ27">
        <v>9056.08</v>
      </c>
      <c r="BA27">
        <v>9366.01</v>
      </c>
      <c r="BB27">
        <v>8880.63</v>
      </c>
      <c r="BC27">
        <v>8132.01</v>
      </c>
      <c r="BD27">
        <v>9202.79</v>
      </c>
      <c r="BE27">
        <v>9432.38</v>
      </c>
      <c r="BF27">
        <v>10226.1</v>
      </c>
      <c r="BG27">
        <v>9840.78</v>
      </c>
      <c r="BH27">
        <v>10222.39</v>
      </c>
      <c r="BI27">
        <v>10280.76</v>
      </c>
      <c r="BJ27">
        <v>11413.4</v>
      </c>
      <c r="BK27">
        <v>12263.93</v>
      </c>
      <c r="BL27">
        <v>12903.07</v>
      </c>
      <c r="BM27">
        <v>13717.47</v>
      </c>
      <c r="BN27">
        <v>13562.83</v>
      </c>
      <c r="BO27">
        <v>13610.43</v>
      </c>
      <c r="BP27">
        <v>14561.37</v>
      </c>
      <c r="BQ27">
        <v>14477.58</v>
      </c>
      <c r="BR27">
        <v>15233.28</v>
      </c>
      <c r="BS27">
        <v>15326.53</v>
      </c>
      <c r="BT27">
        <v>15910.88</v>
      </c>
      <c r="BU27">
        <v>15789.97</v>
      </c>
      <c r="BV27">
        <v>15916.03</v>
      </c>
      <c r="BW27">
        <v>15870.65</v>
      </c>
      <c r="BX27">
        <v>16801.32</v>
      </c>
      <c r="BY27">
        <v>17443.12</v>
      </c>
      <c r="BZ27">
        <v>17367.19</v>
      </c>
      <c r="CA27">
        <v>17253.49</v>
      </c>
      <c r="CB27">
        <v>16669.94</v>
      </c>
      <c r="CC27">
        <v>16173.84</v>
      </c>
      <c r="CD27">
        <v>16767.59</v>
      </c>
      <c r="CE27">
        <v>17009.7</v>
      </c>
      <c r="CF27">
        <v>16719.79</v>
      </c>
      <c r="CG27">
        <v>15968.85</v>
      </c>
      <c r="CH27">
        <v>15471.78</v>
      </c>
      <c r="CI27">
        <v>15583.06</v>
      </c>
      <c r="CJ27">
        <v>16016.08</v>
      </c>
      <c r="CK27">
        <v>15680.99</v>
      </c>
      <c r="CL27">
        <v>14880.6</v>
      </c>
      <c r="CM27">
        <v>14654.13</v>
      </c>
      <c r="CN27">
        <v>15219.6</v>
      </c>
      <c r="CO27">
        <v>14918.61</v>
      </c>
      <c r="CP27">
        <v>13873.63</v>
      </c>
      <c r="CQ27">
        <v>13254.74</v>
      </c>
      <c r="CR27">
        <v>12394.71</v>
      </c>
      <c r="CS27">
        <v>11940.18</v>
      </c>
    </row>
    <row r="28" spans="1:97">
      <c r="A28" s="9">
        <v>46261</v>
      </c>
      <c r="B28" cm="1">
        <f t="array" ref="B28:CS28">负荷!B28:CS28-水电!B28:CS28-核电!B28:CS28-地方燃煤!B28:CS28-风电!B28:CS28-光伏!B28:CS28-非市场化!B28:CS28-联络线!B28:CS28</f>
        <v>12128.16</v>
      </c>
      <c r="C28">
        <v>11574.09</v>
      </c>
      <c r="D28">
        <v>11771.21</v>
      </c>
      <c r="E28">
        <v>11246.24</v>
      </c>
      <c r="F28">
        <v>11137.37</v>
      </c>
      <c r="G28">
        <v>11214.12</v>
      </c>
      <c r="H28">
        <v>11210.32</v>
      </c>
      <c r="I28">
        <v>11188.55</v>
      </c>
      <c r="J28">
        <v>11724.12</v>
      </c>
      <c r="K28">
        <v>11730.44</v>
      </c>
      <c r="L28">
        <v>11445.55</v>
      </c>
      <c r="M28">
        <v>11301.41</v>
      </c>
      <c r="N28">
        <v>11595.33</v>
      </c>
      <c r="O28">
        <v>11461.11</v>
      </c>
      <c r="P28">
        <v>11695.8</v>
      </c>
      <c r="Q28">
        <v>11585.69</v>
      </c>
      <c r="R28">
        <v>11269.58</v>
      </c>
      <c r="S28">
        <v>11359.65</v>
      </c>
      <c r="T28">
        <v>11567.66</v>
      </c>
      <c r="U28">
        <v>11550</v>
      </c>
      <c r="V28">
        <v>11843.56</v>
      </c>
      <c r="W28">
        <v>11874.85</v>
      </c>
      <c r="X28">
        <v>11832.02</v>
      </c>
      <c r="Y28">
        <v>11358.17</v>
      </c>
      <c r="Z28">
        <v>11236.99</v>
      </c>
      <c r="AA28">
        <v>11180.86</v>
      </c>
      <c r="AB28">
        <v>11115.66</v>
      </c>
      <c r="AC28">
        <v>10579.03</v>
      </c>
      <c r="AD28">
        <v>10587.23</v>
      </c>
      <c r="AE28">
        <v>10382.91</v>
      </c>
      <c r="AF28">
        <v>10513.22</v>
      </c>
      <c r="AG28">
        <v>10073.62</v>
      </c>
      <c r="AH28">
        <v>11446.52</v>
      </c>
      <c r="AI28">
        <v>10699.02</v>
      </c>
      <c r="AJ28">
        <v>10350.24</v>
      </c>
      <c r="AK28">
        <v>9232.12</v>
      </c>
      <c r="AL28">
        <v>9127.13</v>
      </c>
      <c r="AM28">
        <v>8926.35</v>
      </c>
      <c r="AN28">
        <v>9073.47</v>
      </c>
      <c r="AO28">
        <v>8806.9</v>
      </c>
      <c r="AP28">
        <v>8897.77</v>
      </c>
      <c r="AQ28">
        <v>9236.07000000001</v>
      </c>
      <c r="AR28">
        <v>9150.05</v>
      </c>
      <c r="AS28">
        <v>9234.88</v>
      </c>
      <c r="AT28">
        <v>9531.42</v>
      </c>
      <c r="AU28">
        <v>9683.15</v>
      </c>
      <c r="AV28">
        <v>10148.29</v>
      </c>
      <c r="AW28">
        <v>10181.14</v>
      </c>
      <c r="AX28">
        <v>10799.26</v>
      </c>
      <c r="AY28">
        <v>11150.18</v>
      </c>
      <c r="AZ28">
        <v>12069.57</v>
      </c>
      <c r="BA28">
        <v>11213.65</v>
      </c>
      <c r="BB28">
        <v>10951.98</v>
      </c>
      <c r="BC28">
        <v>10945.97</v>
      </c>
      <c r="BD28">
        <v>11125.88</v>
      </c>
      <c r="BE28">
        <v>11242.36</v>
      </c>
      <c r="BF28">
        <v>11000.52</v>
      </c>
      <c r="BG28">
        <v>11330.53</v>
      </c>
      <c r="BH28">
        <v>10975.72</v>
      </c>
      <c r="BI28">
        <v>11192.69</v>
      </c>
      <c r="BJ28">
        <v>12143.51</v>
      </c>
      <c r="BK28">
        <v>12670.88</v>
      </c>
      <c r="BL28">
        <v>13021.16</v>
      </c>
      <c r="BM28">
        <v>13332.34</v>
      </c>
      <c r="BN28">
        <v>13862.38</v>
      </c>
      <c r="BO28">
        <v>14512.24</v>
      </c>
      <c r="BP28">
        <v>15040.3</v>
      </c>
      <c r="BQ28">
        <v>14751.73</v>
      </c>
      <c r="BR28">
        <v>15294.5</v>
      </c>
      <c r="BS28">
        <v>15321.37</v>
      </c>
      <c r="BT28">
        <v>14873.77</v>
      </c>
      <c r="BU28">
        <v>14539.02</v>
      </c>
      <c r="BV28">
        <v>14286.87</v>
      </c>
      <c r="BW28">
        <v>13649.93</v>
      </c>
      <c r="BX28">
        <v>13872.7</v>
      </c>
      <c r="BY28">
        <v>13618.15</v>
      </c>
      <c r="BZ28">
        <v>12706.46</v>
      </c>
      <c r="CA28">
        <v>12636.2</v>
      </c>
      <c r="CB28">
        <v>12258.9</v>
      </c>
      <c r="CC28">
        <v>11788.89</v>
      </c>
      <c r="CD28">
        <v>11980.62</v>
      </c>
      <c r="CE28">
        <v>12066.09</v>
      </c>
      <c r="CF28">
        <v>11603.43</v>
      </c>
      <c r="CG28">
        <v>11148.44</v>
      </c>
      <c r="CH28">
        <v>10820.57</v>
      </c>
      <c r="CI28">
        <v>10157.95</v>
      </c>
      <c r="CJ28">
        <v>9697.02</v>
      </c>
      <c r="CK28">
        <v>8925.94</v>
      </c>
      <c r="CL28">
        <v>8892.21</v>
      </c>
      <c r="CM28">
        <v>8541.26</v>
      </c>
      <c r="CN28">
        <v>9088.06</v>
      </c>
      <c r="CO28">
        <v>9328.98</v>
      </c>
      <c r="CP28">
        <v>9382.74</v>
      </c>
      <c r="CQ28">
        <v>9864.83</v>
      </c>
      <c r="CR28">
        <v>10471.42</v>
      </c>
      <c r="CS28">
        <v>11136.54</v>
      </c>
    </row>
    <row r="29" spans="1:97">
      <c r="A29" s="9">
        <v>46262</v>
      </c>
      <c r="B29" cm="1">
        <f t="array" ref="B29:CS29">负荷!B29:CS29-水电!B29:CS29-核电!B29:CS29-地方燃煤!B29:CS29-风电!B29:CS29-光伏!B29:CS29-非市场化!B29:CS29-联络线!B29:CS29</f>
        <v>11668.03</v>
      </c>
      <c r="C29">
        <v>11920.56</v>
      </c>
      <c r="D29">
        <v>12091.35</v>
      </c>
      <c r="E29">
        <v>12119.93</v>
      </c>
      <c r="F29">
        <v>12432.65</v>
      </c>
      <c r="G29">
        <v>12423.9</v>
      </c>
      <c r="H29">
        <v>12355.26</v>
      </c>
      <c r="I29">
        <v>12170.84</v>
      </c>
      <c r="J29">
        <v>11939.86</v>
      </c>
      <c r="K29">
        <v>12084.37</v>
      </c>
      <c r="L29">
        <v>12133.32</v>
      </c>
      <c r="M29">
        <v>12164.97</v>
      </c>
      <c r="N29">
        <v>12076.33</v>
      </c>
      <c r="O29">
        <v>12033.18</v>
      </c>
      <c r="P29">
        <v>12201.82</v>
      </c>
      <c r="Q29">
        <v>12132.26</v>
      </c>
      <c r="R29">
        <v>12134.4</v>
      </c>
      <c r="S29">
        <v>12377.03</v>
      </c>
      <c r="T29">
        <v>12418.63</v>
      </c>
      <c r="U29">
        <v>12533.76</v>
      </c>
      <c r="V29">
        <v>12601.72</v>
      </c>
      <c r="W29">
        <v>13239.06</v>
      </c>
      <c r="X29">
        <v>14122.98</v>
      </c>
      <c r="Y29">
        <v>14078.16</v>
      </c>
      <c r="Z29">
        <v>14317.06</v>
      </c>
      <c r="AA29">
        <v>14071.81</v>
      </c>
      <c r="AB29">
        <v>13762.34</v>
      </c>
      <c r="AC29">
        <v>13563.69</v>
      </c>
      <c r="AD29">
        <v>13521.2</v>
      </c>
      <c r="AE29">
        <v>13482.16</v>
      </c>
      <c r="AF29">
        <v>13526.07</v>
      </c>
      <c r="AG29">
        <v>13941.35</v>
      </c>
      <c r="AH29">
        <v>13990.63</v>
      </c>
      <c r="AI29">
        <v>13774.59</v>
      </c>
      <c r="AJ29">
        <v>13147.37</v>
      </c>
      <c r="AK29">
        <v>13292.88</v>
      </c>
      <c r="AL29">
        <v>12644.92</v>
      </c>
      <c r="AM29">
        <v>12634.14</v>
      </c>
      <c r="AN29">
        <v>12413.29</v>
      </c>
      <c r="AO29">
        <v>12546.06</v>
      </c>
      <c r="AP29">
        <v>11939.58</v>
      </c>
      <c r="AQ29">
        <v>12708.39</v>
      </c>
      <c r="AR29">
        <v>12696.47</v>
      </c>
      <c r="AS29">
        <v>13035.05</v>
      </c>
      <c r="AT29">
        <v>13336.21</v>
      </c>
      <c r="AU29">
        <v>13876.14</v>
      </c>
      <c r="AV29">
        <v>14249.17</v>
      </c>
      <c r="AW29">
        <v>14396.15</v>
      </c>
      <c r="AX29">
        <v>14753.46</v>
      </c>
      <c r="AY29">
        <v>14681.76</v>
      </c>
      <c r="AZ29">
        <v>15639.67</v>
      </c>
      <c r="BA29">
        <v>16046.53</v>
      </c>
      <c r="BB29">
        <v>16673.59</v>
      </c>
      <c r="BC29">
        <v>17473.88</v>
      </c>
      <c r="BD29">
        <v>17798.89</v>
      </c>
      <c r="BE29">
        <v>17672.74</v>
      </c>
      <c r="BF29">
        <v>17592.18</v>
      </c>
      <c r="BG29">
        <v>17927.2</v>
      </c>
      <c r="BH29">
        <v>18047.36</v>
      </c>
      <c r="BI29">
        <v>17861.57</v>
      </c>
      <c r="BJ29">
        <v>17773.59</v>
      </c>
      <c r="BK29">
        <v>17394.94</v>
      </c>
      <c r="BL29">
        <v>16705.2</v>
      </c>
      <c r="BM29">
        <v>16525.06</v>
      </c>
      <c r="BN29">
        <v>16127.36</v>
      </c>
      <c r="BO29">
        <v>16119.15</v>
      </c>
      <c r="BP29">
        <v>15986.85</v>
      </c>
      <c r="BQ29">
        <v>15810.66</v>
      </c>
      <c r="BR29">
        <v>15574.29</v>
      </c>
      <c r="BS29">
        <v>15316.84</v>
      </c>
      <c r="BT29">
        <v>15009.94</v>
      </c>
      <c r="BU29">
        <v>14926.46</v>
      </c>
      <c r="BV29">
        <v>14934.23</v>
      </c>
      <c r="BW29">
        <v>15140.88</v>
      </c>
      <c r="BX29">
        <v>15836.17</v>
      </c>
      <c r="BY29">
        <v>16019.01</v>
      </c>
      <c r="BZ29">
        <v>16241.16</v>
      </c>
      <c r="CA29">
        <v>16003.8</v>
      </c>
      <c r="CB29">
        <v>15594.88</v>
      </c>
      <c r="CC29">
        <v>15679.42</v>
      </c>
      <c r="CD29">
        <v>15262.49</v>
      </c>
      <c r="CE29">
        <v>15409.7</v>
      </c>
      <c r="CF29">
        <v>15031.51</v>
      </c>
      <c r="CG29">
        <v>14300.4</v>
      </c>
      <c r="CH29">
        <v>14016.15</v>
      </c>
      <c r="CI29">
        <v>13942.74</v>
      </c>
      <c r="CJ29">
        <v>13456.65</v>
      </c>
      <c r="CK29">
        <v>13566.19</v>
      </c>
      <c r="CL29">
        <v>13047.08</v>
      </c>
      <c r="CM29">
        <v>13600.37</v>
      </c>
      <c r="CN29">
        <v>13235.22</v>
      </c>
      <c r="CO29">
        <v>13227.01</v>
      </c>
      <c r="CP29">
        <v>13449.3</v>
      </c>
      <c r="CQ29">
        <v>13231.58</v>
      </c>
      <c r="CR29">
        <v>13250.36</v>
      </c>
      <c r="CS29">
        <v>12980.13</v>
      </c>
    </row>
    <row r="30" spans="1:97">
      <c r="A30" s="9">
        <v>46263</v>
      </c>
      <c r="B30" cm="1">
        <f t="array" ref="B30:CS30">负荷!B30:CS30-水电!B30:CS30-核电!B30:CS30-地方燃煤!B30:CS30-风电!B30:CS30-光伏!B30:CS30-非市场化!B30:CS30-联络线!B30:CS30</f>
        <v>12216.36</v>
      </c>
      <c r="C30">
        <v>11941.87</v>
      </c>
      <c r="D30">
        <v>11326.65</v>
      </c>
      <c r="E30">
        <v>11333.43</v>
      </c>
      <c r="F30">
        <v>11642.18</v>
      </c>
      <c r="G30">
        <v>11721.92</v>
      </c>
      <c r="H30">
        <v>11901.5</v>
      </c>
      <c r="I30">
        <v>11601.3</v>
      </c>
      <c r="J30">
        <v>10999.19</v>
      </c>
      <c r="K30">
        <v>10810.72</v>
      </c>
      <c r="L30">
        <v>10592.57</v>
      </c>
      <c r="M30">
        <v>10530.74</v>
      </c>
      <c r="N30">
        <v>10653.63</v>
      </c>
      <c r="O30">
        <v>10542.99</v>
      </c>
      <c r="P30">
        <v>10575.83</v>
      </c>
      <c r="Q30">
        <v>10094.09</v>
      </c>
      <c r="R30">
        <v>10805.51</v>
      </c>
      <c r="S30">
        <v>10494.35</v>
      </c>
      <c r="T30">
        <v>10151.14</v>
      </c>
      <c r="U30">
        <v>9796.42</v>
      </c>
      <c r="V30">
        <v>9849.73</v>
      </c>
      <c r="W30">
        <v>9684.59</v>
      </c>
      <c r="X30">
        <v>9506.7</v>
      </c>
      <c r="Y30">
        <v>9022.17</v>
      </c>
      <c r="Z30">
        <v>9929.98</v>
      </c>
      <c r="AA30">
        <v>9609.28</v>
      </c>
      <c r="AB30">
        <v>9339.01</v>
      </c>
      <c r="AC30">
        <v>9575.73</v>
      </c>
      <c r="AD30">
        <v>10439.82</v>
      </c>
      <c r="AE30">
        <v>10693.85</v>
      </c>
      <c r="AF30">
        <v>10976.95</v>
      </c>
      <c r="AG30">
        <v>11030.84</v>
      </c>
      <c r="AH30">
        <v>11386.38</v>
      </c>
      <c r="AI30">
        <v>10827.49</v>
      </c>
      <c r="AJ30">
        <v>10598.84</v>
      </c>
      <c r="AK30">
        <v>10006.98</v>
      </c>
      <c r="AL30">
        <v>8954.04</v>
      </c>
      <c r="AM30">
        <v>8853.13</v>
      </c>
      <c r="AN30">
        <v>8792.01</v>
      </c>
      <c r="AO30">
        <v>8434.81</v>
      </c>
      <c r="AP30">
        <v>8793.95</v>
      </c>
      <c r="AQ30">
        <v>9705.81</v>
      </c>
      <c r="AR30">
        <v>9677.07</v>
      </c>
      <c r="AS30">
        <v>9219.14</v>
      </c>
      <c r="AT30">
        <v>9634.61</v>
      </c>
      <c r="AU30">
        <v>9660.88</v>
      </c>
      <c r="AV30">
        <v>9937.32</v>
      </c>
      <c r="AW30">
        <v>9915.63</v>
      </c>
      <c r="AX30">
        <v>10514.36</v>
      </c>
      <c r="AY30">
        <v>11426.18</v>
      </c>
      <c r="AZ30">
        <v>11309.61</v>
      </c>
      <c r="BA30">
        <v>10910</v>
      </c>
      <c r="BB30">
        <v>10830.44</v>
      </c>
      <c r="BC30">
        <v>10212.06</v>
      </c>
      <c r="BD30">
        <v>10028.79</v>
      </c>
      <c r="BE30">
        <v>10209.95</v>
      </c>
      <c r="BF30">
        <v>9998.95</v>
      </c>
      <c r="BG30">
        <v>10167.18</v>
      </c>
      <c r="BH30">
        <v>10166.33</v>
      </c>
      <c r="BI30">
        <v>9725.17</v>
      </c>
      <c r="BJ30">
        <v>9671.54</v>
      </c>
      <c r="BK30">
        <v>9497.49</v>
      </c>
      <c r="BL30">
        <v>9326.87</v>
      </c>
      <c r="BM30">
        <v>9254.88</v>
      </c>
      <c r="BN30">
        <v>8681.79</v>
      </c>
      <c r="BO30">
        <v>8689.61</v>
      </c>
      <c r="BP30">
        <v>8418.5</v>
      </c>
      <c r="BQ30">
        <v>8735.69</v>
      </c>
      <c r="BR30">
        <v>8114.69</v>
      </c>
      <c r="BS30">
        <v>8378.38</v>
      </c>
      <c r="BT30">
        <v>9138.35</v>
      </c>
      <c r="BU30">
        <v>9448.25</v>
      </c>
      <c r="BV30">
        <v>10258.34</v>
      </c>
      <c r="BW30">
        <v>10636.78</v>
      </c>
      <c r="BX30">
        <v>11242.26</v>
      </c>
      <c r="BY30">
        <v>11015.03</v>
      </c>
      <c r="BZ30">
        <v>11206.12</v>
      </c>
      <c r="CA30">
        <v>11305</v>
      </c>
      <c r="CB30">
        <v>11214.85</v>
      </c>
      <c r="CC30">
        <v>10802.69</v>
      </c>
      <c r="CD30">
        <v>10844.69</v>
      </c>
      <c r="CE30">
        <v>11115.01</v>
      </c>
      <c r="CF30">
        <v>11843.27</v>
      </c>
      <c r="CG30">
        <v>12440.56</v>
      </c>
      <c r="CH30">
        <v>12680.28</v>
      </c>
      <c r="CI30">
        <v>12045.98</v>
      </c>
      <c r="CJ30">
        <v>11758.68</v>
      </c>
      <c r="CK30">
        <v>11146.09</v>
      </c>
      <c r="CL30">
        <v>10945.98</v>
      </c>
      <c r="CM30">
        <v>10926.72</v>
      </c>
      <c r="CN30">
        <v>10892.24</v>
      </c>
      <c r="CO30">
        <v>10610.24</v>
      </c>
      <c r="CP30">
        <v>10303.38</v>
      </c>
      <c r="CQ30">
        <v>9781.99</v>
      </c>
      <c r="CR30">
        <v>9575.37</v>
      </c>
      <c r="CS30">
        <v>9162.85</v>
      </c>
    </row>
    <row r="31" spans="1:97">
      <c r="A31" s="9">
        <v>46264</v>
      </c>
      <c r="B31" cm="1">
        <f t="array" ref="B31:CS31">负荷!B31:CS31-水电!B31:CS31-核电!B31:CS31-地方燃煤!B31:CS31-风电!B31:CS31-光伏!B31:CS31-非市场化!B31:CS31-联络线!B31:CS31</f>
        <v>8828.85</v>
      </c>
      <c r="C31">
        <v>8365.82</v>
      </c>
      <c r="D31">
        <v>8710.86</v>
      </c>
      <c r="E31">
        <v>8996.15</v>
      </c>
      <c r="F31">
        <v>9021.31</v>
      </c>
      <c r="G31">
        <v>9414.33</v>
      </c>
      <c r="H31">
        <v>9470.86</v>
      </c>
      <c r="I31">
        <v>9070.06</v>
      </c>
      <c r="J31">
        <v>9171.3</v>
      </c>
      <c r="K31">
        <v>9000.18</v>
      </c>
      <c r="L31">
        <v>9473.8</v>
      </c>
      <c r="M31">
        <v>9351.79</v>
      </c>
      <c r="N31">
        <v>9623.14</v>
      </c>
      <c r="O31">
        <v>9775.64</v>
      </c>
      <c r="P31">
        <v>10096.76</v>
      </c>
      <c r="Q31">
        <v>10587.28</v>
      </c>
      <c r="R31">
        <v>10539.69</v>
      </c>
      <c r="S31">
        <v>10584.98</v>
      </c>
      <c r="T31">
        <v>10939.86</v>
      </c>
      <c r="U31">
        <v>10663.32</v>
      </c>
      <c r="V31">
        <v>11179.99</v>
      </c>
      <c r="W31">
        <v>11713.67</v>
      </c>
      <c r="X31">
        <v>11671.02</v>
      </c>
      <c r="Y31">
        <v>11246.02</v>
      </c>
      <c r="Z31">
        <v>11422.41</v>
      </c>
      <c r="AA31">
        <v>10881.78</v>
      </c>
      <c r="AB31">
        <v>10333.53</v>
      </c>
      <c r="AC31">
        <v>9954.9</v>
      </c>
      <c r="AD31">
        <v>10678.08</v>
      </c>
      <c r="AE31">
        <v>10479.82</v>
      </c>
      <c r="AF31">
        <v>10593.36</v>
      </c>
      <c r="AG31">
        <v>10051.05</v>
      </c>
      <c r="AH31">
        <v>10158.15</v>
      </c>
      <c r="AI31">
        <v>9388.33</v>
      </c>
      <c r="AJ31">
        <v>8947.68</v>
      </c>
      <c r="AK31">
        <v>8822.55000000001</v>
      </c>
      <c r="AL31">
        <v>8804.86</v>
      </c>
      <c r="AM31">
        <v>9440.76</v>
      </c>
      <c r="AN31">
        <v>9547.93</v>
      </c>
      <c r="AO31">
        <v>9085.8</v>
      </c>
      <c r="AP31">
        <v>9075.49</v>
      </c>
      <c r="AQ31">
        <v>9260.93</v>
      </c>
      <c r="AR31">
        <v>9049.05</v>
      </c>
      <c r="AS31">
        <v>8917.29</v>
      </c>
      <c r="AT31">
        <v>8497.58</v>
      </c>
      <c r="AU31">
        <v>8634.02</v>
      </c>
      <c r="AV31">
        <v>8358.55</v>
      </c>
      <c r="AW31">
        <v>8138.86</v>
      </c>
      <c r="AX31">
        <v>8553.35</v>
      </c>
      <c r="AY31">
        <v>7925.45</v>
      </c>
      <c r="AZ31">
        <v>8286.14</v>
      </c>
      <c r="BA31">
        <v>8299.78</v>
      </c>
      <c r="BB31">
        <v>7817.88</v>
      </c>
      <c r="BC31">
        <v>7746.86</v>
      </c>
      <c r="BD31">
        <v>8000.64</v>
      </c>
      <c r="BE31">
        <v>7448.71</v>
      </c>
      <c r="BF31">
        <v>7565.23</v>
      </c>
      <c r="BG31">
        <v>7818.75</v>
      </c>
      <c r="BH31">
        <v>7949.35</v>
      </c>
      <c r="BI31">
        <v>8307.24</v>
      </c>
      <c r="BJ31">
        <v>8479.67</v>
      </c>
      <c r="BK31">
        <v>8956.44</v>
      </c>
      <c r="BL31">
        <v>9623.04</v>
      </c>
      <c r="BM31">
        <v>10311.55</v>
      </c>
      <c r="BN31">
        <v>11713.81</v>
      </c>
      <c r="BO31">
        <v>11577.29</v>
      </c>
      <c r="BP31">
        <v>12031.7</v>
      </c>
      <c r="BQ31">
        <v>12176.4</v>
      </c>
      <c r="BR31">
        <v>12480.29</v>
      </c>
      <c r="BS31">
        <v>13235</v>
      </c>
      <c r="BT31">
        <v>13022.9</v>
      </c>
      <c r="BU31">
        <v>13050.79</v>
      </c>
      <c r="BV31">
        <v>12728.4</v>
      </c>
      <c r="BW31">
        <v>12935.63</v>
      </c>
      <c r="BX31">
        <v>13735.1</v>
      </c>
      <c r="BY31">
        <v>13694.29</v>
      </c>
      <c r="BZ31">
        <v>13671.78</v>
      </c>
      <c r="CA31">
        <v>13365.7</v>
      </c>
      <c r="CB31">
        <v>13432.64</v>
      </c>
      <c r="CC31">
        <v>13195.99</v>
      </c>
      <c r="CD31">
        <v>12655.14</v>
      </c>
      <c r="CE31">
        <v>13077.76</v>
      </c>
      <c r="CF31">
        <v>13049.04</v>
      </c>
      <c r="CG31">
        <v>13262.07</v>
      </c>
      <c r="CH31">
        <v>13585.88</v>
      </c>
      <c r="CI31">
        <v>13552.4</v>
      </c>
      <c r="CJ31">
        <v>12687.93</v>
      </c>
      <c r="CK31">
        <v>12602.01</v>
      </c>
      <c r="CL31">
        <v>11985.08</v>
      </c>
      <c r="CM31">
        <v>12010.81</v>
      </c>
      <c r="CN31">
        <v>11959.51</v>
      </c>
      <c r="CO31">
        <v>12110.47</v>
      </c>
      <c r="CP31">
        <v>12079.58</v>
      </c>
      <c r="CQ31">
        <v>12075.02</v>
      </c>
      <c r="CR31">
        <v>11050.76</v>
      </c>
      <c r="CS31">
        <v>10910.11</v>
      </c>
    </row>
    <row r="32" spans="1:97">
      <c r="A32" s="9">
        <v>46265</v>
      </c>
      <c r="B32" cm="1">
        <f t="array" ref="B32:CS32">负荷!B32:CS32-水电!B32:CS32-核电!B32:CS32-地方燃煤!B32:CS32-风电!B32:CS32-光伏!B32:CS32-非市场化!B32:CS32-联络线!B32:CS32</f>
        <v>10375.9</v>
      </c>
      <c r="C32">
        <v>10453.39</v>
      </c>
      <c r="D32">
        <v>10484.2</v>
      </c>
      <c r="E32">
        <v>10814.97</v>
      </c>
      <c r="F32">
        <v>10717.39</v>
      </c>
      <c r="G32">
        <v>10995.34</v>
      </c>
      <c r="H32">
        <v>10921.56</v>
      </c>
      <c r="I32">
        <v>10526.59</v>
      </c>
      <c r="J32">
        <v>11022.3</v>
      </c>
      <c r="K32">
        <v>10841.19</v>
      </c>
      <c r="L32">
        <v>10765.45</v>
      </c>
      <c r="M32">
        <v>10407.46</v>
      </c>
      <c r="N32">
        <v>10434.31</v>
      </c>
      <c r="O32">
        <v>10134.97</v>
      </c>
      <c r="P32">
        <v>9876.09</v>
      </c>
      <c r="Q32">
        <v>9778.8</v>
      </c>
      <c r="R32">
        <v>9792.5</v>
      </c>
      <c r="S32">
        <v>9450.94</v>
      </c>
      <c r="T32">
        <v>9334.13</v>
      </c>
      <c r="U32">
        <v>9194.4</v>
      </c>
      <c r="V32">
        <v>9461.71</v>
      </c>
      <c r="W32">
        <v>9555.78</v>
      </c>
      <c r="X32">
        <v>9827.02</v>
      </c>
      <c r="Y32">
        <v>9972.61</v>
      </c>
      <c r="Z32">
        <v>10690.52</v>
      </c>
      <c r="AA32">
        <v>10448.31</v>
      </c>
      <c r="AB32">
        <v>10264.48</v>
      </c>
      <c r="AC32">
        <v>9842.44</v>
      </c>
      <c r="AD32">
        <v>10516.99</v>
      </c>
      <c r="AE32">
        <v>9999.36</v>
      </c>
      <c r="AF32">
        <v>9376.33</v>
      </c>
      <c r="AG32">
        <v>9284.36</v>
      </c>
      <c r="AH32">
        <v>9000.3</v>
      </c>
      <c r="AI32">
        <v>9075.2</v>
      </c>
      <c r="AJ32">
        <v>8133.24</v>
      </c>
      <c r="AK32">
        <v>8023.1</v>
      </c>
      <c r="AL32">
        <v>7545.44</v>
      </c>
      <c r="AM32">
        <v>7568.21</v>
      </c>
      <c r="AN32">
        <v>7136.84</v>
      </c>
      <c r="AO32">
        <v>6445.37000000001</v>
      </c>
      <c r="AP32">
        <v>6382.11</v>
      </c>
      <c r="AQ32">
        <v>6302.22</v>
      </c>
      <c r="AR32">
        <v>6102.07</v>
      </c>
      <c r="AS32">
        <v>6176.27</v>
      </c>
      <c r="AT32">
        <v>6205.47</v>
      </c>
      <c r="AU32">
        <v>6043.72</v>
      </c>
      <c r="AV32">
        <v>6315.47</v>
      </c>
      <c r="AW32">
        <v>6430.83</v>
      </c>
      <c r="AX32">
        <v>6151.2</v>
      </c>
      <c r="AY32">
        <v>6681.45</v>
      </c>
      <c r="AZ32">
        <v>7242.98</v>
      </c>
      <c r="BA32">
        <v>6859.35</v>
      </c>
      <c r="BB32">
        <v>7428.53</v>
      </c>
      <c r="BC32">
        <v>7431.05</v>
      </c>
      <c r="BD32">
        <v>7694.99</v>
      </c>
      <c r="BE32">
        <v>7654.25</v>
      </c>
      <c r="BF32">
        <v>7543.73</v>
      </c>
      <c r="BG32">
        <v>7517.31</v>
      </c>
      <c r="BH32">
        <v>7726.09</v>
      </c>
      <c r="BI32">
        <v>8080.5</v>
      </c>
      <c r="BJ32">
        <v>7625.50000000001</v>
      </c>
      <c r="BK32">
        <v>7745.92</v>
      </c>
      <c r="BL32">
        <v>8407.01</v>
      </c>
      <c r="BM32">
        <v>9190.9</v>
      </c>
      <c r="BN32">
        <v>10415.19</v>
      </c>
      <c r="BO32">
        <v>11656.72</v>
      </c>
      <c r="BP32">
        <v>11773.76</v>
      </c>
      <c r="BQ32">
        <v>11690.47</v>
      </c>
      <c r="BR32">
        <v>11781.84</v>
      </c>
      <c r="BS32">
        <v>11959.87</v>
      </c>
      <c r="BT32">
        <v>12397.91</v>
      </c>
      <c r="BU32">
        <v>12665.08</v>
      </c>
      <c r="BV32">
        <v>12651.82</v>
      </c>
      <c r="BW32">
        <v>13112.21</v>
      </c>
      <c r="BX32">
        <v>13025.5</v>
      </c>
      <c r="BY32">
        <v>12765</v>
      </c>
      <c r="BZ32">
        <v>12307.05</v>
      </c>
      <c r="CA32">
        <v>12057.12</v>
      </c>
      <c r="CB32">
        <v>12148.38</v>
      </c>
      <c r="CC32">
        <v>12294.16</v>
      </c>
      <c r="CD32">
        <v>11927.97</v>
      </c>
      <c r="CE32">
        <v>11991.47</v>
      </c>
      <c r="CF32">
        <v>12028.21</v>
      </c>
      <c r="CG32">
        <v>12436.54</v>
      </c>
      <c r="CH32">
        <v>12364.78</v>
      </c>
      <c r="CI32">
        <v>11613.38</v>
      </c>
      <c r="CJ32">
        <v>11043.76</v>
      </c>
      <c r="CK32">
        <v>10488.09</v>
      </c>
      <c r="CL32">
        <v>11177.58</v>
      </c>
      <c r="CM32">
        <v>11159.3</v>
      </c>
      <c r="CN32">
        <v>11610.73</v>
      </c>
      <c r="CO32">
        <v>11359.51</v>
      </c>
      <c r="CP32">
        <v>11404.58</v>
      </c>
      <c r="CQ32">
        <v>11274.61</v>
      </c>
      <c r="CR32">
        <v>10494.48</v>
      </c>
      <c r="CS32">
        <v>10391.88</v>
      </c>
    </row>
  </sheetData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DD673"/>
  <sheetViews>
    <sheetView zoomScale="85" zoomScaleNormal="85" workbookViewId="0">
      <selection activeCell="R53" sqref="R53"/>
    </sheetView>
  </sheetViews>
  <sheetFormatPr defaultColWidth="8.89166666666667" defaultRowHeight="13.5"/>
  <cols>
    <col min="1" max="1" width="11.5"/>
    <col min="13" max="13" width="12.6333333333333"/>
  </cols>
  <sheetData>
    <row r="1" spans="1:108">
      <c r="A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/>
      <c r="M1" s="7">
        <v>0.0104166666666667</v>
      </c>
      <c r="N1" s="7">
        <v>0.0208333333333333</v>
      </c>
      <c r="O1" s="7">
        <v>0.03125</v>
      </c>
      <c r="P1" s="7">
        <v>0.0416666666666667</v>
      </c>
      <c r="Q1" s="7">
        <v>0.0520833333333333</v>
      </c>
      <c r="R1" s="7">
        <v>0.0625</v>
      </c>
      <c r="S1" s="7">
        <v>0.0729166666666667</v>
      </c>
      <c r="T1" s="7">
        <v>0.0833333333333333</v>
      </c>
      <c r="U1" s="7">
        <v>0.09375</v>
      </c>
      <c r="V1" s="7">
        <v>0.104166666666667</v>
      </c>
      <c r="W1" s="7">
        <v>0.114583333333333</v>
      </c>
      <c r="X1" s="7">
        <v>0.125</v>
      </c>
      <c r="Y1" s="7">
        <v>0.135416666666667</v>
      </c>
      <c r="Z1" s="7">
        <v>0.145833333333333</v>
      </c>
      <c r="AA1" s="7">
        <v>0.15625</v>
      </c>
      <c r="AB1" s="7">
        <v>0.166666666666667</v>
      </c>
    </row>
    <row r="2" spans="1:108">
      <c r="A2" cm="1">
        <f ca="1" t="array" ref="A2:A673">_xlfn.TOCOL(OFFSET(负荷!B$1,COUNTA(负荷!B:B)-7,,7,96),3,FALSE)</f>
        <v>28657.7</v>
      </c>
      <c r="B2" cm="1">
        <f ca="1" t="array" ref="B2:B673">_xlfn.TOCOL(OFFSET(水电!B$1,COUNTA(水电!B:B)-7,,7,96),3,FALSE)</f>
        <v>361</v>
      </c>
      <c r="C2" cm="1">
        <f ca="1" t="array" ref="C2:C673">_xlfn.TOCOL(OFFSET(核电!B$1,COUNTA(核电!B:B)-7,,7,96),3,FALSE)</f>
        <v>6354.61</v>
      </c>
      <c r="D2" cm="1">
        <f ca="1" t="array" ref="D2:D673">_xlfn.TOCOL(OFFSET(地方燃煤!B$1,COUNTA(地方燃煤!B:B)-7,,7,96),3,FALSE)</f>
        <v>41.19</v>
      </c>
      <c r="E2" cm="1">
        <f ca="1" t="array" ref="E2:E673">_xlfn.TOCOL(OFFSET(风电!B$1,COUNTA(风电!B:B)-7,,7,96),3,FALSE)</f>
        <v>5074</v>
      </c>
      <c r="F2" cm="1">
        <f ca="1" t="array" ref="F2:F673">_xlfn.TOCOL(OFFSET(光伏!B$1,COUNTA(光伏!B:B)-7,,7,96),3,FALSE)</f>
        <v>0</v>
      </c>
      <c r="G2" cm="1">
        <f ca="1" t="array" ref="G2:G673">_xlfn.TOCOL(OFFSET(联络线!B$1,COUNTA(联络线!B:B)-7,,7,96),3,FALSE)</f>
        <v>4338</v>
      </c>
      <c r="H2" cm="1">
        <f ca="1" t="array" ref="H2:H673">_xlfn.TOCOL(OFFSET(非市场化!B$1,COUNTA(非市场化!B:B)-7,,7,96),3,FALSE)</f>
        <v>3204.8</v>
      </c>
      <c r="I2" cm="1">
        <f ca="1" t="array" ref="I2:I673">_xlfn.TOCOL(OFFSET(负荷!B$1,COUNTA(负荷!B:B)-7,,7,96),3,FALSE)</f>
        <v>28657.7</v>
      </c>
      <c r="M2" s="7">
        <v>3105.5</v>
      </c>
      <c r="N2" s="7">
        <v>3068.7</v>
      </c>
      <c r="O2" s="7">
        <v>3113.4</v>
      </c>
      <c r="P2" s="7">
        <v>3077</v>
      </c>
      <c r="Q2" s="7">
        <v>3074</v>
      </c>
      <c r="R2" s="7">
        <v>3071.2</v>
      </c>
      <c r="S2" s="7">
        <v>3072.7</v>
      </c>
      <c r="T2" s="7">
        <v>3058.5</v>
      </c>
      <c r="U2" s="7">
        <v>3045.1</v>
      </c>
      <c r="V2" s="7">
        <v>3078.8</v>
      </c>
      <c r="W2" s="7">
        <v>3068.8</v>
      </c>
      <c r="X2" s="7">
        <v>3069</v>
      </c>
      <c r="Y2" s="7">
        <v>3058.1</v>
      </c>
      <c r="Z2" s="7">
        <v>3037.2</v>
      </c>
      <c r="AA2" s="7">
        <v>3041.6</v>
      </c>
      <c r="AB2" s="7">
        <v>3049.5</v>
      </c>
    </row>
    <row r="3" spans="1:108">
      <c r="A3">
        <v>28554</v>
      </c>
      <c r="B3">
        <v>321</v>
      </c>
      <c r="C3">
        <v>6354.6</v>
      </c>
      <c r="D3">
        <v>41.57</v>
      </c>
      <c r="E3">
        <v>4900</v>
      </c>
      <c r="F3">
        <v>0</v>
      </c>
      <c r="G3">
        <v>4399</v>
      </c>
      <c r="H3">
        <v>3212.1</v>
      </c>
      <c r="I3">
        <v>28554</v>
      </c>
      <c r="M3" s="7">
        <v>0.177083333333333</v>
      </c>
      <c r="N3" s="7">
        <v>0.1875</v>
      </c>
      <c r="O3" s="7">
        <v>0.197916666666667</v>
      </c>
      <c r="P3" s="7">
        <v>0.208333333333333</v>
      </c>
      <c r="Q3" s="7">
        <v>0.21875</v>
      </c>
      <c r="R3" s="7">
        <v>0.229166666666667</v>
      </c>
      <c r="S3" s="7">
        <v>0.239583333333333</v>
      </c>
      <c r="T3" s="7">
        <v>0.25</v>
      </c>
      <c r="U3" s="7">
        <v>0.260416666666667</v>
      </c>
      <c r="V3" s="7">
        <v>0.270833333333333</v>
      </c>
      <c r="W3" s="7">
        <v>0.28125</v>
      </c>
      <c r="X3" s="7">
        <v>0.291666666666667</v>
      </c>
      <c r="Y3" s="7">
        <v>0.302083333333333</v>
      </c>
      <c r="Z3" s="7">
        <v>0.3125</v>
      </c>
      <c r="AA3" s="7">
        <v>0.322916666666667</v>
      </c>
      <c r="AB3" s="7">
        <v>0.333333333333333</v>
      </c>
    </row>
    <row r="4" spans="1:108">
      <c r="A4">
        <v>28312.9</v>
      </c>
      <c r="B4">
        <v>276</v>
      </c>
      <c r="C4">
        <v>6358.22</v>
      </c>
      <c r="D4">
        <v>41.91</v>
      </c>
      <c r="E4">
        <v>4726</v>
      </c>
      <c r="F4">
        <v>0</v>
      </c>
      <c r="G4">
        <v>4194</v>
      </c>
      <c r="H4">
        <v>3182.6</v>
      </c>
      <c r="I4">
        <v>28312.9</v>
      </c>
      <c r="M4" s="7">
        <v>3116.2</v>
      </c>
      <c r="N4" s="7">
        <v>3121.9</v>
      </c>
      <c r="O4" s="7">
        <v>3159.8</v>
      </c>
      <c r="P4" s="7">
        <v>3257.3</v>
      </c>
      <c r="Q4" s="7">
        <v>3364.3</v>
      </c>
      <c r="R4" s="7">
        <v>3481.1</v>
      </c>
      <c r="S4" s="7">
        <v>3594.3</v>
      </c>
      <c r="T4" s="7">
        <v>3756.2</v>
      </c>
      <c r="U4" s="7">
        <v>3973.6</v>
      </c>
      <c r="V4" s="7">
        <v>4188.1</v>
      </c>
      <c r="W4" s="7">
        <v>4501.3</v>
      </c>
      <c r="X4" s="7">
        <v>4792.6</v>
      </c>
      <c r="Y4" s="7">
        <v>5096.1</v>
      </c>
      <c r="Z4" s="7">
        <v>5423.9</v>
      </c>
      <c r="AA4" s="7">
        <v>5653.7</v>
      </c>
      <c r="AB4" s="7">
        <v>5981.2</v>
      </c>
    </row>
    <row r="5" spans="1:108">
      <c r="A5">
        <v>27967.3</v>
      </c>
      <c r="B5">
        <v>276</v>
      </c>
      <c r="C5">
        <v>6359.82</v>
      </c>
      <c r="D5">
        <v>42.35</v>
      </c>
      <c r="E5">
        <v>4577</v>
      </c>
      <c r="F5">
        <v>0</v>
      </c>
      <c r="G5">
        <v>4253</v>
      </c>
      <c r="H5">
        <v>3200.3</v>
      </c>
      <c r="I5">
        <v>27967.3</v>
      </c>
      <c r="M5" s="7">
        <v>0.34375</v>
      </c>
      <c r="N5" s="7">
        <v>0.354166666666667</v>
      </c>
      <c r="O5" s="7">
        <v>0.364583333333333</v>
      </c>
      <c r="P5" s="7">
        <v>0.375</v>
      </c>
      <c r="Q5" s="7">
        <v>0.385416666666667</v>
      </c>
      <c r="R5" s="7">
        <v>0.395833333333333</v>
      </c>
      <c r="S5" s="7">
        <v>0.40625</v>
      </c>
      <c r="T5" s="7">
        <v>0.416666666666667</v>
      </c>
      <c r="U5" s="7">
        <v>0.427083333333333</v>
      </c>
      <c r="V5" s="7">
        <v>0.4375</v>
      </c>
      <c r="W5" s="7">
        <v>0.447916666666667</v>
      </c>
      <c r="X5" s="7">
        <v>0.458333333333333</v>
      </c>
      <c r="Y5" s="7">
        <v>0.46875</v>
      </c>
      <c r="Z5" s="7">
        <v>0.479166666666667</v>
      </c>
      <c r="AA5" s="7">
        <v>0.489583333333333</v>
      </c>
      <c r="AB5" s="7">
        <v>0.5</v>
      </c>
    </row>
    <row r="6" spans="1:108">
      <c r="A6">
        <v>27980.6</v>
      </c>
      <c r="B6">
        <v>278</v>
      </c>
      <c r="C6">
        <v>6357</v>
      </c>
      <c r="D6">
        <v>41.65</v>
      </c>
      <c r="E6">
        <v>4514</v>
      </c>
      <c r="F6">
        <v>0</v>
      </c>
      <c r="G6">
        <v>4196</v>
      </c>
      <c r="H6">
        <v>3203.4</v>
      </c>
      <c r="I6">
        <v>27980.6</v>
      </c>
      <c r="M6" s="7">
        <v>6179.5</v>
      </c>
      <c r="N6" s="7">
        <v>6597.8</v>
      </c>
      <c r="O6" s="7">
        <v>6887.9</v>
      </c>
      <c r="P6" s="7">
        <v>7010.1</v>
      </c>
      <c r="Q6" s="7">
        <v>7268.4</v>
      </c>
      <c r="R6" s="7">
        <v>7540.6</v>
      </c>
      <c r="S6" s="7">
        <v>7768.7</v>
      </c>
      <c r="T6" s="7">
        <v>7869.4</v>
      </c>
      <c r="U6" s="7">
        <v>8000.7</v>
      </c>
      <c r="V6" s="7">
        <v>8095.7</v>
      </c>
      <c r="W6" s="7">
        <v>8189.7</v>
      </c>
      <c r="X6" s="7">
        <v>8230.1</v>
      </c>
      <c r="Y6" s="7">
        <v>8250.1</v>
      </c>
      <c r="Z6" s="7">
        <v>8240.8</v>
      </c>
      <c r="AA6" s="7">
        <v>8264.8</v>
      </c>
      <c r="AB6" s="7">
        <v>8251.9</v>
      </c>
    </row>
    <row r="7" spans="1:108">
      <c r="A7">
        <v>27678.5</v>
      </c>
      <c r="B7">
        <v>280</v>
      </c>
      <c r="C7">
        <v>6352.59</v>
      </c>
      <c r="D7">
        <v>39.9</v>
      </c>
      <c r="E7">
        <v>4412</v>
      </c>
      <c r="F7">
        <v>0</v>
      </c>
      <c r="G7">
        <v>3987</v>
      </c>
      <c r="H7">
        <v>3217.2</v>
      </c>
      <c r="I7">
        <v>27678.5</v>
      </c>
      <c r="M7" s="7">
        <v>0.510416666666667</v>
      </c>
      <c r="N7" s="7">
        <v>0.520833333333333</v>
      </c>
      <c r="O7" s="7">
        <v>0.53125</v>
      </c>
      <c r="P7" s="7">
        <v>0.541666666666667</v>
      </c>
      <c r="Q7" s="7">
        <v>0.552083333333333</v>
      </c>
      <c r="R7" s="7">
        <v>0.5625</v>
      </c>
      <c r="S7" s="7">
        <v>0.572916666666667</v>
      </c>
      <c r="T7" s="7">
        <v>0.583333333333333</v>
      </c>
      <c r="U7" s="7">
        <v>0.59375</v>
      </c>
      <c r="V7" s="7">
        <v>0.604166666666667</v>
      </c>
      <c r="W7" s="7">
        <v>0.614583333333333</v>
      </c>
      <c r="X7" s="7">
        <v>0.625</v>
      </c>
      <c r="Y7" s="7">
        <v>0.635416666666667</v>
      </c>
      <c r="Z7" s="7">
        <v>0.645833333333333</v>
      </c>
      <c r="AA7" s="7">
        <v>0.65625</v>
      </c>
      <c r="AB7" s="7">
        <v>0.666666666666667</v>
      </c>
    </row>
    <row r="8" spans="1:108">
      <c r="A8">
        <v>27689.4</v>
      </c>
      <c r="B8">
        <v>280</v>
      </c>
      <c r="C8">
        <v>6355.8</v>
      </c>
      <c r="D8">
        <v>40.39</v>
      </c>
      <c r="E8">
        <v>4422</v>
      </c>
      <c r="F8">
        <v>0</v>
      </c>
      <c r="G8">
        <v>3592</v>
      </c>
      <c r="H8">
        <v>3214.6</v>
      </c>
      <c r="I8">
        <v>27689.4</v>
      </c>
      <c r="M8" s="7">
        <v>8071.5</v>
      </c>
      <c r="N8" s="7">
        <v>8088.9</v>
      </c>
      <c r="O8" s="7">
        <v>8118.5</v>
      </c>
      <c r="P8" s="7">
        <v>8092</v>
      </c>
      <c r="Q8" s="7">
        <v>7940.5</v>
      </c>
      <c r="R8" s="7">
        <v>7898.9</v>
      </c>
      <c r="S8" s="7">
        <v>7821</v>
      </c>
      <c r="T8" s="7">
        <v>7707.1</v>
      </c>
      <c r="U8" s="7">
        <v>7500.7</v>
      </c>
      <c r="V8" s="7">
        <v>7358.9</v>
      </c>
      <c r="W8" s="7">
        <v>7155.2</v>
      </c>
      <c r="X8" s="7">
        <v>7014.6</v>
      </c>
      <c r="Y8" s="7">
        <v>6767.3</v>
      </c>
      <c r="Z8" s="7">
        <v>6609.1</v>
      </c>
      <c r="AA8" s="7">
        <v>6345</v>
      </c>
      <c r="AB8" s="7">
        <v>6054.9</v>
      </c>
    </row>
    <row r="9" spans="1:108">
      <c r="A9">
        <v>27597</v>
      </c>
      <c r="B9">
        <v>281</v>
      </c>
      <c r="C9">
        <v>6352.59</v>
      </c>
      <c r="D9">
        <v>39.97</v>
      </c>
      <c r="E9">
        <v>4310</v>
      </c>
      <c r="F9">
        <v>0</v>
      </c>
      <c r="G9">
        <v>3480</v>
      </c>
      <c r="H9">
        <v>3191.8</v>
      </c>
      <c r="I9">
        <v>27597</v>
      </c>
      <c r="M9" s="7">
        <v>0.677083333333333</v>
      </c>
      <c r="N9" s="7">
        <v>0.6875</v>
      </c>
      <c r="O9" s="7">
        <v>0.697916666666667</v>
      </c>
      <c r="P9" s="7">
        <v>0.708333333333333</v>
      </c>
      <c r="Q9" s="7">
        <v>0.71875</v>
      </c>
      <c r="R9" s="7">
        <v>0.729166666666667</v>
      </c>
      <c r="S9" s="7">
        <v>0.739583333333333</v>
      </c>
      <c r="T9" s="7">
        <v>0.75</v>
      </c>
      <c r="U9" s="7">
        <v>0.760416666666667</v>
      </c>
      <c r="V9" s="7">
        <v>0.770833333333333</v>
      </c>
      <c r="W9" s="7">
        <v>0.78125</v>
      </c>
      <c r="X9" s="7">
        <v>0.791666666666667</v>
      </c>
      <c r="Y9" s="7">
        <v>0.802083333333333</v>
      </c>
      <c r="Z9" s="7">
        <v>0.8125</v>
      </c>
      <c r="AA9" s="7">
        <v>0.822916666666667</v>
      </c>
      <c r="AB9" s="7">
        <v>0.833333333333333</v>
      </c>
    </row>
    <row r="10" spans="1:108">
      <c r="A10">
        <v>27325.3</v>
      </c>
      <c r="B10">
        <v>281</v>
      </c>
      <c r="C10">
        <v>6352.2</v>
      </c>
      <c r="D10">
        <v>40</v>
      </c>
      <c r="E10">
        <v>4168</v>
      </c>
      <c r="F10">
        <v>0</v>
      </c>
      <c r="G10">
        <v>3397</v>
      </c>
      <c r="H10">
        <v>3193.1</v>
      </c>
      <c r="I10">
        <v>27325.3</v>
      </c>
      <c r="M10" s="7">
        <v>5725.2</v>
      </c>
      <c r="N10" s="7">
        <v>5361.2</v>
      </c>
      <c r="O10" s="7">
        <v>4974.8</v>
      </c>
      <c r="P10" s="7">
        <v>4629.8</v>
      </c>
      <c r="Q10" s="7">
        <v>4273.1</v>
      </c>
      <c r="R10" s="7">
        <v>3956.4</v>
      </c>
      <c r="S10" s="7">
        <v>3701.4</v>
      </c>
      <c r="T10" s="7">
        <v>3496.1</v>
      </c>
      <c r="U10" s="7">
        <v>3361.4</v>
      </c>
      <c r="V10" s="7">
        <v>3270.1</v>
      </c>
      <c r="W10" s="7">
        <v>3199.3</v>
      </c>
      <c r="X10" s="7">
        <v>3110.7</v>
      </c>
      <c r="Y10" s="7">
        <v>3051.2</v>
      </c>
      <c r="Z10" s="7">
        <v>3018.4</v>
      </c>
      <c r="AA10" s="7">
        <v>3028</v>
      </c>
      <c r="AB10" s="7">
        <v>3032.8</v>
      </c>
    </row>
    <row r="11" spans="1:108">
      <c r="A11">
        <v>27263.8</v>
      </c>
      <c r="B11">
        <v>281</v>
      </c>
      <c r="C11">
        <v>6359.01</v>
      </c>
      <c r="D11">
        <v>41.58</v>
      </c>
      <c r="E11">
        <v>3995</v>
      </c>
      <c r="F11">
        <v>0</v>
      </c>
      <c r="G11">
        <v>3438</v>
      </c>
      <c r="H11">
        <v>3193</v>
      </c>
      <c r="I11">
        <v>27263.8</v>
      </c>
      <c r="M11" s="7">
        <v>0.84375</v>
      </c>
      <c r="N11" s="7">
        <v>0.854166666666667</v>
      </c>
      <c r="O11" s="7">
        <v>0.864583333333333</v>
      </c>
      <c r="P11" s="7">
        <v>0.875</v>
      </c>
      <c r="Q11" s="7">
        <v>0.885416666666667</v>
      </c>
      <c r="R11" s="7">
        <v>0.895833333333333</v>
      </c>
      <c r="S11" s="7">
        <v>0.90625</v>
      </c>
      <c r="T11" s="7">
        <v>0.916666666666667</v>
      </c>
      <c r="U11" s="7">
        <v>0.927083333333333</v>
      </c>
      <c r="V11" s="7">
        <v>0.9375</v>
      </c>
      <c r="W11" s="7">
        <v>0.947916666666667</v>
      </c>
      <c r="X11" s="7">
        <v>0.958333333333333</v>
      </c>
      <c r="Y11" s="7">
        <v>0.96875</v>
      </c>
      <c r="Z11" s="7">
        <v>0.979166666666667</v>
      </c>
      <c r="AA11" s="7">
        <v>0.989583333333333</v>
      </c>
      <c r="AB11" s="7">
        <v>1</v>
      </c>
    </row>
    <row r="12" spans="1:108">
      <c r="A12">
        <v>27215.9</v>
      </c>
      <c r="B12">
        <v>282</v>
      </c>
      <c r="C12">
        <v>6355.81</v>
      </c>
      <c r="D12">
        <v>41.9</v>
      </c>
      <c r="E12">
        <v>3708</v>
      </c>
      <c r="F12">
        <v>0</v>
      </c>
      <c r="G12">
        <v>2911</v>
      </c>
      <c r="H12">
        <v>3195.1</v>
      </c>
      <c r="I12">
        <v>27215.9</v>
      </c>
      <c r="M12" s="7">
        <v>3007.7</v>
      </c>
      <c r="N12" s="7">
        <v>3049.4</v>
      </c>
      <c r="O12" s="7">
        <v>3048.8</v>
      </c>
      <c r="P12" s="7">
        <v>3040.9</v>
      </c>
      <c r="Q12" s="7">
        <v>3039.8</v>
      </c>
      <c r="R12" s="7">
        <v>3051</v>
      </c>
      <c r="S12" s="7">
        <v>3051.2</v>
      </c>
      <c r="T12" s="7">
        <v>3061.4</v>
      </c>
      <c r="U12" s="7">
        <v>3047.2</v>
      </c>
      <c r="V12" s="7">
        <v>3048.4</v>
      </c>
      <c r="W12" s="7">
        <v>3063.8</v>
      </c>
      <c r="X12" s="7">
        <v>3055.2</v>
      </c>
      <c r="Y12" s="7">
        <v>3074.2</v>
      </c>
      <c r="Z12" s="7">
        <v>3024.1</v>
      </c>
      <c r="AA12" s="7">
        <v>3038.9</v>
      </c>
      <c r="AB12" s="7">
        <v>3009</v>
      </c>
    </row>
    <row r="13" spans="1:108">
      <c r="A13">
        <v>27064.4</v>
      </c>
      <c r="B13">
        <v>282</v>
      </c>
      <c r="C13">
        <v>6351.79</v>
      </c>
      <c r="D13">
        <v>41.38</v>
      </c>
      <c r="E13">
        <v>3531</v>
      </c>
      <c r="F13">
        <v>0</v>
      </c>
      <c r="G13">
        <v>2759</v>
      </c>
      <c r="H13">
        <v>3206.2</v>
      </c>
      <c r="I13">
        <v>27064.4</v>
      </c>
    </row>
    <row r="14" spans="1:108">
      <c r="A14">
        <v>27073.2</v>
      </c>
      <c r="B14">
        <v>281</v>
      </c>
      <c r="C14">
        <v>6350.99</v>
      </c>
      <c r="D14">
        <v>41.89</v>
      </c>
      <c r="E14">
        <v>3486</v>
      </c>
      <c r="F14">
        <v>0</v>
      </c>
      <c r="G14">
        <v>2643</v>
      </c>
      <c r="H14">
        <v>3194.3</v>
      </c>
      <c r="I14">
        <v>27073.2</v>
      </c>
    </row>
    <row r="15" spans="1:108">
      <c r="A15">
        <v>27002.6</v>
      </c>
      <c r="B15">
        <v>282</v>
      </c>
      <c r="C15">
        <v>6350.18</v>
      </c>
      <c r="D15">
        <v>41.98</v>
      </c>
      <c r="E15">
        <v>3375</v>
      </c>
      <c r="F15">
        <v>0</v>
      </c>
      <c r="G15">
        <v>2745</v>
      </c>
      <c r="H15">
        <v>3199.3</v>
      </c>
      <c r="I15">
        <v>27002.6</v>
      </c>
    </row>
    <row r="16" spans="1:108">
      <c r="A16">
        <v>27115.1</v>
      </c>
      <c r="B16">
        <v>282</v>
      </c>
      <c r="C16">
        <v>6355</v>
      </c>
      <c r="D16">
        <v>42.12</v>
      </c>
      <c r="E16">
        <v>3244</v>
      </c>
      <c r="F16">
        <v>0</v>
      </c>
      <c r="G16">
        <v>2798</v>
      </c>
      <c r="H16">
        <v>3212</v>
      </c>
      <c r="I16">
        <v>27115.1</v>
      </c>
      <c r="M16" cm="1">
        <f t="array" ref="M16:AB16">M2:AB2</f>
        <v>3105.5</v>
      </c>
      <c r="N16">
        <v>3068.7</v>
      </c>
      <c r="O16">
        <v>3113.4</v>
      </c>
      <c r="P16">
        <v>3077</v>
      </c>
      <c r="Q16">
        <v>3074</v>
      </c>
      <c r="R16">
        <v>3071.2</v>
      </c>
      <c r="S16">
        <v>3072.7</v>
      </c>
      <c r="T16">
        <v>3058.5</v>
      </c>
      <c r="U16">
        <v>3045.1</v>
      </c>
      <c r="V16">
        <v>3078.8</v>
      </c>
      <c r="W16">
        <v>3068.8</v>
      </c>
      <c r="X16">
        <v>3069</v>
      </c>
      <c r="Y16">
        <v>3058.1</v>
      </c>
      <c r="Z16">
        <v>3037.2</v>
      </c>
      <c r="AA16">
        <v>3041.6</v>
      </c>
      <c r="AB16">
        <v>3049.5</v>
      </c>
      <c r="AC16" cm="1">
        <f t="array" ref="AC16:AR16">M4:AB4</f>
        <v>3116.2</v>
      </c>
      <c r="AD16">
        <v>3121.9</v>
      </c>
      <c r="AE16">
        <v>3159.8</v>
      </c>
      <c r="AF16">
        <v>3257.3</v>
      </c>
      <c r="AG16">
        <v>3364.3</v>
      </c>
      <c r="AH16">
        <v>3481.1</v>
      </c>
      <c r="AI16">
        <v>3594.3</v>
      </c>
      <c r="AJ16">
        <v>3756.2</v>
      </c>
      <c r="AK16">
        <v>3973.6</v>
      </c>
      <c r="AL16">
        <v>4188.1</v>
      </c>
      <c r="AM16">
        <v>4501.3</v>
      </c>
      <c r="AN16">
        <v>4792.6</v>
      </c>
      <c r="AO16">
        <v>5096.1</v>
      </c>
      <c r="AP16">
        <v>5423.9</v>
      </c>
      <c r="AQ16">
        <v>5653.7</v>
      </c>
      <c r="AR16">
        <v>5981.2</v>
      </c>
      <c r="AS16" cm="1">
        <f t="array" ref="AS16:BH16">M6:AB6</f>
        <v>6179.5</v>
      </c>
      <c r="AT16">
        <v>6597.8</v>
      </c>
      <c r="AU16">
        <v>6887.9</v>
      </c>
      <c r="AV16">
        <v>7010.1</v>
      </c>
      <c r="AW16">
        <v>7268.4</v>
      </c>
      <c r="AX16">
        <v>7540.6</v>
      </c>
      <c r="AY16">
        <v>7768.7</v>
      </c>
      <c r="AZ16">
        <v>7869.4</v>
      </c>
      <c r="BA16">
        <v>8000.7</v>
      </c>
      <c r="BB16">
        <v>8095.7</v>
      </c>
      <c r="BC16">
        <v>8189.7</v>
      </c>
      <c r="BD16">
        <v>8230.1</v>
      </c>
      <c r="BE16">
        <v>8250.1</v>
      </c>
      <c r="BF16">
        <v>8240.8</v>
      </c>
      <c r="BG16">
        <v>8264.8</v>
      </c>
      <c r="BH16">
        <v>8251.9</v>
      </c>
      <c r="BI16" cm="1">
        <f t="array" ref="BI16:BX16">M8:AB8</f>
        <v>8071.5</v>
      </c>
      <c r="BJ16">
        <v>8088.9</v>
      </c>
      <c r="BK16">
        <v>8118.5</v>
      </c>
      <c r="BL16">
        <v>8092</v>
      </c>
      <c r="BM16">
        <v>7940.5</v>
      </c>
      <c r="BN16">
        <v>7898.9</v>
      </c>
      <c r="BO16">
        <v>7821</v>
      </c>
      <c r="BP16">
        <v>7707.1</v>
      </c>
      <c r="BQ16">
        <v>7500.7</v>
      </c>
      <c r="BR16">
        <v>7358.9</v>
      </c>
      <c r="BS16">
        <v>7155.2</v>
      </c>
      <c r="BT16">
        <v>7014.6</v>
      </c>
      <c r="BU16">
        <v>6767.3</v>
      </c>
      <c r="BV16">
        <v>6609.1</v>
      </c>
      <c r="BW16">
        <v>6345</v>
      </c>
      <c r="BX16">
        <v>6054.9</v>
      </c>
      <c r="BY16" cm="1">
        <f t="array" ref="BY16:CN16">M10:AB10</f>
        <v>5725.2</v>
      </c>
      <c r="BZ16">
        <v>5361.2</v>
      </c>
      <c r="CA16">
        <v>4974.8</v>
      </c>
      <c r="CB16">
        <v>4629.8</v>
      </c>
      <c r="CC16">
        <v>4273.1</v>
      </c>
      <c r="CD16">
        <v>3956.4</v>
      </c>
      <c r="CE16">
        <v>3701.4</v>
      </c>
      <c r="CF16">
        <v>3496.1</v>
      </c>
      <c r="CG16">
        <v>3361.4</v>
      </c>
      <c r="CH16">
        <v>3270.1</v>
      </c>
      <c r="CI16">
        <v>3199.3</v>
      </c>
      <c r="CJ16">
        <v>3110.7</v>
      </c>
      <c r="CK16">
        <v>3051.2</v>
      </c>
      <c r="CL16">
        <v>3018.4</v>
      </c>
      <c r="CM16">
        <v>3028</v>
      </c>
      <c r="CN16">
        <v>3032.8</v>
      </c>
      <c r="CO16" cm="1">
        <f t="array" ref="CO16:DD16">M12:AB12</f>
        <v>3007.7</v>
      </c>
      <c r="CP16">
        <v>3049.4</v>
      </c>
      <c r="CQ16">
        <v>3048.8</v>
      </c>
      <c r="CR16">
        <v>3040.9</v>
      </c>
      <c r="CS16">
        <v>3039.8</v>
      </c>
      <c r="CT16">
        <v>3051</v>
      </c>
      <c r="CU16">
        <v>3051.2</v>
      </c>
      <c r="CV16">
        <v>3061.4</v>
      </c>
      <c r="CW16">
        <v>3047.2</v>
      </c>
      <c r="CX16">
        <v>3048.4</v>
      </c>
      <c r="CY16">
        <v>3063.8</v>
      </c>
      <c r="CZ16">
        <v>3055.2</v>
      </c>
      <c r="DA16">
        <v>3074.2</v>
      </c>
      <c r="DB16">
        <v>3024.1</v>
      </c>
      <c r="DC16">
        <v>3038.9</v>
      </c>
      <c r="DD16">
        <v>3009</v>
      </c>
    </row>
    <row r="17" spans="1:108">
      <c r="A17">
        <v>27133.5</v>
      </c>
      <c r="B17">
        <v>282</v>
      </c>
      <c r="C17">
        <v>6351.79</v>
      </c>
      <c r="D17">
        <v>41.74</v>
      </c>
      <c r="E17">
        <v>3109</v>
      </c>
      <c r="F17">
        <v>0</v>
      </c>
      <c r="G17">
        <v>3072</v>
      </c>
      <c r="H17">
        <v>3204.2</v>
      </c>
      <c r="I17">
        <v>27133.5</v>
      </c>
    </row>
    <row r="18" spans="1:108">
      <c r="A18">
        <v>27329.9</v>
      </c>
      <c r="B18">
        <v>282</v>
      </c>
      <c r="C18">
        <v>6348.57</v>
      </c>
      <c r="D18">
        <v>40.07</v>
      </c>
      <c r="E18">
        <v>2973</v>
      </c>
      <c r="F18">
        <v>53</v>
      </c>
      <c r="G18">
        <v>3464</v>
      </c>
      <c r="H18">
        <v>3204.2</v>
      </c>
      <c r="I18">
        <v>27329.9</v>
      </c>
      <c r="M18" s="8" cm="1">
        <f t="array" ref="M18:DD18">VALUE(LEFT(M16:DD16,LEN(M16:DD16)-2))</f>
        <v>3105</v>
      </c>
      <c r="N18" s="8">
        <v>3068</v>
      </c>
      <c r="O18" s="8">
        <v>3113</v>
      </c>
      <c r="P18" s="8">
        <v>30</v>
      </c>
      <c r="Q18" s="8">
        <v>30</v>
      </c>
      <c r="R18" s="8">
        <v>3071</v>
      </c>
      <c r="S18" s="8">
        <v>3072</v>
      </c>
      <c r="T18" s="8">
        <v>3058</v>
      </c>
      <c r="U18" s="8">
        <v>3045</v>
      </c>
      <c r="V18" s="8">
        <v>3078</v>
      </c>
      <c r="W18" s="8">
        <v>3068</v>
      </c>
      <c r="X18" s="8">
        <v>30</v>
      </c>
      <c r="Y18" s="8">
        <v>3058</v>
      </c>
      <c r="Z18" s="8">
        <v>3037</v>
      </c>
      <c r="AA18" s="8">
        <v>3041</v>
      </c>
      <c r="AB18" s="8">
        <v>3049</v>
      </c>
      <c r="AC18" s="8">
        <v>3116</v>
      </c>
      <c r="AD18" s="8">
        <v>3121</v>
      </c>
      <c r="AE18" s="8">
        <v>3159</v>
      </c>
      <c r="AF18" s="8">
        <v>3257</v>
      </c>
      <c r="AG18" s="8">
        <v>3364</v>
      </c>
      <c r="AH18" s="8">
        <v>3481</v>
      </c>
      <c r="AI18" s="8">
        <v>3594</v>
      </c>
      <c r="AJ18" s="8">
        <v>3756</v>
      </c>
      <c r="AK18" s="8">
        <v>3973</v>
      </c>
      <c r="AL18" s="8">
        <v>4188</v>
      </c>
      <c r="AM18" s="8">
        <v>4501</v>
      </c>
      <c r="AN18" s="8">
        <v>4792</v>
      </c>
      <c r="AO18" s="8">
        <v>5096</v>
      </c>
      <c r="AP18" s="8">
        <v>5423</v>
      </c>
      <c r="AQ18" s="8">
        <v>5653</v>
      </c>
      <c r="AR18" s="8">
        <v>5981</v>
      </c>
      <c r="AS18" s="8">
        <v>6179</v>
      </c>
      <c r="AT18" s="8">
        <v>6597</v>
      </c>
      <c r="AU18" s="8">
        <v>6887</v>
      </c>
      <c r="AV18" s="8">
        <v>7010</v>
      </c>
      <c r="AW18" s="8">
        <v>7268</v>
      </c>
      <c r="AX18" s="8">
        <v>7540</v>
      </c>
      <c r="AY18" s="8">
        <v>7768</v>
      </c>
      <c r="AZ18" s="8">
        <v>7869</v>
      </c>
      <c r="BA18" s="8">
        <v>8000</v>
      </c>
      <c r="BB18" s="8">
        <v>8095</v>
      </c>
      <c r="BC18" s="8">
        <v>8189</v>
      </c>
      <c r="BD18" s="8">
        <v>8230</v>
      </c>
      <c r="BE18" s="8">
        <v>8250</v>
      </c>
      <c r="BF18" s="8">
        <v>8240</v>
      </c>
      <c r="BG18" s="8">
        <v>8264</v>
      </c>
      <c r="BH18" s="8">
        <v>8251</v>
      </c>
      <c r="BI18" s="8">
        <v>8071</v>
      </c>
      <c r="BJ18" s="8">
        <v>8088</v>
      </c>
      <c r="BK18" s="8">
        <v>8118</v>
      </c>
      <c r="BL18" s="8">
        <v>80</v>
      </c>
      <c r="BM18" s="8">
        <v>7940</v>
      </c>
      <c r="BN18" s="8">
        <v>7898</v>
      </c>
      <c r="BO18" s="8">
        <v>78</v>
      </c>
      <c r="BP18" s="8">
        <v>7707</v>
      </c>
      <c r="BQ18" s="8">
        <v>7500</v>
      </c>
      <c r="BR18" s="8">
        <v>7358</v>
      </c>
      <c r="BS18" s="8">
        <v>7155</v>
      </c>
      <c r="BT18" s="8">
        <v>7014</v>
      </c>
      <c r="BU18" s="8">
        <v>6767</v>
      </c>
      <c r="BV18" s="8">
        <v>6609</v>
      </c>
      <c r="BW18" s="8">
        <v>63</v>
      </c>
      <c r="BX18" s="8">
        <v>6054</v>
      </c>
      <c r="BY18" s="8">
        <v>5725</v>
      </c>
      <c r="BZ18" s="8">
        <v>5361</v>
      </c>
      <c r="CA18" s="8">
        <v>4974</v>
      </c>
      <c r="CB18" s="8">
        <v>4629</v>
      </c>
      <c r="CC18" s="8">
        <v>4273</v>
      </c>
      <c r="CD18" s="8">
        <v>3956</v>
      </c>
      <c r="CE18" s="8">
        <v>3701</v>
      </c>
      <c r="CF18" s="8">
        <v>3496</v>
      </c>
      <c r="CG18" s="8">
        <v>3361</v>
      </c>
      <c r="CH18" s="8">
        <v>3270</v>
      </c>
      <c r="CI18" s="8">
        <v>3199</v>
      </c>
      <c r="CJ18" s="8">
        <v>3110</v>
      </c>
      <c r="CK18" s="8">
        <v>3051</v>
      </c>
      <c r="CL18" s="8">
        <v>3018</v>
      </c>
      <c r="CM18" s="8">
        <v>30</v>
      </c>
      <c r="CN18" s="8">
        <v>3032</v>
      </c>
      <c r="CO18" s="8">
        <v>3007</v>
      </c>
      <c r="CP18" s="8">
        <v>3049</v>
      </c>
      <c r="CQ18" s="8">
        <v>3048</v>
      </c>
      <c r="CR18" s="8">
        <v>3040</v>
      </c>
      <c r="CS18" s="8">
        <v>3039</v>
      </c>
      <c r="CT18" s="8">
        <v>30</v>
      </c>
      <c r="CU18" s="8">
        <v>3051</v>
      </c>
      <c r="CV18" s="8">
        <v>3061</v>
      </c>
      <c r="CW18" s="8">
        <v>3047</v>
      </c>
      <c r="CX18" s="8">
        <v>3048</v>
      </c>
      <c r="CY18" s="8">
        <v>3063</v>
      </c>
      <c r="CZ18" s="8">
        <v>3055</v>
      </c>
      <c r="DA18" s="8">
        <v>3074</v>
      </c>
      <c r="DB18" s="8">
        <v>3024</v>
      </c>
      <c r="DC18" s="8">
        <v>3038</v>
      </c>
      <c r="DD18" s="8">
        <v>30</v>
      </c>
    </row>
    <row r="19" spans="1:108">
      <c r="A19">
        <v>27294.9</v>
      </c>
      <c r="B19">
        <v>282</v>
      </c>
      <c r="C19">
        <v>6347.36</v>
      </c>
      <c r="D19">
        <v>40.49</v>
      </c>
      <c r="E19">
        <v>2926</v>
      </c>
      <c r="F19">
        <v>53</v>
      </c>
      <c r="G19">
        <v>3728</v>
      </c>
      <c r="H19">
        <v>3213.2</v>
      </c>
      <c r="I19">
        <v>27294.9</v>
      </c>
    </row>
    <row r="20" spans="1:108">
      <c r="A20">
        <v>27417.3</v>
      </c>
      <c r="B20">
        <v>282</v>
      </c>
      <c r="C20">
        <v>6341.33</v>
      </c>
      <c r="D20">
        <v>40.72</v>
      </c>
      <c r="E20">
        <v>2796</v>
      </c>
      <c r="F20">
        <v>53</v>
      </c>
      <c r="G20">
        <v>3835</v>
      </c>
      <c r="H20">
        <v>3210.1</v>
      </c>
      <c r="I20">
        <v>27417.3</v>
      </c>
    </row>
    <row r="21" spans="1:108">
      <c r="A21">
        <v>27440.4</v>
      </c>
      <c r="B21">
        <v>282</v>
      </c>
      <c r="C21">
        <v>6352.99</v>
      </c>
      <c r="D21">
        <v>41.35</v>
      </c>
      <c r="E21">
        <v>2728</v>
      </c>
      <c r="F21">
        <v>53</v>
      </c>
      <c r="G21">
        <v>4048</v>
      </c>
      <c r="H21">
        <v>3194.4</v>
      </c>
      <c r="I21">
        <v>27440.4</v>
      </c>
    </row>
    <row r="22" spans="1:108">
      <c r="A22">
        <v>27937.9</v>
      </c>
      <c r="B22">
        <v>282</v>
      </c>
      <c r="C22">
        <v>6357.41</v>
      </c>
      <c r="D22">
        <v>40.92</v>
      </c>
      <c r="E22">
        <v>2630</v>
      </c>
      <c r="F22">
        <v>59</v>
      </c>
      <c r="G22">
        <v>4476</v>
      </c>
      <c r="H22">
        <v>3207.5</v>
      </c>
      <c r="I22">
        <v>27937.9</v>
      </c>
    </row>
    <row r="23" spans="1:108">
      <c r="A23">
        <v>28355.6</v>
      </c>
      <c r="B23">
        <v>282</v>
      </c>
      <c r="C23">
        <v>6359.01</v>
      </c>
      <c r="D23">
        <v>43.22</v>
      </c>
      <c r="E23">
        <v>2552</v>
      </c>
      <c r="F23">
        <v>96</v>
      </c>
      <c r="G23">
        <v>4868</v>
      </c>
      <c r="H23">
        <v>3224.6</v>
      </c>
      <c r="I23">
        <v>28355.6</v>
      </c>
    </row>
    <row r="24" spans="1:108">
      <c r="A24">
        <v>28980.9</v>
      </c>
      <c r="B24">
        <v>283</v>
      </c>
      <c r="C24">
        <v>6349.78</v>
      </c>
      <c r="D24">
        <v>42.8</v>
      </c>
      <c r="E24">
        <v>2494</v>
      </c>
      <c r="F24">
        <v>247</v>
      </c>
      <c r="G24">
        <v>5194</v>
      </c>
      <c r="H24">
        <v>3217.2</v>
      </c>
      <c r="I24">
        <v>28980.9</v>
      </c>
    </row>
    <row r="25" spans="1:108">
      <c r="A25">
        <v>29371.7</v>
      </c>
      <c r="B25">
        <v>282</v>
      </c>
      <c r="C25">
        <v>6348.17</v>
      </c>
      <c r="D25">
        <v>41.94</v>
      </c>
      <c r="E25">
        <v>2389</v>
      </c>
      <c r="F25">
        <v>454</v>
      </c>
      <c r="G25">
        <v>5675</v>
      </c>
      <c r="H25">
        <v>3201.7</v>
      </c>
      <c r="I25">
        <v>29371.7</v>
      </c>
    </row>
    <row r="26" spans="1:108">
      <c r="A26">
        <v>30047.7</v>
      </c>
      <c r="B26">
        <v>283</v>
      </c>
      <c r="C26">
        <v>6344.15</v>
      </c>
      <c r="D26">
        <v>42.87</v>
      </c>
      <c r="E26">
        <v>2344</v>
      </c>
      <c r="F26">
        <v>773</v>
      </c>
      <c r="G26">
        <v>5324</v>
      </c>
      <c r="H26">
        <v>3206.7</v>
      </c>
      <c r="I26">
        <v>30047.7</v>
      </c>
    </row>
    <row r="27" spans="1:108">
      <c r="A27">
        <v>30733.7</v>
      </c>
      <c r="B27">
        <v>283</v>
      </c>
      <c r="C27">
        <v>6353.39</v>
      </c>
      <c r="D27">
        <v>42.61</v>
      </c>
      <c r="E27">
        <v>2210</v>
      </c>
      <c r="F27">
        <v>1163</v>
      </c>
      <c r="G27">
        <v>5887</v>
      </c>
      <c r="H27">
        <v>3195.3</v>
      </c>
      <c r="I27">
        <v>30733.7</v>
      </c>
    </row>
    <row r="28" spans="1:108">
      <c r="A28">
        <v>31035.6</v>
      </c>
      <c r="B28">
        <v>313</v>
      </c>
      <c r="C28">
        <v>6357.41</v>
      </c>
      <c r="D28">
        <v>42.77</v>
      </c>
      <c r="E28">
        <v>2046</v>
      </c>
      <c r="F28">
        <v>1541</v>
      </c>
      <c r="G28">
        <v>5744</v>
      </c>
      <c r="H28">
        <v>3158.3</v>
      </c>
      <c r="I28">
        <v>31035.6</v>
      </c>
      <c r="L28">
        <v>4</v>
      </c>
    </row>
    <row r="29" spans="1:108">
      <c r="A29">
        <v>31482.4</v>
      </c>
      <c r="B29">
        <v>347</v>
      </c>
      <c r="C29">
        <v>6344.16</v>
      </c>
      <c r="D29">
        <v>42.57</v>
      </c>
      <c r="E29">
        <v>1914</v>
      </c>
      <c r="F29">
        <v>1923</v>
      </c>
      <c r="G29">
        <v>6174</v>
      </c>
      <c r="H29">
        <v>3135.6</v>
      </c>
      <c r="I29">
        <v>31482.4</v>
      </c>
      <c r="M29">
        <v>4</v>
      </c>
      <c r="N29">
        <v>4</v>
      </c>
      <c r="O29">
        <v>4</v>
      </c>
      <c r="P29">
        <v>4</v>
      </c>
      <c r="Q29">
        <v>4</v>
      </c>
      <c r="R29">
        <v>4</v>
      </c>
      <c r="S29">
        <v>4</v>
      </c>
      <c r="T29">
        <v>4</v>
      </c>
      <c r="U29">
        <v>4</v>
      </c>
      <c r="V29">
        <v>4</v>
      </c>
      <c r="W29">
        <v>4</v>
      </c>
      <c r="X29">
        <v>4</v>
      </c>
      <c r="Y29">
        <v>4</v>
      </c>
      <c r="Z29">
        <v>4</v>
      </c>
      <c r="AA29">
        <v>4</v>
      </c>
      <c r="AB29">
        <v>4</v>
      </c>
      <c r="AC29">
        <v>4</v>
      </c>
      <c r="AD29">
        <v>4</v>
      </c>
      <c r="AE29">
        <v>4</v>
      </c>
      <c r="AF29">
        <v>4</v>
      </c>
      <c r="AG29">
        <v>4</v>
      </c>
      <c r="AH29">
        <v>4</v>
      </c>
      <c r="AI29">
        <v>4</v>
      </c>
      <c r="AJ29">
        <v>4</v>
      </c>
      <c r="AK29">
        <v>4</v>
      </c>
      <c r="AL29">
        <v>4</v>
      </c>
      <c r="AM29">
        <v>4</v>
      </c>
      <c r="AN29">
        <v>4</v>
      </c>
      <c r="AO29">
        <v>4</v>
      </c>
      <c r="AP29">
        <v>4</v>
      </c>
      <c r="AQ29">
        <v>4</v>
      </c>
      <c r="AR29">
        <v>4</v>
      </c>
      <c r="AS29">
        <v>4</v>
      </c>
      <c r="AT29">
        <v>4</v>
      </c>
      <c r="AU29">
        <v>4</v>
      </c>
      <c r="AV29">
        <v>4</v>
      </c>
      <c r="AW29">
        <v>4</v>
      </c>
      <c r="AX29">
        <v>4</v>
      </c>
      <c r="AY29">
        <v>4</v>
      </c>
      <c r="AZ29">
        <v>4</v>
      </c>
      <c r="BA29">
        <v>4</v>
      </c>
      <c r="BB29">
        <v>4</v>
      </c>
      <c r="BC29">
        <v>4</v>
      </c>
      <c r="BD29">
        <v>4</v>
      </c>
      <c r="BE29">
        <v>4</v>
      </c>
      <c r="BF29">
        <v>4</v>
      </c>
      <c r="BG29">
        <v>4</v>
      </c>
      <c r="BH29">
        <v>4</v>
      </c>
      <c r="BI29">
        <v>4</v>
      </c>
      <c r="BJ29">
        <v>4</v>
      </c>
      <c r="BK29">
        <v>4</v>
      </c>
      <c r="BL29">
        <v>4</v>
      </c>
      <c r="BM29">
        <v>4</v>
      </c>
      <c r="BN29">
        <v>4</v>
      </c>
      <c r="BO29">
        <v>4</v>
      </c>
      <c r="BP29">
        <v>4</v>
      </c>
      <c r="BQ29">
        <v>4</v>
      </c>
      <c r="BR29">
        <v>4</v>
      </c>
      <c r="BS29">
        <v>4</v>
      </c>
      <c r="BT29">
        <v>4</v>
      </c>
      <c r="BU29">
        <v>4</v>
      </c>
      <c r="BV29">
        <v>4</v>
      </c>
      <c r="BW29">
        <v>4</v>
      </c>
      <c r="BX29">
        <v>4</v>
      </c>
      <c r="BY29">
        <v>4</v>
      </c>
      <c r="BZ29">
        <v>4</v>
      </c>
      <c r="CA29">
        <v>4</v>
      </c>
      <c r="CB29">
        <v>4</v>
      </c>
      <c r="CC29">
        <v>4</v>
      </c>
      <c r="CD29">
        <v>4</v>
      </c>
      <c r="CE29">
        <v>4</v>
      </c>
      <c r="CF29">
        <v>4</v>
      </c>
      <c r="CG29">
        <v>4</v>
      </c>
      <c r="CH29">
        <v>4</v>
      </c>
      <c r="CI29">
        <v>4</v>
      </c>
      <c r="CJ29">
        <v>4</v>
      </c>
      <c r="CK29">
        <v>4</v>
      </c>
      <c r="CL29">
        <v>4</v>
      </c>
      <c r="CM29">
        <v>4</v>
      </c>
      <c r="CN29">
        <v>4</v>
      </c>
      <c r="CO29">
        <v>4</v>
      </c>
      <c r="CP29">
        <v>4</v>
      </c>
      <c r="CQ29">
        <v>4</v>
      </c>
      <c r="CR29">
        <v>4</v>
      </c>
      <c r="CS29">
        <v>4</v>
      </c>
      <c r="CT29">
        <v>4</v>
      </c>
      <c r="CU29">
        <v>4</v>
      </c>
      <c r="CV29">
        <v>4</v>
      </c>
      <c r="CW29">
        <v>4</v>
      </c>
      <c r="CX29">
        <v>4</v>
      </c>
      <c r="CY29">
        <v>4</v>
      </c>
      <c r="CZ29">
        <v>4</v>
      </c>
      <c r="DA29">
        <v>4</v>
      </c>
      <c r="DB29">
        <v>4</v>
      </c>
      <c r="DC29">
        <v>4</v>
      </c>
      <c r="DD29">
        <v>4</v>
      </c>
    </row>
    <row r="30" spans="1:108">
      <c r="A30">
        <v>32126.2</v>
      </c>
      <c r="B30">
        <v>347</v>
      </c>
      <c r="C30">
        <v>6348.18</v>
      </c>
      <c r="D30">
        <v>41.86</v>
      </c>
      <c r="E30">
        <v>1804</v>
      </c>
      <c r="F30">
        <v>2311</v>
      </c>
      <c r="G30">
        <v>7177</v>
      </c>
      <c r="H30">
        <v>3161.9</v>
      </c>
      <c r="I30">
        <v>32126.2</v>
      </c>
    </row>
    <row r="31" spans="1:108">
      <c r="A31">
        <v>32495.8</v>
      </c>
      <c r="B31">
        <v>348</v>
      </c>
      <c r="C31">
        <v>6366.64</v>
      </c>
      <c r="D31">
        <v>42.33</v>
      </c>
      <c r="E31">
        <v>1715</v>
      </c>
      <c r="F31">
        <v>2653</v>
      </c>
      <c r="G31">
        <v>7466</v>
      </c>
      <c r="H31">
        <v>3175.6</v>
      </c>
      <c r="I31">
        <v>32495.8</v>
      </c>
    </row>
    <row r="32" spans="1:108">
      <c r="A32">
        <v>33180.6</v>
      </c>
      <c r="B32">
        <v>348</v>
      </c>
      <c r="C32">
        <v>6350.19</v>
      </c>
      <c r="D32">
        <v>42.01</v>
      </c>
      <c r="E32">
        <v>1632</v>
      </c>
      <c r="F32">
        <v>3186</v>
      </c>
      <c r="G32">
        <v>7914</v>
      </c>
      <c r="H32">
        <v>3193.3</v>
      </c>
      <c r="I32">
        <v>33180.6</v>
      </c>
    </row>
    <row r="33" spans="1:9">
      <c r="A33">
        <v>33923.5</v>
      </c>
      <c r="B33">
        <v>348</v>
      </c>
      <c r="C33">
        <v>6356.21</v>
      </c>
      <c r="D33">
        <v>42.29</v>
      </c>
      <c r="E33">
        <v>1584</v>
      </c>
      <c r="F33">
        <v>3639</v>
      </c>
      <c r="G33">
        <v>7745</v>
      </c>
      <c r="H33">
        <v>3227</v>
      </c>
      <c r="I33">
        <v>33923.5</v>
      </c>
    </row>
    <row r="34" spans="1:9">
      <c r="A34">
        <v>34665.5</v>
      </c>
      <c r="B34">
        <v>348</v>
      </c>
      <c r="C34">
        <v>6350.59</v>
      </c>
      <c r="D34">
        <v>41.15</v>
      </c>
      <c r="E34">
        <v>1523</v>
      </c>
      <c r="F34">
        <v>3943</v>
      </c>
      <c r="G34">
        <v>7716</v>
      </c>
      <c r="H34">
        <v>3207.1</v>
      </c>
      <c r="I34">
        <v>34665.5</v>
      </c>
    </row>
    <row r="35" spans="1:9">
      <c r="A35">
        <v>35432.9</v>
      </c>
      <c r="B35">
        <v>348</v>
      </c>
      <c r="C35">
        <v>6351.39</v>
      </c>
      <c r="D35">
        <v>42.76</v>
      </c>
      <c r="E35">
        <v>1551</v>
      </c>
      <c r="F35">
        <v>4324</v>
      </c>
      <c r="G35">
        <v>8233</v>
      </c>
      <c r="H35">
        <v>3243.6</v>
      </c>
      <c r="I35">
        <v>35432.9</v>
      </c>
    </row>
    <row r="36" spans="1:9">
      <c r="A36">
        <v>35781.6</v>
      </c>
      <c r="B36">
        <v>348</v>
      </c>
      <c r="C36">
        <v>6348.98</v>
      </c>
      <c r="D36">
        <v>42.13</v>
      </c>
      <c r="E36">
        <v>1615</v>
      </c>
      <c r="F36">
        <v>4638</v>
      </c>
      <c r="G36">
        <v>8298</v>
      </c>
      <c r="H36">
        <v>3229.5</v>
      </c>
      <c r="I36">
        <v>35781.6</v>
      </c>
    </row>
    <row r="37" spans="1:9">
      <c r="A37">
        <v>36472.9</v>
      </c>
      <c r="B37">
        <v>348</v>
      </c>
      <c r="C37">
        <v>6361.84</v>
      </c>
      <c r="D37">
        <v>43.2</v>
      </c>
      <c r="E37">
        <v>1756</v>
      </c>
      <c r="F37">
        <v>5129</v>
      </c>
      <c r="G37">
        <v>8318</v>
      </c>
      <c r="H37">
        <v>3217.1</v>
      </c>
      <c r="I37">
        <v>36472.9</v>
      </c>
    </row>
    <row r="38" spans="1:9">
      <c r="A38">
        <v>36804.7</v>
      </c>
      <c r="B38">
        <v>349</v>
      </c>
      <c r="C38">
        <v>6344.96</v>
      </c>
      <c r="D38">
        <v>44.65</v>
      </c>
      <c r="E38">
        <v>2094</v>
      </c>
      <c r="F38">
        <v>5340</v>
      </c>
      <c r="G38">
        <v>8405</v>
      </c>
      <c r="H38">
        <v>3235.1</v>
      </c>
      <c r="I38">
        <v>36804.7</v>
      </c>
    </row>
    <row r="39" spans="1:9">
      <c r="A39">
        <v>37191</v>
      </c>
      <c r="B39">
        <v>349</v>
      </c>
      <c r="C39">
        <v>6355.41</v>
      </c>
      <c r="D39">
        <v>43.96</v>
      </c>
      <c r="E39">
        <v>2406</v>
      </c>
      <c r="F39">
        <v>5842</v>
      </c>
      <c r="G39">
        <v>8409</v>
      </c>
      <c r="H39">
        <v>3226.2</v>
      </c>
      <c r="I39">
        <v>37191</v>
      </c>
    </row>
    <row r="40" spans="1:9">
      <c r="A40">
        <v>37601.8</v>
      </c>
      <c r="B40">
        <v>349</v>
      </c>
      <c r="C40">
        <v>6350.59</v>
      </c>
      <c r="D40">
        <v>42.94</v>
      </c>
      <c r="E40">
        <v>2689</v>
      </c>
      <c r="F40">
        <v>6253</v>
      </c>
      <c r="G40">
        <v>8507</v>
      </c>
      <c r="H40">
        <v>3211.2</v>
      </c>
      <c r="I40">
        <v>37601.8</v>
      </c>
    </row>
    <row r="41" spans="1:9">
      <c r="A41">
        <v>37888</v>
      </c>
      <c r="B41">
        <v>349</v>
      </c>
      <c r="C41">
        <v>6356.21</v>
      </c>
      <c r="D41">
        <v>42.73</v>
      </c>
      <c r="E41">
        <v>3068</v>
      </c>
      <c r="F41">
        <v>6293</v>
      </c>
      <c r="G41">
        <v>8073</v>
      </c>
      <c r="H41">
        <v>3204.2</v>
      </c>
      <c r="I41">
        <v>37888</v>
      </c>
    </row>
    <row r="42" spans="1:9">
      <c r="A42">
        <v>38546.2</v>
      </c>
      <c r="B42">
        <v>349</v>
      </c>
      <c r="C42">
        <v>6345.75</v>
      </c>
      <c r="D42">
        <v>43.67</v>
      </c>
      <c r="E42">
        <v>3174</v>
      </c>
      <c r="F42">
        <v>6849</v>
      </c>
      <c r="G42">
        <v>8388</v>
      </c>
      <c r="H42">
        <v>3224.4</v>
      </c>
      <c r="I42">
        <v>38546.2</v>
      </c>
    </row>
    <row r="43" spans="1:9">
      <c r="A43">
        <v>38545</v>
      </c>
      <c r="B43">
        <v>349</v>
      </c>
      <c r="C43">
        <v>6340.94</v>
      </c>
      <c r="D43">
        <v>43.12</v>
      </c>
      <c r="E43">
        <v>3311</v>
      </c>
      <c r="F43">
        <v>6870</v>
      </c>
      <c r="G43">
        <v>8122</v>
      </c>
      <c r="H43">
        <v>3216.2</v>
      </c>
      <c r="I43">
        <v>38545</v>
      </c>
    </row>
    <row r="44" spans="1:9">
      <c r="A44">
        <v>38705.2</v>
      </c>
      <c r="B44">
        <v>322</v>
      </c>
      <c r="C44">
        <v>6344.56</v>
      </c>
      <c r="D44">
        <v>42.46</v>
      </c>
      <c r="E44">
        <v>3447</v>
      </c>
      <c r="F44">
        <v>6677</v>
      </c>
      <c r="G44">
        <v>7975</v>
      </c>
      <c r="H44">
        <v>3224.9</v>
      </c>
      <c r="I44">
        <v>38705.2</v>
      </c>
    </row>
    <row r="45" spans="1:9">
      <c r="A45">
        <v>38717</v>
      </c>
      <c r="B45">
        <v>322</v>
      </c>
      <c r="C45">
        <v>6324.86</v>
      </c>
      <c r="D45">
        <v>43.2</v>
      </c>
      <c r="E45">
        <v>3493</v>
      </c>
      <c r="F45">
        <v>6643</v>
      </c>
      <c r="G45">
        <v>7662</v>
      </c>
      <c r="H45">
        <v>3200.1</v>
      </c>
      <c r="I45">
        <v>38717</v>
      </c>
    </row>
    <row r="46" spans="1:9">
      <c r="A46">
        <v>39175.1</v>
      </c>
      <c r="B46">
        <v>318</v>
      </c>
      <c r="C46">
        <v>6326.48</v>
      </c>
      <c r="D46">
        <v>41.64</v>
      </c>
      <c r="E46">
        <v>3664</v>
      </c>
      <c r="F46">
        <v>6612</v>
      </c>
      <c r="G46">
        <v>8058</v>
      </c>
      <c r="H46">
        <v>3189.1</v>
      </c>
      <c r="I46">
        <v>39175.1</v>
      </c>
    </row>
    <row r="47" spans="1:9">
      <c r="A47">
        <v>38370.3</v>
      </c>
      <c r="B47">
        <v>318</v>
      </c>
      <c r="C47">
        <v>6330.89</v>
      </c>
      <c r="D47">
        <v>41.45</v>
      </c>
      <c r="E47">
        <v>3858</v>
      </c>
      <c r="F47">
        <v>6540</v>
      </c>
      <c r="G47">
        <v>7844</v>
      </c>
      <c r="H47">
        <v>3168.3</v>
      </c>
      <c r="I47">
        <v>38370.3</v>
      </c>
    </row>
    <row r="48" spans="1:9">
      <c r="A48">
        <v>38697.1</v>
      </c>
      <c r="B48">
        <v>318</v>
      </c>
      <c r="C48">
        <v>6329.68</v>
      </c>
      <c r="D48">
        <v>40.21</v>
      </c>
      <c r="E48">
        <v>4064</v>
      </c>
      <c r="F48">
        <v>6384</v>
      </c>
      <c r="G48">
        <v>7879</v>
      </c>
      <c r="H48">
        <v>3151.6</v>
      </c>
      <c r="I48">
        <v>38697.1</v>
      </c>
    </row>
    <row r="49" spans="1:9">
      <c r="A49">
        <v>38499.4</v>
      </c>
      <c r="B49">
        <v>319</v>
      </c>
      <c r="C49">
        <v>6338.53</v>
      </c>
      <c r="D49">
        <v>40.02</v>
      </c>
      <c r="E49">
        <v>4050</v>
      </c>
      <c r="F49">
        <v>5540</v>
      </c>
      <c r="G49">
        <v>7788</v>
      </c>
      <c r="H49">
        <v>3133</v>
      </c>
      <c r="I49">
        <v>38499.4</v>
      </c>
    </row>
    <row r="50" spans="1:9">
      <c r="A50">
        <v>38536.3</v>
      </c>
      <c r="B50">
        <v>319</v>
      </c>
      <c r="C50">
        <v>6341.75</v>
      </c>
      <c r="D50">
        <v>42.39</v>
      </c>
      <c r="E50">
        <v>4176</v>
      </c>
      <c r="F50">
        <v>4981</v>
      </c>
      <c r="G50">
        <v>8058</v>
      </c>
      <c r="H50">
        <v>3125.5</v>
      </c>
      <c r="I50">
        <v>38536.3</v>
      </c>
    </row>
    <row r="51" spans="1:9">
      <c r="A51">
        <v>38746.6</v>
      </c>
      <c r="B51">
        <v>319</v>
      </c>
      <c r="C51">
        <v>6344.95</v>
      </c>
      <c r="D51">
        <v>40.03</v>
      </c>
      <c r="E51">
        <v>4248</v>
      </c>
      <c r="F51">
        <v>4905</v>
      </c>
      <c r="G51">
        <v>8234</v>
      </c>
      <c r="H51">
        <v>3145.7</v>
      </c>
      <c r="I51">
        <v>38746.6</v>
      </c>
    </row>
    <row r="52" spans="1:9">
      <c r="A52">
        <v>38727.4</v>
      </c>
      <c r="B52">
        <v>319</v>
      </c>
      <c r="C52">
        <v>6345.36</v>
      </c>
      <c r="D52">
        <v>40.56</v>
      </c>
      <c r="E52">
        <v>4020</v>
      </c>
      <c r="F52">
        <v>4692</v>
      </c>
      <c r="G52">
        <v>7889</v>
      </c>
      <c r="H52">
        <v>3155.7</v>
      </c>
      <c r="I52">
        <v>38727.4</v>
      </c>
    </row>
    <row r="53" spans="1:9">
      <c r="A53">
        <v>38589.8</v>
      </c>
      <c r="B53">
        <v>318</v>
      </c>
      <c r="C53">
        <v>6348.98</v>
      </c>
      <c r="D53">
        <v>41.66</v>
      </c>
      <c r="E53">
        <v>3911</v>
      </c>
      <c r="F53">
        <v>4573</v>
      </c>
      <c r="G53">
        <v>7809</v>
      </c>
      <c r="H53">
        <v>3189</v>
      </c>
      <c r="I53">
        <v>38589.8</v>
      </c>
    </row>
    <row r="54" spans="1:9">
      <c r="A54">
        <v>39227.1</v>
      </c>
      <c r="B54">
        <v>319</v>
      </c>
      <c r="C54">
        <v>6350.18</v>
      </c>
      <c r="D54">
        <v>41.76</v>
      </c>
      <c r="E54">
        <v>3599</v>
      </c>
      <c r="F54">
        <v>4386</v>
      </c>
      <c r="G54">
        <v>8129</v>
      </c>
      <c r="H54">
        <v>3179.3</v>
      </c>
      <c r="I54">
        <v>39227.1</v>
      </c>
    </row>
    <row r="55" spans="1:9">
      <c r="A55">
        <v>39137.2</v>
      </c>
      <c r="B55">
        <v>318</v>
      </c>
      <c r="C55">
        <v>6342.94</v>
      </c>
      <c r="D55">
        <v>41.03</v>
      </c>
      <c r="E55">
        <v>3185</v>
      </c>
      <c r="F55">
        <v>4187</v>
      </c>
      <c r="G55">
        <v>8327</v>
      </c>
      <c r="H55">
        <v>3184.6</v>
      </c>
      <c r="I55">
        <v>39137.2</v>
      </c>
    </row>
    <row r="56" spans="1:9">
      <c r="A56">
        <v>39158.7</v>
      </c>
      <c r="B56">
        <v>318</v>
      </c>
      <c r="C56">
        <v>6350.17</v>
      </c>
      <c r="D56">
        <v>39.61</v>
      </c>
      <c r="E56">
        <v>3004</v>
      </c>
      <c r="F56">
        <v>3718</v>
      </c>
      <c r="G56">
        <v>8645</v>
      </c>
      <c r="H56">
        <v>3197.5</v>
      </c>
      <c r="I56">
        <v>39158.7</v>
      </c>
    </row>
    <row r="57" spans="1:9">
      <c r="A57">
        <v>39207.5</v>
      </c>
      <c r="B57">
        <v>319</v>
      </c>
      <c r="C57">
        <v>6352.19</v>
      </c>
      <c r="D57">
        <v>40.43</v>
      </c>
      <c r="E57">
        <v>2878</v>
      </c>
      <c r="F57">
        <v>3763</v>
      </c>
      <c r="G57">
        <v>8792</v>
      </c>
      <c r="H57">
        <v>3218.5</v>
      </c>
      <c r="I57">
        <v>39207.5</v>
      </c>
    </row>
    <row r="58" spans="1:9">
      <c r="A58">
        <v>39239.8</v>
      </c>
      <c r="B58">
        <v>318</v>
      </c>
      <c r="C58">
        <v>6352.59</v>
      </c>
      <c r="D58">
        <v>39.77</v>
      </c>
      <c r="E58">
        <v>2709</v>
      </c>
      <c r="F58">
        <v>3653</v>
      </c>
      <c r="G58">
        <v>8871</v>
      </c>
      <c r="H58">
        <v>3217.8</v>
      </c>
      <c r="I58">
        <v>39239.8</v>
      </c>
    </row>
    <row r="59" spans="1:9">
      <c r="A59">
        <v>38918</v>
      </c>
      <c r="B59">
        <v>313</v>
      </c>
      <c r="C59">
        <v>6343.35</v>
      </c>
      <c r="D59">
        <v>40.02</v>
      </c>
      <c r="E59">
        <v>2357</v>
      </c>
      <c r="F59">
        <v>3235</v>
      </c>
      <c r="G59">
        <v>9122</v>
      </c>
      <c r="H59">
        <v>3217.6</v>
      </c>
      <c r="I59">
        <v>38918</v>
      </c>
    </row>
    <row r="60" spans="1:9">
      <c r="A60">
        <v>38967.5</v>
      </c>
      <c r="B60">
        <v>314</v>
      </c>
      <c r="C60">
        <v>6352.6</v>
      </c>
      <c r="D60">
        <v>41.84</v>
      </c>
      <c r="E60">
        <v>2305</v>
      </c>
      <c r="F60">
        <v>3281</v>
      </c>
      <c r="G60">
        <v>9004</v>
      </c>
      <c r="H60">
        <v>3209.8</v>
      </c>
      <c r="I60">
        <v>38967.5</v>
      </c>
    </row>
    <row r="61" spans="1:9">
      <c r="A61">
        <v>38699.3</v>
      </c>
      <c r="B61">
        <v>313</v>
      </c>
      <c r="C61">
        <v>6350.58</v>
      </c>
      <c r="D61">
        <v>42.82</v>
      </c>
      <c r="E61">
        <v>2478</v>
      </c>
      <c r="F61">
        <v>2940</v>
      </c>
      <c r="G61">
        <v>8672</v>
      </c>
      <c r="H61">
        <v>3239.9</v>
      </c>
      <c r="I61">
        <v>38699.3</v>
      </c>
    </row>
    <row r="62" spans="1:9">
      <c r="A62">
        <v>38402.9</v>
      </c>
      <c r="B62">
        <v>354</v>
      </c>
      <c r="C62">
        <v>6349.37</v>
      </c>
      <c r="D62">
        <v>42.29</v>
      </c>
      <c r="E62">
        <v>2480</v>
      </c>
      <c r="F62">
        <v>2888</v>
      </c>
      <c r="G62">
        <v>9253</v>
      </c>
      <c r="H62">
        <v>3225</v>
      </c>
      <c r="I62">
        <v>38402.9</v>
      </c>
    </row>
    <row r="63" spans="1:9">
      <c r="A63">
        <v>38499.9</v>
      </c>
      <c r="B63">
        <v>354</v>
      </c>
      <c r="C63">
        <v>6347.77</v>
      </c>
      <c r="D63">
        <v>41.71</v>
      </c>
      <c r="E63">
        <v>2279</v>
      </c>
      <c r="F63">
        <v>2652</v>
      </c>
      <c r="G63">
        <v>9742</v>
      </c>
      <c r="H63">
        <v>3253.9</v>
      </c>
      <c r="I63">
        <v>38499.9</v>
      </c>
    </row>
    <row r="64" spans="1:9">
      <c r="A64">
        <v>38630.9</v>
      </c>
      <c r="B64">
        <v>354</v>
      </c>
      <c r="C64">
        <v>6343.35</v>
      </c>
      <c r="D64">
        <v>43.02</v>
      </c>
      <c r="E64">
        <v>2014</v>
      </c>
      <c r="F64">
        <v>2449</v>
      </c>
      <c r="G64">
        <v>9983</v>
      </c>
      <c r="H64">
        <v>3247.6</v>
      </c>
      <c r="I64">
        <v>38630.9</v>
      </c>
    </row>
    <row r="65" spans="1:9">
      <c r="A65">
        <v>38398.4</v>
      </c>
      <c r="B65">
        <v>353</v>
      </c>
      <c r="C65">
        <v>6358.21</v>
      </c>
      <c r="D65">
        <v>42.89</v>
      </c>
      <c r="E65">
        <v>1874</v>
      </c>
      <c r="F65">
        <v>2302</v>
      </c>
      <c r="G65">
        <v>10319</v>
      </c>
      <c r="H65">
        <v>3257.9</v>
      </c>
      <c r="I65">
        <v>38398.4</v>
      </c>
    </row>
    <row r="66" spans="1:9">
      <c r="A66">
        <v>38563.1</v>
      </c>
      <c r="B66">
        <v>355</v>
      </c>
      <c r="C66">
        <v>6354.2</v>
      </c>
      <c r="D66">
        <v>41.88</v>
      </c>
      <c r="E66">
        <v>1768</v>
      </c>
      <c r="F66">
        <v>1860</v>
      </c>
      <c r="G66">
        <v>10504</v>
      </c>
      <c r="H66">
        <v>3263.6</v>
      </c>
      <c r="I66">
        <v>38563.1</v>
      </c>
    </row>
    <row r="67" spans="1:9">
      <c r="A67">
        <v>38418.1</v>
      </c>
      <c r="B67">
        <v>354</v>
      </c>
      <c r="C67">
        <v>6353.39</v>
      </c>
      <c r="D67">
        <v>42.24</v>
      </c>
      <c r="E67">
        <v>1792</v>
      </c>
      <c r="F67">
        <v>1596</v>
      </c>
      <c r="G67">
        <v>10797</v>
      </c>
      <c r="H67">
        <v>3273.6</v>
      </c>
      <c r="I67">
        <v>38418.1</v>
      </c>
    </row>
    <row r="68" spans="1:9">
      <c r="A68">
        <v>38078.2</v>
      </c>
      <c r="B68">
        <v>354</v>
      </c>
      <c r="C68">
        <v>6350.17</v>
      </c>
      <c r="D68">
        <v>41.32</v>
      </c>
      <c r="E68">
        <v>1855</v>
      </c>
      <c r="F68">
        <v>1345</v>
      </c>
      <c r="G68">
        <v>10626</v>
      </c>
      <c r="H68">
        <v>3247.1</v>
      </c>
      <c r="I68">
        <v>38078.2</v>
      </c>
    </row>
    <row r="69" spans="1:9">
      <c r="A69">
        <v>37456.8</v>
      </c>
      <c r="B69">
        <v>355</v>
      </c>
      <c r="C69">
        <v>6346.56</v>
      </c>
      <c r="D69">
        <v>41.19</v>
      </c>
      <c r="E69">
        <v>1954</v>
      </c>
      <c r="F69">
        <v>1083</v>
      </c>
      <c r="G69">
        <v>10141</v>
      </c>
      <c r="H69">
        <v>3260.7</v>
      </c>
      <c r="I69">
        <v>37456.8</v>
      </c>
    </row>
    <row r="70" spans="1:9">
      <c r="A70">
        <v>37176.2</v>
      </c>
      <c r="B70">
        <v>377</v>
      </c>
      <c r="C70">
        <v>6351.78</v>
      </c>
      <c r="D70">
        <v>40.95</v>
      </c>
      <c r="E70">
        <v>2081</v>
      </c>
      <c r="F70">
        <v>799</v>
      </c>
      <c r="G70">
        <v>10290</v>
      </c>
      <c r="H70">
        <v>3260.3</v>
      </c>
      <c r="I70">
        <v>37176.2</v>
      </c>
    </row>
    <row r="71" spans="1:9">
      <c r="A71">
        <v>37319.8</v>
      </c>
      <c r="B71">
        <v>377</v>
      </c>
      <c r="C71">
        <v>6352.58</v>
      </c>
      <c r="D71">
        <v>40.07</v>
      </c>
      <c r="E71">
        <v>2115</v>
      </c>
      <c r="F71">
        <v>606</v>
      </c>
      <c r="G71">
        <v>10008</v>
      </c>
      <c r="H71">
        <v>3264.6</v>
      </c>
      <c r="I71">
        <v>37319.8</v>
      </c>
    </row>
    <row r="72" spans="1:9">
      <c r="A72">
        <v>37202.6</v>
      </c>
      <c r="B72">
        <v>377</v>
      </c>
      <c r="C72">
        <v>6347.36</v>
      </c>
      <c r="D72">
        <v>41.33</v>
      </c>
      <c r="E72">
        <v>2161</v>
      </c>
      <c r="F72">
        <v>402</v>
      </c>
      <c r="G72">
        <v>10018</v>
      </c>
      <c r="H72">
        <v>3236.7</v>
      </c>
      <c r="I72">
        <v>37202.6</v>
      </c>
    </row>
    <row r="73" spans="1:9">
      <c r="A73">
        <v>37217.7</v>
      </c>
      <c r="B73">
        <v>378</v>
      </c>
      <c r="C73">
        <v>6353.4</v>
      </c>
      <c r="D73">
        <v>43.59</v>
      </c>
      <c r="E73">
        <v>2141</v>
      </c>
      <c r="F73">
        <v>227</v>
      </c>
      <c r="G73">
        <v>9801</v>
      </c>
      <c r="H73">
        <v>3263.7</v>
      </c>
      <c r="I73">
        <v>37217.7</v>
      </c>
    </row>
    <row r="74" spans="1:9">
      <c r="A74">
        <v>37267.5</v>
      </c>
      <c r="B74">
        <v>378</v>
      </c>
      <c r="C74">
        <v>6351.79</v>
      </c>
      <c r="D74">
        <v>40.49</v>
      </c>
      <c r="E74">
        <v>2249</v>
      </c>
      <c r="F74">
        <v>111</v>
      </c>
      <c r="G74">
        <v>9672</v>
      </c>
      <c r="H74">
        <v>3251.1</v>
      </c>
      <c r="I74">
        <v>37267.5</v>
      </c>
    </row>
    <row r="75" spans="1:9">
      <c r="A75">
        <v>37298.5</v>
      </c>
      <c r="B75">
        <v>378</v>
      </c>
      <c r="C75">
        <v>6349.77</v>
      </c>
      <c r="D75">
        <v>41.09</v>
      </c>
      <c r="E75">
        <v>2257</v>
      </c>
      <c r="F75">
        <v>59</v>
      </c>
      <c r="G75">
        <v>9471</v>
      </c>
      <c r="H75">
        <v>3243.7</v>
      </c>
      <c r="I75">
        <v>37298.5</v>
      </c>
    </row>
    <row r="76" spans="1:9">
      <c r="A76">
        <v>37666.9</v>
      </c>
      <c r="B76">
        <v>374</v>
      </c>
      <c r="C76">
        <v>6341.34</v>
      </c>
      <c r="D76">
        <v>41.48</v>
      </c>
      <c r="E76">
        <v>2254</v>
      </c>
      <c r="F76">
        <v>54</v>
      </c>
      <c r="G76">
        <v>9046</v>
      </c>
      <c r="H76">
        <v>3249.4</v>
      </c>
      <c r="I76">
        <v>37666.9</v>
      </c>
    </row>
    <row r="77" spans="1:9">
      <c r="A77">
        <v>37641.5</v>
      </c>
      <c r="B77">
        <v>375</v>
      </c>
      <c r="C77">
        <v>6348.57</v>
      </c>
      <c r="D77">
        <v>42.52</v>
      </c>
      <c r="E77">
        <v>2279</v>
      </c>
      <c r="F77">
        <v>53</v>
      </c>
      <c r="G77">
        <v>8389</v>
      </c>
      <c r="H77">
        <v>3246.1</v>
      </c>
      <c r="I77">
        <v>37641.5</v>
      </c>
    </row>
    <row r="78" spans="1:9">
      <c r="A78">
        <v>38012</v>
      </c>
      <c r="B78">
        <v>375</v>
      </c>
      <c r="C78">
        <v>6352.59</v>
      </c>
      <c r="D78">
        <v>41.97</v>
      </c>
      <c r="E78">
        <v>2257</v>
      </c>
      <c r="F78">
        <v>52</v>
      </c>
      <c r="G78">
        <v>8153</v>
      </c>
      <c r="H78">
        <v>3247.1</v>
      </c>
      <c r="I78">
        <v>38012</v>
      </c>
    </row>
    <row r="79" spans="1:9">
      <c r="A79">
        <v>37831.5</v>
      </c>
      <c r="B79">
        <v>375</v>
      </c>
      <c r="C79">
        <v>6348.57</v>
      </c>
      <c r="D79">
        <v>41.58</v>
      </c>
      <c r="E79">
        <v>2311</v>
      </c>
      <c r="F79">
        <v>52</v>
      </c>
      <c r="G79">
        <v>7637</v>
      </c>
      <c r="H79">
        <v>3232.1</v>
      </c>
      <c r="I79">
        <v>37831.5</v>
      </c>
    </row>
    <row r="80" spans="1:9">
      <c r="A80">
        <v>37940.8</v>
      </c>
      <c r="B80">
        <v>376</v>
      </c>
      <c r="C80">
        <v>6355</v>
      </c>
      <c r="D80">
        <v>40.73</v>
      </c>
      <c r="E80">
        <v>2341</v>
      </c>
      <c r="F80">
        <v>52</v>
      </c>
      <c r="G80">
        <v>8040</v>
      </c>
      <c r="H80">
        <v>3250.3</v>
      </c>
      <c r="I80">
        <v>37940.8</v>
      </c>
    </row>
    <row r="81" spans="1:9">
      <c r="A81">
        <v>37860.4</v>
      </c>
      <c r="B81">
        <v>376</v>
      </c>
      <c r="C81">
        <v>6347.37</v>
      </c>
      <c r="D81">
        <v>40.22</v>
      </c>
      <c r="E81">
        <v>2329</v>
      </c>
      <c r="F81">
        <v>52</v>
      </c>
      <c r="G81">
        <v>7866</v>
      </c>
      <c r="H81">
        <v>3268.7</v>
      </c>
      <c r="I81">
        <v>37860.4</v>
      </c>
    </row>
    <row r="82" spans="1:9">
      <c r="A82">
        <v>37441.9</v>
      </c>
      <c r="B82">
        <v>375</v>
      </c>
      <c r="C82">
        <v>6346.16</v>
      </c>
      <c r="D82">
        <v>40.08</v>
      </c>
      <c r="E82">
        <v>2299</v>
      </c>
      <c r="F82">
        <v>0</v>
      </c>
      <c r="G82">
        <v>7737</v>
      </c>
      <c r="H82">
        <v>3268</v>
      </c>
      <c r="I82">
        <v>37441.9</v>
      </c>
    </row>
    <row r="83" spans="1:9">
      <c r="A83">
        <v>37070.7</v>
      </c>
      <c r="B83">
        <v>375</v>
      </c>
      <c r="C83">
        <v>6348.97</v>
      </c>
      <c r="D83">
        <v>39.39</v>
      </c>
      <c r="E83">
        <v>2168</v>
      </c>
      <c r="F83">
        <v>0</v>
      </c>
      <c r="G83">
        <v>7846</v>
      </c>
      <c r="H83">
        <v>3270.8</v>
      </c>
      <c r="I83">
        <v>37070.7</v>
      </c>
    </row>
    <row r="84" spans="1:9">
      <c r="A84">
        <v>36557</v>
      </c>
      <c r="B84">
        <v>375</v>
      </c>
      <c r="C84">
        <v>6346.97</v>
      </c>
      <c r="D84">
        <v>39.44</v>
      </c>
      <c r="E84">
        <v>2164</v>
      </c>
      <c r="F84">
        <v>0</v>
      </c>
      <c r="G84">
        <v>7637</v>
      </c>
      <c r="H84">
        <v>3257</v>
      </c>
      <c r="I84">
        <v>36557</v>
      </c>
    </row>
    <row r="85" spans="1:9">
      <c r="A85">
        <v>35928.5</v>
      </c>
      <c r="B85">
        <v>375</v>
      </c>
      <c r="C85">
        <v>6348.57</v>
      </c>
      <c r="D85">
        <v>40.46</v>
      </c>
      <c r="E85">
        <v>1997</v>
      </c>
      <c r="F85">
        <v>0</v>
      </c>
      <c r="G85">
        <v>7664</v>
      </c>
      <c r="H85">
        <v>3255.8</v>
      </c>
      <c r="I85">
        <v>35928.5</v>
      </c>
    </row>
    <row r="86" spans="1:9">
      <c r="A86">
        <v>35689.6</v>
      </c>
      <c r="B86">
        <v>313</v>
      </c>
      <c r="C86">
        <v>6346.17</v>
      </c>
      <c r="D86">
        <v>42.35</v>
      </c>
      <c r="E86">
        <v>1865</v>
      </c>
      <c r="F86">
        <v>0</v>
      </c>
      <c r="G86">
        <v>7355</v>
      </c>
      <c r="H86">
        <v>3259.6</v>
      </c>
      <c r="I86">
        <v>35689.6</v>
      </c>
    </row>
    <row r="87" spans="1:9">
      <c r="A87">
        <v>35147.8</v>
      </c>
      <c r="B87">
        <v>313</v>
      </c>
      <c r="C87">
        <v>6343.75</v>
      </c>
      <c r="D87">
        <v>41.81</v>
      </c>
      <c r="E87">
        <v>1752</v>
      </c>
      <c r="F87">
        <v>0</v>
      </c>
      <c r="G87">
        <v>7114</v>
      </c>
      <c r="H87">
        <v>3242.9</v>
      </c>
      <c r="I87">
        <v>35147.8</v>
      </c>
    </row>
    <row r="88" spans="1:9">
      <c r="A88">
        <v>34725.3</v>
      </c>
      <c r="B88">
        <v>313</v>
      </c>
      <c r="C88">
        <v>6344.55</v>
      </c>
      <c r="D88">
        <v>43.39</v>
      </c>
      <c r="E88">
        <v>1683</v>
      </c>
      <c r="F88">
        <v>0</v>
      </c>
      <c r="G88">
        <v>6447</v>
      </c>
      <c r="H88">
        <v>3247.6</v>
      </c>
      <c r="I88">
        <v>34725.3</v>
      </c>
    </row>
    <row r="89" spans="1:9">
      <c r="A89">
        <v>34089.4</v>
      </c>
      <c r="B89">
        <v>309</v>
      </c>
      <c r="C89">
        <v>6342.15</v>
      </c>
      <c r="D89">
        <v>42.39</v>
      </c>
      <c r="E89">
        <v>1671</v>
      </c>
      <c r="F89">
        <v>0</v>
      </c>
      <c r="G89">
        <v>6882</v>
      </c>
      <c r="H89">
        <v>3256.7</v>
      </c>
      <c r="I89">
        <v>34089.4</v>
      </c>
    </row>
    <row r="90" spans="1:9">
      <c r="A90">
        <v>34068.5</v>
      </c>
      <c r="B90">
        <v>309</v>
      </c>
      <c r="C90">
        <v>6348.58</v>
      </c>
      <c r="D90">
        <v>40.53</v>
      </c>
      <c r="E90">
        <v>1597</v>
      </c>
      <c r="F90">
        <v>0</v>
      </c>
      <c r="G90">
        <v>7783</v>
      </c>
      <c r="H90">
        <v>3238.7</v>
      </c>
      <c r="I90">
        <v>34068.5</v>
      </c>
    </row>
    <row r="91" spans="1:9">
      <c r="A91">
        <v>33531.3</v>
      </c>
      <c r="B91">
        <v>309</v>
      </c>
      <c r="C91">
        <v>6347.76</v>
      </c>
      <c r="D91">
        <v>40.04</v>
      </c>
      <c r="E91">
        <v>1506</v>
      </c>
      <c r="F91">
        <v>0</v>
      </c>
      <c r="G91">
        <v>7886</v>
      </c>
      <c r="H91">
        <v>3254.9</v>
      </c>
      <c r="I91">
        <v>33531.3</v>
      </c>
    </row>
    <row r="92" spans="1:9">
      <c r="A92">
        <v>33017.3</v>
      </c>
      <c r="B92">
        <v>309</v>
      </c>
      <c r="C92">
        <v>6349.37</v>
      </c>
      <c r="D92">
        <v>38.84</v>
      </c>
      <c r="E92">
        <v>1337</v>
      </c>
      <c r="F92">
        <v>0</v>
      </c>
      <c r="G92">
        <v>7637</v>
      </c>
      <c r="H92">
        <v>3247.9</v>
      </c>
      <c r="I92">
        <v>33017.3</v>
      </c>
    </row>
    <row r="93" spans="1:9">
      <c r="A93">
        <v>32265.1</v>
      </c>
      <c r="B93">
        <v>309</v>
      </c>
      <c r="C93">
        <v>6351.38</v>
      </c>
      <c r="D93">
        <v>38.82</v>
      </c>
      <c r="E93">
        <v>1195</v>
      </c>
      <c r="F93">
        <v>0</v>
      </c>
      <c r="G93">
        <v>7162</v>
      </c>
      <c r="H93">
        <v>3253.2</v>
      </c>
      <c r="I93">
        <v>32265.1</v>
      </c>
    </row>
    <row r="94" spans="1:9">
      <c r="A94">
        <v>31755.2</v>
      </c>
      <c r="B94">
        <v>309</v>
      </c>
      <c r="C94">
        <v>6337.73</v>
      </c>
      <c r="D94">
        <v>38.76</v>
      </c>
      <c r="E94">
        <v>1063</v>
      </c>
      <c r="F94">
        <v>0</v>
      </c>
      <c r="G94">
        <v>6944</v>
      </c>
      <c r="H94">
        <v>3241.6</v>
      </c>
      <c r="I94">
        <v>31755.2</v>
      </c>
    </row>
    <row r="95" spans="1:9">
      <c r="A95">
        <v>31261.1</v>
      </c>
      <c r="B95">
        <v>309</v>
      </c>
      <c r="C95">
        <v>6352.6</v>
      </c>
      <c r="D95">
        <v>38.94</v>
      </c>
      <c r="E95">
        <v>1009</v>
      </c>
      <c r="F95">
        <v>0</v>
      </c>
      <c r="G95">
        <v>6775</v>
      </c>
      <c r="H95">
        <v>3238.6</v>
      </c>
      <c r="I95">
        <v>31261.1</v>
      </c>
    </row>
    <row r="96" spans="1:9">
      <c r="A96">
        <v>30694.2</v>
      </c>
      <c r="B96">
        <v>310</v>
      </c>
      <c r="C96">
        <v>6345.36</v>
      </c>
      <c r="D96">
        <v>37.64</v>
      </c>
      <c r="E96">
        <v>1053</v>
      </c>
      <c r="F96">
        <v>0</v>
      </c>
      <c r="G96">
        <v>6649</v>
      </c>
      <c r="H96">
        <v>3224</v>
      </c>
      <c r="I96">
        <v>30694.2</v>
      </c>
    </row>
    <row r="97" spans="1:9">
      <c r="A97">
        <v>30257.5</v>
      </c>
      <c r="B97">
        <v>309</v>
      </c>
      <c r="C97">
        <v>6352.19</v>
      </c>
      <c r="D97">
        <v>38.98</v>
      </c>
      <c r="E97">
        <v>1092</v>
      </c>
      <c r="F97">
        <v>0</v>
      </c>
      <c r="G97">
        <v>5975</v>
      </c>
      <c r="H97">
        <v>3234</v>
      </c>
      <c r="I97">
        <v>30257.5</v>
      </c>
    </row>
    <row r="98" spans="1:9">
      <c r="A98">
        <v>29943.8</v>
      </c>
      <c r="B98">
        <v>308</v>
      </c>
      <c r="C98">
        <v>6350.97</v>
      </c>
      <c r="D98">
        <v>38.6</v>
      </c>
      <c r="E98">
        <v>1182</v>
      </c>
      <c r="F98">
        <v>0</v>
      </c>
      <c r="G98">
        <v>4567</v>
      </c>
      <c r="H98">
        <v>3237.1</v>
      </c>
      <c r="I98">
        <v>29943.8</v>
      </c>
    </row>
    <row r="99" spans="1:9">
      <c r="A99">
        <v>29888.3</v>
      </c>
      <c r="B99">
        <v>308</v>
      </c>
      <c r="C99">
        <v>6338.11</v>
      </c>
      <c r="D99">
        <v>38.97</v>
      </c>
      <c r="E99">
        <v>1276</v>
      </c>
      <c r="F99">
        <v>0</v>
      </c>
      <c r="G99">
        <v>4588</v>
      </c>
      <c r="H99">
        <v>3236.7</v>
      </c>
      <c r="I99">
        <v>29888.3</v>
      </c>
    </row>
    <row r="100" spans="1:9">
      <c r="A100">
        <v>29265.3</v>
      </c>
      <c r="B100">
        <v>308</v>
      </c>
      <c r="C100">
        <v>6350.99</v>
      </c>
      <c r="D100">
        <v>40.02</v>
      </c>
      <c r="E100">
        <v>1319</v>
      </c>
      <c r="F100">
        <v>0</v>
      </c>
      <c r="G100">
        <v>4732</v>
      </c>
      <c r="H100">
        <v>3259</v>
      </c>
      <c r="I100">
        <v>29265.3</v>
      </c>
    </row>
    <row r="101" spans="1:9">
      <c r="A101">
        <v>28947.3</v>
      </c>
      <c r="B101">
        <v>308</v>
      </c>
      <c r="C101">
        <v>6346.17</v>
      </c>
      <c r="D101">
        <v>40.01</v>
      </c>
      <c r="E101">
        <v>1275</v>
      </c>
      <c r="F101">
        <v>0</v>
      </c>
      <c r="G101">
        <v>4247</v>
      </c>
      <c r="H101">
        <v>3274.9</v>
      </c>
      <c r="I101">
        <v>28947.3</v>
      </c>
    </row>
    <row r="102" spans="1:9">
      <c r="A102">
        <v>28883.1</v>
      </c>
      <c r="B102">
        <v>308</v>
      </c>
      <c r="C102">
        <v>6352.19</v>
      </c>
      <c r="D102">
        <v>40.29</v>
      </c>
      <c r="E102">
        <v>1307</v>
      </c>
      <c r="F102">
        <v>0</v>
      </c>
      <c r="G102">
        <v>4188</v>
      </c>
      <c r="H102">
        <v>3285.9</v>
      </c>
      <c r="I102">
        <v>28883.1</v>
      </c>
    </row>
    <row r="103" spans="1:9">
      <c r="A103">
        <v>28720.9</v>
      </c>
      <c r="B103">
        <v>308</v>
      </c>
      <c r="C103">
        <v>6350.98</v>
      </c>
      <c r="D103">
        <v>40.27</v>
      </c>
      <c r="E103">
        <v>1357</v>
      </c>
      <c r="F103">
        <v>0</v>
      </c>
      <c r="G103">
        <v>3979</v>
      </c>
      <c r="H103">
        <v>3286.4</v>
      </c>
      <c r="I103">
        <v>28720.9</v>
      </c>
    </row>
    <row r="104" spans="1:9">
      <c r="A104">
        <v>28678</v>
      </c>
      <c r="B104">
        <v>308</v>
      </c>
      <c r="C104">
        <v>6343.36</v>
      </c>
      <c r="D104">
        <v>39.28</v>
      </c>
      <c r="E104">
        <v>1394</v>
      </c>
      <c r="F104">
        <v>0</v>
      </c>
      <c r="G104">
        <v>3607</v>
      </c>
      <c r="H104">
        <v>3288.6</v>
      </c>
      <c r="I104">
        <v>28678</v>
      </c>
    </row>
    <row r="105" spans="1:9">
      <c r="A105">
        <v>28549.4</v>
      </c>
      <c r="B105">
        <v>307</v>
      </c>
      <c r="C105">
        <v>6355</v>
      </c>
      <c r="D105">
        <v>38.99</v>
      </c>
      <c r="E105">
        <v>1470</v>
      </c>
      <c r="F105">
        <v>0</v>
      </c>
      <c r="G105">
        <v>3483</v>
      </c>
      <c r="H105">
        <v>3307</v>
      </c>
      <c r="I105">
        <v>28549.4</v>
      </c>
    </row>
    <row r="106" spans="1:9">
      <c r="A106">
        <v>28244.3</v>
      </c>
      <c r="B106">
        <v>308</v>
      </c>
      <c r="C106">
        <v>6352.19</v>
      </c>
      <c r="D106">
        <v>39.01</v>
      </c>
      <c r="E106">
        <v>1679</v>
      </c>
      <c r="F106">
        <v>0</v>
      </c>
      <c r="G106">
        <v>3479</v>
      </c>
      <c r="H106">
        <v>3294.4</v>
      </c>
      <c r="I106">
        <v>28244.3</v>
      </c>
    </row>
    <row r="107" spans="1:9">
      <c r="A107">
        <v>28075.6</v>
      </c>
      <c r="B107">
        <v>307</v>
      </c>
      <c r="C107">
        <v>6351.38</v>
      </c>
      <c r="D107">
        <v>38.95</v>
      </c>
      <c r="E107">
        <v>1595</v>
      </c>
      <c r="F107">
        <v>0</v>
      </c>
      <c r="G107">
        <v>3567</v>
      </c>
      <c r="H107">
        <v>3307.7</v>
      </c>
      <c r="I107">
        <v>28075.6</v>
      </c>
    </row>
    <row r="108" spans="1:9">
      <c r="A108">
        <v>27903.3</v>
      </c>
      <c r="B108">
        <v>307</v>
      </c>
      <c r="C108">
        <v>6352.18</v>
      </c>
      <c r="D108">
        <v>38.95</v>
      </c>
      <c r="E108">
        <v>1644</v>
      </c>
      <c r="F108">
        <v>0</v>
      </c>
      <c r="G108">
        <v>3270</v>
      </c>
      <c r="H108">
        <v>3301</v>
      </c>
      <c r="I108">
        <v>27903.3</v>
      </c>
    </row>
    <row r="109" spans="1:9">
      <c r="A109">
        <v>27814</v>
      </c>
      <c r="B109">
        <v>307</v>
      </c>
      <c r="C109">
        <v>6350.98</v>
      </c>
      <c r="D109">
        <v>38.71</v>
      </c>
      <c r="E109">
        <v>1697</v>
      </c>
      <c r="F109">
        <v>0</v>
      </c>
      <c r="G109">
        <v>3273</v>
      </c>
      <c r="H109">
        <v>3307</v>
      </c>
      <c r="I109">
        <v>27814</v>
      </c>
    </row>
    <row r="110" spans="1:9">
      <c r="A110">
        <v>27831.2</v>
      </c>
      <c r="B110">
        <v>304</v>
      </c>
      <c r="C110">
        <v>6353.4</v>
      </c>
      <c r="D110">
        <v>39.42</v>
      </c>
      <c r="E110">
        <v>1614</v>
      </c>
      <c r="F110">
        <v>0</v>
      </c>
      <c r="G110">
        <v>3168</v>
      </c>
      <c r="H110">
        <v>3299.9</v>
      </c>
      <c r="I110">
        <v>27831.2</v>
      </c>
    </row>
    <row r="111" spans="1:9">
      <c r="A111">
        <v>27883.7</v>
      </c>
      <c r="B111">
        <v>303</v>
      </c>
      <c r="C111">
        <v>6348.56</v>
      </c>
      <c r="D111">
        <v>39.46</v>
      </c>
      <c r="E111">
        <v>1678</v>
      </c>
      <c r="F111">
        <v>0</v>
      </c>
      <c r="G111">
        <v>3117</v>
      </c>
      <c r="H111">
        <v>3287.9</v>
      </c>
      <c r="I111">
        <v>27883.7</v>
      </c>
    </row>
    <row r="112" spans="1:9">
      <c r="A112">
        <v>27814.1</v>
      </c>
      <c r="B112">
        <v>303</v>
      </c>
      <c r="C112">
        <v>6357.41</v>
      </c>
      <c r="D112">
        <v>41.27</v>
      </c>
      <c r="E112">
        <v>1648</v>
      </c>
      <c r="F112">
        <v>0</v>
      </c>
      <c r="G112">
        <v>3140</v>
      </c>
      <c r="H112">
        <v>3299.3</v>
      </c>
      <c r="I112">
        <v>27814.1</v>
      </c>
    </row>
    <row r="113" spans="1:9">
      <c r="A113">
        <v>27593.7</v>
      </c>
      <c r="B113">
        <v>303</v>
      </c>
      <c r="C113">
        <v>6349.78</v>
      </c>
      <c r="D113">
        <v>40.61</v>
      </c>
      <c r="E113">
        <v>1498</v>
      </c>
      <c r="F113">
        <v>0</v>
      </c>
      <c r="G113">
        <v>3147</v>
      </c>
      <c r="H113">
        <v>3307.3</v>
      </c>
      <c r="I113">
        <v>27593.7</v>
      </c>
    </row>
    <row r="114" spans="1:9">
      <c r="A114">
        <v>27880.8</v>
      </c>
      <c r="B114">
        <v>303</v>
      </c>
      <c r="C114">
        <v>6355.81</v>
      </c>
      <c r="D114">
        <v>40.5</v>
      </c>
      <c r="E114">
        <v>1576</v>
      </c>
      <c r="F114">
        <v>52</v>
      </c>
      <c r="G114">
        <v>3517</v>
      </c>
      <c r="H114">
        <v>3287.4</v>
      </c>
      <c r="I114">
        <v>27880.8</v>
      </c>
    </row>
    <row r="115" spans="1:9">
      <c r="A115">
        <v>27865</v>
      </c>
      <c r="B115">
        <v>303</v>
      </c>
      <c r="C115">
        <v>6342.95</v>
      </c>
      <c r="D115">
        <v>39.42</v>
      </c>
      <c r="E115">
        <v>1671</v>
      </c>
      <c r="F115">
        <v>52</v>
      </c>
      <c r="G115">
        <v>3251</v>
      </c>
      <c r="H115">
        <v>3252.4</v>
      </c>
      <c r="I115">
        <v>27865</v>
      </c>
    </row>
    <row r="116" spans="1:9">
      <c r="A116">
        <v>27761.7</v>
      </c>
      <c r="B116">
        <v>303</v>
      </c>
      <c r="C116">
        <v>6353.39</v>
      </c>
      <c r="D116">
        <v>39.68</v>
      </c>
      <c r="E116">
        <v>1941</v>
      </c>
      <c r="F116">
        <v>52</v>
      </c>
      <c r="G116">
        <v>3336</v>
      </c>
      <c r="H116">
        <v>3265.3</v>
      </c>
      <c r="I116">
        <v>27761.7</v>
      </c>
    </row>
    <row r="117" spans="1:9">
      <c r="A117">
        <v>27849.9</v>
      </c>
      <c r="B117">
        <v>303</v>
      </c>
      <c r="C117">
        <v>6352.19</v>
      </c>
      <c r="D117">
        <v>39.7</v>
      </c>
      <c r="E117">
        <v>2001</v>
      </c>
      <c r="F117">
        <v>52</v>
      </c>
      <c r="G117">
        <v>3663</v>
      </c>
      <c r="H117">
        <v>3261.3</v>
      </c>
      <c r="I117">
        <v>27849.9</v>
      </c>
    </row>
    <row r="118" spans="1:9">
      <c r="A118">
        <v>28277.2</v>
      </c>
      <c r="B118">
        <v>303</v>
      </c>
      <c r="C118">
        <v>6355.41</v>
      </c>
      <c r="D118">
        <v>40.01</v>
      </c>
      <c r="E118">
        <v>2255</v>
      </c>
      <c r="F118">
        <v>53</v>
      </c>
      <c r="G118">
        <v>3790</v>
      </c>
      <c r="H118">
        <v>3266</v>
      </c>
      <c r="I118">
        <v>28277.2</v>
      </c>
    </row>
    <row r="119" spans="1:9">
      <c r="A119">
        <v>28551.9</v>
      </c>
      <c r="B119">
        <v>303</v>
      </c>
      <c r="C119">
        <v>6350.18</v>
      </c>
      <c r="D119">
        <v>40.9</v>
      </c>
      <c r="E119">
        <v>2601</v>
      </c>
      <c r="F119">
        <v>60</v>
      </c>
      <c r="G119">
        <v>4172</v>
      </c>
      <c r="H119">
        <v>3243.9</v>
      </c>
      <c r="I119">
        <v>28551.9</v>
      </c>
    </row>
    <row r="120" spans="1:9">
      <c r="A120">
        <v>29184.2</v>
      </c>
      <c r="B120">
        <v>303</v>
      </c>
      <c r="C120">
        <v>6362.64</v>
      </c>
      <c r="D120">
        <v>42.2</v>
      </c>
      <c r="E120">
        <v>2686</v>
      </c>
      <c r="F120">
        <v>121</v>
      </c>
      <c r="G120">
        <v>4468</v>
      </c>
      <c r="H120">
        <v>3244.7</v>
      </c>
      <c r="I120">
        <v>29184.2</v>
      </c>
    </row>
    <row r="121" spans="1:9">
      <c r="A121">
        <v>29552.2</v>
      </c>
      <c r="B121">
        <v>303</v>
      </c>
      <c r="C121">
        <v>6354.99</v>
      </c>
      <c r="D121">
        <v>40.46</v>
      </c>
      <c r="E121">
        <v>2794</v>
      </c>
      <c r="F121">
        <v>204</v>
      </c>
      <c r="G121">
        <v>4864</v>
      </c>
      <c r="H121">
        <v>3220.6</v>
      </c>
      <c r="I121">
        <v>29552.2</v>
      </c>
    </row>
    <row r="122" spans="1:9">
      <c r="A122">
        <v>30253.5</v>
      </c>
      <c r="B122">
        <v>305</v>
      </c>
      <c r="C122">
        <v>6344.95</v>
      </c>
      <c r="D122">
        <v>41.72</v>
      </c>
      <c r="E122">
        <v>2818</v>
      </c>
      <c r="F122">
        <v>337</v>
      </c>
      <c r="G122">
        <v>5418</v>
      </c>
      <c r="H122">
        <v>3218.6</v>
      </c>
      <c r="I122">
        <v>30253.5</v>
      </c>
    </row>
    <row r="123" spans="1:9">
      <c r="A123">
        <v>30690.9</v>
      </c>
      <c r="B123">
        <v>306</v>
      </c>
      <c r="C123">
        <v>6356.6</v>
      </c>
      <c r="D123">
        <v>41.2</v>
      </c>
      <c r="E123">
        <v>2795</v>
      </c>
      <c r="F123">
        <v>486</v>
      </c>
      <c r="G123">
        <v>5547</v>
      </c>
      <c r="H123">
        <v>3207.4</v>
      </c>
      <c r="I123">
        <v>30690.9</v>
      </c>
    </row>
    <row r="124" spans="1:9">
      <c r="A124">
        <v>31153.8</v>
      </c>
      <c r="B124">
        <v>306</v>
      </c>
      <c r="C124">
        <v>6347.36</v>
      </c>
      <c r="D124">
        <v>41.61</v>
      </c>
      <c r="E124">
        <v>2665</v>
      </c>
      <c r="F124">
        <v>644</v>
      </c>
      <c r="G124">
        <v>5517</v>
      </c>
      <c r="H124">
        <v>3254</v>
      </c>
      <c r="I124">
        <v>31153.8</v>
      </c>
    </row>
    <row r="125" spans="1:9">
      <c r="A125">
        <v>31552.4</v>
      </c>
      <c r="B125">
        <v>306</v>
      </c>
      <c r="C125">
        <v>6347.76</v>
      </c>
      <c r="D125">
        <v>43.31</v>
      </c>
      <c r="E125">
        <v>2378</v>
      </c>
      <c r="F125">
        <v>803</v>
      </c>
      <c r="G125">
        <v>5863</v>
      </c>
      <c r="H125">
        <v>3201.8</v>
      </c>
      <c r="I125">
        <v>31552.4</v>
      </c>
    </row>
    <row r="126" spans="1:9">
      <c r="A126">
        <v>31989.9</v>
      </c>
      <c r="B126">
        <v>305</v>
      </c>
      <c r="C126">
        <v>6342.94</v>
      </c>
      <c r="D126">
        <v>43.27</v>
      </c>
      <c r="E126">
        <v>2189</v>
      </c>
      <c r="F126">
        <v>1037</v>
      </c>
      <c r="G126">
        <v>6325</v>
      </c>
      <c r="H126">
        <v>3175.6</v>
      </c>
      <c r="I126">
        <v>31989.9</v>
      </c>
    </row>
    <row r="127" spans="1:9">
      <c r="A127">
        <v>32403.6</v>
      </c>
      <c r="B127">
        <v>305</v>
      </c>
      <c r="C127">
        <v>6352.18</v>
      </c>
      <c r="D127">
        <v>43.1</v>
      </c>
      <c r="E127">
        <v>2133</v>
      </c>
      <c r="F127">
        <v>1240</v>
      </c>
      <c r="G127">
        <v>6564</v>
      </c>
      <c r="H127">
        <v>3184.5</v>
      </c>
      <c r="I127">
        <v>32403.6</v>
      </c>
    </row>
    <row r="128" spans="1:9">
      <c r="A128">
        <v>32880.6</v>
      </c>
      <c r="B128">
        <v>306</v>
      </c>
      <c r="C128">
        <v>6350.98</v>
      </c>
      <c r="D128">
        <v>42.25</v>
      </c>
      <c r="E128">
        <v>1967</v>
      </c>
      <c r="F128">
        <v>1621</v>
      </c>
      <c r="G128">
        <v>6733</v>
      </c>
      <c r="H128">
        <v>3229</v>
      </c>
      <c r="I128">
        <v>32880.6</v>
      </c>
    </row>
    <row r="129" spans="1:9">
      <c r="A129">
        <v>33323.3</v>
      </c>
      <c r="B129">
        <v>305</v>
      </c>
      <c r="C129">
        <v>6350.18</v>
      </c>
      <c r="D129">
        <v>41.25</v>
      </c>
      <c r="E129">
        <v>1907</v>
      </c>
      <c r="F129">
        <v>2017</v>
      </c>
      <c r="G129">
        <v>7074</v>
      </c>
      <c r="H129">
        <v>3245.3</v>
      </c>
      <c r="I129">
        <v>33323.3</v>
      </c>
    </row>
    <row r="130" spans="1:9">
      <c r="A130">
        <v>34395.9</v>
      </c>
      <c r="B130">
        <v>306</v>
      </c>
      <c r="C130">
        <v>6349.78</v>
      </c>
      <c r="D130">
        <v>41.03</v>
      </c>
      <c r="E130">
        <v>1816</v>
      </c>
      <c r="F130">
        <v>2433</v>
      </c>
      <c r="G130">
        <v>7383</v>
      </c>
      <c r="H130">
        <v>3253</v>
      </c>
      <c r="I130">
        <v>34395.9</v>
      </c>
    </row>
    <row r="131" spans="1:9">
      <c r="A131">
        <v>34661.8</v>
      </c>
      <c r="B131">
        <v>306</v>
      </c>
      <c r="C131">
        <v>6357.82</v>
      </c>
      <c r="D131">
        <v>41.1</v>
      </c>
      <c r="E131">
        <v>1725</v>
      </c>
      <c r="F131">
        <v>2705</v>
      </c>
      <c r="G131">
        <v>7655</v>
      </c>
      <c r="H131">
        <v>3239.7</v>
      </c>
      <c r="I131">
        <v>34661.8</v>
      </c>
    </row>
    <row r="132" spans="1:9">
      <c r="A132">
        <v>35189.4</v>
      </c>
      <c r="B132">
        <v>306</v>
      </c>
      <c r="C132">
        <v>6351.39</v>
      </c>
      <c r="D132">
        <v>41.83</v>
      </c>
      <c r="E132">
        <v>1574</v>
      </c>
      <c r="F132">
        <v>2775</v>
      </c>
      <c r="G132">
        <v>7557</v>
      </c>
      <c r="H132">
        <v>3199.9</v>
      </c>
      <c r="I132">
        <v>35189.4</v>
      </c>
    </row>
    <row r="133" spans="1:9">
      <c r="A133">
        <v>35767.6</v>
      </c>
      <c r="B133">
        <v>307</v>
      </c>
      <c r="C133">
        <v>6349.78</v>
      </c>
      <c r="D133">
        <v>42.33</v>
      </c>
      <c r="E133">
        <v>1379</v>
      </c>
      <c r="F133">
        <v>3185</v>
      </c>
      <c r="G133">
        <v>7743</v>
      </c>
      <c r="H133">
        <v>3186.2</v>
      </c>
      <c r="I133">
        <v>35767.6</v>
      </c>
    </row>
    <row r="134" spans="1:9">
      <c r="A134">
        <v>35849.1</v>
      </c>
      <c r="B134">
        <v>307</v>
      </c>
      <c r="C134">
        <v>6346.97</v>
      </c>
      <c r="D134">
        <v>41.86</v>
      </c>
      <c r="E134">
        <v>1305</v>
      </c>
      <c r="F134">
        <v>3727</v>
      </c>
      <c r="G134">
        <v>7865</v>
      </c>
      <c r="H134">
        <v>3162.7</v>
      </c>
      <c r="I134">
        <v>35849.1</v>
      </c>
    </row>
    <row r="135" spans="1:9">
      <c r="A135">
        <v>36286.1</v>
      </c>
      <c r="B135">
        <v>307</v>
      </c>
      <c r="C135">
        <v>6347.37</v>
      </c>
      <c r="D135">
        <v>42.88</v>
      </c>
      <c r="E135">
        <v>1398</v>
      </c>
      <c r="F135">
        <v>3963</v>
      </c>
      <c r="G135">
        <v>7903</v>
      </c>
      <c r="H135">
        <v>3171.2</v>
      </c>
      <c r="I135">
        <v>36286.1</v>
      </c>
    </row>
    <row r="136" spans="1:9">
      <c r="A136">
        <v>36647.8</v>
      </c>
      <c r="B136">
        <v>307</v>
      </c>
      <c r="C136">
        <v>6350.57</v>
      </c>
      <c r="D136">
        <v>42.86</v>
      </c>
      <c r="E136">
        <v>1511</v>
      </c>
      <c r="F136">
        <v>4361</v>
      </c>
      <c r="G136">
        <v>7820</v>
      </c>
      <c r="H136">
        <v>3157.7</v>
      </c>
      <c r="I136">
        <v>36647.8</v>
      </c>
    </row>
    <row r="137" spans="1:9">
      <c r="A137">
        <v>36928.8</v>
      </c>
      <c r="B137">
        <v>307</v>
      </c>
      <c r="C137">
        <v>6346.16</v>
      </c>
      <c r="D137">
        <v>43.73</v>
      </c>
      <c r="E137">
        <v>1749</v>
      </c>
      <c r="F137">
        <v>4640</v>
      </c>
      <c r="G137">
        <v>7817</v>
      </c>
      <c r="H137">
        <v>3202.4</v>
      </c>
      <c r="I137">
        <v>36928.8</v>
      </c>
    </row>
    <row r="138" spans="1:9">
      <c r="A138">
        <v>36972.1</v>
      </c>
      <c r="B138">
        <v>307</v>
      </c>
      <c r="C138">
        <v>6348.56</v>
      </c>
      <c r="D138">
        <v>43.87</v>
      </c>
      <c r="E138">
        <v>1737</v>
      </c>
      <c r="F138">
        <v>4990</v>
      </c>
      <c r="G138">
        <v>8224</v>
      </c>
      <c r="H138">
        <v>3217.8</v>
      </c>
      <c r="I138">
        <v>36972.1</v>
      </c>
    </row>
    <row r="139" spans="1:9">
      <c r="A139">
        <v>36801</v>
      </c>
      <c r="B139">
        <v>308</v>
      </c>
      <c r="C139">
        <v>6346.56</v>
      </c>
      <c r="D139">
        <v>44.19</v>
      </c>
      <c r="E139">
        <v>1993</v>
      </c>
      <c r="F139">
        <v>5333</v>
      </c>
      <c r="G139">
        <v>7770</v>
      </c>
      <c r="H139">
        <v>3205.7</v>
      </c>
      <c r="I139">
        <v>36801</v>
      </c>
    </row>
    <row r="140" spans="1:9">
      <c r="A140">
        <v>36957.6</v>
      </c>
      <c r="B140">
        <v>308</v>
      </c>
      <c r="C140">
        <v>6350.99</v>
      </c>
      <c r="D140">
        <v>45.5</v>
      </c>
      <c r="E140">
        <v>2197</v>
      </c>
      <c r="F140">
        <v>5798</v>
      </c>
      <c r="G140">
        <v>7239</v>
      </c>
      <c r="H140">
        <v>3204.1</v>
      </c>
      <c r="I140">
        <v>36957.6</v>
      </c>
    </row>
    <row r="141" spans="1:9">
      <c r="A141">
        <v>37171.3</v>
      </c>
      <c r="B141">
        <v>307</v>
      </c>
      <c r="C141">
        <v>6354.21</v>
      </c>
      <c r="D141">
        <v>42.76</v>
      </c>
      <c r="E141">
        <v>2416</v>
      </c>
      <c r="F141">
        <v>6800</v>
      </c>
      <c r="G141">
        <v>7121</v>
      </c>
      <c r="H141">
        <v>3219.2</v>
      </c>
      <c r="I141">
        <v>37171.3</v>
      </c>
    </row>
    <row r="142" spans="1:9">
      <c r="A142">
        <v>37176.6</v>
      </c>
      <c r="B142">
        <v>307</v>
      </c>
      <c r="C142">
        <v>6341.75</v>
      </c>
      <c r="D142">
        <v>41.89</v>
      </c>
      <c r="E142">
        <v>2458</v>
      </c>
      <c r="F142">
        <v>6792</v>
      </c>
      <c r="G142">
        <v>7137</v>
      </c>
      <c r="H142">
        <v>3190.6</v>
      </c>
      <c r="I142">
        <v>37176.6</v>
      </c>
    </row>
    <row r="143" spans="1:9">
      <c r="A143">
        <v>36487.8</v>
      </c>
      <c r="B143">
        <v>308</v>
      </c>
      <c r="C143">
        <v>6342.14</v>
      </c>
      <c r="D143">
        <v>42.54</v>
      </c>
      <c r="E143">
        <v>2311</v>
      </c>
      <c r="F143">
        <v>6828</v>
      </c>
      <c r="G143">
        <v>7278</v>
      </c>
      <c r="H143">
        <v>3200.8</v>
      </c>
      <c r="I143">
        <v>36487.8</v>
      </c>
    </row>
    <row r="144" spans="1:9">
      <c r="A144">
        <v>36290.1</v>
      </c>
      <c r="B144">
        <v>307</v>
      </c>
      <c r="C144">
        <v>6353.81</v>
      </c>
      <c r="D144">
        <v>42.08</v>
      </c>
      <c r="E144">
        <v>2237</v>
      </c>
      <c r="F144">
        <v>7045</v>
      </c>
      <c r="G144">
        <v>6846</v>
      </c>
      <c r="H144">
        <v>3195.9</v>
      </c>
      <c r="I144">
        <v>36290.1</v>
      </c>
    </row>
    <row r="145" spans="1:9">
      <c r="A145">
        <v>35994</v>
      </c>
      <c r="B145">
        <v>307</v>
      </c>
      <c r="C145">
        <v>6355.01</v>
      </c>
      <c r="D145">
        <v>39.77</v>
      </c>
      <c r="E145">
        <v>2226</v>
      </c>
      <c r="F145">
        <v>7103</v>
      </c>
      <c r="G145">
        <v>6610</v>
      </c>
      <c r="H145">
        <v>3196</v>
      </c>
      <c r="I145">
        <v>35994</v>
      </c>
    </row>
    <row r="146" spans="1:9">
      <c r="A146">
        <v>36092</v>
      </c>
      <c r="B146">
        <v>307</v>
      </c>
      <c r="C146">
        <v>6344.96</v>
      </c>
      <c r="D146">
        <v>38.05</v>
      </c>
      <c r="E146">
        <v>2246</v>
      </c>
      <c r="F146">
        <v>6924</v>
      </c>
      <c r="G146">
        <v>6951</v>
      </c>
      <c r="H146">
        <v>3190.6</v>
      </c>
      <c r="I146">
        <v>36092</v>
      </c>
    </row>
    <row r="147" spans="1:9">
      <c r="A147">
        <v>36263</v>
      </c>
      <c r="B147">
        <v>306</v>
      </c>
      <c r="C147">
        <v>6343.75</v>
      </c>
      <c r="D147">
        <v>39.56</v>
      </c>
      <c r="E147">
        <v>2167</v>
      </c>
      <c r="F147">
        <v>7242</v>
      </c>
      <c r="G147">
        <v>7628</v>
      </c>
      <c r="H147">
        <v>3176.9</v>
      </c>
      <c r="I147">
        <v>36263</v>
      </c>
    </row>
    <row r="148" spans="1:9">
      <c r="A148">
        <v>36428.4</v>
      </c>
      <c r="B148">
        <v>307</v>
      </c>
      <c r="C148">
        <v>6346.16</v>
      </c>
      <c r="D148">
        <v>38.56</v>
      </c>
      <c r="E148">
        <v>2091</v>
      </c>
      <c r="F148">
        <v>7487</v>
      </c>
      <c r="G148">
        <v>7948</v>
      </c>
      <c r="H148">
        <v>3154.6</v>
      </c>
      <c r="I148">
        <v>36428.4</v>
      </c>
    </row>
    <row r="149" spans="1:9">
      <c r="A149">
        <v>36554.3</v>
      </c>
      <c r="B149">
        <v>307</v>
      </c>
      <c r="C149">
        <v>6346.96</v>
      </c>
      <c r="D149">
        <v>40.13</v>
      </c>
      <c r="E149">
        <v>2035</v>
      </c>
      <c r="F149">
        <v>7238</v>
      </c>
      <c r="G149">
        <v>8056</v>
      </c>
      <c r="H149">
        <v>3165.2</v>
      </c>
      <c r="I149">
        <v>36554.3</v>
      </c>
    </row>
    <row r="150" spans="1:9">
      <c r="A150">
        <v>36564.6</v>
      </c>
      <c r="B150">
        <v>307</v>
      </c>
      <c r="C150">
        <v>6352.19</v>
      </c>
      <c r="D150">
        <v>40.98</v>
      </c>
      <c r="E150">
        <v>2309</v>
      </c>
      <c r="F150">
        <v>7032</v>
      </c>
      <c r="G150">
        <v>8470</v>
      </c>
      <c r="H150">
        <v>3172.8</v>
      </c>
      <c r="I150">
        <v>36564.6</v>
      </c>
    </row>
    <row r="151" spans="1:9">
      <c r="A151">
        <v>36372.6</v>
      </c>
      <c r="B151">
        <v>306</v>
      </c>
      <c r="C151">
        <v>6342.55</v>
      </c>
      <c r="D151">
        <v>41.24</v>
      </c>
      <c r="E151">
        <v>2529</v>
      </c>
      <c r="F151">
        <v>6958</v>
      </c>
      <c r="G151">
        <v>8892</v>
      </c>
      <c r="H151">
        <v>3171.8</v>
      </c>
      <c r="I151">
        <v>36372.6</v>
      </c>
    </row>
    <row r="152" spans="1:9">
      <c r="A152">
        <v>36722.2</v>
      </c>
      <c r="B152">
        <v>305</v>
      </c>
      <c r="C152">
        <v>6345.76</v>
      </c>
      <c r="D152">
        <v>38.85</v>
      </c>
      <c r="E152">
        <v>2306</v>
      </c>
      <c r="F152">
        <v>6533</v>
      </c>
      <c r="G152">
        <v>8841</v>
      </c>
      <c r="H152">
        <v>3149.8</v>
      </c>
      <c r="I152">
        <v>36722.2</v>
      </c>
    </row>
    <row r="153" spans="1:9">
      <c r="A153">
        <v>36512.3</v>
      </c>
      <c r="B153">
        <v>305</v>
      </c>
      <c r="C153">
        <v>6349.37</v>
      </c>
      <c r="D153">
        <v>38.85</v>
      </c>
      <c r="E153">
        <v>1989</v>
      </c>
      <c r="F153">
        <v>6416</v>
      </c>
      <c r="G153">
        <v>8864</v>
      </c>
      <c r="H153">
        <v>3117.7</v>
      </c>
      <c r="I153">
        <v>36512.3</v>
      </c>
    </row>
    <row r="154" spans="1:9">
      <c r="A154">
        <v>36958</v>
      </c>
      <c r="B154">
        <v>305</v>
      </c>
      <c r="C154">
        <v>6342.14</v>
      </c>
      <c r="D154">
        <v>40.56</v>
      </c>
      <c r="E154">
        <v>1913</v>
      </c>
      <c r="F154">
        <v>6326</v>
      </c>
      <c r="G154">
        <v>8684</v>
      </c>
      <c r="H154">
        <v>3121.2</v>
      </c>
      <c r="I154">
        <v>36958</v>
      </c>
    </row>
    <row r="155" spans="1:9">
      <c r="A155">
        <v>36601.6</v>
      </c>
      <c r="B155">
        <v>305</v>
      </c>
      <c r="C155">
        <v>6342.55</v>
      </c>
      <c r="D155">
        <v>39.17</v>
      </c>
      <c r="E155">
        <v>1772</v>
      </c>
      <c r="F155">
        <v>5928</v>
      </c>
      <c r="G155">
        <v>9273</v>
      </c>
      <c r="H155">
        <v>3101.1</v>
      </c>
      <c r="I155">
        <v>36601.6</v>
      </c>
    </row>
    <row r="156" spans="1:9">
      <c r="A156">
        <v>36836.1</v>
      </c>
      <c r="B156">
        <v>305</v>
      </c>
      <c r="C156">
        <v>6350.99</v>
      </c>
      <c r="D156">
        <v>37.72</v>
      </c>
      <c r="E156">
        <v>1712</v>
      </c>
      <c r="F156">
        <v>5885</v>
      </c>
      <c r="G156">
        <v>9233</v>
      </c>
      <c r="H156">
        <v>3090</v>
      </c>
      <c r="I156">
        <v>36836.1</v>
      </c>
    </row>
    <row r="157" spans="1:9">
      <c r="A157">
        <v>36843.7</v>
      </c>
      <c r="B157">
        <v>304</v>
      </c>
      <c r="C157">
        <v>6348.97</v>
      </c>
      <c r="D157">
        <v>37.37</v>
      </c>
      <c r="E157">
        <v>1671</v>
      </c>
      <c r="F157">
        <v>5683</v>
      </c>
      <c r="G157">
        <v>9427</v>
      </c>
      <c r="H157">
        <v>3091.6</v>
      </c>
      <c r="I157">
        <v>36843.7</v>
      </c>
    </row>
    <row r="158" spans="1:9">
      <c r="A158">
        <v>36853</v>
      </c>
      <c r="B158">
        <v>305</v>
      </c>
      <c r="C158">
        <v>6346.16</v>
      </c>
      <c r="D158">
        <v>40.34</v>
      </c>
      <c r="E158">
        <v>1601</v>
      </c>
      <c r="F158">
        <v>5162</v>
      </c>
      <c r="G158">
        <v>8900</v>
      </c>
      <c r="H158">
        <v>3085.1</v>
      </c>
      <c r="I158">
        <v>36853</v>
      </c>
    </row>
    <row r="159" spans="1:9">
      <c r="A159">
        <v>36971</v>
      </c>
      <c r="B159">
        <v>310</v>
      </c>
      <c r="C159">
        <v>6348.98</v>
      </c>
      <c r="D159">
        <v>39.99</v>
      </c>
      <c r="E159">
        <v>1344</v>
      </c>
      <c r="F159">
        <v>4887</v>
      </c>
      <c r="G159">
        <v>8677</v>
      </c>
      <c r="H159">
        <v>3100.1</v>
      </c>
      <c r="I159">
        <v>36971</v>
      </c>
    </row>
    <row r="160" spans="1:9">
      <c r="A160">
        <v>36936.9</v>
      </c>
      <c r="B160">
        <v>310</v>
      </c>
      <c r="C160">
        <v>6337.31</v>
      </c>
      <c r="D160">
        <v>40.62</v>
      </c>
      <c r="E160">
        <v>1102</v>
      </c>
      <c r="F160">
        <v>4676</v>
      </c>
      <c r="G160">
        <v>8465</v>
      </c>
      <c r="H160">
        <v>3102.9</v>
      </c>
      <c r="I160">
        <v>36936.9</v>
      </c>
    </row>
    <row r="161" spans="1:9">
      <c r="A161">
        <v>37131.1</v>
      </c>
      <c r="B161">
        <v>308</v>
      </c>
      <c r="C161">
        <v>6348.58</v>
      </c>
      <c r="D161">
        <v>39.95</v>
      </c>
      <c r="E161">
        <v>1062</v>
      </c>
      <c r="F161">
        <v>4229</v>
      </c>
      <c r="G161">
        <v>8294</v>
      </c>
      <c r="H161">
        <v>3132.1</v>
      </c>
      <c r="I161">
        <v>37131.1</v>
      </c>
    </row>
    <row r="162" spans="1:9">
      <c r="A162">
        <v>36967.9</v>
      </c>
      <c r="B162">
        <v>309</v>
      </c>
      <c r="C162">
        <v>6348.98</v>
      </c>
      <c r="D162">
        <v>41.69</v>
      </c>
      <c r="E162">
        <v>922</v>
      </c>
      <c r="F162">
        <v>3724</v>
      </c>
      <c r="G162">
        <v>8938</v>
      </c>
      <c r="H162">
        <v>3121.4</v>
      </c>
      <c r="I162">
        <v>36967.9</v>
      </c>
    </row>
    <row r="163" spans="1:9">
      <c r="A163">
        <v>37005.1</v>
      </c>
      <c r="B163">
        <v>308</v>
      </c>
      <c r="C163">
        <v>6348.17</v>
      </c>
      <c r="D163">
        <v>41.4</v>
      </c>
      <c r="E163">
        <v>939</v>
      </c>
      <c r="F163">
        <v>3350</v>
      </c>
      <c r="G163">
        <v>9279</v>
      </c>
      <c r="H163">
        <v>3129.1</v>
      </c>
      <c r="I163">
        <v>37005.1</v>
      </c>
    </row>
    <row r="164" spans="1:9">
      <c r="A164">
        <v>36799.5</v>
      </c>
      <c r="B164">
        <v>308</v>
      </c>
      <c r="C164">
        <v>6347.75</v>
      </c>
      <c r="D164">
        <v>42.78</v>
      </c>
      <c r="E164">
        <v>1013</v>
      </c>
      <c r="F164">
        <v>2695</v>
      </c>
      <c r="G164">
        <v>8709</v>
      </c>
      <c r="H164">
        <v>3122.6</v>
      </c>
      <c r="I164">
        <v>36799.5</v>
      </c>
    </row>
    <row r="165" spans="1:9">
      <c r="A165">
        <v>36057.8</v>
      </c>
      <c r="B165">
        <v>234</v>
      </c>
      <c r="C165">
        <v>6353.39</v>
      </c>
      <c r="D165">
        <v>41.63</v>
      </c>
      <c r="E165">
        <v>906</v>
      </c>
      <c r="F165">
        <v>2076</v>
      </c>
      <c r="G165">
        <v>8867</v>
      </c>
      <c r="H165">
        <v>3102.2</v>
      </c>
      <c r="I165">
        <v>36057.8</v>
      </c>
    </row>
    <row r="166" spans="1:9">
      <c r="A166">
        <v>35804.9</v>
      </c>
      <c r="B166">
        <v>234</v>
      </c>
      <c r="C166">
        <v>6351.39</v>
      </c>
      <c r="D166">
        <v>41.63</v>
      </c>
      <c r="E166">
        <v>744</v>
      </c>
      <c r="F166">
        <v>1470</v>
      </c>
      <c r="G166">
        <v>8622</v>
      </c>
      <c r="H166">
        <v>3108.6</v>
      </c>
      <c r="I166">
        <v>35804.9</v>
      </c>
    </row>
    <row r="167" spans="1:9">
      <c r="A167">
        <v>35677.7</v>
      </c>
      <c r="B167">
        <v>231</v>
      </c>
      <c r="C167">
        <v>6358.22</v>
      </c>
      <c r="D167">
        <v>41.75</v>
      </c>
      <c r="E167">
        <v>653</v>
      </c>
      <c r="F167">
        <v>1008</v>
      </c>
      <c r="G167">
        <v>8961</v>
      </c>
      <c r="H167">
        <v>3098.2</v>
      </c>
      <c r="I167">
        <v>35677.7</v>
      </c>
    </row>
    <row r="168" spans="1:9">
      <c r="A168">
        <v>35557.8</v>
      </c>
      <c r="B168">
        <v>230</v>
      </c>
      <c r="C168">
        <v>6336.52</v>
      </c>
      <c r="D168">
        <v>41.4</v>
      </c>
      <c r="E168">
        <v>563</v>
      </c>
      <c r="F168">
        <v>655</v>
      </c>
      <c r="G168">
        <v>8725</v>
      </c>
      <c r="H168">
        <v>3096</v>
      </c>
      <c r="I168">
        <v>35557.8</v>
      </c>
    </row>
    <row r="169" spans="1:9">
      <c r="A169">
        <v>35513.5</v>
      </c>
      <c r="B169">
        <v>230</v>
      </c>
      <c r="C169">
        <v>6339.32</v>
      </c>
      <c r="D169">
        <v>39.61</v>
      </c>
      <c r="E169">
        <v>532</v>
      </c>
      <c r="F169">
        <v>391</v>
      </c>
      <c r="G169">
        <v>9080</v>
      </c>
      <c r="H169">
        <v>3111.6</v>
      </c>
      <c r="I169">
        <v>35513.5</v>
      </c>
    </row>
    <row r="170" spans="1:9">
      <c r="A170">
        <v>35409.6</v>
      </c>
      <c r="B170">
        <v>227</v>
      </c>
      <c r="C170">
        <v>6339.34</v>
      </c>
      <c r="D170">
        <v>41.73</v>
      </c>
      <c r="E170">
        <v>498</v>
      </c>
      <c r="F170">
        <v>197</v>
      </c>
      <c r="G170">
        <v>9075</v>
      </c>
      <c r="H170">
        <v>3115.5</v>
      </c>
      <c r="I170">
        <v>35409.6</v>
      </c>
    </row>
    <row r="171" spans="1:9">
      <c r="A171">
        <v>35343.2</v>
      </c>
      <c r="B171">
        <v>222</v>
      </c>
      <c r="C171">
        <v>6348.97</v>
      </c>
      <c r="D171">
        <v>41.28</v>
      </c>
      <c r="E171">
        <v>525</v>
      </c>
      <c r="F171">
        <v>96</v>
      </c>
      <c r="G171">
        <v>9104</v>
      </c>
      <c r="H171">
        <v>3135.3</v>
      </c>
      <c r="I171">
        <v>35343.2</v>
      </c>
    </row>
    <row r="172" spans="1:9">
      <c r="A172">
        <v>35662.2</v>
      </c>
      <c r="B172">
        <v>281</v>
      </c>
      <c r="C172">
        <v>6349.78</v>
      </c>
      <c r="D172">
        <v>41.3</v>
      </c>
      <c r="E172">
        <v>559</v>
      </c>
      <c r="F172">
        <v>56</v>
      </c>
      <c r="G172">
        <v>8467</v>
      </c>
      <c r="H172">
        <v>3106.8</v>
      </c>
      <c r="I172">
        <v>35662.2</v>
      </c>
    </row>
    <row r="173" spans="1:9">
      <c r="A173">
        <v>35946.9</v>
      </c>
      <c r="B173">
        <v>282</v>
      </c>
      <c r="C173">
        <v>6346.56</v>
      </c>
      <c r="D173">
        <v>40.72</v>
      </c>
      <c r="E173">
        <v>482</v>
      </c>
      <c r="F173">
        <v>54</v>
      </c>
      <c r="G173">
        <v>8185</v>
      </c>
      <c r="H173">
        <v>3113.5</v>
      </c>
      <c r="I173">
        <v>35946.9</v>
      </c>
    </row>
    <row r="174" spans="1:9">
      <c r="A174">
        <v>36008.6</v>
      </c>
      <c r="B174">
        <v>277</v>
      </c>
      <c r="C174">
        <v>6346.57</v>
      </c>
      <c r="D174">
        <v>41.04</v>
      </c>
      <c r="E174">
        <v>473</v>
      </c>
      <c r="F174">
        <v>53</v>
      </c>
      <c r="G174">
        <v>8342</v>
      </c>
      <c r="H174">
        <v>3108.8</v>
      </c>
      <c r="I174">
        <v>36008.6</v>
      </c>
    </row>
    <row r="175" spans="1:9">
      <c r="A175">
        <v>35833.3</v>
      </c>
      <c r="B175">
        <v>278</v>
      </c>
      <c r="C175">
        <v>6348.97</v>
      </c>
      <c r="D175">
        <v>40.14</v>
      </c>
      <c r="E175">
        <v>414</v>
      </c>
      <c r="F175">
        <v>53</v>
      </c>
      <c r="G175">
        <v>8335</v>
      </c>
      <c r="H175">
        <v>3110.7</v>
      </c>
      <c r="I175">
        <v>35833.3</v>
      </c>
    </row>
    <row r="176" spans="1:9">
      <c r="A176">
        <v>35749.2</v>
      </c>
      <c r="B176">
        <v>278</v>
      </c>
      <c r="C176">
        <v>6344.56</v>
      </c>
      <c r="D176">
        <v>41.1</v>
      </c>
      <c r="E176">
        <v>401</v>
      </c>
      <c r="F176">
        <v>53</v>
      </c>
      <c r="G176">
        <v>8868</v>
      </c>
      <c r="H176">
        <v>3093.6</v>
      </c>
      <c r="I176">
        <v>35749.2</v>
      </c>
    </row>
    <row r="177" spans="1:9">
      <c r="A177">
        <v>35094</v>
      </c>
      <c r="B177">
        <v>278</v>
      </c>
      <c r="C177">
        <v>6338.53</v>
      </c>
      <c r="D177">
        <v>40.83</v>
      </c>
      <c r="E177">
        <v>358</v>
      </c>
      <c r="F177">
        <v>53</v>
      </c>
      <c r="G177">
        <v>8736</v>
      </c>
      <c r="H177">
        <v>3115.8</v>
      </c>
      <c r="I177">
        <v>35094</v>
      </c>
    </row>
    <row r="178" spans="1:9">
      <c r="A178">
        <v>35049.2</v>
      </c>
      <c r="B178">
        <v>278</v>
      </c>
      <c r="C178">
        <v>6337.32</v>
      </c>
      <c r="D178">
        <v>41.19</v>
      </c>
      <c r="E178">
        <v>338</v>
      </c>
      <c r="F178">
        <v>0</v>
      </c>
      <c r="G178">
        <v>8177</v>
      </c>
      <c r="H178">
        <v>3110.1</v>
      </c>
      <c r="I178">
        <v>35049.2</v>
      </c>
    </row>
    <row r="179" spans="1:9">
      <c r="A179">
        <v>34869.6</v>
      </c>
      <c r="B179">
        <v>279</v>
      </c>
      <c r="C179">
        <v>6350.19</v>
      </c>
      <c r="D179">
        <v>40.51</v>
      </c>
      <c r="E179">
        <v>267</v>
      </c>
      <c r="F179">
        <v>0</v>
      </c>
      <c r="G179">
        <v>7814</v>
      </c>
      <c r="H179">
        <v>3109.2</v>
      </c>
      <c r="I179">
        <v>34869.6</v>
      </c>
    </row>
    <row r="180" spans="1:9">
      <c r="A180">
        <v>34350.4</v>
      </c>
      <c r="B180">
        <v>278</v>
      </c>
      <c r="C180">
        <v>6348.97</v>
      </c>
      <c r="D180">
        <v>39.94</v>
      </c>
      <c r="E180">
        <v>233</v>
      </c>
      <c r="F180">
        <v>0</v>
      </c>
      <c r="G180">
        <v>7611</v>
      </c>
      <c r="H180">
        <v>3119.7</v>
      </c>
      <c r="I180">
        <v>34350.4</v>
      </c>
    </row>
    <row r="181" spans="1:9">
      <c r="A181">
        <v>33925.4</v>
      </c>
      <c r="B181">
        <v>278</v>
      </c>
      <c r="C181">
        <v>6339.33</v>
      </c>
      <c r="D181">
        <v>40.22</v>
      </c>
      <c r="E181">
        <v>267</v>
      </c>
      <c r="F181">
        <v>0</v>
      </c>
      <c r="G181">
        <v>7888</v>
      </c>
      <c r="H181">
        <v>3144</v>
      </c>
      <c r="I181">
        <v>33925.4</v>
      </c>
    </row>
    <row r="182" spans="1:9">
      <c r="A182">
        <v>33473.6</v>
      </c>
      <c r="B182">
        <v>277</v>
      </c>
      <c r="C182">
        <v>6358.22</v>
      </c>
      <c r="D182">
        <v>39.7</v>
      </c>
      <c r="E182">
        <v>301</v>
      </c>
      <c r="F182">
        <v>0</v>
      </c>
      <c r="G182">
        <v>7887</v>
      </c>
      <c r="H182">
        <v>3138.9</v>
      </c>
      <c r="I182">
        <v>33473.6</v>
      </c>
    </row>
    <row r="183" spans="1:9">
      <c r="A183">
        <v>33165.8</v>
      </c>
      <c r="B183">
        <v>277</v>
      </c>
      <c r="C183">
        <v>6346.56</v>
      </c>
      <c r="D183">
        <v>39.48</v>
      </c>
      <c r="E183">
        <v>264</v>
      </c>
      <c r="F183">
        <v>0</v>
      </c>
      <c r="G183">
        <v>7512</v>
      </c>
      <c r="H183">
        <v>3143.7</v>
      </c>
      <c r="I183">
        <v>33165.8</v>
      </c>
    </row>
    <row r="184" spans="1:9">
      <c r="A184">
        <v>32675.6</v>
      </c>
      <c r="B184">
        <v>277</v>
      </c>
      <c r="C184">
        <v>6342.54</v>
      </c>
      <c r="D184">
        <v>40.08</v>
      </c>
      <c r="E184">
        <v>312</v>
      </c>
      <c r="F184">
        <v>0</v>
      </c>
      <c r="G184">
        <v>6560</v>
      </c>
      <c r="H184">
        <v>3127.9</v>
      </c>
      <c r="I184">
        <v>32675.6</v>
      </c>
    </row>
    <row r="185" spans="1:9">
      <c r="A185">
        <v>32248.9</v>
      </c>
      <c r="B185">
        <v>278</v>
      </c>
      <c r="C185">
        <v>6350.58</v>
      </c>
      <c r="D185">
        <v>38.93</v>
      </c>
      <c r="E185">
        <v>383</v>
      </c>
      <c r="F185">
        <v>0</v>
      </c>
      <c r="G185">
        <v>6378</v>
      </c>
      <c r="H185">
        <v>3139.4</v>
      </c>
      <c r="I185">
        <v>32248.9</v>
      </c>
    </row>
    <row r="186" spans="1:9">
      <c r="A186">
        <v>32113.4</v>
      </c>
      <c r="B186">
        <v>276</v>
      </c>
      <c r="C186">
        <v>6349.79</v>
      </c>
      <c r="D186">
        <v>40.31</v>
      </c>
      <c r="E186">
        <v>405</v>
      </c>
      <c r="F186">
        <v>0</v>
      </c>
      <c r="G186">
        <v>7022</v>
      </c>
      <c r="H186">
        <v>3139.7</v>
      </c>
      <c r="I186">
        <v>32113.4</v>
      </c>
    </row>
    <row r="187" spans="1:9">
      <c r="A187">
        <v>31582.6</v>
      </c>
      <c r="B187">
        <v>272</v>
      </c>
      <c r="C187">
        <v>6347.78</v>
      </c>
      <c r="D187">
        <v>41.19</v>
      </c>
      <c r="E187">
        <v>495</v>
      </c>
      <c r="F187">
        <v>0</v>
      </c>
      <c r="G187">
        <v>6628</v>
      </c>
      <c r="H187">
        <v>3144.5</v>
      </c>
      <c r="I187">
        <v>31582.6</v>
      </c>
    </row>
    <row r="188" spans="1:9">
      <c r="A188">
        <v>31119.7</v>
      </c>
      <c r="B188">
        <v>272</v>
      </c>
      <c r="C188">
        <v>6343.75</v>
      </c>
      <c r="D188">
        <v>41.15</v>
      </c>
      <c r="E188">
        <v>557</v>
      </c>
      <c r="F188">
        <v>0</v>
      </c>
      <c r="G188">
        <v>5529</v>
      </c>
      <c r="H188">
        <v>3157.2</v>
      </c>
      <c r="I188">
        <v>31119.7</v>
      </c>
    </row>
    <row r="189" spans="1:9">
      <c r="A189">
        <v>30603.4</v>
      </c>
      <c r="B189">
        <v>272</v>
      </c>
      <c r="C189">
        <v>6349.37</v>
      </c>
      <c r="D189">
        <v>40.72</v>
      </c>
      <c r="E189">
        <v>592</v>
      </c>
      <c r="F189">
        <v>0</v>
      </c>
      <c r="G189">
        <v>5263</v>
      </c>
      <c r="H189">
        <v>3167.7</v>
      </c>
      <c r="I189">
        <v>30603.4</v>
      </c>
    </row>
    <row r="190" spans="1:9">
      <c r="A190">
        <v>30049.5</v>
      </c>
      <c r="B190">
        <v>272</v>
      </c>
      <c r="C190">
        <v>6349.77</v>
      </c>
      <c r="D190">
        <v>40.9</v>
      </c>
      <c r="E190">
        <v>644</v>
      </c>
      <c r="F190">
        <v>0</v>
      </c>
      <c r="G190">
        <v>5700</v>
      </c>
      <c r="H190">
        <v>3169.2</v>
      </c>
      <c r="I190">
        <v>30049.5</v>
      </c>
    </row>
    <row r="191" spans="1:9">
      <c r="A191">
        <v>29671.4</v>
      </c>
      <c r="B191">
        <v>272</v>
      </c>
      <c r="C191">
        <v>6344.95</v>
      </c>
      <c r="D191">
        <v>40.71</v>
      </c>
      <c r="E191">
        <v>704</v>
      </c>
      <c r="F191">
        <v>0</v>
      </c>
      <c r="G191">
        <v>5908</v>
      </c>
      <c r="H191">
        <v>3147</v>
      </c>
      <c r="I191">
        <v>29671.4</v>
      </c>
    </row>
    <row r="192" spans="1:9">
      <c r="A192">
        <v>29229.3</v>
      </c>
      <c r="B192">
        <v>272</v>
      </c>
      <c r="C192">
        <v>6349.37</v>
      </c>
      <c r="D192">
        <v>40.22</v>
      </c>
      <c r="E192">
        <v>791</v>
      </c>
      <c r="F192">
        <v>0</v>
      </c>
      <c r="G192">
        <v>6243</v>
      </c>
      <c r="H192">
        <v>3139</v>
      </c>
      <c r="I192">
        <v>29229.3</v>
      </c>
    </row>
    <row r="193" spans="1:9">
      <c r="A193">
        <v>28609.5</v>
      </c>
      <c r="B193">
        <v>272</v>
      </c>
      <c r="C193">
        <v>6348.17</v>
      </c>
      <c r="D193">
        <v>40.05</v>
      </c>
      <c r="E193">
        <v>856</v>
      </c>
      <c r="F193">
        <v>0</v>
      </c>
      <c r="G193">
        <v>5993</v>
      </c>
      <c r="H193">
        <v>3160.1</v>
      </c>
      <c r="I193">
        <v>28609.5</v>
      </c>
    </row>
    <row r="194" spans="1:9">
      <c r="A194">
        <v>28592.2</v>
      </c>
      <c r="B194">
        <v>288</v>
      </c>
      <c r="C194">
        <v>6358.22</v>
      </c>
      <c r="D194">
        <v>39.62</v>
      </c>
      <c r="E194">
        <v>881</v>
      </c>
      <c r="F194">
        <v>0</v>
      </c>
      <c r="G194">
        <v>5765</v>
      </c>
      <c r="H194">
        <v>3132.2</v>
      </c>
      <c r="I194">
        <v>28592.2</v>
      </c>
    </row>
    <row r="195" spans="1:9">
      <c r="A195">
        <v>28338.7</v>
      </c>
      <c r="B195">
        <v>296</v>
      </c>
      <c r="C195">
        <v>6350.99</v>
      </c>
      <c r="D195">
        <v>39.42</v>
      </c>
      <c r="E195">
        <v>910</v>
      </c>
      <c r="F195">
        <v>0</v>
      </c>
      <c r="G195">
        <v>6006</v>
      </c>
      <c r="H195">
        <v>3162.2</v>
      </c>
      <c r="I195">
        <v>28338.7</v>
      </c>
    </row>
    <row r="196" spans="1:9">
      <c r="A196">
        <v>28173.6</v>
      </c>
      <c r="B196">
        <v>299</v>
      </c>
      <c r="C196">
        <v>6348.18</v>
      </c>
      <c r="D196">
        <v>39.11</v>
      </c>
      <c r="E196">
        <v>970</v>
      </c>
      <c r="F196">
        <v>0</v>
      </c>
      <c r="G196">
        <v>5589</v>
      </c>
      <c r="H196">
        <v>3157.1</v>
      </c>
      <c r="I196">
        <v>28173.6</v>
      </c>
    </row>
    <row r="197" spans="1:9">
      <c r="A197">
        <v>27800.8</v>
      </c>
      <c r="B197">
        <v>300</v>
      </c>
      <c r="C197">
        <v>6349.38</v>
      </c>
      <c r="D197">
        <v>38.78</v>
      </c>
      <c r="E197">
        <v>1070</v>
      </c>
      <c r="F197">
        <v>0</v>
      </c>
      <c r="G197">
        <v>5635</v>
      </c>
      <c r="H197">
        <v>3161.4</v>
      </c>
      <c r="I197">
        <v>27800.8</v>
      </c>
    </row>
    <row r="198" spans="1:9">
      <c r="A198">
        <v>27621.7</v>
      </c>
      <c r="B198">
        <v>299</v>
      </c>
      <c r="C198">
        <v>6347.37</v>
      </c>
      <c r="D198">
        <v>39.06</v>
      </c>
      <c r="E198">
        <v>1141</v>
      </c>
      <c r="F198">
        <v>0</v>
      </c>
      <c r="G198">
        <v>5496</v>
      </c>
      <c r="H198">
        <v>3161.9</v>
      </c>
      <c r="I198">
        <v>27621.7</v>
      </c>
    </row>
    <row r="199" spans="1:9">
      <c r="A199">
        <v>27390.5</v>
      </c>
      <c r="B199">
        <v>299</v>
      </c>
      <c r="C199">
        <v>6335.7</v>
      </c>
      <c r="D199">
        <v>39.28</v>
      </c>
      <c r="E199">
        <v>1239</v>
      </c>
      <c r="F199">
        <v>0</v>
      </c>
      <c r="G199">
        <v>5107</v>
      </c>
      <c r="H199">
        <v>3156.4</v>
      </c>
      <c r="I199">
        <v>27390.5</v>
      </c>
    </row>
    <row r="200" spans="1:9">
      <c r="A200">
        <v>27297.5</v>
      </c>
      <c r="B200">
        <v>299</v>
      </c>
      <c r="C200">
        <v>6350.18</v>
      </c>
      <c r="D200">
        <v>40.3</v>
      </c>
      <c r="E200">
        <v>1302</v>
      </c>
      <c r="F200">
        <v>0</v>
      </c>
      <c r="G200">
        <v>4963</v>
      </c>
      <c r="H200">
        <v>3132.7</v>
      </c>
      <c r="I200">
        <v>27297.5</v>
      </c>
    </row>
    <row r="201" spans="1:9">
      <c r="A201">
        <v>27011.3</v>
      </c>
      <c r="B201">
        <v>299</v>
      </c>
      <c r="C201">
        <v>6342.55</v>
      </c>
      <c r="D201">
        <v>41.5</v>
      </c>
      <c r="E201">
        <v>1308</v>
      </c>
      <c r="F201">
        <v>0</v>
      </c>
      <c r="G201">
        <v>4708</v>
      </c>
      <c r="H201">
        <v>3123.7</v>
      </c>
      <c r="I201">
        <v>27011.3</v>
      </c>
    </row>
    <row r="202" spans="1:9">
      <c r="A202">
        <v>26888.9</v>
      </c>
      <c r="B202">
        <v>299</v>
      </c>
      <c r="C202">
        <v>6345.76</v>
      </c>
      <c r="D202">
        <v>40.12</v>
      </c>
      <c r="E202">
        <v>1273</v>
      </c>
      <c r="F202">
        <v>0</v>
      </c>
      <c r="G202">
        <v>4085</v>
      </c>
      <c r="H202">
        <v>3121.9</v>
      </c>
      <c r="I202">
        <v>26888.9</v>
      </c>
    </row>
    <row r="203" spans="1:9">
      <c r="A203">
        <v>26892</v>
      </c>
      <c r="B203">
        <v>299</v>
      </c>
      <c r="C203">
        <v>6342.14</v>
      </c>
      <c r="D203">
        <v>40.02</v>
      </c>
      <c r="E203">
        <v>1236</v>
      </c>
      <c r="F203">
        <v>0</v>
      </c>
      <c r="G203">
        <v>4127</v>
      </c>
      <c r="H203">
        <v>3117.4</v>
      </c>
      <c r="I203">
        <v>26892</v>
      </c>
    </row>
    <row r="204" spans="1:9">
      <c r="A204">
        <v>26648.8</v>
      </c>
      <c r="B204">
        <v>299</v>
      </c>
      <c r="C204">
        <v>6340.94</v>
      </c>
      <c r="D204">
        <v>39.61</v>
      </c>
      <c r="E204">
        <v>1186</v>
      </c>
      <c r="F204">
        <v>0</v>
      </c>
      <c r="G204">
        <v>4213</v>
      </c>
      <c r="H204">
        <v>3124.7</v>
      </c>
      <c r="I204">
        <v>26648.8</v>
      </c>
    </row>
    <row r="205" spans="1:9">
      <c r="A205">
        <v>26617.9</v>
      </c>
      <c r="B205">
        <v>300</v>
      </c>
      <c r="C205">
        <v>6348.58</v>
      </c>
      <c r="D205">
        <v>39.21</v>
      </c>
      <c r="E205">
        <v>1197</v>
      </c>
      <c r="F205">
        <v>0</v>
      </c>
      <c r="G205">
        <v>4277</v>
      </c>
      <c r="H205">
        <v>3154.7</v>
      </c>
      <c r="I205">
        <v>26617.9</v>
      </c>
    </row>
    <row r="206" spans="1:9">
      <c r="A206">
        <v>26559.2</v>
      </c>
      <c r="B206">
        <v>299</v>
      </c>
      <c r="C206">
        <v>6338.53</v>
      </c>
      <c r="D206">
        <v>39.84</v>
      </c>
      <c r="E206">
        <v>1167</v>
      </c>
      <c r="F206">
        <v>0</v>
      </c>
      <c r="G206">
        <v>3962</v>
      </c>
      <c r="H206">
        <v>3157.5</v>
      </c>
      <c r="I206">
        <v>26559.2</v>
      </c>
    </row>
    <row r="207" spans="1:9">
      <c r="A207">
        <v>26510.3</v>
      </c>
      <c r="B207">
        <v>299</v>
      </c>
      <c r="C207">
        <v>6336.93</v>
      </c>
      <c r="D207">
        <v>39.76</v>
      </c>
      <c r="E207">
        <v>1131</v>
      </c>
      <c r="F207">
        <v>0</v>
      </c>
      <c r="G207">
        <v>4093</v>
      </c>
      <c r="H207">
        <v>3149.5</v>
      </c>
      <c r="I207">
        <v>26510.3</v>
      </c>
    </row>
    <row r="208" spans="1:9">
      <c r="A208">
        <v>26606.6</v>
      </c>
      <c r="B208">
        <v>299</v>
      </c>
      <c r="C208">
        <v>6342.55</v>
      </c>
      <c r="D208">
        <v>39.75</v>
      </c>
      <c r="E208">
        <v>1176</v>
      </c>
      <c r="F208">
        <v>0</v>
      </c>
      <c r="G208">
        <v>3928</v>
      </c>
      <c r="H208">
        <v>3125.5</v>
      </c>
      <c r="I208">
        <v>26606.6</v>
      </c>
    </row>
    <row r="209" spans="1:9">
      <c r="A209">
        <v>26256.4</v>
      </c>
      <c r="B209">
        <v>299</v>
      </c>
      <c r="C209">
        <v>6351.39</v>
      </c>
      <c r="D209">
        <v>40.22</v>
      </c>
      <c r="E209">
        <v>1215</v>
      </c>
      <c r="F209">
        <v>0</v>
      </c>
      <c r="G209">
        <v>3627</v>
      </c>
      <c r="H209">
        <v>3138.1</v>
      </c>
      <c r="I209">
        <v>26256.4</v>
      </c>
    </row>
    <row r="210" spans="1:9">
      <c r="A210">
        <v>26528.3</v>
      </c>
      <c r="B210">
        <v>300</v>
      </c>
      <c r="C210">
        <v>6344.55</v>
      </c>
      <c r="D210">
        <v>39.77</v>
      </c>
      <c r="E210">
        <v>1242</v>
      </c>
      <c r="F210">
        <v>53</v>
      </c>
      <c r="G210">
        <v>4131</v>
      </c>
      <c r="H210">
        <v>3148.4</v>
      </c>
      <c r="I210">
        <v>26528.3</v>
      </c>
    </row>
    <row r="211" spans="1:9">
      <c r="A211">
        <v>26702.4</v>
      </c>
      <c r="B211">
        <v>299</v>
      </c>
      <c r="C211">
        <v>6350.59</v>
      </c>
      <c r="D211">
        <v>39.86</v>
      </c>
      <c r="E211">
        <v>1313</v>
      </c>
      <c r="F211">
        <v>53</v>
      </c>
      <c r="G211">
        <v>4125</v>
      </c>
      <c r="H211">
        <v>3162.3</v>
      </c>
      <c r="I211">
        <v>26702.4</v>
      </c>
    </row>
    <row r="212" spans="1:9">
      <c r="A212">
        <v>26822.3</v>
      </c>
      <c r="B212">
        <v>299</v>
      </c>
      <c r="C212">
        <v>6350.98</v>
      </c>
      <c r="D212">
        <v>40.66</v>
      </c>
      <c r="E212">
        <v>1426</v>
      </c>
      <c r="F212">
        <v>53</v>
      </c>
      <c r="G212">
        <v>3928</v>
      </c>
      <c r="H212">
        <v>3157</v>
      </c>
      <c r="I212">
        <v>26822.3</v>
      </c>
    </row>
    <row r="213" spans="1:9">
      <c r="A213">
        <v>26950</v>
      </c>
      <c r="B213">
        <v>299</v>
      </c>
      <c r="C213">
        <v>6343.35</v>
      </c>
      <c r="D213">
        <v>41.05</v>
      </c>
      <c r="E213">
        <v>1575</v>
      </c>
      <c r="F213">
        <v>53</v>
      </c>
      <c r="G213">
        <v>3926</v>
      </c>
      <c r="H213">
        <v>3162.6</v>
      </c>
      <c r="I213">
        <v>26950</v>
      </c>
    </row>
    <row r="214" spans="1:9">
      <c r="A214">
        <v>27555</v>
      </c>
      <c r="B214">
        <v>300</v>
      </c>
      <c r="C214">
        <v>6350.58</v>
      </c>
      <c r="D214">
        <v>41.56</v>
      </c>
      <c r="E214">
        <v>1729</v>
      </c>
      <c r="F214">
        <v>78</v>
      </c>
      <c r="G214">
        <v>4034</v>
      </c>
      <c r="H214">
        <v>3178.3</v>
      </c>
      <c r="I214">
        <v>27555</v>
      </c>
    </row>
    <row r="215" spans="1:9">
      <c r="A215">
        <v>28079.5</v>
      </c>
      <c r="B215">
        <v>300</v>
      </c>
      <c r="C215">
        <v>6352.99</v>
      </c>
      <c r="D215">
        <v>41.96</v>
      </c>
      <c r="E215">
        <v>1967</v>
      </c>
      <c r="F215">
        <v>158</v>
      </c>
      <c r="G215">
        <v>4206</v>
      </c>
      <c r="H215">
        <v>3178.7</v>
      </c>
      <c r="I215">
        <v>28079.5</v>
      </c>
    </row>
    <row r="216" spans="1:9">
      <c r="A216">
        <v>28492</v>
      </c>
      <c r="B216">
        <v>300</v>
      </c>
      <c r="C216">
        <v>6349.78</v>
      </c>
      <c r="D216">
        <v>41.4</v>
      </c>
      <c r="E216">
        <v>2162</v>
      </c>
      <c r="F216">
        <v>335</v>
      </c>
      <c r="G216">
        <v>4285</v>
      </c>
      <c r="H216">
        <v>3186.8</v>
      </c>
      <c r="I216">
        <v>28492</v>
      </c>
    </row>
    <row r="217" spans="1:9">
      <c r="A217">
        <v>28891.7</v>
      </c>
      <c r="B217">
        <v>299</v>
      </c>
      <c r="C217">
        <v>6352.59</v>
      </c>
      <c r="D217">
        <v>40.64</v>
      </c>
      <c r="E217">
        <v>2308</v>
      </c>
      <c r="F217">
        <v>574</v>
      </c>
      <c r="G217">
        <v>4778</v>
      </c>
      <c r="H217">
        <v>3181.3</v>
      </c>
      <c r="I217">
        <v>28891.7</v>
      </c>
    </row>
    <row r="218" spans="1:9">
      <c r="A218">
        <v>29484.4</v>
      </c>
      <c r="B218">
        <v>300</v>
      </c>
      <c r="C218">
        <v>6345.76</v>
      </c>
      <c r="D218">
        <v>40.65</v>
      </c>
      <c r="E218">
        <v>2298</v>
      </c>
      <c r="F218">
        <v>966</v>
      </c>
      <c r="G218">
        <v>5117</v>
      </c>
      <c r="H218">
        <v>3180</v>
      </c>
      <c r="I218">
        <v>29484.4</v>
      </c>
    </row>
    <row r="219" spans="1:9">
      <c r="A219">
        <v>29850.7</v>
      </c>
      <c r="B219">
        <v>300</v>
      </c>
      <c r="C219">
        <v>6343.36</v>
      </c>
      <c r="D219">
        <v>40.28</v>
      </c>
      <c r="E219">
        <v>2314</v>
      </c>
      <c r="F219">
        <v>1495</v>
      </c>
      <c r="G219">
        <v>5001</v>
      </c>
      <c r="H219">
        <v>3176.2</v>
      </c>
      <c r="I219">
        <v>29850.7</v>
      </c>
    </row>
    <row r="220" spans="1:9">
      <c r="A220">
        <v>30285.5</v>
      </c>
      <c r="B220">
        <v>300</v>
      </c>
      <c r="C220">
        <v>6347.76</v>
      </c>
      <c r="D220">
        <v>39.88</v>
      </c>
      <c r="E220">
        <v>2261</v>
      </c>
      <c r="F220">
        <v>2147</v>
      </c>
      <c r="G220">
        <v>4879</v>
      </c>
      <c r="H220">
        <v>3195.2</v>
      </c>
      <c r="I220">
        <v>30285.5</v>
      </c>
    </row>
    <row r="221" spans="1:9">
      <c r="A221">
        <v>30454.9</v>
      </c>
      <c r="B221">
        <v>299</v>
      </c>
      <c r="C221">
        <v>6346.96</v>
      </c>
      <c r="D221">
        <v>40.31</v>
      </c>
      <c r="E221">
        <v>2254</v>
      </c>
      <c r="F221">
        <v>2926</v>
      </c>
      <c r="G221">
        <v>4835</v>
      </c>
      <c r="H221">
        <v>3174.6</v>
      </c>
      <c r="I221">
        <v>30454.9</v>
      </c>
    </row>
    <row r="222" spans="1:9">
      <c r="A222">
        <v>31133.7</v>
      </c>
      <c r="B222">
        <v>300</v>
      </c>
      <c r="C222">
        <v>6348.97</v>
      </c>
      <c r="D222">
        <v>40.1</v>
      </c>
      <c r="E222">
        <v>2203</v>
      </c>
      <c r="F222">
        <v>3633</v>
      </c>
      <c r="G222">
        <v>4830</v>
      </c>
      <c r="H222">
        <v>3191.4</v>
      </c>
      <c r="I222">
        <v>31133.7</v>
      </c>
    </row>
    <row r="223" spans="1:9">
      <c r="A223">
        <v>31382.1</v>
      </c>
      <c r="B223">
        <v>299</v>
      </c>
      <c r="C223">
        <v>6342.55</v>
      </c>
      <c r="D223">
        <v>40.64</v>
      </c>
      <c r="E223">
        <v>2071</v>
      </c>
      <c r="F223">
        <v>4413</v>
      </c>
      <c r="G223">
        <v>4651</v>
      </c>
      <c r="H223">
        <v>3182</v>
      </c>
      <c r="I223">
        <v>31382.1</v>
      </c>
    </row>
    <row r="224" spans="1:9">
      <c r="A224">
        <v>31901.7</v>
      </c>
      <c r="B224">
        <v>300</v>
      </c>
      <c r="C224">
        <v>6348.58</v>
      </c>
      <c r="D224">
        <v>41.1</v>
      </c>
      <c r="E224">
        <v>1821</v>
      </c>
      <c r="F224">
        <v>5091</v>
      </c>
      <c r="G224">
        <v>4612</v>
      </c>
      <c r="H224">
        <v>3174.8</v>
      </c>
      <c r="I224">
        <v>31901.7</v>
      </c>
    </row>
    <row r="225" spans="1:9">
      <c r="A225">
        <v>32596.9</v>
      </c>
      <c r="B225">
        <v>300</v>
      </c>
      <c r="C225">
        <v>6348.57</v>
      </c>
      <c r="D225">
        <v>41.31</v>
      </c>
      <c r="E225">
        <v>1597</v>
      </c>
      <c r="F225">
        <v>6005</v>
      </c>
      <c r="G225">
        <v>5046</v>
      </c>
      <c r="H225">
        <v>3185.4</v>
      </c>
      <c r="I225">
        <v>32596.9</v>
      </c>
    </row>
    <row r="226" spans="1:9">
      <c r="A226">
        <v>33714.1</v>
      </c>
      <c r="B226">
        <v>300</v>
      </c>
      <c r="C226">
        <v>6345.36</v>
      </c>
      <c r="D226">
        <v>41.82</v>
      </c>
      <c r="E226">
        <v>1461</v>
      </c>
      <c r="F226">
        <v>6615</v>
      </c>
      <c r="G226">
        <v>4333</v>
      </c>
      <c r="H226">
        <v>3171.4</v>
      </c>
      <c r="I226">
        <v>33714.1</v>
      </c>
    </row>
    <row r="227" spans="1:9">
      <c r="A227">
        <v>34199.9</v>
      </c>
      <c r="B227">
        <v>300</v>
      </c>
      <c r="C227">
        <v>6344.55</v>
      </c>
      <c r="D227">
        <v>42.03</v>
      </c>
      <c r="E227">
        <v>1389</v>
      </c>
      <c r="F227">
        <v>7394</v>
      </c>
      <c r="G227">
        <v>4844</v>
      </c>
      <c r="H227">
        <v>3187.3</v>
      </c>
      <c r="I227">
        <v>34199.9</v>
      </c>
    </row>
    <row r="228" spans="1:9">
      <c r="A228">
        <v>34658.7</v>
      </c>
      <c r="B228">
        <v>228</v>
      </c>
      <c r="C228">
        <v>6344.95</v>
      </c>
      <c r="D228">
        <v>41.51</v>
      </c>
      <c r="E228">
        <v>1380</v>
      </c>
      <c r="F228">
        <v>7959</v>
      </c>
      <c r="G228">
        <v>5178</v>
      </c>
      <c r="H228">
        <v>3177</v>
      </c>
      <c r="I228">
        <v>34658.7</v>
      </c>
    </row>
    <row r="229" spans="1:9">
      <c r="A229">
        <v>35054</v>
      </c>
      <c r="B229">
        <v>228</v>
      </c>
      <c r="C229">
        <v>6349.38</v>
      </c>
      <c r="D229">
        <v>41.1</v>
      </c>
      <c r="E229">
        <v>1409</v>
      </c>
      <c r="F229">
        <v>8561</v>
      </c>
      <c r="G229">
        <v>6060</v>
      </c>
      <c r="H229">
        <v>3173.4</v>
      </c>
      <c r="I229">
        <v>35054</v>
      </c>
    </row>
    <row r="230" spans="1:9">
      <c r="A230">
        <v>35336.8</v>
      </c>
      <c r="B230">
        <v>231</v>
      </c>
      <c r="C230">
        <v>6351.38</v>
      </c>
      <c r="D230">
        <v>42.29</v>
      </c>
      <c r="E230">
        <v>1389</v>
      </c>
      <c r="F230">
        <v>8775</v>
      </c>
      <c r="G230">
        <v>6269</v>
      </c>
      <c r="H230">
        <v>3152</v>
      </c>
      <c r="I230">
        <v>35336.8</v>
      </c>
    </row>
    <row r="231" spans="1:9">
      <c r="A231">
        <v>35622.5</v>
      </c>
      <c r="B231">
        <v>229</v>
      </c>
      <c r="C231">
        <v>6344.56</v>
      </c>
      <c r="D231">
        <v>40.99</v>
      </c>
      <c r="E231">
        <v>1279</v>
      </c>
      <c r="F231">
        <v>9264</v>
      </c>
      <c r="G231">
        <v>6360</v>
      </c>
      <c r="H231">
        <v>3178.6</v>
      </c>
      <c r="I231">
        <v>35622.5</v>
      </c>
    </row>
    <row r="232" spans="1:9">
      <c r="A232">
        <v>36121.5</v>
      </c>
      <c r="B232">
        <v>229</v>
      </c>
      <c r="C232">
        <v>6352.6</v>
      </c>
      <c r="D232">
        <v>39.53</v>
      </c>
      <c r="E232">
        <v>1144</v>
      </c>
      <c r="F232">
        <v>9735</v>
      </c>
      <c r="G232">
        <v>6389</v>
      </c>
      <c r="H232">
        <v>3158.9</v>
      </c>
      <c r="I232">
        <v>36121.5</v>
      </c>
    </row>
    <row r="233" spans="1:9">
      <c r="A233">
        <v>36244.6</v>
      </c>
      <c r="B233">
        <v>230</v>
      </c>
      <c r="C233">
        <v>6343.34</v>
      </c>
      <c r="D233">
        <v>40.06</v>
      </c>
      <c r="E233">
        <v>1123</v>
      </c>
      <c r="F233">
        <v>10125</v>
      </c>
      <c r="G233">
        <v>6427</v>
      </c>
      <c r="H233">
        <v>3149.3</v>
      </c>
      <c r="I233">
        <v>36244.6</v>
      </c>
    </row>
    <row r="234" spans="1:9">
      <c r="A234">
        <v>36510.5</v>
      </c>
      <c r="B234">
        <v>230</v>
      </c>
      <c r="C234">
        <v>6329.28</v>
      </c>
      <c r="D234">
        <v>40.05</v>
      </c>
      <c r="E234">
        <v>1066</v>
      </c>
      <c r="F234">
        <v>10017</v>
      </c>
      <c r="G234">
        <v>6778</v>
      </c>
      <c r="H234">
        <v>3152.4</v>
      </c>
      <c r="I234">
        <v>36510.5</v>
      </c>
    </row>
    <row r="235" spans="1:9">
      <c r="A235">
        <v>36869.3</v>
      </c>
      <c r="B235">
        <v>227</v>
      </c>
      <c r="C235">
        <v>6329.67</v>
      </c>
      <c r="D235">
        <v>37.96</v>
      </c>
      <c r="E235">
        <v>1126</v>
      </c>
      <c r="F235">
        <v>10171</v>
      </c>
      <c r="G235">
        <v>6590</v>
      </c>
      <c r="H235">
        <v>3151.6</v>
      </c>
      <c r="I235">
        <v>36869.3</v>
      </c>
    </row>
    <row r="236" spans="1:9">
      <c r="A236">
        <v>37071.7</v>
      </c>
      <c r="B236">
        <v>227</v>
      </c>
      <c r="C236">
        <v>6330.48</v>
      </c>
      <c r="D236">
        <v>39.57</v>
      </c>
      <c r="E236">
        <v>1169</v>
      </c>
      <c r="F236">
        <v>10404</v>
      </c>
      <c r="G236">
        <v>6579</v>
      </c>
      <c r="H236">
        <v>3172.6</v>
      </c>
      <c r="I236">
        <v>37071.7</v>
      </c>
    </row>
    <row r="237" spans="1:9">
      <c r="A237">
        <v>36937.1</v>
      </c>
      <c r="B237">
        <v>225</v>
      </c>
      <c r="C237">
        <v>6322.45</v>
      </c>
      <c r="D237">
        <v>39.47</v>
      </c>
      <c r="E237">
        <v>1221</v>
      </c>
      <c r="F237">
        <v>10336</v>
      </c>
      <c r="G237">
        <v>6406</v>
      </c>
      <c r="H237">
        <v>3152.3</v>
      </c>
      <c r="I237">
        <v>36937.1</v>
      </c>
    </row>
    <row r="238" spans="1:9">
      <c r="A238">
        <v>37046.2</v>
      </c>
      <c r="B238">
        <v>225</v>
      </c>
      <c r="C238">
        <v>6342.94</v>
      </c>
      <c r="D238">
        <v>40.04</v>
      </c>
      <c r="E238">
        <v>1337</v>
      </c>
      <c r="F238">
        <v>10360</v>
      </c>
      <c r="G238">
        <v>6055</v>
      </c>
      <c r="H238">
        <v>3154.8</v>
      </c>
      <c r="I238">
        <v>37046.2</v>
      </c>
    </row>
    <row r="239" spans="1:9">
      <c r="A239">
        <v>36457.7</v>
      </c>
      <c r="B239">
        <v>225</v>
      </c>
      <c r="C239">
        <v>6345.76</v>
      </c>
      <c r="D239">
        <v>44.19</v>
      </c>
      <c r="E239">
        <v>1493</v>
      </c>
      <c r="F239">
        <v>10035</v>
      </c>
      <c r="G239">
        <v>5510</v>
      </c>
      <c r="H239">
        <v>3121.6</v>
      </c>
      <c r="I239">
        <v>36457.7</v>
      </c>
    </row>
    <row r="240" spans="1:9">
      <c r="A240">
        <v>36526.5</v>
      </c>
      <c r="B240">
        <v>226</v>
      </c>
      <c r="C240">
        <v>6344.14</v>
      </c>
      <c r="D240">
        <v>42.77</v>
      </c>
      <c r="E240">
        <v>1602</v>
      </c>
      <c r="F240">
        <v>9914</v>
      </c>
      <c r="G240">
        <v>5193</v>
      </c>
      <c r="H240">
        <v>3056.3</v>
      </c>
      <c r="I240">
        <v>36526.5</v>
      </c>
    </row>
    <row r="241" spans="1:9">
      <c r="A241">
        <v>36060.7</v>
      </c>
      <c r="B241">
        <v>229</v>
      </c>
      <c r="C241">
        <v>6346.16</v>
      </c>
      <c r="D241">
        <v>40.3</v>
      </c>
      <c r="E241">
        <v>1646</v>
      </c>
      <c r="F241">
        <v>9860</v>
      </c>
      <c r="G241">
        <v>4753</v>
      </c>
      <c r="H241">
        <v>3005.1</v>
      </c>
      <c r="I241">
        <v>36060.7</v>
      </c>
    </row>
    <row r="242" spans="1:9">
      <c r="A242">
        <v>36119.2</v>
      </c>
      <c r="B242">
        <v>230</v>
      </c>
      <c r="C242">
        <v>6346.97</v>
      </c>
      <c r="D242">
        <v>39.97</v>
      </c>
      <c r="E242">
        <v>1592</v>
      </c>
      <c r="F242">
        <v>9830</v>
      </c>
      <c r="G242">
        <v>4258</v>
      </c>
      <c r="H242">
        <v>3023</v>
      </c>
      <c r="I242">
        <v>36119.2</v>
      </c>
    </row>
    <row r="243" spans="1:9">
      <c r="A243">
        <v>36073.4</v>
      </c>
      <c r="B243">
        <v>229</v>
      </c>
      <c r="C243">
        <v>6348.57</v>
      </c>
      <c r="D243">
        <v>40.05</v>
      </c>
      <c r="E243">
        <v>1511</v>
      </c>
      <c r="F243">
        <v>9339</v>
      </c>
      <c r="G243">
        <v>4434</v>
      </c>
      <c r="H243">
        <v>3021.6</v>
      </c>
      <c r="I243">
        <v>36073.4</v>
      </c>
    </row>
    <row r="244" spans="1:9">
      <c r="A244">
        <v>36558.1</v>
      </c>
      <c r="B244">
        <v>229</v>
      </c>
      <c r="C244">
        <v>6344.56</v>
      </c>
      <c r="D244">
        <v>39.67</v>
      </c>
      <c r="E244">
        <v>1421</v>
      </c>
      <c r="F244">
        <v>8908</v>
      </c>
      <c r="G244">
        <v>4520</v>
      </c>
      <c r="H244">
        <v>3026.3</v>
      </c>
      <c r="I244">
        <v>36558.1</v>
      </c>
    </row>
    <row r="245" spans="1:9">
      <c r="A245">
        <v>36181</v>
      </c>
      <c r="B245">
        <v>229</v>
      </c>
      <c r="C245">
        <v>6346.16</v>
      </c>
      <c r="D245">
        <v>39.49</v>
      </c>
      <c r="E245">
        <v>1304</v>
      </c>
      <c r="F245">
        <v>8668</v>
      </c>
      <c r="G245">
        <v>5375</v>
      </c>
      <c r="H245">
        <v>3005.7</v>
      </c>
      <c r="I245">
        <v>36181</v>
      </c>
    </row>
    <row r="246" spans="1:9">
      <c r="A246">
        <v>36468.1</v>
      </c>
      <c r="B246">
        <v>229</v>
      </c>
      <c r="C246">
        <v>6349.38</v>
      </c>
      <c r="D246">
        <v>38.44</v>
      </c>
      <c r="E246">
        <v>1316</v>
      </c>
      <c r="F246">
        <v>8153</v>
      </c>
      <c r="G246">
        <v>6406</v>
      </c>
      <c r="H246">
        <v>3024.3</v>
      </c>
      <c r="I246">
        <v>36468.1</v>
      </c>
    </row>
    <row r="247" spans="1:9">
      <c r="A247">
        <v>36705</v>
      </c>
      <c r="B247">
        <v>229</v>
      </c>
      <c r="C247">
        <v>6343.34</v>
      </c>
      <c r="D247">
        <v>40.39</v>
      </c>
      <c r="E247">
        <v>1350</v>
      </c>
      <c r="F247">
        <v>7810</v>
      </c>
      <c r="G247">
        <v>6929</v>
      </c>
      <c r="H247">
        <v>3057.3</v>
      </c>
      <c r="I247">
        <v>36705</v>
      </c>
    </row>
    <row r="248" spans="1:9">
      <c r="A248">
        <v>36319.5</v>
      </c>
      <c r="B248">
        <v>229</v>
      </c>
      <c r="C248">
        <v>6349.37</v>
      </c>
      <c r="D248">
        <v>37.85</v>
      </c>
      <c r="E248">
        <v>1299</v>
      </c>
      <c r="F248">
        <v>7125</v>
      </c>
      <c r="G248">
        <v>7084</v>
      </c>
      <c r="H248">
        <v>3069.4</v>
      </c>
      <c r="I248">
        <v>36319.5</v>
      </c>
    </row>
    <row r="249" spans="1:9">
      <c r="A249">
        <v>36418.6</v>
      </c>
      <c r="B249">
        <v>229</v>
      </c>
      <c r="C249">
        <v>6345.36</v>
      </c>
      <c r="D249">
        <v>35.38</v>
      </c>
      <c r="E249">
        <v>1323</v>
      </c>
      <c r="F249">
        <v>7289</v>
      </c>
      <c r="G249">
        <v>6891</v>
      </c>
      <c r="H249">
        <v>3063.5</v>
      </c>
      <c r="I249">
        <v>36418.6</v>
      </c>
    </row>
    <row r="250" spans="1:9">
      <c r="A250">
        <v>36471.2</v>
      </c>
      <c r="B250">
        <v>229</v>
      </c>
      <c r="C250">
        <v>6348.56</v>
      </c>
      <c r="D250">
        <v>36.72</v>
      </c>
      <c r="E250">
        <v>1368</v>
      </c>
      <c r="F250">
        <v>6957</v>
      </c>
      <c r="G250">
        <v>7444</v>
      </c>
      <c r="H250">
        <v>3087.4</v>
      </c>
      <c r="I250">
        <v>36471.2</v>
      </c>
    </row>
    <row r="251" spans="1:9">
      <c r="A251">
        <v>36529.9</v>
      </c>
      <c r="B251">
        <v>229</v>
      </c>
      <c r="C251">
        <v>6348.17</v>
      </c>
      <c r="D251">
        <v>39.3</v>
      </c>
      <c r="E251">
        <v>1389</v>
      </c>
      <c r="F251">
        <v>6734</v>
      </c>
      <c r="G251">
        <v>7369</v>
      </c>
      <c r="H251">
        <v>3090.9</v>
      </c>
      <c r="I251">
        <v>36529.9</v>
      </c>
    </row>
    <row r="252" spans="1:9">
      <c r="A252">
        <v>36453.7</v>
      </c>
      <c r="B252">
        <v>229</v>
      </c>
      <c r="C252">
        <v>6347.78</v>
      </c>
      <c r="D252">
        <v>41</v>
      </c>
      <c r="E252">
        <v>1502</v>
      </c>
      <c r="F252">
        <v>6364</v>
      </c>
      <c r="G252">
        <v>7932</v>
      </c>
      <c r="H252">
        <v>3062.2</v>
      </c>
      <c r="I252">
        <v>36453.7</v>
      </c>
    </row>
    <row r="253" spans="1:9">
      <c r="A253">
        <v>36184.2</v>
      </c>
      <c r="B253">
        <v>229</v>
      </c>
      <c r="C253">
        <v>6348.18</v>
      </c>
      <c r="D253">
        <v>41.63</v>
      </c>
      <c r="E253">
        <v>1476</v>
      </c>
      <c r="F253">
        <v>5837</v>
      </c>
      <c r="G253">
        <v>7975</v>
      </c>
      <c r="H253">
        <v>3084.7</v>
      </c>
      <c r="I253">
        <v>36184.2</v>
      </c>
    </row>
    <row r="254" spans="1:9">
      <c r="A254">
        <v>36286.3</v>
      </c>
      <c r="B254">
        <v>229</v>
      </c>
      <c r="C254">
        <v>6346.56</v>
      </c>
      <c r="D254">
        <v>40.93</v>
      </c>
      <c r="E254">
        <v>1426</v>
      </c>
      <c r="F254">
        <v>5188</v>
      </c>
      <c r="G254">
        <v>7832</v>
      </c>
      <c r="H254">
        <v>3080.3</v>
      </c>
      <c r="I254">
        <v>36286.3</v>
      </c>
    </row>
    <row r="255" spans="1:9">
      <c r="A255">
        <v>36326.7</v>
      </c>
      <c r="B255">
        <v>228</v>
      </c>
      <c r="C255">
        <v>6342.56</v>
      </c>
      <c r="D255">
        <v>40.76</v>
      </c>
      <c r="E255">
        <v>1492</v>
      </c>
      <c r="F255">
        <v>4659</v>
      </c>
      <c r="G255">
        <v>7804</v>
      </c>
      <c r="H255">
        <v>3089.5</v>
      </c>
      <c r="I255">
        <v>36326.7</v>
      </c>
    </row>
    <row r="256" spans="1:9">
      <c r="A256">
        <v>36403.4</v>
      </c>
      <c r="B256">
        <v>229</v>
      </c>
      <c r="C256">
        <v>6345.76</v>
      </c>
      <c r="D256">
        <v>41.18</v>
      </c>
      <c r="E256">
        <v>1599</v>
      </c>
      <c r="F256">
        <v>4419</v>
      </c>
      <c r="G256">
        <v>7664</v>
      </c>
      <c r="H256">
        <v>3084.3</v>
      </c>
      <c r="I256">
        <v>36403.4</v>
      </c>
    </row>
    <row r="257" spans="1:9">
      <c r="A257">
        <v>36184.2</v>
      </c>
      <c r="B257">
        <v>290</v>
      </c>
      <c r="C257">
        <v>6353.8</v>
      </c>
      <c r="D257">
        <v>42.06</v>
      </c>
      <c r="E257">
        <v>1648</v>
      </c>
      <c r="F257">
        <v>3750</v>
      </c>
      <c r="G257">
        <v>7696</v>
      </c>
      <c r="H257">
        <v>3072</v>
      </c>
      <c r="I257">
        <v>36184.2</v>
      </c>
    </row>
    <row r="258" spans="1:9">
      <c r="A258">
        <v>36577.3</v>
      </c>
      <c r="B258">
        <v>327</v>
      </c>
      <c r="C258">
        <v>6338.52</v>
      </c>
      <c r="D258">
        <v>40.7</v>
      </c>
      <c r="E258">
        <v>1785</v>
      </c>
      <c r="F258">
        <v>3210</v>
      </c>
      <c r="G258">
        <v>7935</v>
      </c>
      <c r="H258">
        <v>3078.7</v>
      </c>
      <c r="I258">
        <v>36577.3</v>
      </c>
    </row>
    <row r="259" spans="1:9">
      <c r="A259">
        <v>36135</v>
      </c>
      <c r="B259">
        <v>327</v>
      </c>
      <c r="C259">
        <v>6348.56</v>
      </c>
      <c r="D259">
        <v>40.6</v>
      </c>
      <c r="E259">
        <v>1799</v>
      </c>
      <c r="F259">
        <v>2587</v>
      </c>
      <c r="G259">
        <v>7449</v>
      </c>
      <c r="H259">
        <v>3071.6</v>
      </c>
      <c r="I259">
        <v>36135</v>
      </c>
    </row>
    <row r="260" spans="1:9">
      <c r="A260">
        <v>35934.2</v>
      </c>
      <c r="B260">
        <v>388</v>
      </c>
      <c r="C260">
        <v>6337.72</v>
      </c>
      <c r="D260">
        <v>40.48</v>
      </c>
      <c r="E260">
        <v>1963</v>
      </c>
      <c r="F260">
        <v>2132</v>
      </c>
      <c r="G260">
        <v>6976</v>
      </c>
      <c r="H260">
        <v>3056.7</v>
      </c>
      <c r="I260">
        <v>35934.2</v>
      </c>
    </row>
    <row r="261" spans="1:9">
      <c r="A261">
        <v>35479</v>
      </c>
      <c r="B261">
        <v>398</v>
      </c>
      <c r="C261">
        <v>6341.35</v>
      </c>
      <c r="D261">
        <v>41.12</v>
      </c>
      <c r="E261">
        <v>2093</v>
      </c>
      <c r="F261">
        <v>1636</v>
      </c>
      <c r="G261">
        <v>7146</v>
      </c>
      <c r="H261">
        <v>3071.8</v>
      </c>
      <c r="I261">
        <v>35479</v>
      </c>
    </row>
    <row r="262" spans="1:9">
      <c r="A262">
        <v>35275.2</v>
      </c>
      <c r="B262">
        <v>397</v>
      </c>
      <c r="C262">
        <v>6343.35</v>
      </c>
      <c r="D262">
        <v>41.95</v>
      </c>
      <c r="E262">
        <v>2292</v>
      </c>
      <c r="F262">
        <v>1209</v>
      </c>
      <c r="G262">
        <v>6602</v>
      </c>
      <c r="H262">
        <v>3095.4</v>
      </c>
      <c r="I262">
        <v>35275.2</v>
      </c>
    </row>
    <row r="263" spans="1:9">
      <c r="A263">
        <v>35067.9</v>
      </c>
      <c r="B263">
        <v>398</v>
      </c>
      <c r="C263">
        <v>6347.37</v>
      </c>
      <c r="D263">
        <v>42.16</v>
      </c>
      <c r="E263">
        <v>2446</v>
      </c>
      <c r="F263">
        <v>825</v>
      </c>
      <c r="G263">
        <v>6623</v>
      </c>
      <c r="H263">
        <v>3065</v>
      </c>
      <c r="I263">
        <v>35067.9</v>
      </c>
    </row>
    <row r="264" spans="1:9">
      <c r="A264">
        <v>34790.4</v>
      </c>
      <c r="B264">
        <v>401</v>
      </c>
      <c r="C264">
        <v>6339.74</v>
      </c>
      <c r="D264">
        <v>42.99</v>
      </c>
      <c r="E264">
        <v>2667</v>
      </c>
      <c r="F264">
        <v>575</v>
      </c>
      <c r="G264">
        <v>6818</v>
      </c>
      <c r="H264">
        <v>3072.9</v>
      </c>
      <c r="I264">
        <v>34790.4</v>
      </c>
    </row>
    <row r="265" spans="1:9">
      <c r="A265">
        <v>34619.9</v>
      </c>
      <c r="B265">
        <v>402</v>
      </c>
      <c r="C265">
        <v>6343.75</v>
      </c>
      <c r="D265">
        <v>41.23</v>
      </c>
      <c r="E265">
        <v>3077</v>
      </c>
      <c r="F265">
        <v>364</v>
      </c>
      <c r="G265">
        <v>6775</v>
      </c>
      <c r="H265">
        <v>3077.9</v>
      </c>
      <c r="I265">
        <v>34619.9</v>
      </c>
    </row>
    <row r="266" spans="1:9">
      <c r="A266">
        <v>34743.7</v>
      </c>
      <c r="B266">
        <v>406</v>
      </c>
      <c r="C266">
        <v>6342.94</v>
      </c>
      <c r="D266">
        <v>41.79</v>
      </c>
      <c r="E266">
        <v>3552</v>
      </c>
      <c r="F266">
        <v>186</v>
      </c>
      <c r="G266">
        <v>6825</v>
      </c>
      <c r="H266">
        <v>3103.1</v>
      </c>
      <c r="I266">
        <v>34743.7</v>
      </c>
    </row>
    <row r="267" spans="1:9">
      <c r="A267">
        <v>34668.5</v>
      </c>
      <c r="B267">
        <v>407</v>
      </c>
      <c r="C267">
        <v>6342.55</v>
      </c>
      <c r="D267">
        <v>41.92</v>
      </c>
      <c r="E267">
        <v>4189</v>
      </c>
      <c r="F267">
        <v>99</v>
      </c>
      <c r="G267">
        <v>6856</v>
      </c>
      <c r="H267">
        <v>3083.1</v>
      </c>
      <c r="I267">
        <v>34668.5</v>
      </c>
    </row>
    <row r="268" spans="1:9">
      <c r="A268">
        <v>34939.7</v>
      </c>
      <c r="B268">
        <v>405</v>
      </c>
      <c r="C268">
        <v>6334.5</v>
      </c>
      <c r="D268">
        <v>41.5</v>
      </c>
      <c r="E268">
        <v>4757</v>
      </c>
      <c r="F268">
        <v>83</v>
      </c>
      <c r="G268">
        <v>6376</v>
      </c>
      <c r="H268">
        <v>3070</v>
      </c>
      <c r="I268">
        <v>34939.7</v>
      </c>
    </row>
    <row r="269" spans="1:9">
      <c r="A269">
        <v>35200.8</v>
      </c>
      <c r="B269">
        <v>406</v>
      </c>
      <c r="C269">
        <v>6346.17</v>
      </c>
      <c r="D269">
        <v>41.48</v>
      </c>
      <c r="E269">
        <v>5246</v>
      </c>
      <c r="F269">
        <v>82</v>
      </c>
      <c r="G269">
        <v>6383</v>
      </c>
      <c r="H269">
        <v>3078</v>
      </c>
      <c r="I269">
        <v>35200.8</v>
      </c>
    </row>
    <row r="270" spans="1:9">
      <c r="A270">
        <v>35236.1</v>
      </c>
      <c r="B270">
        <v>346</v>
      </c>
      <c r="C270">
        <v>6341.74</v>
      </c>
      <c r="D270">
        <v>41.4</v>
      </c>
      <c r="E270">
        <v>5578</v>
      </c>
      <c r="F270">
        <v>82</v>
      </c>
      <c r="G270">
        <v>7054</v>
      </c>
      <c r="H270">
        <v>3086.5</v>
      </c>
      <c r="I270">
        <v>35236.1</v>
      </c>
    </row>
    <row r="271" spans="1:9">
      <c r="A271">
        <v>35139.9</v>
      </c>
      <c r="B271">
        <v>345</v>
      </c>
      <c r="C271">
        <v>6340.53</v>
      </c>
      <c r="D271">
        <v>40.67</v>
      </c>
      <c r="E271">
        <v>5806</v>
      </c>
      <c r="F271">
        <v>82</v>
      </c>
      <c r="G271">
        <v>6822</v>
      </c>
      <c r="H271">
        <v>3067.5</v>
      </c>
      <c r="I271">
        <v>35139.9</v>
      </c>
    </row>
    <row r="272" spans="1:9">
      <c r="A272">
        <v>34799</v>
      </c>
      <c r="B272">
        <v>346</v>
      </c>
      <c r="C272">
        <v>6343.35</v>
      </c>
      <c r="D272">
        <v>39.85</v>
      </c>
      <c r="E272">
        <v>6066</v>
      </c>
      <c r="F272">
        <v>82</v>
      </c>
      <c r="G272">
        <v>6592</v>
      </c>
      <c r="H272">
        <v>3070.9</v>
      </c>
      <c r="I272">
        <v>34799</v>
      </c>
    </row>
    <row r="273" spans="1:9">
      <c r="A273">
        <v>34426.1</v>
      </c>
      <c r="B273">
        <v>345</v>
      </c>
      <c r="C273">
        <v>6347.78</v>
      </c>
      <c r="D273">
        <v>38.93</v>
      </c>
      <c r="E273">
        <v>6282</v>
      </c>
      <c r="F273">
        <v>85</v>
      </c>
      <c r="G273">
        <v>6478</v>
      </c>
      <c r="H273">
        <v>3060.5</v>
      </c>
      <c r="I273">
        <v>34426.1</v>
      </c>
    </row>
    <row r="274" spans="1:9">
      <c r="A274">
        <v>34283.2</v>
      </c>
      <c r="B274">
        <v>310</v>
      </c>
      <c r="C274">
        <v>6340.12</v>
      </c>
      <c r="D274">
        <v>39.26</v>
      </c>
      <c r="E274">
        <v>6274</v>
      </c>
      <c r="F274">
        <v>0</v>
      </c>
      <c r="G274">
        <v>6312</v>
      </c>
      <c r="H274">
        <v>3027.2</v>
      </c>
      <c r="I274">
        <v>34283.2</v>
      </c>
    </row>
    <row r="275" spans="1:9">
      <c r="A275">
        <v>33956.8</v>
      </c>
      <c r="B275">
        <v>311</v>
      </c>
      <c r="C275">
        <v>6336.91</v>
      </c>
      <c r="D275">
        <v>41.7</v>
      </c>
      <c r="E275">
        <v>6318</v>
      </c>
      <c r="F275">
        <v>0</v>
      </c>
      <c r="G275">
        <v>5847</v>
      </c>
      <c r="H275">
        <v>3036.1</v>
      </c>
      <c r="I275">
        <v>33956.8</v>
      </c>
    </row>
    <row r="276" spans="1:9">
      <c r="A276">
        <v>33324.8</v>
      </c>
      <c r="B276">
        <v>311</v>
      </c>
      <c r="C276">
        <v>6349.38</v>
      </c>
      <c r="D276">
        <v>41.29</v>
      </c>
      <c r="E276">
        <v>6461</v>
      </c>
      <c r="F276">
        <v>0</v>
      </c>
      <c r="G276">
        <v>5526</v>
      </c>
      <c r="H276">
        <v>3032.7</v>
      </c>
      <c r="I276">
        <v>33324.8</v>
      </c>
    </row>
    <row r="277" spans="1:9">
      <c r="A277">
        <v>33090.8</v>
      </c>
      <c r="B277">
        <v>310</v>
      </c>
      <c r="C277">
        <v>6350.18</v>
      </c>
      <c r="D277">
        <v>41.28</v>
      </c>
      <c r="E277">
        <v>6537</v>
      </c>
      <c r="F277">
        <v>0</v>
      </c>
      <c r="G277">
        <v>5645</v>
      </c>
      <c r="H277">
        <v>3058.9</v>
      </c>
      <c r="I277">
        <v>33090.8</v>
      </c>
    </row>
    <row r="278" spans="1:9">
      <c r="A278">
        <v>32549.9</v>
      </c>
      <c r="B278">
        <v>310</v>
      </c>
      <c r="C278">
        <v>6343.35</v>
      </c>
      <c r="D278">
        <v>39.68</v>
      </c>
      <c r="E278">
        <v>6460</v>
      </c>
      <c r="F278">
        <v>0</v>
      </c>
      <c r="G278">
        <v>5564</v>
      </c>
      <c r="H278">
        <v>3012.3</v>
      </c>
      <c r="I278">
        <v>32549.9</v>
      </c>
    </row>
    <row r="279" spans="1:9">
      <c r="A279">
        <v>32073.8</v>
      </c>
      <c r="B279">
        <v>310</v>
      </c>
      <c r="C279">
        <v>6335.31</v>
      </c>
      <c r="D279">
        <v>39.14</v>
      </c>
      <c r="E279">
        <v>6481</v>
      </c>
      <c r="F279">
        <v>0</v>
      </c>
      <c r="G279">
        <v>5733</v>
      </c>
      <c r="H279">
        <v>3017.4</v>
      </c>
      <c r="I279">
        <v>32073.8</v>
      </c>
    </row>
    <row r="280" spans="1:9">
      <c r="A280">
        <v>31470.9</v>
      </c>
      <c r="B280">
        <v>310</v>
      </c>
      <c r="C280">
        <v>6336.92</v>
      </c>
      <c r="D280">
        <v>39.36</v>
      </c>
      <c r="E280">
        <v>6556</v>
      </c>
      <c r="F280">
        <v>0</v>
      </c>
      <c r="G280">
        <v>5491</v>
      </c>
      <c r="H280">
        <v>3040.6</v>
      </c>
      <c r="I280">
        <v>31470.9</v>
      </c>
    </row>
    <row r="281" spans="1:9">
      <c r="A281">
        <v>30990.6</v>
      </c>
      <c r="B281">
        <v>310</v>
      </c>
      <c r="C281">
        <v>6342.14</v>
      </c>
      <c r="D281">
        <v>38.42</v>
      </c>
      <c r="E281">
        <v>6461</v>
      </c>
      <c r="F281">
        <v>0</v>
      </c>
      <c r="G281">
        <v>5822</v>
      </c>
      <c r="H281">
        <v>3091.1</v>
      </c>
      <c r="I281">
        <v>30990.6</v>
      </c>
    </row>
    <row r="282" spans="1:9">
      <c r="A282">
        <v>31187.3</v>
      </c>
      <c r="B282">
        <v>310</v>
      </c>
      <c r="C282">
        <v>6344.15</v>
      </c>
      <c r="D282">
        <v>39.04</v>
      </c>
      <c r="E282">
        <v>6159</v>
      </c>
      <c r="F282">
        <v>0</v>
      </c>
      <c r="G282">
        <v>6320</v>
      </c>
      <c r="H282">
        <v>3122.9</v>
      </c>
      <c r="I282">
        <v>31187.3</v>
      </c>
    </row>
    <row r="283" spans="1:9">
      <c r="A283">
        <v>30576.6</v>
      </c>
      <c r="B283">
        <v>309</v>
      </c>
      <c r="C283">
        <v>6350.58</v>
      </c>
      <c r="D283">
        <v>38.66</v>
      </c>
      <c r="E283">
        <v>6008</v>
      </c>
      <c r="F283">
        <v>0</v>
      </c>
      <c r="G283">
        <v>6188</v>
      </c>
      <c r="H283">
        <v>3141.1</v>
      </c>
      <c r="I283">
        <v>30576.6</v>
      </c>
    </row>
    <row r="284" spans="1:9">
      <c r="A284">
        <v>30068.1</v>
      </c>
      <c r="B284">
        <v>310</v>
      </c>
      <c r="C284">
        <v>6336.52</v>
      </c>
      <c r="D284">
        <v>37.62</v>
      </c>
      <c r="E284">
        <v>5778</v>
      </c>
      <c r="F284">
        <v>0</v>
      </c>
      <c r="G284">
        <v>5393</v>
      </c>
      <c r="H284">
        <v>3124.9</v>
      </c>
      <c r="I284">
        <v>30068.1</v>
      </c>
    </row>
    <row r="285" spans="1:9">
      <c r="A285">
        <v>29614.3</v>
      </c>
      <c r="B285">
        <v>311</v>
      </c>
      <c r="C285">
        <v>6340.13</v>
      </c>
      <c r="D285">
        <v>38.59</v>
      </c>
      <c r="E285">
        <v>5698</v>
      </c>
      <c r="F285">
        <v>0</v>
      </c>
      <c r="G285">
        <v>4774</v>
      </c>
      <c r="H285">
        <v>3123.6</v>
      </c>
      <c r="I285">
        <v>29614.3</v>
      </c>
    </row>
    <row r="286" spans="1:9">
      <c r="A286">
        <v>29419</v>
      </c>
      <c r="B286">
        <v>310</v>
      </c>
      <c r="C286">
        <v>6336.9</v>
      </c>
      <c r="D286">
        <v>39.36</v>
      </c>
      <c r="E286">
        <v>5424</v>
      </c>
      <c r="F286">
        <v>0</v>
      </c>
      <c r="G286">
        <v>4820</v>
      </c>
      <c r="H286">
        <v>3106</v>
      </c>
      <c r="I286">
        <v>29419</v>
      </c>
    </row>
    <row r="287" spans="1:9">
      <c r="A287">
        <v>29019.5</v>
      </c>
      <c r="B287">
        <v>311</v>
      </c>
      <c r="C287">
        <v>6350.18</v>
      </c>
      <c r="D287">
        <v>39.59</v>
      </c>
      <c r="E287">
        <v>5009</v>
      </c>
      <c r="F287">
        <v>0</v>
      </c>
      <c r="G287">
        <v>4341</v>
      </c>
      <c r="H287">
        <v>3103.9</v>
      </c>
      <c r="I287">
        <v>29019.5</v>
      </c>
    </row>
    <row r="288" spans="1:9">
      <c r="A288">
        <v>28611.5</v>
      </c>
      <c r="B288">
        <v>311</v>
      </c>
      <c r="C288">
        <v>6342.55</v>
      </c>
      <c r="D288">
        <v>40.83</v>
      </c>
      <c r="E288">
        <v>4628</v>
      </c>
      <c r="F288">
        <v>0</v>
      </c>
      <c r="G288">
        <v>3689</v>
      </c>
      <c r="H288">
        <v>3128.7</v>
      </c>
      <c r="I288">
        <v>28611.5</v>
      </c>
    </row>
    <row r="289" spans="1:9">
      <c r="A289">
        <v>28326.5</v>
      </c>
      <c r="B289">
        <v>311</v>
      </c>
      <c r="C289">
        <v>6336.11</v>
      </c>
      <c r="D289">
        <v>40.05</v>
      </c>
      <c r="E289">
        <v>4320</v>
      </c>
      <c r="F289">
        <v>0</v>
      </c>
      <c r="G289">
        <v>3034</v>
      </c>
      <c r="H289">
        <v>3148.8</v>
      </c>
      <c r="I289">
        <v>28326.5</v>
      </c>
    </row>
    <row r="290" spans="1:9">
      <c r="A290">
        <v>28278.8</v>
      </c>
      <c r="B290">
        <v>349</v>
      </c>
      <c r="C290">
        <v>6342.15</v>
      </c>
      <c r="D290">
        <v>39.42</v>
      </c>
      <c r="E290">
        <v>4306</v>
      </c>
      <c r="F290">
        <v>0</v>
      </c>
      <c r="G290">
        <v>2432</v>
      </c>
      <c r="H290">
        <v>3142.2</v>
      </c>
      <c r="I290">
        <v>28278.8</v>
      </c>
    </row>
    <row r="291" spans="1:9">
      <c r="A291">
        <v>27842.3</v>
      </c>
      <c r="B291">
        <v>348</v>
      </c>
      <c r="C291">
        <v>6341.74</v>
      </c>
      <c r="D291">
        <v>39</v>
      </c>
      <c r="E291">
        <v>3961</v>
      </c>
      <c r="F291">
        <v>0</v>
      </c>
      <c r="G291">
        <v>2098</v>
      </c>
      <c r="H291">
        <v>3134</v>
      </c>
      <c r="I291">
        <v>27842.3</v>
      </c>
    </row>
    <row r="292" spans="1:9">
      <c r="A292">
        <v>27620.7</v>
      </c>
      <c r="B292">
        <v>349</v>
      </c>
      <c r="C292">
        <v>6344.16</v>
      </c>
      <c r="D292">
        <v>39.09</v>
      </c>
      <c r="E292">
        <v>3778</v>
      </c>
      <c r="F292">
        <v>0</v>
      </c>
      <c r="G292">
        <v>1921</v>
      </c>
      <c r="H292">
        <v>3098.1</v>
      </c>
      <c r="I292">
        <v>27620.7</v>
      </c>
    </row>
    <row r="293" spans="1:9">
      <c r="A293">
        <v>27534.5</v>
      </c>
      <c r="B293">
        <v>348</v>
      </c>
      <c r="C293">
        <v>6334.51</v>
      </c>
      <c r="D293">
        <v>38.76</v>
      </c>
      <c r="E293">
        <v>3540</v>
      </c>
      <c r="F293">
        <v>0</v>
      </c>
      <c r="G293">
        <v>2019</v>
      </c>
      <c r="H293">
        <v>3134.3</v>
      </c>
      <c r="I293">
        <v>27534.5</v>
      </c>
    </row>
    <row r="294" spans="1:9">
      <c r="A294">
        <v>27291.8</v>
      </c>
      <c r="B294">
        <v>348</v>
      </c>
      <c r="C294">
        <v>6345.35</v>
      </c>
      <c r="D294">
        <v>38.5</v>
      </c>
      <c r="E294">
        <v>3412</v>
      </c>
      <c r="F294">
        <v>0</v>
      </c>
      <c r="G294">
        <v>1570</v>
      </c>
      <c r="H294">
        <v>3145.3</v>
      </c>
      <c r="I294">
        <v>27291.8</v>
      </c>
    </row>
    <row r="295" spans="1:9">
      <c r="A295">
        <v>27349.1</v>
      </c>
      <c r="B295">
        <v>349</v>
      </c>
      <c r="C295">
        <v>6342.55</v>
      </c>
      <c r="D295">
        <v>38.85</v>
      </c>
      <c r="E295">
        <v>3327</v>
      </c>
      <c r="F295">
        <v>0</v>
      </c>
      <c r="G295">
        <v>1798</v>
      </c>
      <c r="H295">
        <v>3069.8</v>
      </c>
      <c r="I295">
        <v>27349.1</v>
      </c>
    </row>
    <row r="296" spans="1:9">
      <c r="A296">
        <v>27052.9</v>
      </c>
      <c r="B296">
        <v>349</v>
      </c>
      <c r="C296">
        <v>6340.94</v>
      </c>
      <c r="D296">
        <v>39.5</v>
      </c>
      <c r="E296">
        <v>3285</v>
      </c>
      <c r="F296">
        <v>0</v>
      </c>
      <c r="G296">
        <v>1613</v>
      </c>
      <c r="H296">
        <v>3070.2</v>
      </c>
      <c r="I296">
        <v>27052.9</v>
      </c>
    </row>
    <row r="297" spans="1:9">
      <c r="A297">
        <v>26904.4</v>
      </c>
      <c r="B297">
        <v>349</v>
      </c>
      <c r="C297">
        <v>6346.57</v>
      </c>
      <c r="D297">
        <v>39.59</v>
      </c>
      <c r="E297">
        <v>3185</v>
      </c>
      <c r="F297">
        <v>0</v>
      </c>
      <c r="G297">
        <v>1730</v>
      </c>
      <c r="H297">
        <v>3083.4</v>
      </c>
      <c r="I297">
        <v>26904.4</v>
      </c>
    </row>
    <row r="298" spans="1:9">
      <c r="A298">
        <v>26774.3</v>
      </c>
      <c r="B298">
        <v>349</v>
      </c>
      <c r="C298">
        <v>6339.73</v>
      </c>
      <c r="D298">
        <v>39.41</v>
      </c>
      <c r="E298">
        <v>2952</v>
      </c>
      <c r="F298">
        <v>0</v>
      </c>
      <c r="G298">
        <v>2104</v>
      </c>
      <c r="H298">
        <v>3050.3</v>
      </c>
      <c r="I298">
        <v>26774.3</v>
      </c>
    </row>
    <row r="299" spans="1:9">
      <c r="A299">
        <v>26814.3</v>
      </c>
      <c r="B299">
        <v>349</v>
      </c>
      <c r="C299">
        <v>6357.81</v>
      </c>
      <c r="D299">
        <v>38.92</v>
      </c>
      <c r="E299">
        <v>2748</v>
      </c>
      <c r="F299">
        <v>0</v>
      </c>
      <c r="G299">
        <v>2212</v>
      </c>
      <c r="H299">
        <v>3024.2</v>
      </c>
      <c r="I299">
        <v>26814.3</v>
      </c>
    </row>
    <row r="300" spans="1:9">
      <c r="A300">
        <v>26634</v>
      </c>
      <c r="B300">
        <v>348</v>
      </c>
      <c r="C300">
        <v>6341.74</v>
      </c>
      <c r="D300">
        <v>39.04</v>
      </c>
      <c r="E300">
        <v>2637</v>
      </c>
      <c r="F300">
        <v>0</v>
      </c>
      <c r="G300">
        <v>2102</v>
      </c>
      <c r="H300">
        <v>3032.9</v>
      </c>
      <c r="I300">
        <v>26634</v>
      </c>
    </row>
    <row r="301" spans="1:9">
      <c r="A301">
        <v>26545.7</v>
      </c>
      <c r="B301">
        <v>349</v>
      </c>
      <c r="C301">
        <v>6340.13</v>
      </c>
      <c r="D301">
        <v>39.1</v>
      </c>
      <c r="E301">
        <v>2524</v>
      </c>
      <c r="F301">
        <v>0</v>
      </c>
      <c r="G301">
        <v>2080</v>
      </c>
      <c r="H301">
        <v>3048.5</v>
      </c>
      <c r="I301">
        <v>26545.7</v>
      </c>
    </row>
    <row r="302" spans="1:9">
      <c r="A302">
        <v>26587.6</v>
      </c>
      <c r="B302">
        <v>349</v>
      </c>
      <c r="C302">
        <v>6337.72</v>
      </c>
      <c r="D302">
        <v>40.15</v>
      </c>
      <c r="E302">
        <v>2499</v>
      </c>
      <c r="F302">
        <v>0</v>
      </c>
      <c r="G302">
        <v>2267</v>
      </c>
      <c r="H302">
        <v>3018.4</v>
      </c>
      <c r="I302">
        <v>26587.6</v>
      </c>
    </row>
    <row r="303" spans="1:9">
      <c r="A303">
        <v>26359.6</v>
      </c>
      <c r="B303">
        <v>348</v>
      </c>
      <c r="C303">
        <v>6337.72</v>
      </c>
      <c r="D303">
        <v>40.5</v>
      </c>
      <c r="E303">
        <v>2406</v>
      </c>
      <c r="F303">
        <v>0</v>
      </c>
      <c r="G303">
        <v>2184</v>
      </c>
      <c r="H303">
        <v>3010.2</v>
      </c>
      <c r="I303">
        <v>26359.6</v>
      </c>
    </row>
    <row r="304" spans="1:9">
      <c r="A304">
        <v>26438.6</v>
      </c>
      <c r="B304">
        <v>348</v>
      </c>
      <c r="C304">
        <v>6344.95</v>
      </c>
      <c r="D304">
        <v>40.93</v>
      </c>
      <c r="E304">
        <v>2424</v>
      </c>
      <c r="F304">
        <v>0</v>
      </c>
      <c r="G304">
        <v>2060</v>
      </c>
      <c r="H304">
        <v>3018.9</v>
      </c>
      <c r="I304">
        <v>26438.6</v>
      </c>
    </row>
    <row r="305" spans="1:9">
      <c r="A305">
        <v>26385.4</v>
      </c>
      <c r="B305">
        <v>348</v>
      </c>
      <c r="C305">
        <v>6340.53</v>
      </c>
      <c r="D305">
        <v>40.91</v>
      </c>
      <c r="E305">
        <v>2468</v>
      </c>
      <c r="F305">
        <v>0</v>
      </c>
      <c r="G305">
        <v>2018</v>
      </c>
      <c r="H305">
        <v>3037.7</v>
      </c>
      <c r="I305">
        <v>26385.4</v>
      </c>
    </row>
    <row r="306" spans="1:9">
      <c r="A306">
        <v>26470.9</v>
      </c>
      <c r="B306">
        <v>348</v>
      </c>
      <c r="C306">
        <v>6345.36</v>
      </c>
      <c r="D306">
        <v>40.84</v>
      </c>
      <c r="E306">
        <v>2482</v>
      </c>
      <c r="F306">
        <v>81</v>
      </c>
      <c r="G306">
        <v>2015</v>
      </c>
      <c r="H306">
        <v>3024.3</v>
      </c>
      <c r="I306">
        <v>26470.9</v>
      </c>
    </row>
    <row r="307" spans="1:9">
      <c r="A307">
        <v>26656.3</v>
      </c>
      <c r="B307">
        <v>310</v>
      </c>
      <c r="C307">
        <v>6341.74</v>
      </c>
      <c r="D307">
        <v>40.23</v>
      </c>
      <c r="E307">
        <v>2471</v>
      </c>
      <c r="F307">
        <v>81</v>
      </c>
      <c r="G307">
        <v>2025</v>
      </c>
      <c r="H307">
        <v>3010.3</v>
      </c>
      <c r="I307">
        <v>26656.3</v>
      </c>
    </row>
    <row r="308" spans="1:9">
      <c r="A308">
        <v>26696.6</v>
      </c>
      <c r="B308">
        <v>310</v>
      </c>
      <c r="C308">
        <v>6338.12</v>
      </c>
      <c r="D308">
        <v>39.85</v>
      </c>
      <c r="E308">
        <v>2576</v>
      </c>
      <c r="F308">
        <v>81</v>
      </c>
      <c r="G308">
        <v>1955</v>
      </c>
      <c r="H308">
        <v>2978</v>
      </c>
      <c r="I308">
        <v>26696.6</v>
      </c>
    </row>
    <row r="309" spans="1:9">
      <c r="A309">
        <v>26814.3</v>
      </c>
      <c r="B309">
        <v>310</v>
      </c>
      <c r="C309">
        <v>6341.75</v>
      </c>
      <c r="D309">
        <v>39.49</v>
      </c>
      <c r="E309">
        <v>2687</v>
      </c>
      <c r="F309">
        <v>81</v>
      </c>
      <c r="G309">
        <v>1821</v>
      </c>
      <c r="H309">
        <v>3000.3</v>
      </c>
      <c r="I309">
        <v>26814.3</v>
      </c>
    </row>
    <row r="310" spans="1:9">
      <c r="A310">
        <v>27137.5</v>
      </c>
      <c r="B310">
        <v>310</v>
      </c>
      <c r="C310">
        <v>6344.55</v>
      </c>
      <c r="D310">
        <v>39.13</v>
      </c>
      <c r="E310">
        <v>2827</v>
      </c>
      <c r="F310">
        <v>82</v>
      </c>
      <c r="G310">
        <v>1923</v>
      </c>
      <c r="H310">
        <v>3010.1</v>
      </c>
      <c r="I310">
        <v>27137.5</v>
      </c>
    </row>
    <row r="311" spans="1:9">
      <c r="A311">
        <v>27612.8</v>
      </c>
      <c r="B311">
        <v>310</v>
      </c>
      <c r="C311">
        <v>6342.54</v>
      </c>
      <c r="D311">
        <v>39.5</v>
      </c>
      <c r="E311">
        <v>2879</v>
      </c>
      <c r="F311">
        <v>118</v>
      </c>
      <c r="G311">
        <v>1674</v>
      </c>
      <c r="H311">
        <v>3010.7</v>
      </c>
      <c r="I311">
        <v>27612.8</v>
      </c>
    </row>
    <row r="312" spans="1:9">
      <c r="A312">
        <v>28290.4</v>
      </c>
      <c r="B312">
        <v>311</v>
      </c>
      <c r="C312">
        <v>6336.11</v>
      </c>
      <c r="D312">
        <v>39.81</v>
      </c>
      <c r="E312">
        <v>2722</v>
      </c>
      <c r="F312">
        <v>163</v>
      </c>
      <c r="G312">
        <v>1563</v>
      </c>
      <c r="H312">
        <v>3032.5</v>
      </c>
      <c r="I312">
        <v>28290.4</v>
      </c>
    </row>
    <row r="313" spans="1:9">
      <c r="A313">
        <v>28742.1</v>
      </c>
      <c r="B313">
        <v>310</v>
      </c>
      <c r="C313">
        <v>6335.3</v>
      </c>
      <c r="D313">
        <v>40.24</v>
      </c>
      <c r="E313">
        <v>2595</v>
      </c>
      <c r="F313">
        <v>279</v>
      </c>
      <c r="G313">
        <v>2077</v>
      </c>
      <c r="H313">
        <v>3027.4</v>
      </c>
      <c r="I313">
        <v>28742.1</v>
      </c>
    </row>
    <row r="314" spans="1:9">
      <c r="A314">
        <v>29523</v>
      </c>
      <c r="B314">
        <v>311</v>
      </c>
      <c r="C314">
        <v>6340.13</v>
      </c>
      <c r="D314">
        <v>41.11</v>
      </c>
      <c r="E314">
        <v>2413</v>
      </c>
      <c r="F314">
        <v>412</v>
      </c>
      <c r="G314">
        <v>2634</v>
      </c>
      <c r="H314">
        <v>3054.7</v>
      </c>
      <c r="I314">
        <v>29523</v>
      </c>
    </row>
    <row r="315" spans="1:9">
      <c r="A315">
        <v>29854.3</v>
      </c>
      <c r="B315">
        <v>310</v>
      </c>
      <c r="C315">
        <v>6340.14</v>
      </c>
      <c r="D315">
        <v>42.15</v>
      </c>
      <c r="E315">
        <v>2395</v>
      </c>
      <c r="F315">
        <v>608</v>
      </c>
      <c r="G315">
        <v>3012</v>
      </c>
      <c r="H315">
        <v>3075.2</v>
      </c>
      <c r="I315">
        <v>29854.3</v>
      </c>
    </row>
    <row r="316" spans="1:9">
      <c r="A316">
        <v>30196.1</v>
      </c>
      <c r="B316">
        <v>311</v>
      </c>
      <c r="C316">
        <v>6334.1</v>
      </c>
      <c r="D316">
        <v>41.46</v>
      </c>
      <c r="E316">
        <v>2336</v>
      </c>
      <c r="F316">
        <v>773</v>
      </c>
      <c r="G316">
        <v>3562</v>
      </c>
      <c r="H316">
        <v>3076.2</v>
      </c>
      <c r="I316">
        <v>30196.1</v>
      </c>
    </row>
    <row r="317" spans="1:9">
      <c r="A317">
        <v>30717.8</v>
      </c>
      <c r="B317">
        <v>311</v>
      </c>
      <c r="C317">
        <v>6344.55</v>
      </c>
      <c r="D317">
        <v>40.66</v>
      </c>
      <c r="E317">
        <v>2148</v>
      </c>
      <c r="F317">
        <v>1097</v>
      </c>
      <c r="G317">
        <v>4120</v>
      </c>
      <c r="H317">
        <v>3092.9</v>
      </c>
      <c r="I317">
        <v>30717.8</v>
      </c>
    </row>
    <row r="318" spans="1:9">
      <c r="A318">
        <v>31342.5</v>
      </c>
      <c r="B318">
        <v>310</v>
      </c>
      <c r="C318">
        <v>6336.52</v>
      </c>
      <c r="D318">
        <v>40.58</v>
      </c>
      <c r="E318">
        <v>1802</v>
      </c>
      <c r="F318">
        <v>1400</v>
      </c>
      <c r="G318">
        <v>4831</v>
      </c>
      <c r="H318">
        <v>3101.2</v>
      </c>
      <c r="I318">
        <v>31342.5</v>
      </c>
    </row>
    <row r="319" spans="1:9">
      <c r="A319">
        <v>31754.7</v>
      </c>
      <c r="B319">
        <v>310</v>
      </c>
      <c r="C319">
        <v>6340.14</v>
      </c>
      <c r="D319">
        <v>40.4</v>
      </c>
      <c r="E319">
        <v>1561</v>
      </c>
      <c r="F319">
        <v>1563</v>
      </c>
      <c r="G319">
        <v>5356</v>
      </c>
      <c r="H319">
        <v>3102</v>
      </c>
      <c r="I319">
        <v>31754.7</v>
      </c>
    </row>
    <row r="320" spans="1:9">
      <c r="A320">
        <v>32042.9</v>
      </c>
      <c r="B320">
        <v>310</v>
      </c>
      <c r="C320">
        <v>6340.54</v>
      </c>
      <c r="D320">
        <v>39.89</v>
      </c>
      <c r="E320">
        <v>1288</v>
      </c>
      <c r="F320">
        <v>1824</v>
      </c>
      <c r="G320">
        <v>5615</v>
      </c>
      <c r="H320">
        <v>3099.4</v>
      </c>
      <c r="I320">
        <v>32042.9</v>
      </c>
    </row>
    <row r="321" spans="1:9">
      <c r="A321">
        <v>32541.4</v>
      </c>
      <c r="B321">
        <v>310</v>
      </c>
      <c r="C321">
        <v>6334.91</v>
      </c>
      <c r="D321">
        <v>40.54</v>
      </c>
      <c r="E321">
        <v>1121</v>
      </c>
      <c r="F321">
        <v>2030</v>
      </c>
      <c r="G321">
        <v>5682</v>
      </c>
      <c r="H321">
        <v>3081.6</v>
      </c>
      <c r="I321">
        <v>32541.4</v>
      </c>
    </row>
    <row r="322" spans="1:9">
      <c r="A322">
        <v>33245.6</v>
      </c>
      <c r="B322">
        <v>236</v>
      </c>
      <c r="C322">
        <v>6334.12</v>
      </c>
      <c r="D322">
        <v>40.75</v>
      </c>
      <c r="E322">
        <v>975</v>
      </c>
      <c r="F322">
        <v>2414</v>
      </c>
      <c r="G322">
        <v>6180</v>
      </c>
      <c r="H322">
        <v>3075.1</v>
      </c>
      <c r="I322">
        <v>33245.6</v>
      </c>
    </row>
    <row r="323" spans="1:9">
      <c r="A323">
        <v>33625.9</v>
      </c>
      <c r="B323">
        <v>237</v>
      </c>
      <c r="C323">
        <v>6336.92</v>
      </c>
      <c r="D323">
        <v>41.79</v>
      </c>
      <c r="E323">
        <v>907</v>
      </c>
      <c r="F323">
        <v>2751</v>
      </c>
      <c r="G323">
        <v>6517</v>
      </c>
      <c r="H323">
        <v>3060.6</v>
      </c>
      <c r="I323">
        <v>33625.9</v>
      </c>
    </row>
    <row r="324" spans="1:9">
      <c r="A324">
        <v>33933.3</v>
      </c>
      <c r="B324">
        <v>233</v>
      </c>
      <c r="C324">
        <v>6346.16</v>
      </c>
      <c r="D324">
        <v>41.77</v>
      </c>
      <c r="E324">
        <v>875</v>
      </c>
      <c r="F324">
        <v>3184</v>
      </c>
      <c r="G324">
        <v>7075</v>
      </c>
      <c r="H324">
        <v>3031</v>
      </c>
      <c r="I324">
        <v>33933.3</v>
      </c>
    </row>
    <row r="325" spans="1:9">
      <c r="A325">
        <v>34190.1</v>
      </c>
      <c r="B325">
        <v>228</v>
      </c>
      <c r="C325">
        <v>6344.14</v>
      </c>
      <c r="D325">
        <v>41.98</v>
      </c>
      <c r="E325">
        <v>877</v>
      </c>
      <c r="F325">
        <v>3415</v>
      </c>
      <c r="G325">
        <v>6968</v>
      </c>
      <c r="H325">
        <v>3023.1</v>
      </c>
      <c r="I325">
        <v>34190.1</v>
      </c>
    </row>
    <row r="326" spans="1:9">
      <c r="A326">
        <v>34474.2</v>
      </c>
      <c r="B326">
        <v>228</v>
      </c>
      <c r="C326">
        <v>6348.18</v>
      </c>
      <c r="D326">
        <v>42.3</v>
      </c>
      <c r="E326">
        <v>889</v>
      </c>
      <c r="F326">
        <v>3982</v>
      </c>
      <c r="G326">
        <v>7329</v>
      </c>
      <c r="H326">
        <v>3010.8</v>
      </c>
      <c r="I326">
        <v>34474.2</v>
      </c>
    </row>
    <row r="327" spans="1:9">
      <c r="A327">
        <v>34768.7</v>
      </c>
      <c r="B327">
        <v>228</v>
      </c>
      <c r="C327">
        <v>6339.73</v>
      </c>
      <c r="D327">
        <v>41.53</v>
      </c>
      <c r="E327">
        <v>1001</v>
      </c>
      <c r="F327">
        <v>4249</v>
      </c>
      <c r="G327">
        <v>7302</v>
      </c>
      <c r="H327">
        <v>2973.3</v>
      </c>
      <c r="I327">
        <v>34768.7</v>
      </c>
    </row>
    <row r="328" spans="1:9">
      <c r="A328">
        <v>34647.2</v>
      </c>
      <c r="B328">
        <v>228</v>
      </c>
      <c r="C328">
        <v>6345.76</v>
      </c>
      <c r="D328">
        <v>42.15</v>
      </c>
      <c r="E328">
        <v>1054</v>
      </c>
      <c r="F328">
        <v>4401</v>
      </c>
      <c r="G328">
        <v>7139</v>
      </c>
      <c r="H328">
        <v>3024</v>
      </c>
      <c r="I328">
        <v>34647.2</v>
      </c>
    </row>
    <row r="329" spans="1:9">
      <c r="A329">
        <v>34560.5</v>
      </c>
      <c r="B329">
        <v>228</v>
      </c>
      <c r="C329">
        <v>6338.93</v>
      </c>
      <c r="D329">
        <v>39.61</v>
      </c>
      <c r="E329">
        <v>1133</v>
      </c>
      <c r="F329">
        <v>4617</v>
      </c>
      <c r="G329">
        <v>6640</v>
      </c>
      <c r="H329">
        <v>3017.9</v>
      </c>
      <c r="I329">
        <v>34560.5</v>
      </c>
    </row>
    <row r="330" spans="1:9">
      <c r="A330">
        <v>34775.3</v>
      </c>
      <c r="B330">
        <v>228</v>
      </c>
      <c r="C330">
        <v>6341.34</v>
      </c>
      <c r="D330">
        <v>41.08</v>
      </c>
      <c r="E330">
        <v>1111</v>
      </c>
      <c r="F330">
        <v>4973</v>
      </c>
      <c r="G330">
        <v>7125</v>
      </c>
      <c r="H330">
        <v>3016.3</v>
      </c>
      <c r="I330">
        <v>34775.3</v>
      </c>
    </row>
    <row r="331" spans="1:9">
      <c r="A331">
        <v>35263.7</v>
      </c>
      <c r="B331">
        <v>228</v>
      </c>
      <c r="C331">
        <v>6341.34</v>
      </c>
      <c r="D331">
        <v>41.27</v>
      </c>
      <c r="E331">
        <v>1043</v>
      </c>
      <c r="F331">
        <v>5309</v>
      </c>
      <c r="G331">
        <v>6558</v>
      </c>
      <c r="H331">
        <v>3034.7</v>
      </c>
      <c r="I331">
        <v>35263.7</v>
      </c>
    </row>
    <row r="332" spans="1:9">
      <c r="A332">
        <v>34968.5</v>
      </c>
      <c r="B332">
        <v>230</v>
      </c>
      <c r="C332">
        <v>6340.93</v>
      </c>
      <c r="D332">
        <v>40.9</v>
      </c>
      <c r="E332">
        <v>932</v>
      </c>
      <c r="F332">
        <v>5366</v>
      </c>
      <c r="G332">
        <v>6343</v>
      </c>
      <c r="H332">
        <v>3019.2</v>
      </c>
      <c r="I332">
        <v>34968.5</v>
      </c>
    </row>
    <row r="333" spans="1:9">
      <c r="A333">
        <v>35344.1</v>
      </c>
      <c r="B333">
        <v>230</v>
      </c>
      <c r="C333">
        <v>6335.71</v>
      </c>
      <c r="D333">
        <v>40.74</v>
      </c>
      <c r="E333">
        <v>792</v>
      </c>
      <c r="F333">
        <v>5841</v>
      </c>
      <c r="G333">
        <v>6033</v>
      </c>
      <c r="H333">
        <v>3036.6</v>
      </c>
      <c r="I333">
        <v>35344.1</v>
      </c>
    </row>
    <row r="334" spans="1:9">
      <c r="A334">
        <v>35394.1</v>
      </c>
      <c r="B334">
        <v>230</v>
      </c>
      <c r="C334">
        <v>6334.51</v>
      </c>
      <c r="D334">
        <v>41.08</v>
      </c>
      <c r="E334">
        <v>687</v>
      </c>
      <c r="F334">
        <v>5688</v>
      </c>
      <c r="G334">
        <v>6039</v>
      </c>
      <c r="H334">
        <v>3038.3</v>
      </c>
      <c r="I334">
        <v>35394.1</v>
      </c>
    </row>
    <row r="335" spans="1:9">
      <c r="A335">
        <v>34467</v>
      </c>
      <c r="B335">
        <v>230</v>
      </c>
      <c r="C335">
        <v>6342.95</v>
      </c>
      <c r="D335">
        <v>41.81</v>
      </c>
      <c r="E335">
        <v>634</v>
      </c>
      <c r="F335">
        <v>5014</v>
      </c>
      <c r="G335">
        <v>5298</v>
      </c>
      <c r="H335">
        <v>3030.1</v>
      </c>
      <c r="I335">
        <v>34467</v>
      </c>
    </row>
    <row r="336" spans="1:9">
      <c r="A336">
        <v>34518.5</v>
      </c>
      <c r="B336">
        <v>230</v>
      </c>
      <c r="C336">
        <v>6336.91</v>
      </c>
      <c r="D336">
        <v>41.12</v>
      </c>
      <c r="E336">
        <v>554</v>
      </c>
      <c r="F336">
        <v>4922</v>
      </c>
      <c r="G336">
        <v>5154</v>
      </c>
      <c r="H336">
        <v>3031.3</v>
      </c>
      <c r="I336">
        <v>34518.5</v>
      </c>
    </row>
    <row r="337" spans="1:9">
      <c r="A337">
        <v>34169.3</v>
      </c>
      <c r="B337">
        <v>230</v>
      </c>
      <c r="C337">
        <v>6344.95</v>
      </c>
      <c r="D337">
        <v>39.9</v>
      </c>
      <c r="E337">
        <v>495</v>
      </c>
      <c r="F337">
        <v>4807</v>
      </c>
      <c r="G337">
        <v>4821</v>
      </c>
      <c r="H337">
        <v>3035.3</v>
      </c>
      <c r="I337">
        <v>34169.3</v>
      </c>
    </row>
    <row r="338" spans="1:9">
      <c r="A338">
        <v>34316.6</v>
      </c>
      <c r="B338">
        <v>230</v>
      </c>
      <c r="C338">
        <v>6341.34</v>
      </c>
      <c r="D338">
        <v>40.7</v>
      </c>
      <c r="E338">
        <v>446</v>
      </c>
      <c r="F338">
        <v>4788</v>
      </c>
      <c r="G338">
        <v>4696</v>
      </c>
      <c r="H338">
        <v>3021.1</v>
      </c>
      <c r="I338">
        <v>34316.6</v>
      </c>
    </row>
    <row r="339" spans="1:9">
      <c r="A339">
        <v>34224.1</v>
      </c>
      <c r="B339">
        <v>230</v>
      </c>
      <c r="C339">
        <v>6338.52</v>
      </c>
      <c r="D339">
        <v>41.02</v>
      </c>
      <c r="E339">
        <v>382</v>
      </c>
      <c r="F339">
        <v>4550</v>
      </c>
      <c r="G339">
        <v>4967</v>
      </c>
      <c r="H339">
        <v>3033.8</v>
      </c>
      <c r="I339">
        <v>34224.1</v>
      </c>
    </row>
    <row r="340" spans="1:9">
      <c r="A340">
        <v>34354.4</v>
      </c>
      <c r="B340">
        <v>230</v>
      </c>
      <c r="C340">
        <v>6338.13</v>
      </c>
      <c r="D340">
        <v>40</v>
      </c>
      <c r="E340">
        <v>286</v>
      </c>
      <c r="F340">
        <v>4193</v>
      </c>
      <c r="G340">
        <v>4599</v>
      </c>
      <c r="H340">
        <v>3028.6</v>
      </c>
      <c r="I340">
        <v>34354.4</v>
      </c>
    </row>
    <row r="341" spans="1:9">
      <c r="A341">
        <v>34647.1</v>
      </c>
      <c r="B341">
        <v>230</v>
      </c>
      <c r="C341">
        <v>6336.91</v>
      </c>
      <c r="D341">
        <v>42.86</v>
      </c>
      <c r="E341">
        <v>228</v>
      </c>
      <c r="F341">
        <v>4092</v>
      </c>
      <c r="G341">
        <v>4650</v>
      </c>
      <c r="H341">
        <v>3020.8</v>
      </c>
      <c r="I341">
        <v>34647.1</v>
      </c>
    </row>
    <row r="342" spans="1:9">
      <c r="A342">
        <v>35066.2</v>
      </c>
      <c r="B342">
        <v>230</v>
      </c>
      <c r="C342">
        <v>6346.56</v>
      </c>
      <c r="D342">
        <v>44.05</v>
      </c>
      <c r="E342">
        <v>202</v>
      </c>
      <c r="F342">
        <v>3828</v>
      </c>
      <c r="G342">
        <v>4716</v>
      </c>
      <c r="H342">
        <v>3026</v>
      </c>
      <c r="I342">
        <v>35066.2</v>
      </c>
    </row>
    <row r="343" spans="1:9">
      <c r="A343">
        <v>35061.2</v>
      </c>
      <c r="B343">
        <v>230</v>
      </c>
      <c r="C343">
        <v>6341.74</v>
      </c>
      <c r="D343">
        <v>42.38</v>
      </c>
      <c r="E343">
        <v>157</v>
      </c>
      <c r="F343">
        <v>3527</v>
      </c>
      <c r="G343">
        <v>4248</v>
      </c>
      <c r="H343">
        <v>3041.2</v>
      </c>
      <c r="I343">
        <v>35061.2</v>
      </c>
    </row>
    <row r="344" spans="1:9">
      <c r="A344">
        <v>35284.3</v>
      </c>
      <c r="B344">
        <v>230</v>
      </c>
      <c r="C344">
        <v>6336.91</v>
      </c>
      <c r="D344">
        <v>42</v>
      </c>
      <c r="E344">
        <v>223</v>
      </c>
      <c r="F344">
        <v>3209</v>
      </c>
      <c r="G344">
        <v>4392</v>
      </c>
      <c r="H344">
        <v>3052.5</v>
      </c>
      <c r="I344">
        <v>35284.3</v>
      </c>
    </row>
    <row r="345" spans="1:9">
      <c r="A345">
        <v>35200</v>
      </c>
      <c r="B345">
        <v>229</v>
      </c>
      <c r="C345">
        <v>6346.55</v>
      </c>
      <c r="D345">
        <v>43.01</v>
      </c>
      <c r="E345">
        <v>230</v>
      </c>
      <c r="F345">
        <v>2990</v>
      </c>
      <c r="G345">
        <v>4653</v>
      </c>
      <c r="H345">
        <v>3035.7</v>
      </c>
      <c r="I345">
        <v>35200</v>
      </c>
    </row>
    <row r="346" spans="1:9">
      <c r="A346">
        <v>35280.9</v>
      </c>
      <c r="B346">
        <v>226</v>
      </c>
      <c r="C346">
        <v>6338.93</v>
      </c>
      <c r="D346">
        <v>42.29</v>
      </c>
      <c r="E346">
        <v>253</v>
      </c>
      <c r="F346">
        <v>2778</v>
      </c>
      <c r="G346">
        <v>5039</v>
      </c>
      <c r="H346">
        <v>3011.5</v>
      </c>
      <c r="I346">
        <v>35280.9</v>
      </c>
    </row>
    <row r="347" spans="1:9">
      <c r="A347">
        <v>35256.1</v>
      </c>
      <c r="B347">
        <v>225</v>
      </c>
      <c r="C347">
        <v>6337.32</v>
      </c>
      <c r="D347">
        <v>41.98</v>
      </c>
      <c r="E347">
        <v>243</v>
      </c>
      <c r="F347">
        <v>2487</v>
      </c>
      <c r="G347">
        <v>4968</v>
      </c>
      <c r="H347">
        <v>3026.6</v>
      </c>
      <c r="I347">
        <v>35256.1</v>
      </c>
    </row>
    <row r="348" spans="1:9">
      <c r="A348">
        <v>35223.3</v>
      </c>
      <c r="B348">
        <v>225</v>
      </c>
      <c r="C348">
        <v>6333.3</v>
      </c>
      <c r="D348">
        <v>40.84</v>
      </c>
      <c r="E348">
        <v>235</v>
      </c>
      <c r="F348">
        <v>2253</v>
      </c>
      <c r="G348">
        <v>5104</v>
      </c>
      <c r="H348">
        <v>2984.8</v>
      </c>
      <c r="I348">
        <v>35223.3</v>
      </c>
    </row>
    <row r="349" spans="1:9">
      <c r="A349">
        <v>35072.3</v>
      </c>
      <c r="B349">
        <v>225</v>
      </c>
      <c r="C349">
        <v>6340.14</v>
      </c>
      <c r="D349">
        <v>40.79</v>
      </c>
      <c r="E349">
        <v>274</v>
      </c>
      <c r="F349">
        <v>1944</v>
      </c>
      <c r="G349">
        <v>5383</v>
      </c>
      <c r="H349">
        <v>3003.8</v>
      </c>
      <c r="I349">
        <v>35072.3</v>
      </c>
    </row>
    <row r="350" spans="1:9">
      <c r="A350">
        <v>35510.3</v>
      </c>
      <c r="B350">
        <v>225</v>
      </c>
      <c r="C350">
        <v>6332.9</v>
      </c>
      <c r="D350">
        <v>40.91</v>
      </c>
      <c r="E350">
        <v>358</v>
      </c>
      <c r="F350">
        <v>1662</v>
      </c>
      <c r="G350">
        <v>6125</v>
      </c>
      <c r="H350">
        <v>2992.9</v>
      </c>
      <c r="I350">
        <v>35510.3</v>
      </c>
    </row>
    <row r="351" spans="1:9">
      <c r="A351">
        <v>35473.2</v>
      </c>
      <c r="B351">
        <v>225</v>
      </c>
      <c r="C351">
        <v>6349.77</v>
      </c>
      <c r="D351">
        <v>42.29</v>
      </c>
      <c r="E351">
        <v>347</v>
      </c>
      <c r="F351">
        <v>1459</v>
      </c>
      <c r="G351">
        <v>6652</v>
      </c>
      <c r="H351">
        <v>3003.2</v>
      </c>
      <c r="I351">
        <v>35473.2</v>
      </c>
    </row>
    <row r="352" spans="1:9">
      <c r="A352">
        <v>35226.3</v>
      </c>
      <c r="B352">
        <v>225</v>
      </c>
      <c r="C352">
        <v>6350.57</v>
      </c>
      <c r="D352">
        <v>44.73</v>
      </c>
      <c r="E352">
        <v>352</v>
      </c>
      <c r="F352">
        <v>1408</v>
      </c>
      <c r="G352">
        <v>7107</v>
      </c>
      <c r="H352">
        <v>3033.8</v>
      </c>
      <c r="I352">
        <v>35226.3</v>
      </c>
    </row>
    <row r="353" spans="1:9">
      <c r="A353">
        <v>35340.3</v>
      </c>
      <c r="B353">
        <v>225</v>
      </c>
      <c r="C353">
        <v>6321.65</v>
      </c>
      <c r="D353">
        <v>44.99</v>
      </c>
      <c r="E353">
        <v>403</v>
      </c>
      <c r="F353">
        <v>1158</v>
      </c>
      <c r="G353">
        <v>7637</v>
      </c>
      <c r="H353">
        <v>3025.6</v>
      </c>
      <c r="I353">
        <v>35340.3</v>
      </c>
    </row>
    <row r="354" spans="1:9">
      <c r="A354">
        <v>35231.3</v>
      </c>
      <c r="B354">
        <v>225</v>
      </c>
      <c r="C354">
        <v>6340.13</v>
      </c>
      <c r="D354">
        <v>44.51</v>
      </c>
      <c r="E354">
        <v>366</v>
      </c>
      <c r="F354">
        <v>992</v>
      </c>
      <c r="G354">
        <v>8176</v>
      </c>
      <c r="H354">
        <v>2960.3</v>
      </c>
      <c r="I354">
        <v>35231.3</v>
      </c>
    </row>
    <row r="355" spans="1:9">
      <c r="A355">
        <v>35228.5</v>
      </c>
      <c r="B355">
        <v>224</v>
      </c>
      <c r="C355">
        <v>6334.92</v>
      </c>
      <c r="D355">
        <v>44.73</v>
      </c>
      <c r="E355">
        <v>477</v>
      </c>
      <c r="F355">
        <v>869</v>
      </c>
      <c r="G355">
        <v>8218</v>
      </c>
      <c r="H355">
        <v>2941.7</v>
      </c>
      <c r="I355">
        <v>35228.5</v>
      </c>
    </row>
    <row r="356" spans="1:9">
      <c r="A356">
        <v>34775.5</v>
      </c>
      <c r="B356">
        <v>225</v>
      </c>
      <c r="C356">
        <v>6342.95</v>
      </c>
      <c r="D356">
        <v>43.7</v>
      </c>
      <c r="E356">
        <v>566</v>
      </c>
      <c r="F356">
        <v>687</v>
      </c>
      <c r="G356">
        <v>7968</v>
      </c>
      <c r="H356">
        <v>2956</v>
      </c>
      <c r="I356">
        <v>34775.5</v>
      </c>
    </row>
    <row r="357" spans="1:9">
      <c r="A357">
        <v>34381</v>
      </c>
      <c r="B357">
        <v>225</v>
      </c>
      <c r="C357">
        <v>6337.72</v>
      </c>
      <c r="D357">
        <v>42.42</v>
      </c>
      <c r="E357">
        <v>651</v>
      </c>
      <c r="F357">
        <v>562</v>
      </c>
      <c r="G357">
        <v>7800</v>
      </c>
      <c r="H357">
        <v>2952.2</v>
      </c>
      <c r="I357">
        <v>34381</v>
      </c>
    </row>
    <row r="358" spans="1:9">
      <c r="A358">
        <v>34311</v>
      </c>
      <c r="B358">
        <v>225</v>
      </c>
      <c r="C358">
        <v>6338.12</v>
      </c>
      <c r="D358">
        <v>40.59</v>
      </c>
      <c r="E358">
        <v>642</v>
      </c>
      <c r="F358">
        <v>436</v>
      </c>
      <c r="G358">
        <v>8094</v>
      </c>
      <c r="H358">
        <v>2961</v>
      </c>
      <c r="I358">
        <v>34311</v>
      </c>
    </row>
    <row r="359" spans="1:9">
      <c r="A359">
        <v>34072.5</v>
      </c>
      <c r="B359">
        <v>225</v>
      </c>
      <c r="C359">
        <v>6344.55</v>
      </c>
      <c r="D359">
        <v>40.61</v>
      </c>
      <c r="E359">
        <v>687</v>
      </c>
      <c r="F359">
        <v>344</v>
      </c>
      <c r="G359">
        <v>8160</v>
      </c>
      <c r="H359">
        <v>2954.5</v>
      </c>
      <c r="I359">
        <v>34072.5</v>
      </c>
    </row>
    <row r="360" spans="1:9">
      <c r="A360">
        <v>33967.3</v>
      </c>
      <c r="B360">
        <v>225</v>
      </c>
      <c r="C360">
        <v>6349.38</v>
      </c>
      <c r="D360">
        <v>39.28</v>
      </c>
      <c r="E360">
        <v>729</v>
      </c>
      <c r="F360">
        <v>238</v>
      </c>
      <c r="G360">
        <v>8403</v>
      </c>
      <c r="H360">
        <v>2973.7</v>
      </c>
      <c r="I360">
        <v>33967.3</v>
      </c>
    </row>
    <row r="361" spans="1:9">
      <c r="A361">
        <v>33976</v>
      </c>
      <c r="B361">
        <v>225</v>
      </c>
      <c r="C361">
        <v>6339.73</v>
      </c>
      <c r="D361">
        <v>39.81</v>
      </c>
      <c r="E361">
        <v>758</v>
      </c>
      <c r="F361">
        <v>166</v>
      </c>
      <c r="G361">
        <v>8540</v>
      </c>
      <c r="H361">
        <v>2981</v>
      </c>
      <c r="I361">
        <v>33976</v>
      </c>
    </row>
    <row r="362" spans="1:9">
      <c r="A362">
        <v>33903.1</v>
      </c>
      <c r="B362">
        <v>225</v>
      </c>
      <c r="C362">
        <v>6348.16</v>
      </c>
      <c r="D362">
        <v>38.91</v>
      </c>
      <c r="E362">
        <v>761</v>
      </c>
      <c r="F362">
        <v>97</v>
      </c>
      <c r="G362">
        <v>8489</v>
      </c>
      <c r="H362">
        <v>3009.8</v>
      </c>
      <c r="I362">
        <v>33903.1</v>
      </c>
    </row>
    <row r="363" spans="1:9">
      <c r="A363">
        <v>33864</v>
      </c>
      <c r="B363">
        <v>225</v>
      </c>
      <c r="C363">
        <v>6332.09</v>
      </c>
      <c r="D363">
        <v>40.83</v>
      </c>
      <c r="E363">
        <v>763</v>
      </c>
      <c r="F363">
        <v>60</v>
      </c>
      <c r="G363">
        <v>8309</v>
      </c>
      <c r="H363">
        <v>2993.2</v>
      </c>
      <c r="I363">
        <v>33864</v>
      </c>
    </row>
    <row r="364" spans="1:9">
      <c r="A364">
        <v>34300.3</v>
      </c>
      <c r="B364">
        <v>225</v>
      </c>
      <c r="C364">
        <v>6330.1</v>
      </c>
      <c r="D364">
        <v>41.53</v>
      </c>
      <c r="E364">
        <v>886</v>
      </c>
      <c r="F364">
        <v>59</v>
      </c>
      <c r="G364">
        <v>7923</v>
      </c>
      <c r="H364">
        <v>2999.5</v>
      </c>
      <c r="I364">
        <v>34300.3</v>
      </c>
    </row>
    <row r="365" spans="1:9">
      <c r="A365">
        <v>34242.6</v>
      </c>
      <c r="B365">
        <v>225</v>
      </c>
      <c r="C365">
        <v>6336.11</v>
      </c>
      <c r="D365">
        <v>41.98</v>
      </c>
      <c r="E365">
        <v>948</v>
      </c>
      <c r="F365">
        <v>57</v>
      </c>
      <c r="G365">
        <v>7588</v>
      </c>
      <c r="H365">
        <v>3027.5</v>
      </c>
      <c r="I365">
        <v>34242.6</v>
      </c>
    </row>
    <row r="366" spans="1:9">
      <c r="A366">
        <v>34512.1</v>
      </c>
      <c r="B366">
        <v>225</v>
      </c>
      <c r="C366">
        <v>6332.49</v>
      </c>
      <c r="D366">
        <v>40.95</v>
      </c>
      <c r="E366">
        <v>1077</v>
      </c>
      <c r="F366">
        <v>57</v>
      </c>
      <c r="G366">
        <v>7526</v>
      </c>
      <c r="H366">
        <v>3012.5</v>
      </c>
      <c r="I366">
        <v>34512.1</v>
      </c>
    </row>
    <row r="367" spans="1:9">
      <c r="A367">
        <v>34468</v>
      </c>
      <c r="B367">
        <v>225</v>
      </c>
      <c r="C367">
        <v>6331.69</v>
      </c>
      <c r="D367">
        <v>41.31</v>
      </c>
      <c r="E367">
        <v>1164</v>
      </c>
      <c r="F367">
        <v>57</v>
      </c>
      <c r="G367">
        <v>7652</v>
      </c>
      <c r="H367">
        <v>2993.2</v>
      </c>
      <c r="I367">
        <v>34468</v>
      </c>
    </row>
    <row r="368" spans="1:9">
      <c r="A368">
        <v>34295.6</v>
      </c>
      <c r="B368">
        <v>225</v>
      </c>
      <c r="C368">
        <v>6345.76</v>
      </c>
      <c r="D368">
        <v>40.46</v>
      </c>
      <c r="E368">
        <v>1299</v>
      </c>
      <c r="F368">
        <v>57</v>
      </c>
      <c r="G368">
        <v>7744</v>
      </c>
      <c r="H368">
        <v>2989.5</v>
      </c>
      <c r="I368">
        <v>34295.6</v>
      </c>
    </row>
    <row r="369" spans="1:9">
      <c r="A369">
        <v>33871.9</v>
      </c>
      <c r="B369">
        <v>225</v>
      </c>
      <c r="C369">
        <v>6338.12</v>
      </c>
      <c r="D369">
        <v>39.56</v>
      </c>
      <c r="E369">
        <v>1372</v>
      </c>
      <c r="F369">
        <v>57</v>
      </c>
      <c r="G369">
        <v>7178</v>
      </c>
      <c r="H369">
        <v>2982.8</v>
      </c>
      <c r="I369">
        <v>33871.9</v>
      </c>
    </row>
    <row r="370" spans="1:9">
      <c r="A370">
        <v>33720.6</v>
      </c>
      <c r="B370">
        <v>225</v>
      </c>
      <c r="C370">
        <v>6340.54</v>
      </c>
      <c r="D370">
        <v>38.67</v>
      </c>
      <c r="E370">
        <v>1449</v>
      </c>
      <c r="F370">
        <v>0</v>
      </c>
      <c r="G370">
        <v>7441</v>
      </c>
      <c r="H370">
        <v>2963.9</v>
      </c>
      <c r="I370">
        <v>33720.6</v>
      </c>
    </row>
    <row r="371" spans="1:9">
      <c r="A371">
        <v>33487.5</v>
      </c>
      <c r="B371">
        <v>224</v>
      </c>
      <c r="C371">
        <v>6344.55</v>
      </c>
      <c r="D371">
        <v>38.35</v>
      </c>
      <c r="E371">
        <v>1520</v>
      </c>
      <c r="F371">
        <v>0</v>
      </c>
      <c r="G371">
        <v>7003</v>
      </c>
      <c r="H371">
        <v>2947.9</v>
      </c>
      <c r="I371">
        <v>33487.5</v>
      </c>
    </row>
    <row r="372" spans="1:9">
      <c r="A372">
        <v>33205.9</v>
      </c>
      <c r="B372">
        <v>224</v>
      </c>
      <c r="C372">
        <v>6343.74</v>
      </c>
      <c r="D372">
        <v>38.55</v>
      </c>
      <c r="E372">
        <v>1500</v>
      </c>
      <c r="F372">
        <v>0</v>
      </c>
      <c r="G372">
        <v>7126</v>
      </c>
      <c r="H372">
        <v>2942.1</v>
      </c>
      <c r="I372">
        <v>33205.9</v>
      </c>
    </row>
    <row r="373" spans="1:9">
      <c r="A373">
        <v>32374</v>
      </c>
      <c r="B373">
        <v>225</v>
      </c>
      <c r="C373">
        <v>6333.29</v>
      </c>
      <c r="D373">
        <v>37.41</v>
      </c>
      <c r="E373">
        <v>1409</v>
      </c>
      <c r="F373">
        <v>0</v>
      </c>
      <c r="G373">
        <v>7111</v>
      </c>
      <c r="H373">
        <v>2957.9</v>
      </c>
      <c r="I373">
        <v>32374</v>
      </c>
    </row>
    <row r="374" spans="1:9">
      <c r="A374">
        <v>32318.2</v>
      </c>
      <c r="B374">
        <v>224</v>
      </c>
      <c r="C374">
        <v>6344.14</v>
      </c>
      <c r="D374">
        <v>37.41</v>
      </c>
      <c r="E374">
        <v>1369</v>
      </c>
      <c r="F374">
        <v>0</v>
      </c>
      <c r="G374">
        <v>7387</v>
      </c>
      <c r="H374">
        <v>2940.5</v>
      </c>
      <c r="I374">
        <v>32318.2</v>
      </c>
    </row>
    <row r="375" spans="1:9">
      <c r="A375">
        <v>31886.2</v>
      </c>
      <c r="B375">
        <v>224</v>
      </c>
      <c r="C375">
        <v>6343.75</v>
      </c>
      <c r="D375">
        <v>37.41</v>
      </c>
      <c r="E375">
        <v>1374</v>
      </c>
      <c r="F375">
        <v>0</v>
      </c>
      <c r="G375">
        <v>7062</v>
      </c>
      <c r="H375">
        <v>2902.3</v>
      </c>
      <c r="I375">
        <v>31886.2</v>
      </c>
    </row>
    <row r="376" spans="1:9">
      <c r="A376">
        <v>31346.2</v>
      </c>
      <c r="B376">
        <v>224</v>
      </c>
      <c r="C376">
        <v>6342.14</v>
      </c>
      <c r="D376">
        <v>39.61</v>
      </c>
      <c r="E376">
        <v>1396</v>
      </c>
      <c r="F376">
        <v>0</v>
      </c>
      <c r="G376">
        <v>6971</v>
      </c>
      <c r="H376">
        <v>2916.8</v>
      </c>
      <c r="I376">
        <v>31346.2</v>
      </c>
    </row>
    <row r="377" spans="1:9">
      <c r="A377">
        <v>31127.7</v>
      </c>
      <c r="B377">
        <v>225</v>
      </c>
      <c r="C377">
        <v>6344.15</v>
      </c>
      <c r="D377">
        <v>39.86</v>
      </c>
      <c r="E377">
        <v>1564</v>
      </c>
      <c r="F377">
        <v>0</v>
      </c>
      <c r="G377">
        <v>6471</v>
      </c>
      <c r="H377">
        <v>2917.5</v>
      </c>
      <c r="I377">
        <v>31127.7</v>
      </c>
    </row>
    <row r="378" spans="1:9">
      <c r="A378">
        <v>31116.1</v>
      </c>
      <c r="B378">
        <v>298</v>
      </c>
      <c r="C378">
        <v>6336.91</v>
      </c>
      <c r="D378">
        <v>40.31</v>
      </c>
      <c r="E378">
        <v>1703</v>
      </c>
      <c r="F378">
        <v>0</v>
      </c>
      <c r="G378">
        <v>6744</v>
      </c>
      <c r="H378">
        <v>2946.8</v>
      </c>
      <c r="I378">
        <v>31116.1</v>
      </c>
    </row>
    <row r="379" spans="1:9">
      <c r="A379">
        <v>31064.7</v>
      </c>
      <c r="B379">
        <v>299</v>
      </c>
      <c r="C379">
        <v>6335.32</v>
      </c>
      <c r="D379">
        <v>41.11</v>
      </c>
      <c r="E379">
        <v>1786</v>
      </c>
      <c r="F379">
        <v>0</v>
      </c>
      <c r="G379">
        <v>6031</v>
      </c>
      <c r="H379">
        <v>2971.9</v>
      </c>
      <c r="I379">
        <v>31064.7</v>
      </c>
    </row>
    <row r="380" spans="1:9">
      <c r="A380">
        <v>30282.3</v>
      </c>
      <c r="B380">
        <v>300</v>
      </c>
      <c r="C380">
        <v>6342.55</v>
      </c>
      <c r="D380">
        <v>40.33</v>
      </c>
      <c r="E380">
        <v>1772</v>
      </c>
      <c r="F380">
        <v>0</v>
      </c>
      <c r="G380">
        <v>5580</v>
      </c>
      <c r="H380">
        <v>3012.2</v>
      </c>
      <c r="I380">
        <v>30282.3</v>
      </c>
    </row>
    <row r="381" spans="1:9">
      <c r="A381">
        <v>29924.4</v>
      </c>
      <c r="B381">
        <v>260</v>
      </c>
      <c r="C381">
        <v>6332.49</v>
      </c>
      <c r="D381">
        <v>39.7</v>
      </c>
      <c r="E381">
        <v>1750</v>
      </c>
      <c r="F381">
        <v>0</v>
      </c>
      <c r="G381">
        <v>5295</v>
      </c>
      <c r="H381">
        <v>3020.2</v>
      </c>
      <c r="I381">
        <v>29924.4</v>
      </c>
    </row>
    <row r="382" spans="1:9">
      <c r="A382">
        <v>29477.6</v>
      </c>
      <c r="B382">
        <v>237</v>
      </c>
      <c r="C382">
        <v>6335.71</v>
      </c>
      <c r="D382">
        <v>38.19</v>
      </c>
      <c r="E382">
        <v>1789</v>
      </c>
      <c r="F382">
        <v>0</v>
      </c>
      <c r="G382">
        <v>4620</v>
      </c>
      <c r="H382">
        <v>3008.4</v>
      </c>
      <c r="I382">
        <v>29477.6</v>
      </c>
    </row>
    <row r="383" spans="1:9">
      <c r="A383">
        <v>29022.8</v>
      </c>
      <c r="B383">
        <v>237</v>
      </c>
      <c r="C383">
        <v>6332.1</v>
      </c>
      <c r="D383">
        <v>38.32</v>
      </c>
      <c r="E383">
        <v>1844</v>
      </c>
      <c r="F383">
        <v>0</v>
      </c>
      <c r="G383">
        <v>4338</v>
      </c>
      <c r="H383">
        <v>3001.8</v>
      </c>
      <c r="I383">
        <v>29022.8</v>
      </c>
    </row>
    <row r="384" spans="1:9">
      <c r="A384">
        <v>28774.1</v>
      </c>
      <c r="B384">
        <v>237</v>
      </c>
      <c r="C384">
        <v>6335.3</v>
      </c>
      <c r="D384">
        <v>37.84</v>
      </c>
      <c r="E384">
        <v>1800</v>
      </c>
      <c r="F384">
        <v>0</v>
      </c>
      <c r="G384">
        <v>4148</v>
      </c>
      <c r="H384">
        <v>2965.6</v>
      </c>
      <c r="I384">
        <v>28774.1</v>
      </c>
    </row>
    <row r="385" spans="1:9">
      <c r="A385">
        <v>28183.9</v>
      </c>
      <c r="B385">
        <v>237</v>
      </c>
      <c r="C385">
        <v>6344.15</v>
      </c>
      <c r="D385">
        <v>37.22</v>
      </c>
      <c r="E385">
        <v>1821</v>
      </c>
      <c r="F385">
        <v>0</v>
      </c>
      <c r="G385">
        <v>3792</v>
      </c>
      <c r="H385">
        <v>2972.4</v>
      </c>
      <c r="I385">
        <v>28183.9</v>
      </c>
    </row>
    <row r="386" spans="1:9">
      <c r="A386">
        <v>27923</v>
      </c>
      <c r="B386">
        <v>237</v>
      </c>
      <c r="C386">
        <v>6343.35</v>
      </c>
      <c r="D386">
        <v>38.39</v>
      </c>
      <c r="E386">
        <v>1901</v>
      </c>
      <c r="F386">
        <v>0</v>
      </c>
      <c r="G386">
        <v>4220</v>
      </c>
      <c r="H386">
        <v>2966.9</v>
      </c>
      <c r="I386">
        <v>27923</v>
      </c>
    </row>
    <row r="387" spans="1:9">
      <c r="A387">
        <v>27768.5</v>
      </c>
      <c r="B387">
        <v>237</v>
      </c>
      <c r="C387">
        <v>6345.35</v>
      </c>
      <c r="D387">
        <v>37.38</v>
      </c>
      <c r="E387">
        <v>2042</v>
      </c>
      <c r="F387">
        <v>0</v>
      </c>
      <c r="G387">
        <v>4249</v>
      </c>
      <c r="H387">
        <v>2915.9</v>
      </c>
      <c r="I387">
        <v>27768.5</v>
      </c>
    </row>
    <row r="388" spans="1:9">
      <c r="A388">
        <v>27611.9</v>
      </c>
      <c r="B388">
        <v>237</v>
      </c>
      <c r="C388">
        <v>6341.33</v>
      </c>
      <c r="D388">
        <v>37.12</v>
      </c>
      <c r="E388">
        <v>2115</v>
      </c>
      <c r="F388">
        <v>0</v>
      </c>
      <c r="G388">
        <v>4569</v>
      </c>
      <c r="H388">
        <v>2985.8</v>
      </c>
      <c r="I388">
        <v>27611.9</v>
      </c>
    </row>
    <row r="389" spans="1:9">
      <c r="A389">
        <v>27354.2</v>
      </c>
      <c r="B389">
        <v>237</v>
      </c>
      <c r="C389">
        <v>6339.73</v>
      </c>
      <c r="D389">
        <v>36.64</v>
      </c>
      <c r="E389">
        <v>2054</v>
      </c>
      <c r="F389">
        <v>0</v>
      </c>
      <c r="G389">
        <v>4349</v>
      </c>
      <c r="H389">
        <v>3004.4</v>
      </c>
      <c r="I389">
        <v>27354.2</v>
      </c>
    </row>
    <row r="390" spans="1:9">
      <c r="A390">
        <v>27258.6</v>
      </c>
      <c r="B390">
        <v>237</v>
      </c>
      <c r="C390">
        <v>6332.09</v>
      </c>
      <c r="D390">
        <v>39.03</v>
      </c>
      <c r="E390">
        <v>2068</v>
      </c>
      <c r="F390">
        <v>0</v>
      </c>
      <c r="G390">
        <v>3991</v>
      </c>
      <c r="H390">
        <v>2949.3</v>
      </c>
      <c r="I390">
        <v>27258.6</v>
      </c>
    </row>
    <row r="391" spans="1:9">
      <c r="A391">
        <v>27134.7</v>
      </c>
      <c r="B391">
        <v>237</v>
      </c>
      <c r="C391">
        <v>6339.33</v>
      </c>
      <c r="D391">
        <v>38.55</v>
      </c>
      <c r="E391">
        <v>2120</v>
      </c>
      <c r="F391">
        <v>0</v>
      </c>
      <c r="G391">
        <v>3764</v>
      </c>
      <c r="H391">
        <v>2913.9</v>
      </c>
      <c r="I391">
        <v>27134.7</v>
      </c>
    </row>
    <row r="392" spans="1:9">
      <c r="A392">
        <v>26993.9</v>
      </c>
      <c r="B392">
        <v>237</v>
      </c>
      <c r="C392">
        <v>6339.72</v>
      </c>
      <c r="D392">
        <v>38.78</v>
      </c>
      <c r="E392">
        <v>2189</v>
      </c>
      <c r="F392">
        <v>0</v>
      </c>
      <c r="G392">
        <v>3366</v>
      </c>
      <c r="H392">
        <v>2921.9</v>
      </c>
      <c r="I392">
        <v>26993.9</v>
      </c>
    </row>
    <row r="393" spans="1:9">
      <c r="A393">
        <v>26662.9</v>
      </c>
      <c r="B393">
        <v>237</v>
      </c>
      <c r="C393">
        <v>6340.53</v>
      </c>
      <c r="D393">
        <v>38.47</v>
      </c>
      <c r="E393">
        <v>2306</v>
      </c>
      <c r="F393">
        <v>0</v>
      </c>
      <c r="G393">
        <v>3173</v>
      </c>
      <c r="H393">
        <v>2966.6</v>
      </c>
      <c r="I393">
        <v>26662.9</v>
      </c>
    </row>
    <row r="394" spans="1:9">
      <c r="A394">
        <v>26520</v>
      </c>
      <c r="B394">
        <v>238</v>
      </c>
      <c r="C394">
        <v>6334.51</v>
      </c>
      <c r="D394">
        <v>38</v>
      </c>
      <c r="E394">
        <v>2358</v>
      </c>
      <c r="F394">
        <v>0</v>
      </c>
      <c r="G394">
        <v>3580</v>
      </c>
      <c r="H394">
        <v>2972.3</v>
      </c>
      <c r="I394">
        <v>26520</v>
      </c>
    </row>
    <row r="395" spans="1:9">
      <c r="A395">
        <v>26370.3</v>
      </c>
      <c r="B395">
        <v>238</v>
      </c>
      <c r="C395">
        <v>6333.71</v>
      </c>
      <c r="D395">
        <v>37.77</v>
      </c>
      <c r="E395">
        <v>2351</v>
      </c>
      <c r="F395">
        <v>0</v>
      </c>
      <c r="G395">
        <v>3624</v>
      </c>
      <c r="H395">
        <v>2975.1</v>
      </c>
      <c r="I395">
        <v>26370.3</v>
      </c>
    </row>
    <row r="396" spans="1:9">
      <c r="A396">
        <v>26352.4</v>
      </c>
      <c r="B396">
        <v>242</v>
      </c>
      <c r="C396">
        <v>6341.33</v>
      </c>
      <c r="D396">
        <v>37.7</v>
      </c>
      <c r="E396">
        <v>2362</v>
      </c>
      <c r="F396">
        <v>0</v>
      </c>
      <c r="G396">
        <v>3813</v>
      </c>
      <c r="H396">
        <v>2963.8</v>
      </c>
      <c r="I396">
        <v>26352.4</v>
      </c>
    </row>
    <row r="397" spans="1:9">
      <c r="A397">
        <v>26183</v>
      </c>
      <c r="B397">
        <v>242</v>
      </c>
      <c r="C397">
        <v>6340.11</v>
      </c>
      <c r="D397">
        <v>37.65</v>
      </c>
      <c r="E397">
        <v>2349</v>
      </c>
      <c r="F397">
        <v>0</v>
      </c>
      <c r="G397">
        <v>3706</v>
      </c>
      <c r="H397">
        <v>2977.5</v>
      </c>
      <c r="I397">
        <v>26183</v>
      </c>
    </row>
    <row r="398" spans="1:9">
      <c r="A398">
        <v>26059.7</v>
      </c>
      <c r="B398">
        <v>242</v>
      </c>
      <c r="C398">
        <v>6343.35</v>
      </c>
      <c r="D398">
        <v>37.72</v>
      </c>
      <c r="E398">
        <v>2444</v>
      </c>
      <c r="F398">
        <v>0</v>
      </c>
      <c r="G398">
        <v>3400</v>
      </c>
      <c r="H398">
        <v>2939</v>
      </c>
      <c r="I398">
        <v>26059.7</v>
      </c>
    </row>
    <row r="399" spans="1:9">
      <c r="A399">
        <v>26059.7</v>
      </c>
      <c r="B399">
        <v>242</v>
      </c>
      <c r="C399">
        <v>6336.11</v>
      </c>
      <c r="D399">
        <v>37.7</v>
      </c>
      <c r="E399">
        <v>2438</v>
      </c>
      <c r="F399">
        <v>0</v>
      </c>
      <c r="G399">
        <v>3524</v>
      </c>
      <c r="H399">
        <v>2938.9</v>
      </c>
      <c r="I399">
        <v>26059.7</v>
      </c>
    </row>
    <row r="400" spans="1:9">
      <c r="A400">
        <v>26070.7</v>
      </c>
      <c r="B400">
        <v>242</v>
      </c>
      <c r="C400">
        <v>6335.7</v>
      </c>
      <c r="D400">
        <v>38.17</v>
      </c>
      <c r="E400">
        <v>2499</v>
      </c>
      <c r="F400">
        <v>0</v>
      </c>
      <c r="G400">
        <v>3431</v>
      </c>
      <c r="H400">
        <v>2949</v>
      </c>
      <c r="I400">
        <v>26070.7</v>
      </c>
    </row>
    <row r="401" spans="1:9">
      <c r="A401">
        <v>25842.5</v>
      </c>
      <c r="B401">
        <v>242</v>
      </c>
      <c r="C401">
        <v>6339.74</v>
      </c>
      <c r="D401">
        <v>37.37</v>
      </c>
      <c r="E401">
        <v>2551</v>
      </c>
      <c r="F401">
        <v>0</v>
      </c>
      <c r="G401">
        <v>3618</v>
      </c>
      <c r="H401">
        <v>2960.3</v>
      </c>
      <c r="I401">
        <v>25842.5</v>
      </c>
    </row>
    <row r="402" spans="1:9">
      <c r="A402">
        <v>26170.8</v>
      </c>
      <c r="B402">
        <v>243</v>
      </c>
      <c r="C402">
        <v>6339.73</v>
      </c>
      <c r="D402">
        <v>38.86</v>
      </c>
      <c r="E402">
        <v>2684</v>
      </c>
      <c r="F402">
        <v>57</v>
      </c>
      <c r="G402">
        <v>3032</v>
      </c>
      <c r="H402">
        <v>2970.7</v>
      </c>
      <c r="I402">
        <v>26170.8</v>
      </c>
    </row>
    <row r="403" spans="1:9">
      <c r="A403">
        <v>26204.6</v>
      </c>
      <c r="B403">
        <v>242</v>
      </c>
      <c r="C403">
        <v>6332.91</v>
      </c>
      <c r="D403">
        <v>39.14</v>
      </c>
      <c r="E403">
        <v>2782</v>
      </c>
      <c r="F403">
        <v>57</v>
      </c>
      <c r="G403">
        <v>3265</v>
      </c>
      <c r="H403">
        <v>2992.2</v>
      </c>
      <c r="I403">
        <v>26204.6</v>
      </c>
    </row>
    <row r="404" spans="1:9">
      <c r="A404">
        <v>26056.8</v>
      </c>
      <c r="B404">
        <v>242</v>
      </c>
      <c r="C404">
        <v>6340.14</v>
      </c>
      <c r="D404">
        <v>39.12</v>
      </c>
      <c r="E404">
        <v>2844</v>
      </c>
      <c r="F404">
        <v>57</v>
      </c>
      <c r="G404">
        <v>3333</v>
      </c>
      <c r="H404">
        <v>3050.4</v>
      </c>
      <c r="I404">
        <v>26056.8</v>
      </c>
    </row>
    <row r="405" spans="1:9">
      <c r="A405">
        <v>26376.1</v>
      </c>
      <c r="B405">
        <v>242</v>
      </c>
      <c r="C405">
        <v>6336.11</v>
      </c>
      <c r="D405">
        <v>39.37</v>
      </c>
      <c r="E405">
        <v>2835</v>
      </c>
      <c r="F405">
        <v>57</v>
      </c>
      <c r="G405">
        <v>3997</v>
      </c>
      <c r="H405">
        <v>3073.2</v>
      </c>
      <c r="I405">
        <v>26376.1</v>
      </c>
    </row>
    <row r="406" spans="1:9">
      <c r="A406">
        <v>26813.1</v>
      </c>
      <c r="B406">
        <v>242</v>
      </c>
      <c r="C406">
        <v>6341.74</v>
      </c>
      <c r="D406">
        <v>39.03</v>
      </c>
      <c r="E406">
        <v>2986</v>
      </c>
      <c r="F406">
        <v>57</v>
      </c>
      <c r="G406">
        <v>4230</v>
      </c>
      <c r="H406">
        <v>3067.6</v>
      </c>
      <c r="I406">
        <v>26813.1</v>
      </c>
    </row>
    <row r="407" spans="1:9">
      <c r="A407">
        <v>27096.5</v>
      </c>
      <c r="B407">
        <v>242</v>
      </c>
      <c r="C407">
        <v>6338.92</v>
      </c>
      <c r="D407">
        <v>37.89</v>
      </c>
      <c r="E407">
        <v>2974</v>
      </c>
      <c r="F407">
        <v>61</v>
      </c>
      <c r="G407">
        <v>4678</v>
      </c>
      <c r="H407">
        <v>3080.1</v>
      </c>
      <c r="I407">
        <v>27096.5</v>
      </c>
    </row>
    <row r="408" spans="1:9">
      <c r="A408">
        <v>27750</v>
      </c>
      <c r="B408">
        <v>242</v>
      </c>
      <c r="C408">
        <v>6348.18</v>
      </c>
      <c r="D408">
        <v>38.02</v>
      </c>
      <c r="E408">
        <v>3062</v>
      </c>
      <c r="F408">
        <v>147</v>
      </c>
      <c r="G408">
        <v>5323</v>
      </c>
      <c r="H408">
        <v>3083.1</v>
      </c>
      <c r="I408">
        <v>27750</v>
      </c>
    </row>
    <row r="409" spans="1:9">
      <c r="A409">
        <v>27982.9</v>
      </c>
      <c r="B409">
        <v>242</v>
      </c>
      <c r="C409">
        <v>6340.53</v>
      </c>
      <c r="D409">
        <v>37.5</v>
      </c>
      <c r="E409">
        <v>3028</v>
      </c>
      <c r="F409">
        <v>284</v>
      </c>
      <c r="G409">
        <v>5884</v>
      </c>
      <c r="H409">
        <v>3144.7</v>
      </c>
      <c r="I409">
        <v>27982.9</v>
      </c>
    </row>
    <row r="410" spans="1:9">
      <c r="A410">
        <v>28812.8</v>
      </c>
      <c r="B410">
        <v>242</v>
      </c>
      <c r="C410">
        <v>6338.13</v>
      </c>
      <c r="D410">
        <v>37.29</v>
      </c>
      <c r="E410">
        <v>3145</v>
      </c>
      <c r="F410">
        <v>495</v>
      </c>
      <c r="G410">
        <v>5459</v>
      </c>
      <c r="H410">
        <v>3166.4</v>
      </c>
      <c r="I410">
        <v>28812.8</v>
      </c>
    </row>
    <row r="411" spans="1:9">
      <c r="A411">
        <v>29000.2</v>
      </c>
      <c r="B411">
        <v>242</v>
      </c>
      <c r="C411">
        <v>6335.3</v>
      </c>
      <c r="D411">
        <v>36.72</v>
      </c>
      <c r="E411">
        <v>3247</v>
      </c>
      <c r="F411">
        <v>657</v>
      </c>
      <c r="G411">
        <v>5706</v>
      </c>
      <c r="H411">
        <v>3166.9</v>
      </c>
      <c r="I411">
        <v>29000.2</v>
      </c>
    </row>
    <row r="412" spans="1:9">
      <c r="A412">
        <v>29333.4</v>
      </c>
      <c r="B412">
        <v>242</v>
      </c>
      <c r="C412">
        <v>6338.52</v>
      </c>
      <c r="D412">
        <v>35.77</v>
      </c>
      <c r="E412">
        <v>3289</v>
      </c>
      <c r="F412">
        <v>916</v>
      </c>
      <c r="G412">
        <v>5996</v>
      </c>
      <c r="H412">
        <v>3177.1</v>
      </c>
      <c r="I412">
        <v>29333.4</v>
      </c>
    </row>
    <row r="413" spans="1:9">
      <c r="A413">
        <v>29411.7</v>
      </c>
      <c r="B413">
        <v>242</v>
      </c>
      <c r="C413">
        <v>6348.97</v>
      </c>
      <c r="D413">
        <v>37</v>
      </c>
      <c r="E413">
        <v>3259</v>
      </c>
      <c r="F413">
        <v>1240</v>
      </c>
      <c r="G413">
        <v>5483</v>
      </c>
      <c r="H413">
        <v>3226</v>
      </c>
      <c r="I413">
        <v>29411.7</v>
      </c>
    </row>
    <row r="414" spans="1:9">
      <c r="A414">
        <v>30213.1</v>
      </c>
      <c r="B414">
        <v>242</v>
      </c>
      <c r="C414">
        <v>6350.18</v>
      </c>
      <c r="D414">
        <v>38.6</v>
      </c>
      <c r="E414">
        <v>3241</v>
      </c>
      <c r="F414">
        <v>1480</v>
      </c>
      <c r="G414">
        <v>5185</v>
      </c>
      <c r="H414">
        <v>3236.5</v>
      </c>
      <c r="I414">
        <v>30213.1</v>
      </c>
    </row>
    <row r="415" spans="1:9">
      <c r="A415">
        <v>30405.1</v>
      </c>
      <c r="B415">
        <v>242</v>
      </c>
      <c r="C415">
        <v>6337.32</v>
      </c>
      <c r="D415">
        <v>40.73</v>
      </c>
      <c r="E415">
        <v>3112</v>
      </c>
      <c r="F415">
        <v>1775</v>
      </c>
      <c r="G415">
        <v>4992</v>
      </c>
      <c r="H415">
        <v>3212.2</v>
      </c>
      <c r="I415">
        <v>30405.1</v>
      </c>
    </row>
    <row r="416" spans="1:9">
      <c r="A416">
        <v>30651.7</v>
      </c>
      <c r="B416">
        <v>242</v>
      </c>
      <c r="C416">
        <v>6338.13</v>
      </c>
      <c r="D416">
        <v>41.22</v>
      </c>
      <c r="E416">
        <v>2956</v>
      </c>
      <c r="F416">
        <v>2186</v>
      </c>
      <c r="G416">
        <v>4731</v>
      </c>
      <c r="H416">
        <v>3180.4</v>
      </c>
      <c r="I416">
        <v>30651.7</v>
      </c>
    </row>
    <row r="417" spans="1:9">
      <c r="A417">
        <v>31309.4</v>
      </c>
      <c r="B417">
        <v>242</v>
      </c>
      <c r="C417">
        <v>6331.29</v>
      </c>
      <c r="D417">
        <v>40.87</v>
      </c>
      <c r="E417">
        <v>2794</v>
      </c>
      <c r="F417">
        <v>2787</v>
      </c>
      <c r="G417">
        <v>4893</v>
      </c>
      <c r="H417">
        <v>3190.4</v>
      </c>
      <c r="I417">
        <v>31309.4</v>
      </c>
    </row>
    <row r="418" spans="1:9">
      <c r="A418">
        <v>32259.2</v>
      </c>
      <c r="B418">
        <v>242</v>
      </c>
      <c r="C418">
        <v>6334.91</v>
      </c>
      <c r="D418">
        <v>41.01</v>
      </c>
      <c r="E418">
        <v>2562</v>
      </c>
      <c r="F418">
        <v>3292</v>
      </c>
      <c r="G418">
        <v>5219</v>
      </c>
      <c r="H418">
        <v>3181.9</v>
      </c>
      <c r="I418">
        <v>32259.2</v>
      </c>
    </row>
    <row r="419" spans="1:9">
      <c r="A419">
        <v>32471.5</v>
      </c>
      <c r="B419">
        <v>239</v>
      </c>
      <c r="C419">
        <v>6334.91</v>
      </c>
      <c r="D419">
        <v>39.7</v>
      </c>
      <c r="E419">
        <v>2450</v>
      </c>
      <c r="F419">
        <v>3717</v>
      </c>
      <c r="G419">
        <v>5681</v>
      </c>
      <c r="H419">
        <v>3182.4</v>
      </c>
      <c r="I419">
        <v>32471.5</v>
      </c>
    </row>
    <row r="420" spans="1:9">
      <c r="A420">
        <v>32724.1</v>
      </c>
      <c r="B420">
        <v>174</v>
      </c>
      <c r="C420">
        <v>6332.49</v>
      </c>
      <c r="D420">
        <v>40.37</v>
      </c>
      <c r="E420">
        <v>2347</v>
      </c>
      <c r="F420">
        <v>4081</v>
      </c>
      <c r="G420">
        <v>6015</v>
      </c>
      <c r="H420">
        <v>3135.4</v>
      </c>
      <c r="I420">
        <v>32724.1</v>
      </c>
    </row>
    <row r="421" spans="1:9">
      <c r="A421">
        <v>33353.7</v>
      </c>
      <c r="B421">
        <v>164</v>
      </c>
      <c r="C421">
        <v>6341.33</v>
      </c>
      <c r="D421">
        <v>37.99</v>
      </c>
      <c r="E421">
        <v>2463</v>
      </c>
      <c r="F421">
        <v>4829</v>
      </c>
      <c r="G421">
        <v>6390</v>
      </c>
      <c r="H421">
        <v>3121.4</v>
      </c>
      <c r="I421">
        <v>33353.7</v>
      </c>
    </row>
    <row r="422" spans="1:9">
      <c r="A422">
        <v>33630.2</v>
      </c>
      <c r="B422">
        <v>167</v>
      </c>
      <c r="C422">
        <v>6335.72</v>
      </c>
      <c r="D422">
        <v>36.14</v>
      </c>
      <c r="E422">
        <v>2595</v>
      </c>
      <c r="F422">
        <v>5326</v>
      </c>
      <c r="G422">
        <v>7075</v>
      </c>
      <c r="H422">
        <v>3141.3</v>
      </c>
      <c r="I422">
        <v>33630.2</v>
      </c>
    </row>
    <row r="423" spans="1:9">
      <c r="A423">
        <v>33851.5</v>
      </c>
      <c r="B423">
        <v>183</v>
      </c>
      <c r="C423">
        <v>6333.7</v>
      </c>
      <c r="D423">
        <v>34.97</v>
      </c>
      <c r="E423">
        <v>2669</v>
      </c>
      <c r="F423">
        <v>5831</v>
      </c>
      <c r="G423">
        <v>6814</v>
      </c>
      <c r="H423">
        <v>3132.7</v>
      </c>
      <c r="I423">
        <v>33851.5</v>
      </c>
    </row>
    <row r="424" spans="1:9">
      <c r="A424">
        <v>34250.2</v>
      </c>
      <c r="B424">
        <v>188</v>
      </c>
      <c r="C424">
        <v>6338.93</v>
      </c>
      <c r="D424">
        <v>34.76</v>
      </c>
      <c r="E424">
        <v>2829</v>
      </c>
      <c r="F424">
        <v>5761</v>
      </c>
      <c r="G424">
        <v>7139</v>
      </c>
      <c r="H424">
        <v>3167.5</v>
      </c>
      <c r="I424">
        <v>34250.2</v>
      </c>
    </row>
    <row r="425" spans="1:9">
      <c r="A425">
        <v>34131.3</v>
      </c>
      <c r="B425">
        <v>188</v>
      </c>
      <c r="C425">
        <v>6326.87</v>
      </c>
      <c r="D425">
        <v>34.52</v>
      </c>
      <c r="E425">
        <v>2997</v>
      </c>
      <c r="F425">
        <v>6225</v>
      </c>
      <c r="G425">
        <v>6715</v>
      </c>
      <c r="H425">
        <v>3210.1</v>
      </c>
      <c r="I425">
        <v>34131.3</v>
      </c>
    </row>
    <row r="426" spans="1:9">
      <c r="A426">
        <v>34656.7</v>
      </c>
      <c r="B426">
        <v>188</v>
      </c>
      <c r="C426">
        <v>6335.71</v>
      </c>
      <c r="D426">
        <v>33.64</v>
      </c>
      <c r="E426">
        <v>3129</v>
      </c>
      <c r="F426">
        <v>6397</v>
      </c>
      <c r="G426">
        <v>6573</v>
      </c>
      <c r="H426">
        <v>3206.4</v>
      </c>
      <c r="I426">
        <v>34656.7</v>
      </c>
    </row>
    <row r="427" spans="1:9">
      <c r="A427">
        <v>34870</v>
      </c>
      <c r="B427">
        <v>310</v>
      </c>
      <c r="C427">
        <v>6332.48</v>
      </c>
      <c r="D427">
        <v>37.21</v>
      </c>
      <c r="E427">
        <v>3093</v>
      </c>
      <c r="F427">
        <v>6215</v>
      </c>
      <c r="G427">
        <v>5972</v>
      </c>
      <c r="H427">
        <v>3204.5</v>
      </c>
      <c r="I427">
        <v>34870</v>
      </c>
    </row>
    <row r="428" spans="1:9">
      <c r="A428">
        <v>34760.3</v>
      </c>
      <c r="B428">
        <v>511</v>
      </c>
      <c r="C428">
        <v>6331.7</v>
      </c>
      <c r="D428">
        <v>38.43</v>
      </c>
      <c r="E428">
        <v>3032</v>
      </c>
      <c r="F428">
        <v>6372</v>
      </c>
      <c r="G428">
        <v>5595</v>
      </c>
      <c r="H428">
        <v>3203.1</v>
      </c>
      <c r="I428">
        <v>34760.3</v>
      </c>
    </row>
    <row r="429" spans="1:9">
      <c r="A429">
        <v>34846.3</v>
      </c>
      <c r="B429">
        <v>653</v>
      </c>
      <c r="C429">
        <v>6340.54</v>
      </c>
      <c r="D429">
        <v>38.12</v>
      </c>
      <c r="E429">
        <v>3202</v>
      </c>
      <c r="F429">
        <v>6425</v>
      </c>
      <c r="G429">
        <v>5764</v>
      </c>
      <c r="H429">
        <v>3204.5</v>
      </c>
      <c r="I429">
        <v>34846.3</v>
      </c>
    </row>
    <row r="430" spans="1:9">
      <c r="A430">
        <v>34619.4</v>
      </c>
      <c r="B430">
        <v>653</v>
      </c>
      <c r="C430">
        <v>6334.92</v>
      </c>
      <c r="D430">
        <v>37.57</v>
      </c>
      <c r="E430">
        <v>3231</v>
      </c>
      <c r="F430">
        <v>6452</v>
      </c>
      <c r="G430">
        <v>5068</v>
      </c>
      <c r="H430">
        <v>3208.3</v>
      </c>
      <c r="I430">
        <v>34619.4</v>
      </c>
    </row>
    <row r="431" spans="1:9">
      <c r="A431">
        <v>33961.6</v>
      </c>
      <c r="B431">
        <v>654</v>
      </c>
      <c r="C431">
        <v>6338.13</v>
      </c>
      <c r="D431">
        <v>36.09</v>
      </c>
      <c r="E431">
        <v>3320</v>
      </c>
      <c r="F431">
        <v>6296</v>
      </c>
      <c r="G431">
        <v>4462</v>
      </c>
      <c r="H431">
        <v>3194.5</v>
      </c>
      <c r="I431">
        <v>33961.6</v>
      </c>
    </row>
    <row r="432" spans="1:9">
      <c r="A432">
        <v>33753.8</v>
      </c>
      <c r="B432">
        <v>655</v>
      </c>
      <c r="C432">
        <v>6333.29</v>
      </c>
      <c r="D432">
        <v>39.39</v>
      </c>
      <c r="E432">
        <v>3403</v>
      </c>
      <c r="F432">
        <v>6162</v>
      </c>
      <c r="G432">
        <v>4028</v>
      </c>
      <c r="H432">
        <v>3195.8</v>
      </c>
      <c r="I432">
        <v>33753.8</v>
      </c>
    </row>
    <row r="433" spans="1:9">
      <c r="A433">
        <v>33881</v>
      </c>
      <c r="B433">
        <v>654</v>
      </c>
      <c r="C433">
        <v>6331.28</v>
      </c>
      <c r="D433">
        <v>36.99</v>
      </c>
      <c r="E433">
        <v>3500</v>
      </c>
      <c r="F433">
        <v>6547</v>
      </c>
      <c r="G433">
        <v>3703</v>
      </c>
      <c r="H433">
        <v>3193.1</v>
      </c>
      <c r="I433">
        <v>33881</v>
      </c>
    </row>
    <row r="434" spans="1:9">
      <c r="A434">
        <v>33724.5</v>
      </c>
      <c r="B434">
        <v>659</v>
      </c>
      <c r="C434">
        <v>6344.56</v>
      </c>
      <c r="D434">
        <v>38.58</v>
      </c>
      <c r="E434">
        <v>3542</v>
      </c>
      <c r="F434">
        <v>6342</v>
      </c>
      <c r="G434">
        <v>3081</v>
      </c>
      <c r="H434">
        <v>3203</v>
      </c>
      <c r="I434">
        <v>33724.5</v>
      </c>
    </row>
    <row r="435" spans="1:9">
      <c r="A435">
        <v>33905.6</v>
      </c>
      <c r="B435">
        <v>663</v>
      </c>
      <c r="C435">
        <v>6333.71</v>
      </c>
      <c r="D435">
        <v>37.51</v>
      </c>
      <c r="E435">
        <v>3629</v>
      </c>
      <c r="F435">
        <v>6077</v>
      </c>
      <c r="G435">
        <v>2524</v>
      </c>
      <c r="H435">
        <v>3215.2</v>
      </c>
      <c r="I435">
        <v>33905.6</v>
      </c>
    </row>
    <row r="436" spans="1:9">
      <c r="A436">
        <v>34307</v>
      </c>
      <c r="B436">
        <v>662</v>
      </c>
      <c r="C436">
        <v>6336.11</v>
      </c>
      <c r="D436">
        <v>35.08</v>
      </c>
      <c r="E436">
        <v>3670</v>
      </c>
      <c r="F436">
        <v>5974</v>
      </c>
      <c r="G436">
        <v>3074</v>
      </c>
      <c r="H436">
        <v>3246.2</v>
      </c>
      <c r="I436">
        <v>34307</v>
      </c>
    </row>
    <row r="437" spans="1:9">
      <c r="A437">
        <v>34244.7</v>
      </c>
      <c r="B437">
        <v>660</v>
      </c>
      <c r="C437">
        <v>6340.14</v>
      </c>
      <c r="D437">
        <v>36.06</v>
      </c>
      <c r="E437">
        <v>3760</v>
      </c>
      <c r="F437">
        <v>5830</v>
      </c>
      <c r="G437">
        <v>3469</v>
      </c>
      <c r="H437">
        <v>3239.5</v>
      </c>
      <c r="I437">
        <v>34244.7</v>
      </c>
    </row>
    <row r="438" spans="1:9">
      <c r="A438">
        <v>34433.1</v>
      </c>
      <c r="B438">
        <v>662</v>
      </c>
      <c r="C438">
        <v>6336.11</v>
      </c>
      <c r="D438">
        <v>35.25</v>
      </c>
      <c r="E438">
        <v>3829</v>
      </c>
      <c r="F438">
        <v>5736</v>
      </c>
      <c r="G438">
        <v>3757</v>
      </c>
      <c r="H438">
        <v>3247.3</v>
      </c>
      <c r="I438">
        <v>34433.1</v>
      </c>
    </row>
    <row r="439" spans="1:9">
      <c r="A439">
        <v>34259.4</v>
      </c>
      <c r="B439">
        <v>661</v>
      </c>
      <c r="C439">
        <v>6345.76</v>
      </c>
      <c r="D439">
        <v>37.58</v>
      </c>
      <c r="E439">
        <v>3949</v>
      </c>
      <c r="F439">
        <v>5831</v>
      </c>
      <c r="G439">
        <v>3982</v>
      </c>
      <c r="H439">
        <v>3241</v>
      </c>
      <c r="I439">
        <v>34259.4</v>
      </c>
    </row>
    <row r="440" spans="1:9">
      <c r="A440">
        <v>34610.4</v>
      </c>
      <c r="B440">
        <v>583</v>
      </c>
      <c r="C440">
        <v>6334.51</v>
      </c>
      <c r="D440">
        <v>37.5</v>
      </c>
      <c r="E440">
        <v>4026</v>
      </c>
      <c r="F440">
        <v>5949</v>
      </c>
      <c r="G440">
        <v>4389</v>
      </c>
      <c r="H440">
        <v>3262.6</v>
      </c>
      <c r="I440">
        <v>34610.4</v>
      </c>
    </row>
    <row r="441" spans="1:9">
      <c r="A441">
        <v>34187.7</v>
      </c>
      <c r="B441">
        <v>403</v>
      </c>
      <c r="C441">
        <v>6338.12</v>
      </c>
      <c r="D441">
        <v>37.13</v>
      </c>
      <c r="E441">
        <v>4020</v>
      </c>
      <c r="F441">
        <v>5552</v>
      </c>
      <c r="G441">
        <v>4360</v>
      </c>
      <c r="H441">
        <v>3267.5</v>
      </c>
      <c r="I441">
        <v>34187.7</v>
      </c>
    </row>
    <row r="442" spans="1:9">
      <c r="A442">
        <v>34343</v>
      </c>
      <c r="B442">
        <v>314</v>
      </c>
      <c r="C442">
        <v>6336.11</v>
      </c>
      <c r="D442">
        <v>37.64</v>
      </c>
      <c r="E442">
        <v>4034</v>
      </c>
      <c r="F442">
        <v>5074</v>
      </c>
      <c r="G442">
        <v>5289</v>
      </c>
      <c r="H442">
        <v>3259.3</v>
      </c>
      <c r="I442">
        <v>34343</v>
      </c>
    </row>
    <row r="443" spans="1:9">
      <c r="A443">
        <v>34650.6</v>
      </c>
      <c r="B443">
        <v>315</v>
      </c>
      <c r="C443">
        <v>6334.5</v>
      </c>
      <c r="D443">
        <v>36.22</v>
      </c>
      <c r="E443">
        <v>4069</v>
      </c>
      <c r="F443">
        <v>4994</v>
      </c>
      <c r="G443">
        <v>5508</v>
      </c>
      <c r="H443">
        <v>3226.7</v>
      </c>
      <c r="I443">
        <v>34650.6</v>
      </c>
    </row>
    <row r="444" spans="1:9">
      <c r="A444">
        <v>34488.3</v>
      </c>
      <c r="B444">
        <v>314</v>
      </c>
      <c r="C444">
        <v>6334.5</v>
      </c>
      <c r="D444">
        <v>36.77</v>
      </c>
      <c r="E444">
        <v>4093</v>
      </c>
      <c r="F444">
        <v>4485</v>
      </c>
      <c r="G444">
        <v>5845</v>
      </c>
      <c r="H444">
        <v>3213.7</v>
      </c>
      <c r="I444">
        <v>34488.3</v>
      </c>
    </row>
    <row r="445" spans="1:9">
      <c r="A445">
        <v>34400.4</v>
      </c>
      <c r="B445">
        <v>314</v>
      </c>
      <c r="C445">
        <v>6334.11</v>
      </c>
      <c r="D445">
        <v>37.52</v>
      </c>
      <c r="E445">
        <v>4150</v>
      </c>
      <c r="F445">
        <v>4346</v>
      </c>
      <c r="G445">
        <v>6237</v>
      </c>
      <c r="H445">
        <v>3256.6</v>
      </c>
      <c r="I445">
        <v>34400.4</v>
      </c>
    </row>
    <row r="446" spans="1:9">
      <c r="A446">
        <v>34522.3</v>
      </c>
      <c r="B446">
        <v>293</v>
      </c>
      <c r="C446">
        <v>6332.89</v>
      </c>
      <c r="D446">
        <v>36.47</v>
      </c>
      <c r="E446">
        <v>4284</v>
      </c>
      <c r="F446">
        <v>3977</v>
      </c>
      <c r="G446">
        <v>6711</v>
      </c>
      <c r="H446">
        <v>3216.4</v>
      </c>
      <c r="I446">
        <v>34522.3</v>
      </c>
    </row>
    <row r="447" spans="1:9">
      <c r="A447">
        <v>34550.1</v>
      </c>
      <c r="B447">
        <v>279</v>
      </c>
      <c r="C447">
        <v>6342.14</v>
      </c>
      <c r="D447">
        <v>38.67</v>
      </c>
      <c r="E447">
        <v>4484</v>
      </c>
      <c r="F447">
        <v>3631</v>
      </c>
      <c r="G447">
        <v>7061</v>
      </c>
      <c r="H447">
        <v>3216.8</v>
      </c>
      <c r="I447">
        <v>34550.1</v>
      </c>
    </row>
    <row r="448" spans="1:9">
      <c r="A448">
        <v>34297.7</v>
      </c>
      <c r="B448">
        <v>280</v>
      </c>
      <c r="C448">
        <v>6335.31</v>
      </c>
      <c r="D448">
        <v>37.12</v>
      </c>
      <c r="E448">
        <v>4697</v>
      </c>
      <c r="F448">
        <v>3218</v>
      </c>
      <c r="G448">
        <v>7218</v>
      </c>
      <c r="H448">
        <v>3185.4</v>
      </c>
      <c r="I448">
        <v>34297.7</v>
      </c>
    </row>
    <row r="449" spans="1:9">
      <c r="A449">
        <v>34569.7</v>
      </c>
      <c r="B449">
        <v>284</v>
      </c>
      <c r="C449">
        <v>6328.48</v>
      </c>
      <c r="D449">
        <v>35.74</v>
      </c>
      <c r="E449">
        <v>4854</v>
      </c>
      <c r="F449">
        <v>2898</v>
      </c>
      <c r="G449">
        <v>7769</v>
      </c>
      <c r="H449">
        <v>3145.6</v>
      </c>
      <c r="I449">
        <v>34569.7</v>
      </c>
    </row>
    <row r="450" spans="1:9">
      <c r="A450">
        <v>34438.3</v>
      </c>
      <c r="B450">
        <v>282</v>
      </c>
      <c r="C450">
        <v>6329.28</v>
      </c>
      <c r="D450">
        <v>34.33</v>
      </c>
      <c r="E450">
        <v>5175</v>
      </c>
      <c r="F450">
        <v>2547</v>
      </c>
      <c r="G450">
        <v>8276</v>
      </c>
      <c r="H450">
        <v>3112.9</v>
      </c>
      <c r="I450">
        <v>34438.3</v>
      </c>
    </row>
    <row r="451" spans="1:9">
      <c r="A451">
        <v>34660.2</v>
      </c>
      <c r="B451">
        <v>282</v>
      </c>
      <c r="C451">
        <v>6332.49</v>
      </c>
      <c r="D451">
        <v>34.5</v>
      </c>
      <c r="E451">
        <v>5429</v>
      </c>
      <c r="F451">
        <v>2358</v>
      </c>
      <c r="G451">
        <v>8402</v>
      </c>
      <c r="H451">
        <v>3132.6</v>
      </c>
      <c r="I451">
        <v>34660.2</v>
      </c>
    </row>
    <row r="452" spans="1:9">
      <c r="A452">
        <v>34241.2</v>
      </c>
      <c r="B452">
        <v>282</v>
      </c>
      <c r="C452">
        <v>6331.29</v>
      </c>
      <c r="D452">
        <v>36.41</v>
      </c>
      <c r="E452">
        <v>5544</v>
      </c>
      <c r="F452">
        <v>1960</v>
      </c>
      <c r="G452">
        <v>8549</v>
      </c>
      <c r="H452">
        <v>3120</v>
      </c>
      <c r="I452">
        <v>34241.2</v>
      </c>
    </row>
    <row r="453" spans="1:9">
      <c r="A453">
        <v>34073.6</v>
      </c>
      <c r="B453">
        <v>346</v>
      </c>
      <c r="C453">
        <v>6333.3</v>
      </c>
      <c r="D453">
        <v>37.91</v>
      </c>
      <c r="E453">
        <v>5635</v>
      </c>
      <c r="F453">
        <v>1519</v>
      </c>
      <c r="G453">
        <v>8335</v>
      </c>
      <c r="H453">
        <v>3131.7</v>
      </c>
      <c r="I453">
        <v>34073.6</v>
      </c>
    </row>
    <row r="454" spans="1:9">
      <c r="A454">
        <v>33803</v>
      </c>
      <c r="B454">
        <v>354</v>
      </c>
      <c r="C454">
        <v>6333.3</v>
      </c>
      <c r="D454">
        <v>37.51</v>
      </c>
      <c r="E454">
        <v>5637</v>
      </c>
      <c r="F454">
        <v>1147</v>
      </c>
      <c r="G454">
        <v>9055</v>
      </c>
      <c r="H454">
        <v>3124.5</v>
      </c>
      <c r="I454">
        <v>33803</v>
      </c>
    </row>
    <row r="455" spans="1:9">
      <c r="A455">
        <v>33762.3</v>
      </c>
      <c r="B455">
        <v>354</v>
      </c>
      <c r="C455">
        <v>6339.32</v>
      </c>
      <c r="D455">
        <v>37</v>
      </c>
      <c r="E455">
        <v>5373</v>
      </c>
      <c r="F455">
        <v>877</v>
      </c>
      <c r="G455">
        <v>9307</v>
      </c>
      <c r="H455">
        <v>3096.6</v>
      </c>
      <c r="I455">
        <v>33762.3</v>
      </c>
    </row>
    <row r="456" spans="1:9">
      <c r="A456">
        <v>33668.6</v>
      </c>
      <c r="B456">
        <v>354</v>
      </c>
      <c r="C456">
        <v>6343.74</v>
      </c>
      <c r="D456">
        <v>36.71</v>
      </c>
      <c r="E456">
        <v>5165</v>
      </c>
      <c r="F456">
        <v>557</v>
      </c>
      <c r="G456">
        <v>9028</v>
      </c>
      <c r="H456">
        <v>3045.8</v>
      </c>
      <c r="I456">
        <v>33668.6</v>
      </c>
    </row>
    <row r="457" spans="1:9">
      <c r="A457">
        <v>33383</v>
      </c>
      <c r="B457">
        <v>280</v>
      </c>
      <c r="C457">
        <v>6333.29</v>
      </c>
      <c r="D457">
        <v>38.06</v>
      </c>
      <c r="E457">
        <v>4869</v>
      </c>
      <c r="F457">
        <v>397</v>
      </c>
      <c r="G457">
        <v>9031</v>
      </c>
      <c r="H457">
        <v>2986.4</v>
      </c>
      <c r="I457">
        <v>33383</v>
      </c>
    </row>
    <row r="458" spans="1:9">
      <c r="A458">
        <v>33465.9</v>
      </c>
      <c r="B458">
        <v>281</v>
      </c>
      <c r="C458">
        <v>6329.69</v>
      </c>
      <c r="D458">
        <v>37.17</v>
      </c>
      <c r="E458">
        <v>4722</v>
      </c>
      <c r="F458">
        <v>204</v>
      </c>
      <c r="G458">
        <v>8645</v>
      </c>
      <c r="H458">
        <v>2988.7</v>
      </c>
      <c r="I458">
        <v>33465.9</v>
      </c>
    </row>
    <row r="459" spans="1:9">
      <c r="A459">
        <v>33627.7</v>
      </c>
      <c r="B459">
        <v>280</v>
      </c>
      <c r="C459">
        <v>6323.25</v>
      </c>
      <c r="D459">
        <v>37.47</v>
      </c>
      <c r="E459">
        <v>4749</v>
      </c>
      <c r="F459">
        <v>80</v>
      </c>
      <c r="G459">
        <v>8504</v>
      </c>
      <c r="H459">
        <v>3017.2</v>
      </c>
      <c r="I459">
        <v>33627.7</v>
      </c>
    </row>
    <row r="460" spans="1:9">
      <c r="A460">
        <v>33818.3</v>
      </c>
      <c r="B460">
        <v>275</v>
      </c>
      <c r="C460">
        <v>6334.9</v>
      </c>
      <c r="D460">
        <v>37.74</v>
      </c>
      <c r="E460">
        <v>4528</v>
      </c>
      <c r="F460">
        <v>57</v>
      </c>
      <c r="G460">
        <v>8287</v>
      </c>
      <c r="H460">
        <v>3056.4</v>
      </c>
      <c r="I460">
        <v>33818.3</v>
      </c>
    </row>
    <row r="461" spans="1:9">
      <c r="A461">
        <v>33623.8</v>
      </c>
      <c r="B461">
        <v>276</v>
      </c>
      <c r="C461">
        <v>6340.93</v>
      </c>
      <c r="D461">
        <v>36.64</v>
      </c>
      <c r="E461">
        <v>4303</v>
      </c>
      <c r="F461">
        <v>54</v>
      </c>
      <c r="G461">
        <v>8523</v>
      </c>
      <c r="H461">
        <v>3075.2</v>
      </c>
      <c r="I461">
        <v>33623.8</v>
      </c>
    </row>
    <row r="462" spans="1:9">
      <c r="A462">
        <v>33714.5</v>
      </c>
      <c r="B462">
        <v>275</v>
      </c>
      <c r="C462">
        <v>6326.86</v>
      </c>
      <c r="D462">
        <v>36.62</v>
      </c>
      <c r="E462">
        <v>4432</v>
      </c>
      <c r="F462">
        <v>54</v>
      </c>
      <c r="G462">
        <v>8275</v>
      </c>
      <c r="H462">
        <v>3108.9</v>
      </c>
      <c r="I462">
        <v>33714.5</v>
      </c>
    </row>
    <row r="463" spans="1:9">
      <c r="A463">
        <v>33728.3</v>
      </c>
      <c r="B463">
        <v>275</v>
      </c>
      <c r="C463">
        <v>6332.89</v>
      </c>
      <c r="D463">
        <v>37.61</v>
      </c>
      <c r="E463">
        <v>4385</v>
      </c>
      <c r="F463">
        <v>54</v>
      </c>
      <c r="G463">
        <v>8233</v>
      </c>
      <c r="H463">
        <v>3105.8</v>
      </c>
      <c r="I463">
        <v>33728.3</v>
      </c>
    </row>
    <row r="464" spans="1:9">
      <c r="A464">
        <v>33626.7</v>
      </c>
      <c r="B464">
        <v>275</v>
      </c>
      <c r="C464">
        <v>6331.28</v>
      </c>
      <c r="D464">
        <v>36.27</v>
      </c>
      <c r="E464">
        <v>4291</v>
      </c>
      <c r="F464">
        <v>54</v>
      </c>
      <c r="G464">
        <v>8287</v>
      </c>
      <c r="H464">
        <v>3137.3</v>
      </c>
      <c r="I464">
        <v>33626.7</v>
      </c>
    </row>
    <row r="465" spans="1:9">
      <c r="A465">
        <v>33125.4</v>
      </c>
      <c r="B465">
        <v>253</v>
      </c>
      <c r="C465">
        <v>6335.3</v>
      </c>
      <c r="D465">
        <v>37.91</v>
      </c>
      <c r="E465">
        <v>4214</v>
      </c>
      <c r="F465">
        <v>54</v>
      </c>
      <c r="G465">
        <v>8297</v>
      </c>
      <c r="H465">
        <v>3131.5</v>
      </c>
      <c r="I465">
        <v>33125.4</v>
      </c>
    </row>
    <row r="466" spans="1:9">
      <c r="A466">
        <v>32908.6</v>
      </c>
      <c r="B466">
        <v>237</v>
      </c>
      <c r="C466">
        <v>6334.51</v>
      </c>
      <c r="D466">
        <v>37.7</v>
      </c>
      <c r="E466">
        <v>4033</v>
      </c>
      <c r="F466">
        <v>0</v>
      </c>
      <c r="G466">
        <v>8310</v>
      </c>
      <c r="H466">
        <v>3111.7</v>
      </c>
      <c r="I466">
        <v>32908.6</v>
      </c>
    </row>
    <row r="467" spans="1:9">
      <c r="A467">
        <v>32810.8</v>
      </c>
      <c r="B467">
        <v>237</v>
      </c>
      <c r="C467">
        <v>6346.16</v>
      </c>
      <c r="D467">
        <v>37.83</v>
      </c>
      <c r="E467">
        <v>3943</v>
      </c>
      <c r="F467">
        <v>0</v>
      </c>
      <c r="G467">
        <v>7998</v>
      </c>
      <c r="H467">
        <v>3133.8</v>
      </c>
      <c r="I467">
        <v>32810.8</v>
      </c>
    </row>
    <row r="468" spans="1:9">
      <c r="A468">
        <v>32557.7</v>
      </c>
      <c r="B468">
        <v>234</v>
      </c>
      <c r="C468">
        <v>6334.5</v>
      </c>
      <c r="D468">
        <v>37.43</v>
      </c>
      <c r="E468">
        <v>3717</v>
      </c>
      <c r="F468">
        <v>0</v>
      </c>
      <c r="G468">
        <v>7217</v>
      </c>
      <c r="H468">
        <v>3174.5</v>
      </c>
      <c r="I468">
        <v>32557.7</v>
      </c>
    </row>
    <row r="469" spans="1:9">
      <c r="A469">
        <v>32040.3</v>
      </c>
      <c r="B469">
        <v>234</v>
      </c>
      <c r="C469">
        <v>6342.54</v>
      </c>
      <c r="D469">
        <v>36.4</v>
      </c>
      <c r="E469">
        <v>3518</v>
      </c>
      <c r="F469">
        <v>0</v>
      </c>
      <c r="G469">
        <v>6268</v>
      </c>
      <c r="H469">
        <v>3200.8</v>
      </c>
      <c r="I469">
        <v>32040.3</v>
      </c>
    </row>
    <row r="470" spans="1:9">
      <c r="A470">
        <v>32061.2</v>
      </c>
      <c r="B470">
        <v>234</v>
      </c>
      <c r="C470">
        <v>6334.91</v>
      </c>
      <c r="D470">
        <v>36.71</v>
      </c>
      <c r="E470">
        <v>3489</v>
      </c>
      <c r="F470">
        <v>0</v>
      </c>
      <c r="G470">
        <v>6100</v>
      </c>
      <c r="H470">
        <v>3186.3</v>
      </c>
      <c r="I470">
        <v>32061.2</v>
      </c>
    </row>
    <row r="471" spans="1:9">
      <c r="A471">
        <v>31444.2</v>
      </c>
      <c r="B471">
        <v>306</v>
      </c>
      <c r="C471">
        <v>6336.92</v>
      </c>
      <c r="D471">
        <v>36.7</v>
      </c>
      <c r="E471">
        <v>3625</v>
      </c>
      <c r="F471">
        <v>0</v>
      </c>
      <c r="G471">
        <v>5903</v>
      </c>
      <c r="H471">
        <v>3190.6</v>
      </c>
      <c r="I471">
        <v>31444.2</v>
      </c>
    </row>
    <row r="472" spans="1:9">
      <c r="A472">
        <v>31229.6</v>
      </c>
      <c r="B472">
        <v>303</v>
      </c>
      <c r="C472">
        <v>6334.5</v>
      </c>
      <c r="D472">
        <v>37.42</v>
      </c>
      <c r="E472">
        <v>3723</v>
      </c>
      <c r="F472">
        <v>0</v>
      </c>
      <c r="G472">
        <v>5883</v>
      </c>
      <c r="H472">
        <v>3190</v>
      </c>
      <c r="I472">
        <v>31229.6</v>
      </c>
    </row>
    <row r="473" spans="1:9">
      <c r="A473">
        <v>30541.7</v>
      </c>
      <c r="B473">
        <v>303</v>
      </c>
      <c r="C473">
        <v>6335.71</v>
      </c>
      <c r="D473">
        <v>36.1</v>
      </c>
      <c r="E473">
        <v>3764</v>
      </c>
      <c r="F473">
        <v>0</v>
      </c>
      <c r="G473">
        <v>5788</v>
      </c>
      <c r="H473">
        <v>3168.8</v>
      </c>
      <c r="I473">
        <v>30541.7</v>
      </c>
    </row>
    <row r="474" spans="1:9">
      <c r="A474">
        <v>30709</v>
      </c>
      <c r="B474">
        <v>302</v>
      </c>
      <c r="C474">
        <v>6330.5</v>
      </c>
      <c r="D474">
        <v>36.22</v>
      </c>
      <c r="E474">
        <v>3859</v>
      </c>
      <c r="F474">
        <v>0</v>
      </c>
      <c r="G474">
        <v>6065</v>
      </c>
      <c r="H474">
        <v>3170.3</v>
      </c>
      <c r="I474">
        <v>30709</v>
      </c>
    </row>
    <row r="475" spans="1:9">
      <c r="A475">
        <v>30278.2</v>
      </c>
      <c r="B475">
        <v>303</v>
      </c>
      <c r="C475">
        <v>6335.31</v>
      </c>
      <c r="D475">
        <v>36.07</v>
      </c>
      <c r="E475">
        <v>3939</v>
      </c>
      <c r="F475">
        <v>0</v>
      </c>
      <c r="G475">
        <v>5640</v>
      </c>
      <c r="H475">
        <v>3098.1</v>
      </c>
      <c r="I475">
        <v>30278.2</v>
      </c>
    </row>
    <row r="476" spans="1:9">
      <c r="A476">
        <v>29741.5</v>
      </c>
      <c r="B476">
        <v>302</v>
      </c>
      <c r="C476">
        <v>6336.11</v>
      </c>
      <c r="D476">
        <v>36.35</v>
      </c>
      <c r="E476">
        <v>4059</v>
      </c>
      <c r="F476">
        <v>0</v>
      </c>
      <c r="G476">
        <v>5009</v>
      </c>
      <c r="H476">
        <v>3106.8</v>
      </c>
      <c r="I476">
        <v>29741.5</v>
      </c>
    </row>
    <row r="477" spans="1:9">
      <c r="A477">
        <v>29183.8</v>
      </c>
      <c r="B477">
        <v>301</v>
      </c>
      <c r="C477">
        <v>6326.47</v>
      </c>
      <c r="D477">
        <v>37.39</v>
      </c>
      <c r="E477">
        <v>4190</v>
      </c>
      <c r="F477">
        <v>0</v>
      </c>
      <c r="G477">
        <v>4538</v>
      </c>
      <c r="H477">
        <v>3180.7</v>
      </c>
      <c r="I477">
        <v>29183.8</v>
      </c>
    </row>
    <row r="478" spans="1:9">
      <c r="A478">
        <v>29055.8</v>
      </c>
      <c r="B478">
        <v>264</v>
      </c>
      <c r="C478">
        <v>6333.31</v>
      </c>
      <c r="D478">
        <v>38.01</v>
      </c>
      <c r="E478">
        <v>4317</v>
      </c>
      <c r="F478">
        <v>0</v>
      </c>
      <c r="G478">
        <v>4613</v>
      </c>
      <c r="H478">
        <v>3187.1</v>
      </c>
      <c r="I478">
        <v>29055.8</v>
      </c>
    </row>
    <row r="479" spans="1:9">
      <c r="A479">
        <v>28405.1</v>
      </c>
      <c r="B479">
        <v>264</v>
      </c>
      <c r="C479">
        <v>6325.26</v>
      </c>
      <c r="D479">
        <v>37.85</v>
      </c>
      <c r="E479">
        <v>4447</v>
      </c>
      <c r="F479">
        <v>0</v>
      </c>
      <c r="G479">
        <v>4410</v>
      </c>
      <c r="H479">
        <v>3139</v>
      </c>
      <c r="I479">
        <v>28405.1</v>
      </c>
    </row>
    <row r="480" spans="1:9">
      <c r="A480">
        <v>28080.2</v>
      </c>
      <c r="B480">
        <v>263</v>
      </c>
      <c r="C480">
        <v>6324.06</v>
      </c>
      <c r="D480">
        <v>36.67</v>
      </c>
      <c r="E480">
        <v>4460</v>
      </c>
      <c r="F480">
        <v>0</v>
      </c>
      <c r="G480">
        <v>4265</v>
      </c>
      <c r="H480">
        <v>3156.1</v>
      </c>
      <c r="I480">
        <v>28080.2</v>
      </c>
    </row>
    <row r="481" spans="1:9">
      <c r="A481">
        <v>27731.3</v>
      </c>
      <c r="B481">
        <v>263</v>
      </c>
      <c r="C481">
        <v>6337.31</v>
      </c>
      <c r="D481">
        <v>37.34</v>
      </c>
      <c r="E481">
        <v>4657</v>
      </c>
      <c r="F481">
        <v>0</v>
      </c>
      <c r="G481">
        <v>4137</v>
      </c>
      <c r="H481">
        <v>3136.8</v>
      </c>
      <c r="I481">
        <v>27731.3</v>
      </c>
    </row>
    <row r="482" spans="1:9">
      <c r="A482">
        <v>27577.3</v>
      </c>
      <c r="B482">
        <v>263</v>
      </c>
      <c r="C482">
        <v>6334.11</v>
      </c>
      <c r="D482">
        <v>36.74</v>
      </c>
      <c r="E482">
        <v>4795</v>
      </c>
      <c r="F482">
        <v>0</v>
      </c>
      <c r="G482">
        <v>4164</v>
      </c>
      <c r="H482">
        <v>3155.6</v>
      </c>
      <c r="I482">
        <v>27577.3</v>
      </c>
    </row>
    <row r="483" spans="1:9">
      <c r="A483">
        <v>27155.7</v>
      </c>
      <c r="B483">
        <v>263</v>
      </c>
      <c r="C483">
        <v>6329.28</v>
      </c>
      <c r="D483">
        <v>36.9</v>
      </c>
      <c r="E483">
        <v>4715</v>
      </c>
      <c r="F483">
        <v>0</v>
      </c>
      <c r="G483">
        <v>4306</v>
      </c>
      <c r="H483">
        <v>3139.7</v>
      </c>
      <c r="I483">
        <v>27155.7</v>
      </c>
    </row>
    <row r="484" spans="1:9">
      <c r="A484">
        <v>27064.6</v>
      </c>
      <c r="B484">
        <v>263</v>
      </c>
      <c r="C484">
        <v>6331.28</v>
      </c>
      <c r="D484">
        <v>36.86</v>
      </c>
      <c r="E484">
        <v>4754</v>
      </c>
      <c r="F484">
        <v>0</v>
      </c>
      <c r="G484">
        <v>3833</v>
      </c>
      <c r="H484">
        <v>3135.6</v>
      </c>
      <c r="I484">
        <v>27064.6</v>
      </c>
    </row>
    <row r="485" spans="1:9">
      <c r="A485">
        <v>26874.1</v>
      </c>
      <c r="B485">
        <v>263</v>
      </c>
      <c r="C485">
        <v>6333.29</v>
      </c>
      <c r="D485">
        <v>36.96</v>
      </c>
      <c r="E485">
        <v>4677</v>
      </c>
      <c r="F485">
        <v>0</v>
      </c>
      <c r="G485">
        <v>3436</v>
      </c>
      <c r="H485">
        <v>3131.7</v>
      </c>
      <c r="I485">
        <v>26874.1</v>
      </c>
    </row>
    <row r="486" spans="1:9">
      <c r="A486">
        <v>26628.4</v>
      </c>
      <c r="B486">
        <v>262</v>
      </c>
      <c r="C486">
        <v>6331.69</v>
      </c>
      <c r="D486">
        <v>36.5</v>
      </c>
      <c r="E486">
        <v>4686</v>
      </c>
      <c r="F486">
        <v>0</v>
      </c>
      <c r="G486">
        <v>3142</v>
      </c>
      <c r="H486">
        <v>3148.9</v>
      </c>
      <c r="I486">
        <v>26628.4</v>
      </c>
    </row>
    <row r="487" spans="1:9">
      <c r="A487">
        <v>26680.5</v>
      </c>
      <c r="B487">
        <v>262</v>
      </c>
      <c r="C487">
        <v>6332.9</v>
      </c>
      <c r="D487">
        <v>36.67</v>
      </c>
      <c r="E487">
        <v>4679</v>
      </c>
      <c r="F487">
        <v>0</v>
      </c>
      <c r="G487">
        <v>2819</v>
      </c>
      <c r="H487">
        <v>3136.6</v>
      </c>
      <c r="I487">
        <v>26680.5</v>
      </c>
    </row>
    <row r="488" spans="1:9">
      <c r="A488">
        <v>26584.3</v>
      </c>
      <c r="B488">
        <v>262</v>
      </c>
      <c r="C488">
        <v>6331.69</v>
      </c>
      <c r="D488">
        <v>36.45</v>
      </c>
      <c r="E488">
        <v>4709</v>
      </c>
      <c r="F488">
        <v>0</v>
      </c>
      <c r="G488">
        <v>2612</v>
      </c>
      <c r="H488">
        <v>3162.3</v>
      </c>
      <c r="I488">
        <v>26584.3</v>
      </c>
    </row>
    <row r="489" spans="1:9">
      <c r="A489">
        <v>26315.9</v>
      </c>
      <c r="B489">
        <v>263</v>
      </c>
      <c r="C489">
        <v>6324.86</v>
      </c>
      <c r="D489">
        <v>37.18</v>
      </c>
      <c r="E489">
        <v>4718</v>
      </c>
      <c r="F489">
        <v>0</v>
      </c>
      <c r="G489">
        <v>2768</v>
      </c>
      <c r="H489">
        <v>3134.8</v>
      </c>
      <c r="I489">
        <v>26315.9</v>
      </c>
    </row>
    <row r="490" spans="1:9">
      <c r="A490">
        <v>26185.5</v>
      </c>
      <c r="B490">
        <v>261</v>
      </c>
      <c r="C490">
        <v>6328.86</v>
      </c>
      <c r="D490">
        <v>37.34</v>
      </c>
      <c r="E490">
        <v>4664</v>
      </c>
      <c r="F490">
        <v>0</v>
      </c>
      <c r="G490">
        <v>2594</v>
      </c>
      <c r="H490">
        <v>3129</v>
      </c>
      <c r="I490">
        <v>26185.5</v>
      </c>
    </row>
    <row r="491" spans="1:9">
      <c r="A491">
        <v>26015.8</v>
      </c>
      <c r="B491">
        <v>261</v>
      </c>
      <c r="C491">
        <v>6332.9</v>
      </c>
      <c r="D491">
        <v>37.32</v>
      </c>
      <c r="E491">
        <v>4566</v>
      </c>
      <c r="F491">
        <v>0</v>
      </c>
      <c r="G491">
        <v>2684</v>
      </c>
      <c r="H491">
        <v>3134.4</v>
      </c>
      <c r="I491">
        <v>26015.8</v>
      </c>
    </row>
    <row r="492" spans="1:9">
      <c r="A492">
        <v>25985.8</v>
      </c>
      <c r="B492">
        <v>261</v>
      </c>
      <c r="C492">
        <v>6336.51</v>
      </c>
      <c r="D492">
        <v>37.09</v>
      </c>
      <c r="E492">
        <v>4342</v>
      </c>
      <c r="F492">
        <v>0</v>
      </c>
      <c r="G492">
        <v>2380</v>
      </c>
      <c r="H492">
        <v>3155.4</v>
      </c>
      <c r="I492">
        <v>25985.8</v>
      </c>
    </row>
    <row r="493" spans="1:9">
      <c r="A493">
        <v>25881.4</v>
      </c>
      <c r="B493">
        <v>261</v>
      </c>
      <c r="C493">
        <v>6328.49</v>
      </c>
      <c r="D493">
        <v>37.72</v>
      </c>
      <c r="E493">
        <v>4121</v>
      </c>
      <c r="F493">
        <v>0</v>
      </c>
      <c r="G493">
        <v>2654</v>
      </c>
      <c r="H493">
        <v>3127.4</v>
      </c>
      <c r="I493">
        <v>25881.4</v>
      </c>
    </row>
    <row r="494" spans="1:9">
      <c r="A494">
        <v>25846.8</v>
      </c>
      <c r="B494">
        <v>261</v>
      </c>
      <c r="C494">
        <v>6328.48</v>
      </c>
      <c r="D494">
        <v>38.08</v>
      </c>
      <c r="E494">
        <v>3987</v>
      </c>
      <c r="F494">
        <v>0</v>
      </c>
      <c r="G494">
        <v>2478</v>
      </c>
      <c r="H494">
        <v>3131.1</v>
      </c>
      <c r="I494">
        <v>25846.8</v>
      </c>
    </row>
    <row r="495" spans="1:9">
      <c r="A495">
        <v>25795.6</v>
      </c>
      <c r="B495">
        <v>261</v>
      </c>
      <c r="C495">
        <v>6335.31</v>
      </c>
      <c r="D495">
        <v>37.15</v>
      </c>
      <c r="E495">
        <v>3788</v>
      </c>
      <c r="F495">
        <v>0</v>
      </c>
      <c r="G495">
        <v>2489</v>
      </c>
      <c r="H495">
        <v>3109.5</v>
      </c>
      <c r="I495">
        <v>25795.6</v>
      </c>
    </row>
    <row r="496" spans="1:9">
      <c r="A496">
        <v>25798.1</v>
      </c>
      <c r="B496">
        <v>262</v>
      </c>
      <c r="C496">
        <v>6336.51</v>
      </c>
      <c r="D496">
        <v>36.53</v>
      </c>
      <c r="E496">
        <v>3559</v>
      </c>
      <c r="F496">
        <v>0</v>
      </c>
      <c r="G496">
        <v>2407</v>
      </c>
      <c r="H496">
        <v>3100.3</v>
      </c>
      <c r="I496">
        <v>25798.1</v>
      </c>
    </row>
    <row r="497" spans="1:9">
      <c r="A497">
        <v>25949.1</v>
      </c>
      <c r="B497">
        <v>261</v>
      </c>
      <c r="C497">
        <v>6334.1</v>
      </c>
      <c r="D497">
        <v>36.12</v>
      </c>
      <c r="E497">
        <v>3351</v>
      </c>
      <c r="F497">
        <v>0</v>
      </c>
      <c r="G497">
        <v>2273</v>
      </c>
      <c r="H497">
        <v>3106.6</v>
      </c>
      <c r="I497">
        <v>25949.1</v>
      </c>
    </row>
    <row r="498" spans="1:9">
      <c r="A498">
        <v>25938.9</v>
      </c>
      <c r="B498">
        <v>252</v>
      </c>
      <c r="C498">
        <v>6337.72</v>
      </c>
      <c r="D498">
        <v>36.09</v>
      </c>
      <c r="E498">
        <v>3114</v>
      </c>
      <c r="F498">
        <v>54</v>
      </c>
      <c r="G498">
        <v>2480</v>
      </c>
      <c r="H498">
        <v>3125.4</v>
      </c>
      <c r="I498">
        <v>25938.9</v>
      </c>
    </row>
    <row r="499" spans="1:9">
      <c r="A499">
        <v>26061.2</v>
      </c>
      <c r="B499">
        <v>228</v>
      </c>
      <c r="C499">
        <v>6334.5</v>
      </c>
      <c r="D499">
        <v>35.82</v>
      </c>
      <c r="E499">
        <v>2975</v>
      </c>
      <c r="F499">
        <v>54</v>
      </c>
      <c r="G499">
        <v>2775</v>
      </c>
      <c r="H499">
        <v>3073.9</v>
      </c>
      <c r="I499">
        <v>26061.2</v>
      </c>
    </row>
    <row r="500" spans="1:9">
      <c r="A500">
        <v>25974.3</v>
      </c>
      <c r="B500">
        <v>229</v>
      </c>
      <c r="C500">
        <v>6336.5</v>
      </c>
      <c r="D500">
        <v>36.44</v>
      </c>
      <c r="E500">
        <v>2823</v>
      </c>
      <c r="F500">
        <v>54</v>
      </c>
      <c r="G500">
        <v>2427</v>
      </c>
      <c r="H500">
        <v>3128.5</v>
      </c>
      <c r="I500">
        <v>25974.3</v>
      </c>
    </row>
    <row r="501" spans="1:9">
      <c r="A501">
        <v>26081.7</v>
      </c>
      <c r="B501">
        <v>229</v>
      </c>
      <c r="C501">
        <v>6327.27</v>
      </c>
      <c r="D501">
        <v>36.31</v>
      </c>
      <c r="E501">
        <v>2651</v>
      </c>
      <c r="F501">
        <v>54</v>
      </c>
      <c r="G501">
        <v>2958</v>
      </c>
      <c r="H501">
        <v>3162.8</v>
      </c>
      <c r="I501">
        <v>26081.7</v>
      </c>
    </row>
    <row r="502" spans="1:9">
      <c r="A502">
        <v>26691.8</v>
      </c>
      <c r="B502">
        <v>229</v>
      </c>
      <c r="C502">
        <v>6330.48</v>
      </c>
      <c r="D502">
        <v>35.83</v>
      </c>
      <c r="E502">
        <v>2479</v>
      </c>
      <c r="F502">
        <v>56</v>
      </c>
      <c r="G502">
        <v>3190</v>
      </c>
      <c r="H502">
        <v>3191.5</v>
      </c>
      <c r="I502">
        <v>26691.8</v>
      </c>
    </row>
    <row r="503" spans="1:9">
      <c r="A503">
        <v>27251.7</v>
      </c>
      <c r="B503">
        <v>229</v>
      </c>
      <c r="C503">
        <v>6327.27</v>
      </c>
      <c r="D503">
        <v>37.76</v>
      </c>
      <c r="E503">
        <v>2359</v>
      </c>
      <c r="F503">
        <v>94</v>
      </c>
      <c r="G503">
        <v>3316</v>
      </c>
      <c r="H503">
        <v>3175</v>
      </c>
      <c r="I503">
        <v>27251.7</v>
      </c>
    </row>
    <row r="504" spans="1:9">
      <c r="A504">
        <v>27603.9</v>
      </c>
      <c r="B504">
        <v>229</v>
      </c>
      <c r="C504">
        <v>6332.09</v>
      </c>
      <c r="D504">
        <v>38.29</v>
      </c>
      <c r="E504">
        <v>2240</v>
      </c>
      <c r="F504">
        <v>249</v>
      </c>
      <c r="G504">
        <v>3679</v>
      </c>
      <c r="H504">
        <v>3165.5</v>
      </c>
      <c r="I504">
        <v>27603.9</v>
      </c>
    </row>
    <row r="505" spans="1:9">
      <c r="A505">
        <v>27964</v>
      </c>
      <c r="B505">
        <v>229</v>
      </c>
      <c r="C505">
        <v>6342.95</v>
      </c>
      <c r="D505">
        <v>38.03</v>
      </c>
      <c r="E505">
        <v>2109</v>
      </c>
      <c r="F505">
        <v>466</v>
      </c>
      <c r="G505">
        <v>4395</v>
      </c>
      <c r="H505">
        <v>3138</v>
      </c>
      <c r="I505">
        <v>27964</v>
      </c>
    </row>
    <row r="506" spans="1:9">
      <c r="A506">
        <v>28524.7</v>
      </c>
      <c r="B506">
        <v>229</v>
      </c>
      <c r="C506">
        <v>6328.88</v>
      </c>
      <c r="D506">
        <v>37.51</v>
      </c>
      <c r="E506">
        <v>2008</v>
      </c>
      <c r="F506">
        <v>839</v>
      </c>
      <c r="G506">
        <v>4550</v>
      </c>
      <c r="H506">
        <v>3109.9</v>
      </c>
      <c r="I506">
        <v>28524.7</v>
      </c>
    </row>
    <row r="507" spans="1:9">
      <c r="A507">
        <v>28645.5</v>
      </c>
      <c r="B507">
        <v>229</v>
      </c>
      <c r="C507">
        <v>6332.51</v>
      </c>
      <c r="D507">
        <v>37.51</v>
      </c>
      <c r="E507">
        <v>1970</v>
      </c>
      <c r="F507">
        <v>1197</v>
      </c>
      <c r="G507">
        <v>4912</v>
      </c>
      <c r="H507">
        <v>3085.7</v>
      </c>
      <c r="I507">
        <v>28645.5</v>
      </c>
    </row>
    <row r="508" spans="1:9">
      <c r="A508">
        <v>28838.4</v>
      </c>
      <c r="B508">
        <v>229</v>
      </c>
      <c r="C508">
        <v>6335.7</v>
      </c>
      <c r="D508">
        <v>37.67</v>
      </c>
      <c r="E508">
        <v>1942</v>
      </c>
      <c r="F508">
        <v>1604</v>
      </c>
      <c r="G508">
        <v>5304</v>
      </c>
      <c r="H508">
        <v>3052.5</v>
      </c>
      <c r="I508">
        <v>28838.4</v>
      </c>
    </row>
    <row r="509" spans="1:9">
      <c r="A509">
        <v>29198.3</v>
      </c>
      <c r="B509">
        <v>230</v>
      </c>
      <c r="C509">
        <v>6339.33</v>
      </c>
      <c r="D509">
        <v>37.37</v>
      </c>
      <c r="E509">
        <v>1815</v>
      </c>
      <c r="F509">
        <v>2151</v>
      </c>
      <c r="G509">
        <v>5615</v>
      </c>
      <c r="H509">
        <v>3055.7</v>
      </c>
      <c r="I509">
        <v>29198.3</v>
      </c>
    </row>
    <row r="510" spans="1:9">
      <c r="A510">
        <v>30192.7</v>
      </c>
      <c r="B510">
        <v>230</v>
      </c>
      <c r="C510">
        <v>6339.74</v>
      </c>
      <c r="D510">
        <v>36.98</v>
      </c>
      <c r="E510">
        <v>1674</v>
      </c>
      <c r="F510">
        <v>2760</v>
      </c>
      <c r="G510">
        <v>5420</v>
      </c>
      <c r="H510">
        <v>3053.9</v>
      </c>
      <c r="I510">
        <v>30192.7</v>
      </c>
    </row>
    <row r="511" spans="1:9">
      <c r="A511">
        <v>30274.4</v>
      </c>
      <c r="B511">
        <v>230</v>
      </c>
      <c r="C511">
        <v>6341.34</v>
      </c>
      <c r="D511">
        <v>37.14</v>
      </c>
      <c r="E511">
        <v>1511</v>
      </c>
      <c r="F511">
        <v>3110</v>
      </c>
      <c r="G511">
        <v>5503</v>
      </c>
      <c r="H511">
        <v>3062.1</v>
      </c>
      <c r="I511">
        <v>30274.4</v>
      </c>
    </row>
    <row r="512" spans="1:9">
      <c r="A512">
        <v>30801.5</v>
      </c>
      <c r="B512">
        <v>232</v>
      </c>
      <c r="C512">
        <v>6333.29</v>
      </c>
      <c r="D512">
        <v>37.35</v>
      </c>
      <c r="E512">
        <v>1429</v>
      </c>
      <c r="F512">
        <v>3798</v>
      </c>
      <c r="G512">
        <v>5342</v>
      </c>
      <c r="H512">
        <v>3036.5</v>
      </c>
      <c r="I512">
        <v>30801.5</v>
      </c>
    </row>
    <row r="513" spans="1:9">
      <c r="A513">
        <v>30916.5</v>
      </c>
      <c r="B513">
        <v>232</v>
      </c>
      <c r="C513">
        <v>6334.91</v>
      </c>
      <c r="D513">
        <v>37.04</v>
      </c>
      <c r="E513">
        <v>1367</v>
      </c>
      <c r="F513">
        <v>4261</v>
      </c>
      <c r="G513">
        <v>5604</v>
      </c>
      <c r="H513">
        <v>3029.5</v>
      </c>
      <c r="I513">
        <v>30916.5</v>
      </c>
    </row>
    <row r="514" spans="1:9">
      <c r="A514">
        <v>32192.2</v>
      </c>
      <c r="B514">
        <v>231</v>
      </c>
      <c r="C514">
        <v>6334.1</v>
      </c>
      <c r="D514">
        <v>37.55</v>
      </c>
      <c r="E514">
        <v>1289</v>
      </c>
      <c r="F514">
        <v>5261</v>
      </c>
      <c r="G514">
        <v>5851</v>
      </c>
      <c r="H514">
        <v>3030.4</v>
      </c>
      <c r="I514">
        <v>32192.2</v>
      </c>
    </row>
    <row r="515" spans="1:9">
      <c r="A515">
        <v>32380.9</v>
      </c>
      <c r="B515">
        <v>128</v>
      </c>
      <c r="C515">
        <v>6335.31</v>
      </c>
      <c r="D515">
        <v>39.66</v>
      </c>
      <c r="E515">
        <v>1176</v>
      </c>
      <c r="F515">
        <v>5950</v>
      </c>
      <c r="G515">
        <v>6310</v>
      </c>
      <c r="H515">
        <v>3053.6</v>
      </c>
      <c r="I515">
        <v>32380.9</v>
      </c>
    </row>
    <row r="516" spans="1:9">
      <c r="A516">
        <v>32732.9</v>
      </c>
      <c r="B516">
        <v>125</v>
      </c>
      <c r="C516">
        <v>6323.65</v>
      </c>
      <c r="D516">
        <v>41.87</v>
      </c>
      <c r="E516">
        <v>1100</v>
      </c>
      <c r="F516">
        <v>6457</v>
      </c>
      <c r="G516">
        <v>6670</v>
      </c>
      <c r="H516">
        <v>3067.7</v>
      </c>
      <c r="I516">
        <v>32732.9</v>
      </c>
    </row>
    <row r="517" spans="1:9">
      <c r="A517">
        <v>32964.3</v>
      </c>
      <c r="B517">
        <v>122</v>
      </c>
      <c r="C517">
        <v>6331.69</v>
      </c>
      <c r="D517">
        <v>43.26</v>
      </c>
      <c r="E517">
        <v>1014</v>
      </c>
      <c r="F517">
        <v>6958</v>
      </c>
      <c r="G517">
        <v>6622</v>
      </c>
      <c r="H517">
        <v>3050.8</v>
      </c>
      <c r="I517">
        <v>32964.3</v>
      </c>
    </row>
    <row r="518" spans="1:9">
      <c r="A518">
        <v>33366.6</v>
      </c>
      <c r="B518">
        <v>122</v>
      </c>
      <c r="C518">
        <v>6324.45</v>
      </c>
      <c r="D518">
        <v>40.99</v>
      </c>
      <c r="E518">
        <v>965</v>
      </c>
      <c r="F518">
        <v>7327</v>
      </c>
      <c r="G518">
        <v>6740</v>
      </c>
      <c r="H518">
        <v>3042.3</v>
      </c>
      <c r="I518">
        <v>33366.6</v>
      </c>
    </row>
    <row r="519" spans="1:9">
      <c r="A519">
        <v>33838.6</v>
      </c>
      <c r="B519">
        <v>100</v>
      </c>
      <c r="C519">
        <v>6331.69</v>
      </c>
      <c r="D519">
        <v>42.65</v>
      </c>
      <c r="E519">
        <v>867</v>
      </c>
      <c r="F519">
        <v>7727</v>
      </c>
      <c r="G519">
        <v>6261</v>
      </c>
      <c r="H519">
        <v>3068.5</v>
      </c>
      <c r="I519">
        <v>33838.6</v>
      </c>
    </row>
    <row r="520" spans="1:9">
      <c r="A520">
        <v>33847</v>
      </c>
      <c r="B520">
        <v>99</v>
      </c>
      <c r="C520">
        <v>6331.69</v>
      </c>
      <c r="D520">
        <v>42.18</v>
      </c>
      <c r="E520">
        <v>835</v>
      </c>
      <c r="F520">
        <v>8093</v>
      </c>
      <c r="G520">
        <v>5790</v>
      </c>
      <c r="H520">
        <v>3108.2</v>
      </c>
      <c r="I520">
        <v>33847</v>
      </c>
    </row>
    <row r="521" spans="1:9">
      <c r="A521">
        <v>33869.1</v>
      </c>
      <c r="B521">
        <v>92</v>
      </c>
      <c r="C521">
        <v>6324.86</v>
      </c>
      <c r="D521">
        <v>41.94</v>
      </c>
      <c r="E521">
        <v>845</v>
      </c>
      <c r="F521">
        <v>8597</v>
      </c>
      <c r="G521">
        <v>5773</v>
      </c>
      <c r="H521">
        <v>3109.5</v>
      </c>
      <c r="I521">
        <v>33869.1</v>
      </c>
    </row>
    <row r="522" spans="1:9">
      <c r="A522">
        <v>34343.1</v>
      </c>
      <c r="B522">
        <v>92</v>
      </c>
      <c r="C522">
        <v>6331.69</v>
      </c>
      <c r="D522">
        <v>41.42</v>
      </c>
      <c r="E522">
        <v>875</v>
      </c>
      <c r="F522">
        <v>9026</v>
      </c>
      <c r="G522">
        <v>5784</v>
      </c>
      <c r="H522">
        <v>3117.5</v>
      </c>
      <c r="I522">
        <v>34343.1</v>
      </c>
    </row>
    <row r="523" spans="1:9">
      <c r="A523">
        <v>34533.1</v>
      </c>
      <c r="B523">
        <v>92</v>
      </c>
      <c r="C523">
        <v>6335.31</v>
      </c>
      <c r="D523">
        <v>40.76</v>
      </c>
      <c r="E523">
        <v>963</v>
      </c>
      <c r="F523">
        <v>9328</v>
      </c>
      <c r="G523">
        <v>5393</v>
      </c>
      <c r="H523">
        <v>3120.1</v>
      </c>
      <c r="I523">
        <v>34533.1</v>
      </c>
    </row>
    <row r="524" spans="1:9">
      <c r="A524">
        <v>34637.8</v>
      </c>
      <c r="B524">
        <v>92</v>
      </c>
      <c r="C524">
        <v>6338.53</v>
      </c>
      <c r="D524">
        <v>41.02</v>
      </c>
      <c r="E524">
        <v>1075</v>
      </c>
      <c r="F524">
        <v>9351</v>
      </c>
      <c r="G524">
        <v>5538</v>
      </c>
      <c r="H524">
        <v>3153.2</v>
      </c>
      <c r="I524">
        <v>34637.8</v>
      </c>
    </row>
    <row r="525" spans="1:9">
      <c r="A525">
        <v>34365.4</v>
      </c>
      <c r="B525">
        <v>91</v>
      </c>
      <c r="C525">
        <v>6332.1</v>
      </c>
      <c r="D525">
        <v>41.11</v>
      </c>
      <c r="E525">
        <v>1145</v>
      </c>
      <c r="F525">
        <v>9329</v>
      </c>
      <c r="G525">
        <v>5355</v>
      </c>
      <c r="H525">
        <v>3154.9</v>
      </c>
      <c r="I525">
        <v>34365.4</v>
      </c>
    </row>
    <row r="526" spans="1:9">
      <c r="A526">
        <v>34598.9</v>
      </c>
      <c r="B526">
        <v>91</v>
      </c>
      <c r="C526">
        <v>6335.32</v>
      </c>
      <c r="D526">
        <v>39.3</v>
      </c>
      <c r="E526">
        <v>1215</v>
      </c>
      <c r="F526">
        <v>9951</v>
      </c>
      <c r="G526">
        <v>5351</v>
      </c>
      <c r="H526">
        <v>3118.7</v>
      </c>
      <c r="I526">
        <v>34598.9</v>
      </c>
    </row>
    <row r="527" spans="1:9">
      <c r="A527">
        <v>34481.8</v>
      </c>
      <c r="B527">
        <v>91</v>
      </c>
      <c r="C527">
        <v>6333.7</v>
      </c>
      <c r="D527">
        <v>40.08</v>
      </c>
      <c r="E527">
        <v>1260</v>
      </c>
      <c r="F527">
        <v>10079</v>
      </c>
      <c r="G527">
        <v>4948</v>
      </c>
      <c r="H527">
        <v>3096</v>
      </c>
      <c r="I527">
        <v>34481.8</v>
      </c>
    </row>
    <row r="528" spans="1:9">
      <c r="A528">
        <v>34144.2</v>
      </c>
      <c r="B528">
        <v>91</v>
      </c>
      <c r="C528">
        <v>6329.28</v>
      </c>
      <c r="D528">
        <v>39.77</v>
      </c>
      <c r="E528">
        <v>1258</v>
      </c>
      <c r="F528">
        <v>10057</v>
      </c>
      <c r="G528">
        <v>4902</v>
      </c>
      <c r="H528">
        <v>3108.6</v>
      </c>
      <c r="I528">
        <v>34144.2</v>
      </c>
    </row>
    <row r="529" spans="1:9">
      <c r="A529">
        <v>33872.5</v>
      </c>
      <c r="B529">
        <v>91</v>
      </c>
      <c r="C529">
        <v>6334.09</v>
      </c>
      <c r="D529">
        <v>39.95</v>
      </c>
      <c r="E529">
        <v>1238</v>
      </c>
      <c r="F529">
        <v>10070</v>
      </c>
      <c r="G529">
        <v>4852</v>
      </c>
      <c r="H529">
        <v>3108.6</v>
      </c>
      <c r="I529">
        <v>33872.5</v>
      </c>
    </row>
    <row r="530" spans="1:9">
      <c r="A530">
        <v>33959.4</v>
      </c>
      <c r="B530">
        <v>91</v>
      </c>
      <c r="C530">
        <v>6332.49</v>
      </c>
      <c r="D530">
        <v>42.66</v>
      </c>
      <c r="E530">
        <v>1237</v>
      </c>
      <c r="F530">
        <v>9955</v>
      </c>
      <c r="G530">
        <v>4640</v>
      </c>
      <c r="H530">
        <v>3107.9</v>
      </c>
      <c r="I530">
        <v>33959.4</v>
      </c>
    </row>
    <row r="531" spans="1:9">
      <c r="A531">
        <v>34078.5</v>
      </c>
      <c r="B531">
        <v>91</v>
      </c>
      <c r="C531">
        <v>6335.31</v>
      </c>
      <c r="D531">
        <v>42.54</v>
      </c>
      <c r="E531">
        <v>1261</v>
      </c>
      <c r="F531">
        <v>10236</v>
      </c>
      <c r="G531">
        <v>5116</v>
      </c>
      <c r="H531">
        <v>3071.2</v>
      </c>
      <c r="I531">
        <v>34078.5</v>
      </c>
    </row>
    <row r="532" spans="1:9">
      <c r="A532">
        <v>34363.7</v>
      </c>
      <c r="B532">
        <v>91</v>
      </c>
      <c r="C532">
        <v>6330.49</v>
      </c>
      <c r="D532">
        <v>40.17</v>
      </c>
      <c r="E532">
        <v>1307</v>
      </c>
      <c r="F532">
        <v>9967</v>
      </c>
      <c r="G532">
        <v>5250</v>
      </c>
      <c r="H532">
        <v>3091.9</v>
      </c>
      <c r="I532">
        <v>34363.7</v>
      </c>
    </row>
    <row r="533" spans="1:9">
      <c r="A533">
        <v>34343.4</v>
      </c>
      <c r="B533">
        <v>91</v>
      </c>
      <c r="C533">
        <v>6336.11</v>
      </c>
      <c r="D533">
        <v>40.31</v>
      </c>
      <c r="E533">
        <v>1392</v>
      </c>
      <c r="F533">
        <v>9577</v>
      </c>
      <c r="G533">
        <v>5493</v>
      </c>
      <c r="H533">
        <v>3114.2</v>
      </c>
      <c r="I533">
        <v>34343.4</v>
      </c>
    </row>
    <row r="534" spans="1:9">
      <c r="A534">
        <v>34325.3</v>
      </c>
      <c r="B534">
        <v>90</v>
      </c>
      <c r="C534">
        <v>6333.69</v>
      </c>
      <c r="D534">
        <v>40.33</v>
      </c>
      <c r="E534">
        <v>1469</v>
      </c>
      <c r="F534">
        <v>9310</v>
      </c>
      <c r="G534">
        <v>6154</v>
      </c>
      <c r="H534">
        <v>3110.4</v>
      </c>
      <c r="I534">
        <v>34325.3</v>
      </c>
    </row>
    <row r="535" spans="1:9">
      <c r="A535">
        <v>34536.2</v>
      </c>
      <c r="B535">
        <v>90</v>
      </c>
      <c r="C535">
        <v>6333.29</v>
      </c>
      <c r="D535">
        <v>39.45</v>
      </c>
      <c r="E535">
        <v>1588</v>
      </c>
      <c r="F535">
        <v>8915</v>
      </c>
      <c r="G535">
        <v>6713</v>
      </c>
      <c r="H535">
        <v>3110.6</v>
      </c>
      <c r="I535">
        <v>34536.2</v>
      </c>
    </row>
    <row r="536" spans="1:9">
      <c r="A536">
        <v>34580.8</v>
      </c>
      <c r="B536">
        <v>90</v>
      </c>
      <c r="C536">
        <v>6336.52</v>
      </c>
      <c r="D536">
        <v>38.94</v>
      </c>
      <c r="E536">
        <v>1681</v>
      </c>
      <c r="F536">
        <v>8349</v>
      </c>
      <c r="G536">
        <v>7024</v>
      </c>
      <c r="H536">
        <v>3060.7</v>
      </c>
      <c r="I536">
        <v>34580.8</v>
      </c>
    </row>
    <row r="537" spans="1:9">
      <c r="A537">
        <v>34570.3</v>
      </c>
      <c r="B537">
        <v>90</v>
      </c>
      <c r="C537">
        <v>6341.75</v>
      </c>
      <c r="D537">
        <v>38.84</v>
      </c>
      <c r="E537">
        <v>1742</v>
      </c>
      <c r="F537">
        <v>8741</v>
      </c>
      <c r="G537">
        <v>7096</v>
      </c>
      <c r="H537">
        <v>3072</v>
      </c>
      <c r="I537">
        <v>34570.3</v>
      </c>
    </row>
    <row r="538" spans="1:9">
      <c r="A538">
        <v>34442</v>
      </c>
      <c r="B538">
        <v>87</v>
      </c>
      <c r="C538">
        <v>6327.68</v>
      </c>
      <c r="D538">
        <v>39.99</v>
      </c>
      <c r="E538">
        <v>1798</v>
      </c>
      <c r="F538">
        <v>8052</v>
      </c>
      <c r="G538">
        <v>7491</v>
      </c>
      <c r="H538">
        <v>3081.1</v>
      </c>
      <c r="I538">
        <v>34442</v>
      </c>
    </row>
    <row r="539" spans="1:9">
      <c r="A539">
        <v>34557.3</v>
      </c>
      <c r="B539">
        <v>83</v>
      </c>
      <c r="C539">
        <v>6329.28</v>
      </c>
      <c r="D539">
        <v>38.77</v>
      </c>
      <c r="E539">
        <v>1950</v>
      </c>
      <c r="F539">
        <v>7592</v>
      </c>
      <c r="G539">
        <v>7662</v>
      </c>
      <c r="H539">
        <v>3083.5</v>
      </c>
      <c r="I539">
        <v>34557.3</v>
      </c>
    </row>
    <row r="540" spans="1:9">
      <c r="A540">
        <v>34513.5</v>
      </c>
      <c r="B540">
        <v>87</v>
      </c>
      <c r="C540">
        <v>6328.48</v>
      </c>
      <c r="D540">
        <v>38.87</v>
      </c>
      <c r="E540">
        <v>2023</v>
      </c>
      <c r="F540">
        <v>7001</v>
      </c>
      <c r="G540">
        <v>8007</v>
      </c>
      <c r="H540">
        <v>3078.8</v>
      </c>
      <c r="I540">
        <v>34513.5</v>
      </c>
    </row>
    <row r="541" spans="1:9">
      <c r="A541">
        <v>34667.3</v>
      </c>
      <c r="B541">
        <v>188</v>
      </c>
      <c r="C541">
        <v>6330.89</v>
      </c>
      <c r="D541">
        <v>39.97</v>
      </c>
      <c r="E541">
        <v>2150</v>
      </c>
      <c r="F541">
        <v>6512</v>
      </c>
      <c r="G541">
        <v>8087</v>
      </c>
      <c r="H541">
        <v>3052.2</v>
      </c>
      <c r="I541">
        <v>34667.3</v>
      </c>
    </row>
    <row r="542" spans="1:9">
      <c r="A542">
        <v>35081.9</v>
      </c>
      <c r="B542">
        <v>285</v>
      </c>
      <c r="C542">
        <v>6334.91</v>
      </c>
      <c r="D542">
        <v>39.42</v>
      </c>
      <c r="E542">
        <v>2092</v>
      </c>
      <c r="F542">
        <v>6165</v>
      </c>
      <c r="G542">
        <v>8623</v>
      </c>
      <c r="H542">
        <v>3062.9</v>
      </c>
      <c r="I542">
        <v>35081.9</v>
      </c>
    </row>
    <row r="543" spans="1:9">
      <c r="A543">
        <v>34917.8</v>
      </c>
      <c r="B543">
        <v>462</v>
      </c>
      <c r="C543">
        <v>6326.06</v>
      </c>
      <c r="D543">
        <v>39.8</v>
      </c>
      <c r="E543">
        <v>2112</v>
      </c>
      <c r="F543">
        <v>5564</v>
      </c>
      <c r="G543">
        <v>8431</v>
      </c>
      <c r="H543">
        <v>3026.5</v>
      </c>
      <c r="I543">
        <v>34917.8</v>
      </c>
    </row>
    <row r="544" spans="1:9">
      <c r="A544">
        <v>34862.8</v>
      </c>
      <c r="B544">
        <v>488</v>
      </c>
      <c r="C544">
        <v>6334.91</v>
      </c>
      <c r="D544">
        <v>42.05</v>
      </c>
      <c r="E544">
        <v>2087</v>
      </c>
      <c r="F544">
        <v>4739</v>
      </c>
      <c r="G544">
        <v>8509</v>
      </c>
      <c r="H544">
        <v>3039.8</v>
      </c>
      <c r="I544">
        <v>34862.8</v>
      </c>
    </row>
    <row r="545" spans="1:9">
      <c r="A545">
        <v>34996</v>
      </c>
      <c r="B545">
        <v>299</v>
      </c>
      <c r="C545">
        <v>6325.27</v>
      </c>
      <c r="D545">
        <v>40.88</v>
      </c>
      <c r="E545">
        <v>2034</v>
      </c>
      <c r="F545">
        <v>4308</v>
      </c>
      <c r="G545">
        <v>8628</v>
      </c>
      <c r="H545">
        <v>3049.3</v>
      </c>
      <c r="I545">
        <v>34996</v>
      </c>
    </row>
    <row r="546" spans="1:9">
      <c r="A546">
        <v>35021.7</v>
      </c>
      <c r="B546">
        <v>299</v>
      </c>
      <c r="C546">
        <v>6334.51</v>
      </c>
      <c r="D546">
        <v>40.68</v>
      </c>
      <c r="E546">
        <v>1956</v>
      </c>
      <c r="F546">
        <v>3465</v>
      </c>
      <c r="G546">
        <v>8157</v>
      </c>
      <c r="H546">
        <v>3055.7</v>
      </c>
      <c r="I546">
        <v>35021.7</v>
      </c>
    </row>
    <row r="547" spans="1:9">
      <c r="A547">
        <v>34886.5</v>
      </c>
      <c r="B547">
        <v>288</v>
      </c>
      <c r="C547">
        <v>6332.5</v>
      </c>
      <c r="D547">
        <v>39.31</v>
      </c>
      <c r="E547">
        <v>2007</v>
      </c>
      <c r="F547">
        <v>3066</v>
      </c>
      <c r="G547">
        <v>8504</v>
      </c>
      <c r="H547">
        <v>3072.4</v>
      </c>
      <c r="I547">
        <v>34886.5</v>
      </c>
    </row>
    <row r="548" spans="1:9">
      <c r="A548">
        <v>34883.2</v>
      </c>
      <c r="B548">
        <v>288</v>
      </c>
      <c r="C548">
        <v>6340.54</v>
      </c>
      <c r="D548">
        <v>40.56</v>
      </c>
      <c r="E548">
        <v>1992</v>
      </c>
      <c r="F548">
        <v>2589</v>
      </c>
      <c r="G548">
        <v>8540</v>
      </c>
      <c r="H548">
        <v>3061.4</v>
      </c>
      <c r="I548">
        <v>34883.2</v>
      </c>
    </row>
    <row r="549" spans="1:9">
      <c r="A549">
        <v>34559.5</v>
      </c>
      <c r="B549">
        <v>288</v>
      </c>
      <c r="C549">
        <v>6333.7</v>
      </c>
      <c r="D549">
        <v>40.8</v>
      </c>
      <c r="E549">
        <v>1910</v>
      </c>
      <c r="F549">
        <v>1888</v>
      </c>
      <c r="G549">
        <v>8837</v>
      </c>
      <c r="H549">
        <v>3085.6</v>
      </c>
      <c r="I549">
        <v>34559.5</v>
      </c>
    </row>
    <row r="550" spans="1:9">
      <c r="A550">
        <v>34246.6</v>
      </c>
      <c r="B550">
        <v>286</v>
      </c>
      <c r="C550">
        <v>6333.7</v>
      </c>
      <c r="D550">
        <v>38.91</v>
      </c>
      <c r="E550">
        <v>1904</v>
      </c>
      <c r="F550">
        <v>1364</v>
      </c>
      <c r="G550">
        <v>8774</v>
      </c>
      <c r="H550">
        <v>3065.7</v>
      </c>
      <c r="I550">
        <v>34246.6</v>
      </c>
    </row>
    <row r="551" spans="1:9">
      <c r="A551">
        <v>34353.2</v>
      </c>
      <c r="B551">
        <v>285</v>
      </c>
      <c r="C551">
        <v>6332.5</v>
      </c>
      <c r="D551">
        <v>39.2</v>
      </c>
      <c r="E551">
        <v>1874</v>
      </c>
      <c r="F551">
        <v>917</v>
      </c>
      <c r="G551">
        <v>8607</v>
      </c>
      <c r="H551">
        <v>3063.5</v>
      </c>
      <c r="I551">
        <v>34353.2</v>
      </c>
    </row>
    <row r="552" spans="1:9">
      <c r="A552">
        <v>33943.8</v>
      </c>
      <c r="B552">
        <v>286</v>
      </c>
      <c r="C552">
        <v>6332.49</v>
      </c>
      <c r="D552">
        <v>39.61</v>
      </c>
      <c r="E552">
        <v>1809</v>
      </c>
      <c r="F552">
        <v>560</v>
      </c>
      <c r="G552">
        <v>8770</v>
      </c>
      <c r="H552">
        <v>3123.8</v>
      </c>
      <c r="I552">
        <v>33943.8</v>
      </c>
    </row>
    <row r="553" spans="1:9">
      <c r="A553">
        <v>33848.6</v>
      </c>
      <c r="B553">
        <v>286</v>
      </c>
      <c r="C553">
        <v>6324.06</v>
      </c>
      <c r="D553">
        <v>40.35</v>
      </c>
      <c r="E553">
        <v>1851</v>
      </c>
      <c r="F553">
        <v>338</v>
      </c>
      <c r="G553">
        <v>8857</v>
      </c>
      <c r="H553">
        <v>3101.4</v>
      </c>
      <c r="I553">
        <v>33848.6</v>
      </c>
    </row>
    <row r="554" spans="1:9">
      <c r="A554">
        <v>33618.2</v>
      </c>
      <c r="B554">
        <v>286</v>
      </c>
      <c r="C554">
        <v>6336.52</v>
      </c>
      <c r="D554">
        <v>40.88</v>
      </c>
      <c r="E554">
        <v>1921</v>
      </c>
      <c r="F554">
        <v>147</v>
      </c>
      <c r="G554">
        <v>9046</v>
      </c>
      <c r="H554">
        <v>3112.4</v>
      </c>
      <c r="I554">
        <v>33618.2</v>
      </c>
    </row>
    <row r="555" spans="1:9">
      <c r="A555">
        <v>33806.1</v>
      </c>
      <c r="B555">
        <v>287</v>
      </c>
      <c r="C555">
        <v>6334.09</v>
      </c>
      <c r="D555">
        <v>40.68</v>
      </c>
      <c r="E555">
        <v>2059</v>
      </c>
      <c r="F555">
        <v>60</v>
      </c>
      <c r="G555">
        <v>8989</v>
      </c>
      <c r="H555">
        <v>3100.7</v>
      </c>
      <c r="I555">
        <v>33806.1</v>
      </c>
    </row>
    <row r="556" spans="1:9">
      <c r="A556">
        <v>34207.7</v>
      </c>
      <c r="B556">
        <v>286</v>
      </c>
      <c r="C556">
        <v>6316.03</v>
      </c>
      <c r="D556">
        <v>42.07</v>
      </c>
      <c r="E556">
        <v>2164</v>
      </c>
      <c r="F556">
        <v>46</v>
      </c>
      <c r="G556">
        <v>8516</v>
      </c>
      <c r="H556">
        <v>3102.5</v>
      </c>
      <c r="I556">
        <v>34207.7</v>
      </c>
    </row>
    <row r="557" spans="1:9">
      <c r="A557">
        <v>34321.2</v>
      </c>
      <c r="B557">
        <v>286</v>
      </c>
      <c r="C557">
        <v>6332.91</v>
      </c>
      <c r="D557">
        <v>41.2</v>
      </c>
      <c r="E557">
        <v>2309</v>
      </c>
      <c r="F557">
        <v>44</v>
      </c>
      <c r="G557">
        <v>8510</v>
      </c>
      <c r="H557">
        <v>3103.8</v>
      </c>
      <c r="I557">
        <v>34321.2</v>
      </c>
    </row>
    <row r="558" spans="1:9">
      <c r="A558">
        <v>34455.3</v>
      </c>
      <c r="B558">
        <v>223</v>
      </c>
      <c r="C558">
        <v>6327.67</v>
      </c>
      <c r="D558">
        <v>40.55</v>
      </c>
      <c r="E558">
        <v>2475</v>
      </c>
      <c r="F558">
        <v>44</v>
      </c>
      <c r="G558">
        <v>8552</v>
      </c>
      <c r="H558">
        <v>3121.3</v>
      </c>
      <c r="I558">
        <v>34455.3</v>
      </c>
    </row>
    <row r="559" spans="1:9">
      <c r="A559">
        <v>34343.9</v>
      </c>
      <c r="B559">
        <v>291</v>
      </c>
      <c r="C559">
        <v>6336.1</v>
      </c>
      <c r="D559">
        <v>40.1</v>
      </c>
      <c r="E559">
        <v>2613</v>
      </c>
      <c r="F559">
        <v>44</v>
      </c>
      <c r="G559">
        <v>8569</v>
      </c>
      <c r="H559">
        <v>3085</v>
      </c>
      <c r="I559">
        <v>34343.9</v>
      </c>
    </row>
    <row r="560" spans="1:9">
      <c r="A560">
        <v>34289.9</v>
      </c>
      <c r="B560">
        <v>291</v>
      </c>
      <c r="C560">
        <v>6328.07</v>
      </c>
      <c r="D560">
        <v>40.09</v>
      </c>
      <c r="E560">
        <v>2867</v>
      </c>
      <c r="F560">
        <v>44</v>
      </c>
      <c r="G560">
        <v>8192</v>
      </c>
      <c r="H560">
        <v>3095.1</v>
      </c>
      <c r="I560">
        <v>34289.9</v>
      </c>
    </row>
    <row r="561" spans="1:9">
      <c r="A561">
        <v>33905</v>
      </c>
      <c r="B561">
        <v>295</v>
      </c>
      <c r="C561">
        <v>6326.06</v>
      </c>
      <c r="D561">
        <v>39.95</v>
      </c>
      <c r="E561">
        <v>3115</v>
      </c>
      <c r="F561">
        <v>44</v>
      </c>
      <c r="G561">
        <v>7807</v>
      </c>
      <c r="H561">
        <v>3082</v>
      </c>
      <c r="I561">
        <v>33905</v>
      </c>
    </row>
    <row r="562" spans="1:9">
      <c r="A562">
        <v>33579.2</v>
      </c>
      <c r="B562">
        <v>337</v>
      </c>
      <c r="C562">
        <v>6338.12</v>
      </c>
      <c r="D562">
        <v>39.94</v>
      </c>
      <c r="E562">
        <v>3249</v>
      </c>
      <c r="F562">
        <v>0</v>
      </c>
      <c r="G562">
        <v>7906</v>
      </c>
      <c r="H562">
        <v>3054</v>
      </c>
      <c r="I562">
        <v>33579.2</v>
      </c>
    </row>
    <row r="563" spans="1:9">
      <c r="A563">
        <v>33484.6</v>
      </c>
      <c r="B563">
        <v>337</v>
      </c>
      <c r="C563">
        <v>6332.89</v>
      </c>
      <c r="D563">
        <v>39.45</v>
      </c>
      <c r="E563">
        <v>3245</v>
      </c>
      <c r="F563">
        <v>0</v>
      </c>
      <c r="G563">
        <v>7403</v>
      </c>
      <c r="H563">
        <v>3049.5</v>
      </c>
      <c r="I563">
        <v>33484.6</v>
      </c>
    </row>
    <row r="564" spans="1:9">
      <c r="A564">
        <v>33203.4</v>
      </c>
      <c r="B564">
        <v>336</v>
      </c>
      <c r="C564">
        <v>6320.05</v>
      </c>
      <c r="D564">
        <v>39.71</v>
      </c>
      <c r="E564">
        <v>3252</v>
      </c>
      <c r="F564">
        <v>0</v>
      </c>
      <c r="G564">
        <v>7148</v>
      </c>
      <c r="H564">
        <v>3058.6</v>
      </c>
      <c r="I564">
        <v>33203.4</v>
      </c>
    </row>
    <row r="565" spans="1:9">
      <c r="A565">
        <v>32640.3</v>
      </c>
      <c r="B565">
        <v>338</v>
      </c>
      <c r="C565">
        <v>6331.68</v>
      </c>
      <c r="D565">
        <v>39.55</v>
      </c>
      <c r="E565">
        <v>3257</v>
      </c>
      <c r="F565">
        <v>0</v>
      </c>
      <c r="G565">
        <v>6360</v>
      </c>
      <c r="H565">
        <v>3052</v>
      </c>
      <c r="I565">
        <v>32640.3</v>
      </c>
    </row>
    <row r="566" spans="1:9">
      <c r="A566">
        <v>32546.3</v>
      </c>
      <c r="B566">
        <v>338</v>
      </c>
      <c r="C566">
        <v>6329.68</v>
      </c>
      <c r="D566">
        <v>40.84</v>
      </c>
      <c r="E566">
        <v>3343</v>
      </c>
      <c r="F566">
        <v>0</v>
      </c>
      <c r="G566">
        <v>5843</v>
      </c>
      <c r="H566">
        <v>3065.9</v>
      </c>
      <c r="I566">
        <v>32546.3</v>
      </c>
    </row>
    <row r="567" spans="1:9">
      <c r="A567">
        <v>31869.3</v>
      </c>
      <c r="B567">
        <v>338</v>
      </c>
      <c r="C567">
        <v>6332.09</v>
      </c>
      <c r="D567">
        <v>40.91</v>
      </c>
      <c r="E567">
        <v>3281</v>
      </c>
      <c r="F567">
        <v>0</v>
      </c>
      <c r="G567">
        <v>5265</v>
      </c>
      <c r="H567">
        <v>3059.9</v>
      </c>
      <c r="I567">
        <v>31869.3</v>
      </c>
    </row>
    <row r="568" spans="1:9">
      <c r="A568">
        <v>31309.6</v>
      </c>
      <c r="B568">
        <v>341</v>
      </c>
      <c r="C568">
        <v>6329.68</v>
      </c>
      <c r="D568">
        <v>40.89</v>
      </c>
      <c r="E568">
        <v>3220</v>
      </c>
      <c r="F568">
        <v>0</v>
      </c>
      <c r="G568">
        <v>5631</v>
      </c>
      <c r="H568">
        <v>3059.1</v>
      </c>
      <c r="I568">
        <v>31309.6</v>
      </c>
    </row>
    <row r="569" spans="1:9">
      <c r="A569">
        <v>30866.4</v>
      </c>
      <c r="B569">
        <v>341</v>
      </c>
      <c r="C569">
        <v>6334.9</v>
      </c>
      <c r="D569">
        <v>40.99</v>
      </c>
      <c r="E569">
        <v>3260</v>
      </c>
      <c r="F569">
        <v>0</v>
      </c>
      <c r="G569">
        <v>5232</v>
      </c>
      <c r="H569">
        <v>3055.5</v>
      </c>
      <c r="I569">
        <v>30866.4</v>
      </c>
    </row>
    <row r="570" spans="1:9">
      <c r="A570">
        <v>30921.2</v>
      </c>
      <c r="B570">
        <v>344</v>
      </c>
      <c r="C570">
        <v>6331.29</v>
      </c>
      <c r="D570">
        <v>39.83</v>
      </c>
      <c r="E570">
        <v>3424</v>
      </c>
      <c r="F570">
        <v>0</v>
      </c>
      <c r="G570">
        <v>5723</v>
      </c>
      <c r="H570">
        <v>3074</v>
      </c>
      <c r="I570">
        <v>30921.2</v>
      </c>
    </row>
    <row r="571" spans="1:9">
      <c r="A571">
        <v>30345.1</v>
      </c>
      <c r="B571">
        <v>343</v>
      </c>
      <c r="C571">
        <v>6328.87</v>
      </c>
      <c r="D571">
        <v>40.02</v>
      </c>
      <c r="E571">
        <v>3338</v>
      </c>
      <c r="F571">
        <v>0</v>
      </c>
      <c r="G571">
        <v>5187</v>
      </c>
      <c r="H571">
        <v>3097.4</v>
      </c>
      <c r="I571">
        <v>30345.1</v>
      </c>
    </row>
    <row r="572" spans="1:9">
      <c r="A572">
        <v>29691.2</v>
      </c>
      <c r="B572">
        <v>343</v>
      </c>
      <c r="C572">
        <v>6339.32</v>
      </c>
      <c r="D572">
        <v>39.07</v>
      </c>
      <c r="E572">
        <v>3321</v>
      </c>
      <c r="F572">
        <v>0</v>
      </c>
      <c r="G572">
        <v>4588</v>
      </c>
      <c r="H572">
        <v>3101.3</v>
      </c>
      <c r="I572">
        <v>29691.2</v>
      </c>
    </row>
    <row r="573" spans="1:9">
      <c r="A573">
        <v>29292</v>
      </c>
      <c r="B573">
        <v>343</v>
      </c>
      <c r="C573">
        <v>6337.31</v>
      </c>
      <c r="D573">
        <v>39.02</v>
      </c>
      <c r="E573">
        <v>3295</v>
      </c>
      <c r="F573">
        <v>0</v>
      </c>
      <c r="G573">
        <v>4094</v>
      </c>
      <c r="H573">
        <v>3073.2</v>
      </c>
      <c r="I573">
        <v>29292</v>
      </c>
    </row>
    <row r="574" spans="1:9">
      <c r="A574">
        <v>28860.6</v>
      </c>
      <c r="B574">
        <v>343</v>
      </c>
      <c r="C574">
        <v>6336.92</v>
      </c>
      <c r="D574">
        <v>39.5</v>
      </c>
      <c r="E574">
        <v>3380</v>
      </c>
      <c r="F574">
        <v>0</v>
      </c>
      <c r="G574">
        <v>3591</v>
      </c>
      <c r="H574">
        <v>3090.6</v>
      </c>
      <c r="I574">
        <v>28860.6</v>
      </c>
    </row>
    <row r="575" spans="1:9">
      <c r="A575">
        <v>28610</v>
      </c>
      <c r="B575">
        <v>343</v>
      </c>
      <c r="C575">
        <v>6332.5</v>
      </c>
      <c r="D575">
        <v>39.78</v>
      </c>
      <c r="E575">
        <v>3566</v>
      </c>
      <c r="F575">
        <v>0</v>
      </c>
      <c r="G575">
        <v>3192</v>
      </c>
      <c r="H575">
        <v>3061.7</v>
      </c>
      <c r="I575">
        <v>28610</v>
      </c>
    </row>
    <row r="576" spans="1:9">
      <c r="A576">
        <v>27973.2</v>
      </c>
      <c r="B576">
        <v>343</v>
      </c>
      <c r="C576">
        <v>6333.29</v>
      </c>
      <c r="D576">
        <v>39.85</v>
      </c>
      <c r="E576">
        <v>3739</v>
      </c>
      <c r="F576">
        <v>0</v>
      </c>
      <c r="G576">
        <v>3391</v>
      </c>
      <c r="H576">
        <v>3076.3</v>
      </c>
      <c r="I576">
        <v>27973.2</v>
      </c>
    </row>
    <row r="577" spans="1:9">
      <c r="A577">
        <v>27420.7</v>
      </c>
      <c r="B577">
        <v>343</v>
      </c>
      <c r="C577">
        <v>6328.89</v>
      </c>
      <c r="D577">
        <v>39.2</v>
      </c>
      <c r="E577">
        <v>3738</v>
      </c>
      <c r="F577">
        <v>0</v>
      </c>
      <c r="G577">
        <v>2975</v>
      </c>
      <c r="H577">
        <v>3086.5</v>
      </c>
      <c r="I577">
        <v>27420.7</v>
      </c>
    </row>
    <row r="578" spans="1:9">
      <c r="A578">
        <v>27331.4</v>
      </c>
      <c r="B578">
        <v>207</v>
      </c>
      <c r="C578">
        <v>6338.53</v>
      </c>
      <c r="D578">
        <v>39.57</v>
      </c>
      <c r="E578">
        <v>3925</v>
      </c>
      <c r="F578">
        <v>0</v>
      </c>
      <c r="G578">
        <v>3374</v>
      </c>
      <c r="H578">
        <v>3071.4</v>
      </c>
      <c r="I578">
        <v>27331.4</v>
      </c>
    </row>
    <row r="579" spans="1:9">
      <c r="A579">
        <v>27259.6</v>
      </c>
      <c r="B579">
        <v>206</v>
      </c>
      <c r="C579">
        <v>6337.71</v>
      </c>
      <c r="D579">
        <v>40.3</v>
      </c>
      <c r="E579">
        <v>3970</v>
      </c>
      <c r="F579">
        <v>0</v>
      </c>
      <c r="G579">
        <v>3177</v>
      </c>
      <c r="H579">
        <v>3075.2</v>
      </c>
      <c r="I579">
        <v>27259.6</v>
      </c>
    </row>
    <row r="580" spans="1:9">
      <c r="A580">
        <v>26937.8</v>
      </c>
      <c r="B580">
        <v>196</v>
      </c>
      <c r="C580">
        <v>6332.89</v>
      </c>
      <c r="D580">
        <v>40.91</v>
      </c>
      <c r="E580">
        <v>3932</v>
      </c>
      <c r="F580">
        <v>0</v>
      </c>
      <c r="G580">
        <v>2827</v>
      </c>
      <c r="H580">
        <v>3124.8</v>
      </c>
      <c r="I580">
        <v>26937.8</v>
      </c>
    </row>
    <row r="581" spans="1:9">
      <c r="A581">
        <v>26872.9</v>
      </c>
      <c r="B581">
        <v>196</v>
      </c>
      <c r="C581">
        <v>6332.49</v>
      </c>
      <c r="D581">
        <v>40.24</v>
      </c>
      <c r="E581">
        <v>3784</v>
      </c>
      <c r="F581">
        <v>0</v>
      </c>
      <c r="G581">
        <v>2581</v>
      </c>
      <c r="H581">
        <v>3124.2</v>
      </c>
      <c r="I581">
        <v>26872.9</v>
      </c>
    </row>
    <row r="582" spans="1:9">
      <c r="A582">
        <v>26580.3</v>
      </c>
      <c r="B582">
        <v>196</v>
      </c>
      <c r="C582">
        <v>6335.71</v>
      </c>
      <c r="D582">
        <v>40.2</v>
      </c>
      <c r="E582">
        <v>3605</v>
      </c>
      <c r="F582">
        <v>0</v>
      </c>
      <c r="G582">
        <v>2556</v>
      </c>
      <c r="H582">
        <v>3130</v>
      </c>
      <c r="I582">
        <v>26580.3</v>
      </c>
    </row>
    <row r="583" spans="1:9">
      <c r="A583">
        <v>26513.3</v>
      </c>
      <c r="B583">
        <v>196</v>
      </c>
      <c r="C583">
        <v>6335.72</v>
      </c>
      <c r="D583">
        <v>39.64</v>
      </c>
      <c r="E583">
        <v>3646</v>
      </c>
      <c r="F583">
        <v>0</v>
      </c>
      <c r="G583">
        <v>2191</v>
      </c>
      <c r="H583">
        <v>3109.6</v>
      </c>
      <c r="I583">
        <v>26513.3</v>
      </c>
    </row>
    <row r="584" spans="1:9">
      <c r="A584">
        <v>26222</v>
      </c>
      <c r="B584">
        <v>197</v>
      </c>
      <c r="C584">
        <v>6336.92</v>
      </c>
      <c r="D584">
        <v>39.62</v>
      </c>
      <c r="E584">
        <v>3691</v>
      </c>
      <c r="F584">
        <v>0</v>
      </c>
      <c r="G584">
        <v>1915</v>
      </c>
      <c r="H584">
        <v>3120.9</v>
      </c>
      <c r="I584">
        <v>26222</v>
      </c>
    </row>
    <row r="585" spans="1:9">
      <c r="A585">
        <v>26001.1</v>
      </c>
      <c r="B585">
        <v>197</v>
      </c>
      <c r="C585">
        <v>6333.3</v>
      </c>
      <c r="D585">
        <v>39.81</v>
      </c>
      <c r="E585">
        <v>3764</v>
      </c>
      <c r="F585">
        <v>0</v>
      </c>
      <c r="G585">
        <v>2071</v>
      </c>
      <c r="H585">
        <v>3069.4</v>
      </c>
      <c r="I585">
        <v>26001.1</v>
      </c>
    </row>
    <row r="586" spans="1:9">
      <c r="A586">
        <v>26093.1</v>
      </c>
      <c r="B586">
        <v>239</v>
      </c>
      <c r="C586">
        <v>6335.32</v>
      </c>
      <c r="D586">
        <v>39.28</v>
      </c>
      <c r="E586">
        <v>3903</v>
      </c>
      <c r="F586">
        <v>0</v>
      </c>
      <c r="G586">
        <v>1500</v>
      </c>
      <c r="H586">
        <v>3054.2</v>
      </c>
      <c r="I586">
        <v>26093.1</v>
      </c>
    </row>
    <row r="587" spans="1:9">
      <c r="A587">
        <v>26049.4</v>
      </c>
      <c r="B587">
        <v>238</v>
      </c>
      <c r="C587">
        <v>6339.73</v>
      </c>
      <c r="D587">
        <v>39.08</v>
      </c>
      <c r="E587">
        <v>3976</v>
      </c>
      <c r="F587">
        <v>0</v>
      </c>
      <c r="G587">
        <v>1570</v>
      </c>
      <c r="H587">
        <v>3045.4</v>
      </c>
      <c r="I587">
        <v>26049.4</v>
      </c>
    </row>
    <row r="588" spans="1:9">
      <c r="A588">
        <v>25853.6</v>
      </c>
      <c r="B588">
        <v>238</v>
      </c>
      <c r="C588">
        <v>6334.91</v>
      </c>
      <c r="D588">
        <v>39.34</v>
      </c>
      <c r="E588">
        <v>4066</v>
      </c>
      <c r="F588">
        <v>0</v>
      </c>
      <c r="G588">
        <v>1319</v>
      </c>
      <c r="H588">
        <v>3090.9</v>
      </c>
      <c r="I588">
        <v>25853.6</v>
      </c>
    </row>
    <row r="589" spans="1:9">
      <c r="A589">
        <v>25661.9</v>
      </c>
      <c r="B589">
        <v>238</v>
      </c>
      <c r="C589">
        <v>6334.92</v>
      </c>
      <c r="D589">
        <v>40.52</v>
      </c>
      <c r="E589">
        <v>4197</v>
      </c>
      <c r="F589">
        <v>0</v>
      </c>
      <c r="G589">
        <v>1325</v>
      </c>
      <c r="H589">
        <v>3119</v>
      </c>
      <c r="I589">
        <v>25661.9</v>
      </c>
    </row>
    <row r="590" spans="1:9">
      <c r="A590">
        <v>25697.4</v>
      </c>
      <c r="B590">
        <v>237</v>
      </c>
      <c r="C590">
        <v>6330.49</v>
      </c>
      <c r="D590">
        <v>39.2</v>
      </c>
      <c r="E590">
        <v>4388</v>
      </c>
      <c r="F590">
        <v>0</v>
      </c>
      <c r="G590">
        <v>1163</v>
      </c>
      <c r="H590">
        <v>3105.4</v>
      </c>
      <c r="I590">
        <v>25697.4</v>
      </c>
    </row>
    <row r="591" spans="1:9">
      <c r="A591">
        <v>25633</v>
      </c>
      <c r="B591">
        <v>235</v>
      </c>
      <c r="C591">
        <v>6330.5</v>
      </c>
      <c r="D591">
        <v>40.33</v>
      </c>
      <c r="E591">
        <v>4551</v>
      </c>
      <c r="F591">
        <v>0</v>
      </c>
      <c r="G591">
        <v>1215</v>
      </c>
      <c r="H591">
        <v>3126.2</v>
      </c>
      <c r="I591">
        <v>25633</v>
      </c>
    </row>
    <row r="592" spans="1:9">
      <c r="A592">
        <v>25655.6</v>
      </c>
      <c r="B592">
        <v>235</v>
      </c>
      <c r="C592">
        <v>6329.69</v>
      </c>
      <c r="D592">
        <v>40.62</v>
      </c>
      <c r="E592">
        <v>4657</v>
      </c>
      <c r="F592">
        <v>0</v>
      </c>
      <c r="G592">
        <v>1394</v>
      </c>
      <c r="H592">
        <v>3123.2</v>
      </c>
      <c r="I592">
        <v>25655.6</v>
      </c>
    </row>
    <row r="593" spans="1:9">
      <c r="A593">
        <v>25469.2</v>
      </c>
      <c r="B593">
        <v>235</v>
      </c>
      <c r="C593">
        <v>6325.27</v>
      </c>
      <c r="D593">
        <v>40.93</v>
      </c>
      <c r="E593">
        <v>4787</v>
      </c>
      <c r="F593">
        <v>0</v>
      </c>
      <c r="G593">
        <v>1177</v>
      </c>
      <c r="H593">
        <v>3125.2</v>
      </c>
      <c r="I593">
        <v>25469.2</v>
      </c>
    </row>
    <row r="594" spans="1:9">
      <c r="A594">
        <v>25772.3</v>
      </c>
      <c r="B594">
        <v>236</v>
      </c>
      <c r="C594">
        <v>6330.5</v>
      </c>
      <c r="D594">
        <v>41.2</v>
      </c>
      <c r="E594">
        <v>5031</v>
      </c>
      <c r="F594">
        <v>44</v>
      </c>
      <c r="G594">
        <v>1147</v>
      </c>
      <c r="H594">
        <v>3150.1</v>
      </c>
      <c r="I594">
        <v>25772.3</v>
      </c>
    </row>
    <row r="595" spans="1:9">
      <c r="A595">
        <v>25819.7</v>
      </c>
      <c r="B595">
        <v>235</v>
      </c>
      <c r="C595">
        <v>6330.89</v>
      </c>
      <c r="D595">
        <v>40.67</v>
      </c>
      <c r="E595">
        <v>5290</v>
      </c>
      <c r="F595">
        <v>44</v>
      </c>
      <c r="G595">
        <v>1262</v>
      </c>
      <c r="H595">
        <v>3166.2</v>
      </c>
      <c r="I595">
        <v>25819.7</v>
      </c>
    </row>
    <row r="596" spans="1:9">
      <c r="A596">
        <v>25954</v>
      </c>
      <c r="B596">
        <v>235</v>
      </c>
      <c r="C596">
        <v>6325.66</v>
      </c>
      <c r="D596">
        <v>40.01</v>
      </c>
      <c r="E596">
        <v>5515</v>
      </c>
      <c r="F596">
        <v>44</v>
      </c>
      <c r="G596">
        <v>1279</v>
      </c>
      <c r="H596">
        <v>3181.2</v>
      </c>
      <c r="I596">
        <v>25954</v>
      </c>
    </row>
    <row r="597" spans="1:9">
      <c r="A597">
        <v>26174.2</v>
      </c>
      <c r="B597">
        <v>236</v>
      </c>
      <c r="C597">
        <v>6328.06</v>
      </c>
      <c r="D597">
        <v>40.14</v>
      </c>
      <c r="E597">
        <v>5813</v>
      </c>
      <c r="F597">
        <v>44</v>
      </c>
      <c r="G597">
        <v>1333</v>
      </c>
      <c r="H597">
        <v>3185.6</v>
      </c>
      <c r="I597">
        <v>26174.2</v>
      </c>
    </row>
    <row r="598" spans="1:9">
      <c r="A598">
        <v>26785.3</v>
      </c>
      <c r="B598">
        <v>172</v>
      </c>
      <c r="C598">
        <v>6337.32</v>
      </c>
      <c r="D598">
        <v>40.07</v>
      </c>
      <c r="E598">
        <v>6002</v>
      </c>
      <c r="F598">
        <v>48</v>
      </c>
      <c r="G598">
        <v>1540</v>
      </c>
      <c r="H598">
        <v>3184.2</v>
      </c>
      <c r="I598">
        <v>26785.3</v>
      </c>
    </row>
    <row r="599" spans="1:9">
      <c r="A599">
        <v>27256.4</v>
      </c>
      <c r="B599">
        <v>173</v>
      </c>
      <c r="C599">
        <v>6330.08</v>
      </c>
      <c r="D599">
        <v>40.14</v>
      </c>
      <c r="E599">
        <v>6111</v>
      </c>
      <c r="F599">
        <v>96</v>
      </c>
      <c r="G599">
        <v>1776</v>
      </c>
      <c r="H599">
        <v>3174.4</v>
      </c>
      <c r="I599">
        <v>27256.4</v>
      </c>
    </row>
    <row r="600" spans="1:9">
      <c r="A600">
        <v>27789.9</v>
      </c>
      <c r="B600">
        <v>172</v>
      </c>
      <c r="C600">
        <v>6332.1</v>
      </c>
      <c r="D600">
        <v>40.68</v>
      </c>
      <c r="E600">
        <v>6096</v>
      </c>
      <c r="F600">
        <v>263</v>
      </c>
      <c r="G600">
        <v>1875</v>
      </c>
      <c r="H600">
        <v>3184.1</v>
      </c>
      <c r="I600">
        <v>27789.9</v>
      </c>
    </row>
    <row r="601" spans="1:9">
      <c r="A601">
        <v>28489.9</v>
      </c>
      <c r="B601">
        <v>173</v>
      </c>
      <c r="C601">
        <v>6332.1</v>
      </c>
      <c r="D601">
        <v>40.59</v>
      </c>
      <c r="E601">
        <v>5946</v>
      </c>
      <c r="F601">
        <v>464</v>
      </c>
      <c r="G601">
        <v>2332</v>
      </c>
      <c r="H601">
        <v>3229.6</v>
      </c>
      <c r="I601">
        <v>28489.9</v>
      </c>
    </row>
    <row r="602" spans="1:9">
      <c r="A602">
        <v>29170.8</v>
      </c>
      <c r="B602">
        <v>173</v>
      </c>
      <c r="C602">
        <v>6332.91</v>
      </c>
      <c r="D602">
        <v>40.57</v>
      </c>
      <c r="E602">
        <v>5688</v>
      </c>
      <c r="F602">
        <v>854</v>
      </c>
      <c r="G602">
        <v>2150</v>
      </c>
      <c r="H602">
        <v>3241.8</v>
      </c>
      <c r="I602">
        <v>29170.8</v>
      </c>
    </row>
    <row r="603" spans="1:9">
      <c r="A603">
        <v>29597.7</v>
      </c>
      <c r="B603">
        <v>172</v>
      </c>
      <c r="C603">
        <v>6326.07</v>
      </c>
      <c r="D603">
        <v>40.12</v>
      </c>
      <c r="E603">
        <v>5312</v>
      </c>
      <c r="F603">
        <v>1267</v>
      </c>
      <c r="G603">
        <v>2814</v>
      </c>
      <c r="H603">
        <v>3218.2</v>
      </c>
      <c r="I603">
        <v>29597.7</v>
      </c>
    </row>
    <row r="604" spans="1:9">
      <c r="A604">
        <v>30226.2</v>
      </c>
      <c r="B604">
        <v>172</v>
      </c>
      <c r="C604">
        <v>6328.88</v>
      </c>
      <c r="D604">
        <v>40.74</v>
      </c>
      <c r="E604">
        <v>4789</v>
      </c>
      <c r="F604">
        <v>1847</v>
      </c>
      <c r="G604">
        <v>3544</v>
      </c>
      <c r="H604">
        <v>3240.1</v>
      </c>
      <c r="I604">
        <v>30226.2</v>
      </c>
    </row>
    <row r="605" spans="1:9">
      <c r="A605">
        <v>30173</v>
      </c>
      <c r="B605">
        <v>172</v>
      </c>
      <c r="C605">
        <v>6334.89</v>
      </c>
      <c r="D605">
        <v>42.07</v>
      </c>
      <c r="E605">
        <v>4309</v>
      </c>
      <c r="F605">
        <v>2511</v>
      </c>
      <c r="G605">
        <v>3712</v>
      </c>
      <c r="H605">
        <v>3249.6</v>
      </c>
      <c r="I605">
        <v>30173</v>
      </c>
    </row>
    <row r="606" spans="1:9">
      <c r="A606">
        <v>30790.6</v>
      </c>
      <c r="B606">
        <v>171</v>
      </c>
      <c r="C606">
        <v>6322.05</v>
      </c>
      <c r="D606">
        <v>41.76</v>
      </c>
      <c r="E606">
        <v>3888</v>
      </c>
      <c r="F606">
        <v>3243</v>
      </c>
      <c r="G606">
        <v>3367</v>
      </c>
      <c r="H606">
        <v>3240.8</v>
      </c>
      <c r="I606">
        <v>30790.6</v>
      </c>
    </row>
    <row r="607" spans="1:9">
      <c r="A607">
        <v>31220.6</v>
      </c>
      <c r="B607">
        <v>171</v>
      </c>
      <c r="C607">
        <v>6331.7</v>
      </c>
      <c r="D607">
        <v>41.94</v>
      </c>
      <c r="E607">
        <v>3665</v>
      </c>
      <c r="F607">
        <v>3957</v>
      </c>
      <c r="G607">
        <v>3847</v>
      </c>
      <c r="H607">
        <v>3207.6</v>
      </c>
      <c r="I607">
        <v>31220.6</v>
      </c>
    </row>
    <row r="608" spans="1:9">
      <c r="A608">
        <v>31432.2</v>
      </c>
      <c r="B608">
        <v>171</v>
      </c>
      <c r="C608">
        <v>6332.89</v>
      </c>
      <c r="D608">
        <v>42.28</v>
      </c>
      <c r="E608">
        <v>3467</v>
      </c>
      <c r="F608">
        <v>4698</v>
      </c>
      <c r="G608">
        <v>4163</v>
      </c>
      <c r="H608">
        <v>3181.7</v>
      </c>
      <c r="I608">
        <v>31432.2</v>
      </c>
    </row>
    <row r="609" spans="1:9">
      <c r="A609">
        <v>31993.6</v>
      </c>
      <c r="B609">
        <v>171</v>
      </c>
      <c r="C609">
        <v>6340.14</v>
      </c>
      <c r="D609">
        <v>42.4</v>
      </c>
      <c r="E609">
        <v>3405</v>
      </c>
      <c r="F609">
        <v>5334</v>
      </c>
      <c r="G609">
        <v>4237</v>
      </c>
      <c r="H609">
        <v>3179.7</v>
      </c>
      <c r="I609">
        <v>31993.6</v>
      </c>
    </row>
    <row r="610" spans="1:9">
      <c r="A610">
        <v>32665.5</v>
      </c>
      <c r="B610">
        <v>171</v>
      </c>
      <c r="C610">
        <v>6330.88</v>
      </c>
      <c r="D610">
        <v>40.72</v>
      </c>
      <c r="E610">
        <v>3407</v>
      </c>
      <c r="F610">
        <v>5992</v>
      </c>
      <c r="G610">
        <v>4554</v>
      </c>
      <c r="H610">
        <v>3169.6</v>
      </c>
      <c r="I610">
        <v>32665.5</v>
      </c>
    </row>
    <row r="611" spans="1:9">
      <c r="A611">
        <v>33243.2</v>
      </c>
      <c r="B611">
        <v>99</v>
      </c>
      <c r="C611">
        <v>6323.65</v>
      </c>
      <c r="D611">
        <v>40.75</v>
      </c>
      <c r="E611">
        <v>3486</v>
      </c>
      <c r="F611">
        <v>6660</v>
      </c>
      <c r="G611">
        <v>4434</v>
      </c>
      <c r="H611">
        <v>3124.6</v>
      </c>
      <c r="I611">
        <v>33243.2</v>
      </c>
    </row>
    <row r="612" spans="1:9">
      <c r="A612">
        <v>33696.5</v>
      </c>
      <c r="B612">
        <v>99</v>
      </c>
      <c r="C612">
        <v>6328.88</v>
      </c>
      <c r="D612">
        <v>40.08</v>
      </c>
      <c r="E612">
        <v>3471</v>
      </c>
      <c r="F612">
        <v>7250</v>
      </c>
      <c r="G612">
        <v>5241</v>
      </c>
      <c r="H612">
        <v>3133.3</v>
      </c>
      <c r="I612">
        <v>33696.5</v>
      </c>
    </row>
    <row r="613" spans="1:9">
      <c r="A613">
        <v>34091.5</v>
      </c>
      <c r="B613">
        <v>99</v>
      </c>
      <c r="C613">
        <v>6324.85</v>
      </c>
      <c r="D613">
        <v>38.45</v>
      </c>
      <c r="E613">
        <v>3402</v>
      </c>
      <c r="F613">
        <v>7863</v>
      </c>
      <c r="G613">
        <v>5174</v>
      </c>
      <c r="H613">
        <v>3167.1</v>
      </c>
      <c r="I613">
        <v>34091.5</v>
      </c>
    </row>
    <row r="614" spans="1:9">
      <c r="A614">
        <v>34264.7</v>
      </c>
      <c r="B614">
        <v>97</v>
      </c>
      <c r="C614">
        <v>6330.48</v>
      </c>
      <c r="D614">
        <v>39.38</v>
      </c>
      <c r="E614">
        <v>3463</v>
      </c>
      <c r="F614">
        <v>8360</v>
      </c>
      <c r="G614">
        <v>5252</v>
      </c>
      <c r="H614">
        <v>3177.4</v>
      </c>
      <c r="I614">
        <v>34264.7</v>
      </c>
    </row>
    <row r="615" spans="1:9">
      <c r="A615">
        <v>34769.3</v>
      </c>
      <c r="B615">
        <v>97</v>
      </c>
      <c r="C615">
        <v>6329.68</v>
      </c>
      <c r="D615">
        <v>41.61</v>
      </c>
      <c r="E615">
        <v>3571</v>
      </c>
      <c r="F615">
        <v>8967</v>
      </c>
      <c r="G615">
        <v>5048</v>
      </c>
      <c r="H615">
        <v>3146.8</v>
      </c>
      <c r="I615">
        <v>34769.3</v>
      </c>
    </row>
    <row r="616" spans="1:9">
      <c r="A616">
        <v>34972.8</v>
      </c>
      <c r="B616">
        <v>97</v>
      </c>
      <c r="C616">
        <v>6330.09</v>
      </c>
      <c r="D616">
        <v>41.67</v>
      </c>
      <c r="E616">
        <v>3776</v>
      </c>
      <c r="F616">
        <v>9282</v>
      </c>
      <c r="G616">
        <v>5136</v>
      </c>
      <c r="H616">
        <v>3173.2</v>
      </c>
      <c r="I616">
        <v>34972.8</v>
      </c>
    </row>
    <row r="617" spans="1:9">
      <c r="A617">
        <v>35174.8</v>
      </c>
      <c r="B617">
        <v>97</v>
      </c>
      <c r="C617">
        <v>6330.49</v>
      </c>
      <c r="D617">
        <v>41.14</v>
      </c>
      <c r="E617">
        <v>3956</v>
      </c>
      <c r="F617">
        <v>9491</v>
      </c>
      <c r="G617">
        <v>5637</v>
      </c>
      <c r="H617">
        <v>3176.8</v>
      </c>
      <c r="I617">
        <v>35174.8</v>
      </c>
    </row>
    <row r="618" spans="1:9">
      <c r="A618">
        <v>35451.9</v>
      </c>
      <c r="B618">
        <v>97</v>
      </c>
      <c r="C618">
        <v>6323.26</v>
      </c>
      <c r="D618">
        <v>39.53</v>
      </c>
      <c r="E618">
        <v>4127</v>
      </c>
      <c r="F618">
        <v>9724</v>
      </c>
      <c r="G618">
        <v>5585</v>
      </c>
      <c r="H618">
        <v>3174</v>
      </c>
      <c r="I618">
        <v>35451.9</v>
      </c>
    </row>
    <row r="619" spans="1:9">
      <c r="A619">
        <v>35406.4</v>
      </c>
      <c r="B619">
        <v>97</v>
      </c>
      <c r="C619">
        <v>6326.87</v>
      </c>
      <c r="D619">
        <v>39.91</v>
      </c>
      <c r="E619">
        <v>4399</v>
      </c>
      <c r="F619">
        <v>9812</v>
      </c>
      <c r="G619">
        <v>5265</v>
      </c>
      <c r="H619">
        <v>3164.4</v>
      </c>
      <c r="I619">
        <v>35406.4</v>
      </c>
    </row>
    <row r="620" spans="1:9">
      <c r="A620">
        <v>35900.6</v>
      </c>
      <c r="B620">
        <v>97</v>
      </c>
      <c r="C620">
        <v>6332.51</v>
      </c>
      <c r="D620">
        <v>40.92</v>
      </c>
      <c r="E620">
        <v>4544</v>
      </c>
      <c r="F620">
        <v>10007</v>
      </c>
      <c r="G620">
        <v>5608</v>
      </c>
      <c r="H620">
        <v>3169.1</v>
      </c>
      <c r="I620">
        <v>35900.6</v>
      </c>
    </row>
    <row r="621" spans="1:9">
      <c r="A621">
        <v>35748.2</v>
      </c>
      <c r="B621">
        <v>97</v>
      </c>
      <c r="C621">
        <v>6329.29</v>
      </c>
      <c r="D621">
        <v>41.34</v>
      </c>
      <c r="E621">
        <v>4555</v>
      </c>
      <c r="F621">
        <v>9923</v>
      </c>
      <c r="G621">
        <v>5456</v>
      </c>
      <c r="H621">
        <v>3170.3</v>
      </c>
      <c r="I621">
        <v>35748.2</v>
      </c>
    </row>
    <row r="622" spans="1:9">
      <c r="A622">
        <v>35463.3</v>
      </c>
      <c r="B622">
        <v>97</v>
      </c>
      <c r="C622">
        <v>6335.71</v>
      </c>
      <c r="D622">
        <v>38.52</v>
      </c>
      <c r="E622">
        <v>4613</v>
      </c>
      <c r="F622">
        <v>9713</v>
      </c>
      <c r="G622">
        <v>5288</v>
      </c>
      <c r="H622">
        <v>3172.6</v>
      </c>
      <c r="I622">
        <v>35463.3</v>
      </c>
    </row>
    <row r="623" spans="1:9">
      <c r="A623">
        <v>35271.9</v>
      </c>
      <c r="B623">
        <v>97</v>
      </c>
      <c r="C623">
        <v>6333.7</v>
      </c>
      <c r="D623">
        <v>38.58</v>
      </c>
      <c r="E623">
        <v>4951</v>
      </c>
      <c r="F623">
        <v>9599</v>
      </c>
      <c r="G623">
        <v>5032</v>
      </c>
      <c r="H623">
        <v>3176.9</v>
      </c>
      <c r="I623">
        <v>35271.9</v>
      </c>
    </row>
    <row r="624" spans="1:9">
      <c r="A624">
        <v>34670</v>
      </c>
      <c r="B624">
        <v>97</v>
      </c>
      <c r="C624">
        <v>6341.74</v>
      </c>
      <c r="D624">
        <v>38.99</v>
      </c>
      <c r="E624">
        <v>4919</v>
      </c>
      <c r="F624">
        <v>9297</v>
      </c>
      <c r="G624">
        <v>4498</v>
      </c>
      <c r="H624">
        <v>3162.8</v>
      </c>
      <c r="I624">
        <v>34670</v>
      </c>
    </row>
    <row r="625" spans="1:9">
      <c r="A625">
        <v>34533.7</v>
      </c>
      <c r="B625">
        <v>97</v>
      </c>
      <c r="C625">
        <v>6334.91</v>
      </c>
      <c r="D625">
        <v>39.56</v>
      </c>
      <c r="E625">
        <v>4997</v>
      </c>
      <c r="F625">
        <v>8848</v>
      </c>
      <c r="G625">
        <v>4631</v>
      </c>
      <c r="H625">
        <v>3155.4</v>
      </c>
      <c r="I625">
        <v>34533.7</v>
      </c>
    </row>
    <row r="626" spans="1:9">
      <c r="A626">
        <v>34624.3</v>
      </c>
      <c r="B626">
        <v>96</v>
      </c>
      <c r="C626">
        <v>6331.69</v>
      </c>
      <c r="D626">
        <v>37.61</v>
      </c>
      <c r="E626">
        <v>4986</v>
      </c>
      <c r="F626">
        <v>9149</v>
      </c>
      <c r="G626">
        <v>4725</v>
      </c>
      <c r="H626">
        <v>3147.8</v>
      </c>
      <c r="I626">
        <v>34624.3</v>
      </c>
    </row>
    <row r="627" spans="1:9">
      <c r="A627">
        <v>35074.7</v>
      </c>
      <c r="B627">
        <v>96</v>
      </c>
      <c r="C627">
        <v>6328.48</v>
      </c>
      <c r="D627">
        <v>38.87</v>
      </c>
      <c r="E627">
        <v>5081</v>
      </c>
      <c r="F627">
        <v>8940</v>
      </c>
      <c r="G627">
        <v>4787</v>
      </c>
      <c r="H627">
        <v>3121.9</v>
      </c>
      <c r="I627">
        <v>35074.7</v>
      </c>
    </row>
    <row r="628" spans="1:9">
      <c r="A628">
        <v>35455.3</v>
      </c>
      <c r="B628">
        <v>96</v>
      </c>
      <c r="C628">
        <v>6318.02</v>
      </c>
      <c r="D628">
        <v>38.9</v>
      </c>
      <c r="E628">
        <v>4949</v>
      </c>
      <c r="F628">
        <v>8872</v>
      </c>
      <c r="G628">
        <v>4811</v>
      </c>
      <c r="H628">
        <v>3127.4</v>
      </c>
      <c r="I628">
        <v>35455.3</v>
      </c>
    </row>
    <row r="629" spans="1:9">
      <c r="A629">
        <v>35160.3</v>
      </c>
      <c r="B629">
        <v>95</v>
      </c>
      <c r="C629">
        <v>6332.09</v>
      </c>
      <c r="D629">
        <v>39.66</v>
      </c>
      <c r="E629">
        <v>4985</v>
      </c>
      <c r="F629">
        <v>8678</v>
      </c>
      <c r="G629">
        <v>5014</v>
      </c>
      <c r="H629">
        <v>3157.2</v>
      </c>
      <c r="I629">
        <v>35160.3</v>
      </c>
    </row>
    <row r="630" spans="1:9">
      <c r="A630">
        <v>35895.1</v>
      </c>
      <c r="B630">
        <v>95</v>
      </c>
      <c r="C630">
        <v>6329.29</v>
      </c>
      <c r="D630">
        <v>41.88</v>
      </c>
      <c r="E630">
        <v>5036</v>
      </c>
      <c r="F630">
        <v>8564</v>
      </c>
      <c r="G630">
        <v>5208</v>
      </c>
      <c r="H630">
        <v>3192.4</v>
      </c>
      <c r="I630">
        <v>35895.1</v>
      </c>
    </row>
    <row r="631" spans="1:9">
      <c r="A631">
        <v>35838</v>
      </c>
      <c r="B631">
        <v>96</v>
      </c>
      <c r="C631">
        <v>6327.67</v>
      </c>
      <c r="D631">
        <v>40.78</v>
      </c>
      <c r="E631">
        <v>4907</v>
      </c>
      <c r="F631">
        <v>8649</v>
      </c>
      <c r="G631">
        <v>5202</v>
      </c>
      <c r="H631">
        <v>3184.5</v>
      </c>
      <c r="I631">
        <v>35838</v>
      </c>
    </row>
    <row r="632" spans="1:9">
      <c r="A632">
        <v>36041</v>
      </c>
      <c r="B632">
        <v>93</v>
      </c>
      <c r="C632">
        <v>6330.48</v>
      </c>
      <c r="D632">
        <v>39.43</v>
      </c>
      <c r="E632">
        <v>4902</v>
      </c>
      <c r="F632">
        <v>8438</v>
      </c>
      <c r="G632">
        <v>5328</v>
      </c>
      <c r="H632">
        <v>3215.1</v>
      </c>
      <c r="I632">
        <v>36041</v>
      </c>
    </row>
    <row r="633" spans="1:9">
      <c r="A633">
        <v>35490.5</v>
      </c>
      <c r="B633">
        <v>92</v>
      </c>
      <c r="C633">
        <v>6330.48</v>
      </c>
      <c r="D633">
        <v>40.07</v>
      </c>
      <c r="E633">
        <v>4868</v>
      </c>
      <c r="F633">
        <v>7900</v>
      </c>
      <c r="G633">
        <v>5386</v>
      </c>
      <c r="H633">
        <v>3219.7</v>
      </c>
      <c r="I633">
        <v>35490.5</v>
      </c>
    </row>
    <row r="634" spans="1:9">
      <c r="A634">
        <v>35837.1</v>
      </c>
      <c r="B634">
        <v>93</v>
      </c>
      <c r="C634">
        <v>6329.67</v>
      </c>
      <c r="D634">
        <v>37.4</v>
      </c>
      <c r="E634">
        <v>4864</v>
      </c>
      <c r="F634">
        <v>7589</v>
      </c>
      <c r="G634">
        <v>6158</v>
      </c>
      <c r="H634">
        <v>3222.3</v>
      </c>
      <c r="I634">
        <v>35837.1</v>
      </c>
    </row>
    <row r="635" spans="1:9">
      <c r="A635">
        <v>35673.6</v>
      </c>
      <c r="B635">
        <v>92</v>
      </c>
      <c r="C635">
        <v>6336.51</v>
      </c>
      <c r="D635">
        <v>38.28</v>
      </c>
      <c r="E635">
        <v>4824</v>
      </c>
      <c r="F635">
        <v>7395</v>
      </c>
      <c r="G635">
        <v>6223</v>
      </c>
      <c r="H635">
        <v>3247.5</v>
      </c>
      <c r="I635">
        <v>35673.6</v>
      </c>
    </row>
    <row r="636" spans="1:9">
      <c r="A636">
        <v>35095</v>
      </c>
      <c r="B636">
        <v>92</v>
      </c>
      <c r="C636">
        <v>6334.91</v>
      </c>
      <c r="D636">
        <v>39.8</v>
      </c>
      <c r="E636">
        <v>4912</v>
      </c>
      <c r="F636">
        <v>6079</v>
      </c>
      <c r="G636">
        <v>6686</v>
      </c>
      <c r="H636">
        <v>3225.2</v>
      </c>
      <c r="I636">
        <v>35095</v>
      </c>
    </row>
    <row r="637" spans="1:9">
      <c r="A637">
        <v>35270.5</v>
      </c>
      <c r="B637">
        <v>92</v>
      </c>
      <c r="C637">
        <v>6342.95</v>
      </c>
      <c r="D637">
        <v>40.35</v>
      </c>
      <c r="E637">
        <v>4935</v>
      </c>
      <c r="F637">
        <v>5773</v>
      </c>
      <c r="G637">
        <v>6787</v>
      </c>
      <c r="H637">
        <v>3219.7</v>
      </c>
      <c r="I637">
        <v>35270.5</v>
      </c>
    </row>
    <row r="638" spans="1:9">
      <c r="A638">
        <v>35593.9</v>
      </c>
      <c r="B638">
        <v>92</v>
      </c>
      <c r="C638">
        <v>6332.49</v>
      </c>
      <c r="D638">
        <v>40.01</v>
      </c>
      <c r="E638">
        <v>4827</v>
      </c>
      <c r="F638">
        <v>5775</v>
      </c>
      <c r="G638">
        <v>7659</v>
      </c>
      <c r="H638">
        <v>3242.9</v>
      </c>
      <c r="I638">
        <v>35593.9</v>
      </c>
    </row>
    <row r="639" spans="1:9">
      <c r="A639">
        <v>35230.3</v>
      </c>
      <c r="B639">
        <v>92</v>
      </c>
      <c r="C639">
        <v>6318.43</v>
      </c>
      <c r="D639">
        <v>39.65</v>
      </c>
      <c r="E639">
        <v>4977</v>
      </c>
      <c r="F639">
        <v>5278</v>
      </c>
      <c r="G639">
        <v>7532</v>
      </c>
      <c r="H639">
        <v>3247.3</v>
      </c>
      <c r="I639">
        <v>35230.3</v>
      </c>
    </row>
    <row r="640" spans="1:9">
      <c r="A640">
        <v>35298.9</v>
      </c>
      <c r="B640">
        <v>92</v>
      </c>
      <c r="C640">
        <v>6339.32</v>
      </c>
      <c r="D640">
        <v>40.77</v>
      </c>
      <c r="E640">
        <v>4985</v>
      </c>
      <c r="F640">
        <v>4657</v>
      </c>
      <c r="G640">
        <v>7547</v>
      </c>
      <c r="H640">
        <v>3230.8</v>
      </c>
      <c r="I640">
        <v>35298.9</v>
      </c>
    </row>
    <row r="641" spans="1:9">
      <c r="A641">
        <v>35314.6</v>
      </c>
      <c r="B641">
        <v>92</v>
      </c>
      <c r="C641">
        <v>6331.69</v>
      </c>
      <c r="D641">
        <v>39.11</v>
      </c>
      <c r="E641">
        <v>5123</v>
      </c>
      <c r="F641">
        <v>4241</v>
      </c>
      <c r="G641">
        <v>7093</v>
      </c>
      <c r="H641">
        <v>3203.9</v>
      </c>
      <c r="I641">
        <v>35314.6</v>
      </c>
    </row>
    <row r="642" spans="1:9">
      <c r="A642">
        <v>35726.7</v>
      </c>
      <c r="B642">
        <v>227</v>
      </c>
      <c r="C642">
        <v>6340.14</v>
      </c>
      <c r="D642">
        <v>40.27</v>
      </c>
      <c r="E642">
        <v>5255</v>
      </c>
      <c r="F642">
        <v>3923</v>
      </c>
      <c r="G642">
        <v>6337</v>
      </c>
      <c r="H642">
        <v>3189.1</v>
      </c>
      <c r="I642">
        <v>35726.7</v>
      </c>
    </row>
    <row r="643" spans="1:9">
      <c r="A643">
        <v>35626.5</v>
      </c>
      <c r="B643">
        <v>228</v>
      </c>
      <c r="C643">
        <v>6343.35</v>
      </c>
      <c r="D643">
        <v>40.33</v>
      </c>
      <c r="E643">
        <v>5413</v>
      </c>
      <c r="F643">
        <v>3262</v>
      </c>
      <c r="G643">
        <v>5517</v>
      </c>
      <c r="H643">
        <v>3166.1</v>
      </c>
      <c r="I643">
        <v>35626.5</v>
      </c>
    </row>
    <row r="644" spans="1:9">
      <c r="A644">
        <v>35371.8</v>
      </c>
      <c r="B644">
        <v>228</v>
      </c>
      <c r="C644">
        <v>6339.33</v>
      </c>
      <c r="D644">
        <v>40.31</v>
      </c>
      <c r="E644">
        <v>5599</v>
      </c>
      <c r="F644">
        <v>2622</v>
      </c>
      <c r="G644">
        <v>5611</v>
      </c>
      <c r="H644">
        <v>3158.4</v>
      </c>
      <c r="I644">
        <v>35371.8</v>
      </c>
    </row>
    <row r="645" spans="1:9">
      <c r="A645">
        <v>34897.3</v>
      </c>
      <c r="B645">
        <v>246</v>
      </c>
      <c r="C645">
        <v>6343.35</v>
      </c>
      <c r="D645">
        <v>40.68</v>
      </c>
      <c r="E645">
        <v>5612</v>
      </c>
      <c r="F645">
        <v>2072</v>
      </c>
      <c r="G645">
        <v>5704</v>
      </c>
      <c r="H645">
        <v>3188.8</v>
      </c>
      <c r="I645">
        <v>34897.3</v>
      </c>
    </row>
    <row r="646" spans="1:9">
      <c r="A646">
        <v>34558.2</v>
      </c>
      <c r="B646">
        <v>269</v>
      </c>
      <c r="C646">
        <v>6341.35</v>
      </c>
      <c r="D646">
        <v>43.31</v>
      </c>
      <c r="E646">
        <v>5550</v>
      </c>
      <c r="F646">
        <v>1396</v>
      </c>
      <c r="G646">
        <v>6008</v>
      </c>
      <c r="H646">
        <v>3168.7</v>
      </c>
      <c r="I646">
        <v>34558.2</v>
      </c>
    </row>
    <row r="647" spans="1:9">
      <c r="A647">
        <v>34388.1</v>
      </c>
      <c r="B647">
        <v>269</v>
      </c>
      <c r="C647">
        <v>6328.08</v>
      </c>
      <c r="D647">
        <v>42.05</v>
      </c>
      <c r="E647">
        <v>5621</v>
      </c>
      <c r="F647">
        <v>904</v>
      </c>
      <c r="G647">
        <v>6107</v>
      </c>
      <c r="H647">
        <v>3157.1</v>
      </c>
      <c r="I647">
        <v>34388.1</v>
      </c>
    </row>
    <row r="648" spans="1:9">
      <c r="A648">
        <v>34129.1</v>
      </c>
      <c r="B648">
        <v>269</v>
      </c>
      <c r="C648">
        <v>6343.75</v>
      </c>
      <c r="D648">
        <v>42.24</v>
      </c>
      <c r="E648">
        <v>5577</v>
      </c>
      <c r="F648">
        <v>559</v>
      </c>
      <c r="G648">
        <v>5758</v>
      </c>
      <c r="H648">
        <v>3182.2</v>
      </c>
      <c r="I648">
        <v>34129.1</v>
      </c>
    </row>
    <row r="649" spans="1:9">
      <c r="A649">
        <v>34273.6</v>
      </c>
      <c r="B649">
        <v>269</v>
      </c>
      <c r="C649">
        <v>6336.91</v>
      </c>
      <c r="D649">
        <v>41.41</v>
      </c>
      <c r="E649">
        <v>5579</v>
      </c>
      <c r="F649">
        <v>322</v>
      </c>
      <c r="G649">
        <v>5881</v>
      </c>
      <c r="H649">
        <v>3179.2</v>
      </c>
      <c r="I649">
        <v>34273.6</v>
      </c>
    </row>
    <row r="650" spans="1:9">
      <c r="A650">
        <v>34114.7</v>
      </c>
      <c r="B650">
        <v>269</v>
      </c>
      <c r="C650">
        <v>6336.52</v>
      </c>
      <c r="D650">
        <v>41.16</v>
      </c>
      <c r="E650">
        <v>5760</v>
      </c>
      <c r="F650">
        <v>136</v>
      </c>
      <c r="G650">
        <v>5804</v>
      </c>
      <c r="H650">
        <v>3116.2</v>
      </c>
      <c r="I650">
        <v>34114.7</v>
      </c>
    </row>
    <row r="651" spans="1:9">
      <c r="A651">
        <v>34377.3</v>
      </c>
      <c r="B651">
        <v>268</v>
      </c>
      <c r="C651">
        <v>6331.28</v>
      </c>
      <c r="D651">
        <v>41.61</v>
      </c>
      <c r="E651">
        <v>6117</v>
      </c>
      <c r="F651">
        <v>53</v>
      </c>
      <c r="G651">
        <v>5412</v>
      </c>
      <c r="H651">
        <v>3042.2</v>
      </c>
      <c r="I651">
        <v>34377.3</v>
      </c>
    </row>
    <row r="652" spans="1:9">
      <c r="A652">
        <v>34717.2</v>
      </c>
      <c r="B652">
        <v>269</v>
      </c>
      <c r="C652">
        <v>6336.52</v>
      </c>
      <c r="D652">
        <v>41.58</v>
      </c>
      <c r="E652">
        <v>6528</v>
      </c>
      <c r="F652">
        <v>44</v>
      </c>
      <c r="G652">
        <v>5424</v>
      </c>
      <c r="H652">
        <v>3048.6</v>
      </c>
      <c r="I652">
        <v>34717.2</v>
      </c>
    </row>
    <row r="653" spans="1:9">
      <c r="A653">
        <v>34779.8</v>
      </c>
      <c r="B653">
        <v>268</v>
      </c>
      <c r="C653">
        <v>6345.36</v>
      </c>
      <c r="D653">
        <v>42.34</v>
      </c>
      <c r="E653">
        <v>6914</v>
      </c>
      <c r="F653">
        <v>43</v>
      </c>
      <c r="G653">
        <v>5375</v>
      </c>
      <c r="H653">
        <v>3027.1</v>
      </c>
      <c r="I653">
        <v>34779.8</v>
      </c>
    </row>
    <row r="654" spans="1:9">
      <c r="A654">
        <v>34816</v>
      </c>
      <c r="B654">
        <v>268</v>
      </c>
      <c r="C654">
        <v>6330.89</v>
      </c>
      <c r="D654">
        <v>40.96</v>
      </c>
      <c r="E654">
        <v>7260</v>
      </c>
      <c r="F654">
        <v>42</v>
      </c>
      <c r="G654">
        <v>5547</v>
      </c>
      <c r="H654">
        <v>3020.1</v>
      </c>
      <c r="I654">
        <v>34816</v>
      </c>
    </row>
    <row r="655" spans="1:9">
      <c r="A655">
        <v>34561.2</v>
      </c>
      <c r="B655">
        <v>269</v>
      </c>
      <c r="C655">
        <v>6328.87</v>
      </c>
      <c r="D655">
        <v>42.71</v>
      </c>
      <c r="E655">
        <v>7396</v>
      </c>
      <c r="F655">
        <v>43</v>
      </c>
      <c r="G655">
        <v>5388</v>
      </c>
      <c r="H655">
        <v>3036.5</v>
      </c>
      <c r="I655">
        <v>34561.2</v>
      </c>
    </row>
    <row r="656" spans="1:9">
      <c r="A656">
        <v>34641.9</v>
      </c>
      <c r="B656">
        <v>269</v>
      </c>
      <c r="C656">
        <v>6339.74</v>
      </c>
      <c r="D656">
        <v>42.48</v>
      </c>
      <c r="E656">
        <v>7513</v>
      </c>
      <c r="F656">
        <v>42</v>
      </c>
      <c r="G656">
        <v>5246</v>
      </c>
      <c r="H656">
        <v>3041.3</v>
      </c>
      <c r="I656">
        <v>34641.9</v>
      </c>
    </row>
    <row r="657" spans="1:9">
      <c r="A657">
        <v>34351.7</v>
      </c>
      <c r="B657">
        <v>268</v>
      </c>
      <c r="C657">
        <v>6348.16</v>
      </c>
      <c r="D657">
        <v>41.98</v>
      </c>
      <c r="E657">
        <v>7558</v>
      </c>
      <c r="F657">
        <v>43</v>
      </c>
      <c r="G657">
        <v>4702</v>
      </c>
      <c r="H657">
        <v>3096.4</v>
      </c>
      <c r="I657">
        <v>34351.7</v>
      </c>
    </row>
    <row r="658" spans="1:9">
      <c r="A658">
        <v>34039.6</v>
      </c>
      <c r="B658">
        <v>269</v>
      </c>
      <c r="C658">
        <v>6334.51</v>
      </c>
      <c r="D658">
        <v>42.22</v>
      </c>
      <c r="E658">
        <v>7517</v>
      </c>
      <c r="F658">
        <v>0</v>
      </c>
      <c r="G658">
        <v>4842</v>
      </c>
      <c r="H658">
        <v>3106.9</v>
      </c>
      <c r="I658">
        <v>34039.6</v>
      </c>
    </row>
    <row r="659" spans="1:9">
      <c r="A659">
        <v>33708.6</v>
      </c>
      <c r="B659">
        <v>231</v>
      </c>
      <c r="C659">
        <v>6331.3</v>
      </c>
      <c r="D659">
        <v>40.83</v>
      </c>
      <c r="E659">
        <v>7412</v>
      </c>
      <c r="F659">
        <v>0</v>
      </c>
      <c r="G659">
        <v>4616</v>
      </c>
      <c r="H659">
        <v>3086</v>
      </c>
      <c r="I659">
        <v>33708.6</v>
      </c>
    </row>
    <row r="660" spans="1:9">
      <c r="A660">
        <v>33448.7</v>
      </c>
      <c r="B660">
        <v>231</v>
      </c>
      <c r="C660">
        <v>6333.3</v>
      </c>
      <c r="D660">
        <v>41.39</v>
      </c>
      <c r="E660">
        <v>7284</v>
      </c>
      <c r="F660">
        <v>0</v>
      </c>
      <c r="G660">
        <v>4443</v>
      </c>
      <c r="H660">
        <v>3087.8</v>
      </c>
      <c r="I660">
        <v>33448.7</v>
      </c>
    </row>
    <row r="661" spans="1:9">
      <c r="A661">
        <v>32883.9</v>
      </c>
      <c r="B661">
        <v>230</v>
      </c>
      <c r="C661">
        <v>6332.1</v>
      </c>
      <c r="D661">
        <v>41.16</v>
      </c>
      <c r="E661">
        <v>7131</v>
      </c>
      <c r="F661">
        <v>0</v>
      </c>
      <c r="G661">
        <v>3560</v>
      </c>
      <c r="H661">
        <v>3153.1</v>
      </c>
      <c r="I661">
        <v>32883.9</v>
      </c>
    </row>
    <row r="662" spans="1:9">
      <c r="A662">
        <v>32459.7</v>
      </c>
      <c r="B662">
        <v>230</v>
      </c>
      <c r="C662">
        <v>6335.31</v>
      </c>
      <c r="D662">
        <v>41.21</v>
      </c>
      <c r="E662">
        <v>7120</v>
      </c>
      <c r="F662">
        <v>0</v>
      </c>
      <c r="G662">
        <v>3246</v>
      </c>
      <c r="H662">
        <v>3122.4</v>
      </c>
      <c r="I662">
        <v>32459.7</v>
      </c>
    </row>
    <row r="663" spans="1:9">
      <c r="A663">
        <v>31728</v>
      </c>
      <c r="B663">
        <v>230</v>
      </c>
      <c r="C663">
        <v>6335.71</v>
      </c>
      <c r="D663">
        <v>41.71</v>
      </c>
      <c r="E663">
        <v>7089</v>
      </c>
      <c r="F663">
        <v>0</v>
      </c>
      <c r="G663">
        <v>3347</v>
      </c>
      <c r="H663">
        <v>3071.2</v>
      </c>
      <c r="I663">
        <v>31728</v>
      </c>
    </row>
    <row r="664" spans="1:9">
      <c r="A664">
        <v>31370.3</v>
      </c>
      <c r="B664">
        <v>230</v>
      </c>
      <c r="C664">
        <v>6335.32</v>
      </c>
      <c r="D664">
        <v>40.32</v>
      </c>
      <c r="E664">
        <v>7004</v>
      </c>
      <c r="F664">
        <v>0</v>
      </c>
      <c r="G664">
        <v>3667</v>
      </c>
      <c r="H664">
        <v>3049.9</v>
      </c>
      <c r="I664">
        <v>31370.3</v>
      </c>
    </row>
    <row r="665" spans="1:9">
      <c r="A665">
        <v>30557.8</v>
      </c>
      <c r="B665">
        <v>230</v>
      </c>
      <c r="C665">
        <v>6336.11</v>
      </c>
      <c r="D665">
        <v>40.2</v>
      </c>
      <c r="E665">
        <v>6747</v>
      </c>
      <c r="F665">
        <v>0</v>
      </c>
      <c r="G665">
        <v>3657</v>
      </c>
      <c r="H665">
        <v>3059.4</v>
      </c>
      <c r="I665">
        <v>30557.8</v>
      </c>
    </row>
    <row r="666" spans="1:9">
      <c r="A666">
        <v>30811.9</v>
      </c>
      <c r="B666">
        <v>230</v>
      </c>
      <c r="C666">
        <v>6342.55</v>
      </c>
      <c r="D666">
        <v>40.77</v>
      </c>
      <c r="E666">
        <v>6500</v>
      </c>
      <c r="F666">
        <v>0</v>
      </c>
      <c r="G666">
        <v>3519</v>
      </c>
      <c r="H666">
        <v>3002</v>
      </c>
      <c r="I666">
        <v>30811.9</v>
      </c>
    </row>
    <row r="667" spans="1:9">
      <c r="A667">
        <v>30340.9</v>
      </c>
      <c r="B667">
        <v>230</v>
      </c>
      <c r="C667">
        <v>6335.71</v>
      </c>
      <c r="D667">
        <v>41.09</v>
      </c>
      <c r="E667">
        <v>6172</v>
      </c>
      <c r="F667">
        <v>0</v>
      </c>
      <c r="G667">
        <v>3407</v>
      </c>
      <c r="H667">
        <v>2995.8</v>
      </c>
      <c r="I667">
        <v>30340.9</v>
      </c>
    </row>
    <row r="668" spans="1:9">
      <c r="A668">
        <v>29968.4</v>
      </c>
      <c r="B668">
        <v>230</v>
      </c>
      <c r="C668">
        <v>6328.87</v>
      </c>
      <c r="D668">
        <v>42.5</v>
      </c>
      <c r="E668">
        <v>5824</v>
      </c>
      <c r="F668">
        <v>0</v>
      </c>
      <c r="G668">
        <v>2931</v>
      </c>
      <c r="H668">
        <v>3001.3</v>
      </c>
      <c r="I668">
        <v>29968.4</v>
      </c>
    </row>
    <row r="669" spans="1:9">
      <c r="A669">
        <v>29371.1</v>
      </c>
      <c r="B669">
        <v>230</v>
      </c>
      <c r="C669">
        <v>6338.53</v>
      </c>
      <c r="D669">
        <v>42.36</v>
      </c>
      <c r="E669">
        <v>5509</v>
      </c>
      <c r="F669">
        <v>0</v>
      </c>
      <c r="G669">
        <v>2884</v>
      </c>
      <c r="H669">
        <v>3007.7</v>
      </c>
      <c r="I669">
        <v>29371.1</v>
      </c>
    </row>
    <row r="670" spans="1:9">
      <c r="A670">
        <v>28741.7</v>
      </c>
      <c r="B670">
        <v>250</v>
      </c>
      <c r="C670">
        <v>6329.28</v>
      </c>
      <c r="D670">
        <v>43.04</v>
      </c>
      <c r="E670">
        <v>5219</v>
      </c>
      <c r="F670">
        <v>0</v>
      </c>
      <c r="G670">
        <v>2464</v>
      </c>
      <c r="H670">
        <v>3031.8</v>
      </c>
      <c r="I670">
        <v>28741.7</v>
      </c>
    </row>
    <row r="671" spans="1:9">
      <c r="A671">
        <v>28334.2</v>
      </c>
      <c r="B671">
        <v>250</v>
      </c>
      <c r="C671">
        <v>6333.7</v>
      </c>
      <c r="D671">
        <v>42.49</v>
      </c>
      <c r="E671">
        <v>4996</v>
      </c>
      <c r="F671">
        <v>0</v>
      </c>
      <c r="G671">
        <v>2415</v>
      </c>
      <c r="H671">
        <v>3022.4</v>
      </c>
      <c r="I671">
        <v>28334.2</v>
      </c>
    </row>
    <row r="672" spans="1:9">
      <c r="A672">
        <v>27894.3</v>
      </c>
      <c r="B672">
        <v>249</v>
      </c>
      <c r="C672">
        <v>6334.09</v>
      </c>
      <c r="D672">
        <v>41.43</v>
      </c>
      <c r="E672">
        <v>4822</v>
      </c>
      <c r="F672">
        <v>0</v>
      </c>
      <c r="G672">
        <v>2935</v>
      </c>
      <c r="H672">
        <v>3018.3</v>
      </c>
      <c r="I672">
        <v>27894.3</v>
      </c>
    </row>
    <row r="673" spans="1:9">
      <c r="A673">
        <v>27548.7</v>
      </c>
      <c r="B673">
        <v>249</v>
      </c>
      <c r="C673">
        <v>6327.68</v>
      </c>
      <c r="D673">
        <v>41.24</v>
      </c>
      <c r="E673">
        <v>4674</v>
      </c>
      <c r="F673">
        <v>0</v>
      </c>
      <c r="G673">
        <v>2837</v>
      </c>
      <c r="H673">
        <v>3027.9</v>
      </c>
      <c r="I673">
        <v>27548.7</v>
      </c>
    </row>
  </sheetData>
  <pageMargins left="0.75" right="0.75" top="1" bottom="1" header="0.5" footer="0.5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CR14"/>
  <sheetViews>
    <sheetView topLeftCell="BK1" workbookViewId="0">
      <selection activeCell="A14" sqref="A14:CR14"/>
    </sheetView>
  </sheetViews>
  <sheetFormatPr defaultColWidth="9" defaultRowHeight="13.5"/>
  <sheetData>
    <row r="1" ht="16.5" spans="1:96">
      <c r="A1" s="4">
        <v>0.0104166666666667</v>
      </c>
      <c r="B1" s="4">
        <v>0.0208333333333333</v>
      </c>
      <c r="C1" s="4">
        <v>0.03125</v>
      </c>
      <c r="D1" s="4">
        <v>0.0416666666666667</v>
      </c>
      <c r="E1" s="4">
        <v>0.0520833333333333</v>
      </c>
      <c r="F1" s="4">
        <v>0.0625</v>
      </c>
      <c r="G1" s="4">
        <v>0.0729166666666667</v>
      </c>
      <c r="H1" s="4">
        <v>0.0833333333333333</v>
      </c>
      <c r="I1" s="4">
        <v>0.09375</v>
      </c>
      <c r="J1" s="4">
        <v>0.104166666666667</v>
      </c>
      <c r="K1" s="4">
        <v>0.114583333333333</v>
      </c>
      <c r="L1" s="4">
        <v>0.125</v>
      </c>
      <c r="M1" s="4">
        <v>0.135416666666667</v>
      </c>
      <c r="N1" s="4">
        <v>0.145833333333333</v>
      </c>
      <c r="O1" s="4">
        <v>0.15625</v>
      </c>
      <c r="P1" s="4">
        <v>0.166666666666667</v>
      </c>
    </row>
    <row r="2" ht="17.25" spans="1:96">
      <c r="A2" s="5">
        <v>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</row>
    <row r="3" ht="16.5" spans="1:96">
      <c r="A3" s="4">
        <v>0.177083333333333</v>
      </c>
      <c r="B3" s="4">
        <v>0.1875</v>
      </c>
      <c r="C3" s="4">
        <v>0.197916666666667</v>
      </c>
      <c r="D3" s="4">
        <v>0.208333333333333</v>
      </c>
      <c r="E3" s="4">
        <v>0.21875</v>
      </c>
      <c r="F3" s="4">
        <v>0.229166666666667</v>
      </c>
      <c r="G3" s="4">
        <v>0.239583333333333</v>
      </c>
      <c r="H3" s="4">
        <v>0.25</v>
      </c>
      <c r="I3" s="4">
        <v>0.260416666666667</v>
      </c>
      <c r="J3" s="4">
        <v>0.270833333333333</v>
      </c>
      <c r="K3" s="4">
        <v>0.28125</v>
      </c>
      <c r="L3" s="4">
        <v>0.291666666666667</v>
      </c>
      <c r="M3" s="4">
        <v>0.302083333333333</v>
      </c>
      <c r="N3" s="4">
        <v>0.3125</v>
      </c>
      <c r="O3" s="4">
        <v>0.322916666666667</v>
      </c>
      <c r="P3" s="4">
        <v>0.333333333333333</v>
      </c>
    </row>
    <row r="4" ht="17.25" spans="1:96">
      <c r="A4" s="5">
        <v>42</v>
      </c>
      <c r="B4" s="5">
        <v>42</v>
      </c>
      <c r="C4" s="5">
        <v>42</v>
      </c>
      <c r="D4" s="5">
        <v>67</v>
      </c>
      <c r="E4" s="5">
        <v>121</v>
      </c>
      <c r="F4" s="5">
        <v>264</v>
      </c>
      <c r="G4" s="5">
        <v>485</v>
      </c>
      <c r="H4" s="5">
        <v>742</v>
      </c>
      <c r="I4" s="5">
        <v>1139</v>
      </c>
      <c r="J4" s="5">
        <v>1585</v>
      </c>
      <c r="K4" s="5">
        <v>2032</v>
      </c>
      <c r="L4" s="5">
        <v>2607</v>
      </c>
      <c r="M4" s="5">
        <v>3142</v>
      </c>
      <c r="N4" s="5">
        <v>3821</v>
      </c>
      <c r="O4" s="5">
        <v>4393</v>
      </c>
      <c r="P4" s="5">
        <v>5016</v>
      </c>
    </row>
    <row r="5" ht="16.5" spans="1:96">
      <c r="A5" s="4">
        <v>0.34375</v>
      </c>
      <c r="B5" s="4">
        <v>0.354166666666667</v>
      </c>
      <c r="C5" s="4">
        <v>0.364583333333333</v>
      </c>
      <c r="D5" s="4">
        <v>0.375</v>
      </c>
      <c r="E5" s="4">
        <v>0.385416666666667</v>
      </c>
      <c r="F5" s="4">
        <v>0.395833333333333</v>
      </c>
      <c r="G5" s="4">
        <v>0.40625</v>
      </c>
      <c r="H5" s="4">
        <v>0.416666666666667</v>
      </c>
      <c r="I5" s="4">
        <v>0.427083333333333</v>
      </c>
      <c r="J5" s="4">
        <v>0.4375</v>
      </c>
      <c r="K5" s="4">
        <v>0.447916666666667</v>
      </c>
      <c r="L5" s="4">
        <v>0.458333333333333</v>
      </c>
      <c r="M5" s="4">
        <v>0.46875</v>
      </c>
      <c r="N5" s="4">
        <v>0.479166666666667</v>
      </c>
      <c r="O5" s="4">
        <v>0.489583333333333</v>
      </c>
      <c r="P5" s="4">
        <v>0.5</v>
      </c>
    </row>
    <row r="6" ht="17.25" spans="1:96">
      <c r="A6" s="5">
        <v>5535</v>
      </c>
      <c r="B6" s="5">
        <v>6144</v>
      </c>
      <c r="C6" s="5">
        <v>6565</v>
      </c>
      <c r="D6" s="5">
        <v>7115</v>
      </c>
      <c r="E6" s="5">
        <v>7539</v>
      </c>
      <c r="F6" s="5">
        <v>7805</v>
      </c>
      <c r="G6" s="5">
        <v>8018</v>
      </c>
      <c r="H6" s="5">
        <v>8373</v>
      </c>
      <c r="I6" s="5">
        <v>8462</v>
      </c>
      <c r="J6" s="5">
        <v>8938</v>
      </c>
      <c r="K6" s="5">
        <v>8734</v>
      </c>
      <c r="L6" s="5">
        <v>9311</v>
      </c>
      <c r="M6" s="5">
        <v>9367</v>
      </c>
      <c r="N6" s="5">
        <v>9441</v>
      </c>
      <c r="O6" s="5">
        <v>9339</v>
      </c>
      <c r="P6" s="5">
        <v>9198</v>
      </c>
    </row>
    <row r="7" ht="16.5" spans="1:96">
      <c r="A7" s="4">
        <v>0.510416666666667</v>
      </c>
      <c r="B7" s="4">
        <v>0.520833333333333</v>
      </c>
      <c r="C7" s="4">
        <v>0.53125</v>
      </c>
      <c r="D7" s="4">
        <v>0.541666666666667</v>
      </c>
      <c r="E7" s="4">
        <v>0.552083333333333</v>
      </c>
      <c r="F7" s="4">
        <v>0.5625</v>
      </c>
      <c r="G7" s="4">
        <v>0.572916666666667</v>
      </c>
      <c r="H7" s="4">
        <v>0.583333333333333</v>
      </c>
      <c r="I7" s="4">
        <v>0.59375</v>
      </c>
      <c r="J7" s="4">
        <v>0.604166666666667</v>
      </c>
      <c r="K7" s="4">
        <v>0.614583333333333</v>
      </c>
      <c r="L7" s="4">
        <v>0.625</v>
      </c>
      <c r="M7" s="4">
        <v>0.635416666666667</v>
      </c>
      <c r="N7" s="4">
        <v>0.645833333333333</v>
      </c>
      <c r="O7" s="4">
        <v>0.65625</v>
      </c>
      <c r="P7" s="4">
        <v>0.666666666666667</v>
      </c>
    </row>
    <row r="8" ht="17.25" spans="1:96">
      <c r="A8" s="5">
        <v>9092</v>
      </c>
      <c r="B8" s="5">
        <v>8708</v>
      </c>
      <c r="C8" s="5">
        <v>8972</v>
      </c>
      <c r="D8" s="5">
        <v>9080</v>
      </c>
      <c r="E8" s="5">
        <v>8918</v>
      </c>
      <c r="F8" s="5">
        <v>8698</v>
      </c>
      <c r="G8" s="5">
        <v>8536</v>
      </c>
      <c r="H8" s="5">
        <v>8505</v>
      </c>
      <c r="I8" s="5">
        <v>8071</v>
      </c>
      <c r="J8" s="5">
        <v>7934</v>
      </c>
      <c r="K8" s="5">
        <v>7604</v>
      </c>
      <c r="L8" s="5">
        <v>6966</v>
      </c>
      <c r="M8" s="5">
        <v>6461</v>
      </c>
      <c r="N8" s="5">
        <v>6219</v>
      </c>
      <c r="O8" s="5">
        <v>5644</v>
      </c>
      <c r="P8" s="5">
        <v>5092</v>
      </c>
    </row>
    <row r="9" ht="16.5" spans="1:96">
      <c r="A9" s="4">
        <v>0.677083333333333</v>
      </c>
      <c r="B9" s="4">
        <v>0.6875</v>
      </c>
      <c r="C9" s="4">
        <v>0.697916666666667</v>
      </c>
      <c r="D9" s="4">
        <v>0.708333333333333</v>
      </c>
      <c r="E9" s="4">
        <v>0.71875</v>
      </c>
      <c r="F9" s="4">
        <v>0.729166666666667</v>
      </c>
      <c r="G9" s="4">
        <v>0.739583333333333</v>
      </c>
      <c r="H9" s="4">
        <v>0.75</v>
      </c>
      <c r="I9" s="4">
        <v>0.760416666666667</v>
      </c>
      <c r="J9" s="4">
        <v>0.770833333333333</v>
      </c>
      <c r="K9" s="4">
        <v>0.78125</v>
      </c>
      <c r="L9" s="4">
        <v>0.791666666666667</v>
      </c>
      <c r="M9" s="4">
        <v>0.802083333333333</v>
      </c>
      <c r="N9" s="4">
        <v>0.8125</v>
      </c>
      <c r="O9" s="4">
        <v>0.822916666666667</v>
      </c>
      <c r="P9" s="4">
        <v>0.833333333333333</v>
      </c>
    </row>
    <row r="10" ht="17.25" spans="1:96">
      <c r="A10" s="5">
        <v>4555</v>
      </c>
      <c r="B10" s="5">
        <v>3826</v>
      </c>
      <c r="C10" s="5">
        <v>3218</v>
      </c>
      <c r="D10" s="5">
        <v>2629</v>
      </c>
      <c r="E10" s="5">
        <v>1841</v>
      </c>
      <c r="F10" s="5">
        <v>1332</v>
      </c>
      <c r="G10" s="5">
        <v>936</v>
      </c>
      <c r="H10" s="5">
        <v>653</v>
      </c>
      <c r="I10" s="5">
        <v>434</v>
      </c>
      <c r="J10" s="5">
        <v>252</v>
      </c>
      <c r="K10" s="5">
        <v>122</v>
      </c>
      <c r="L10" s="5">
        <v>53</v>
      </c>
      <c r="M10" s="5">
        <v>51</v>
      </c>
      <c r="N10" s="5">
        <v>51</v>
      </c>
      <c r="O10" s="5">
        <v>44</v>
      </c>
      <c r="P10" s="5">
        <v>50</v>
      </c>
    </row>
    <row r="11" ht="16.5" spans="1:96">
      <c r="A11" s="4">
        <v>0.84375</v>
      </c>
      <c r="B11" s="4">
        <v>0.854166666666667</v>
      </c>
      <c r="C11" s="4">
        <v>0.864583333333333</v>
      </c>
      <c r="D11" s="4">
        <v>0.875</v>
      </c>
      <c r="E11" s="4">
        <v>0.885416666666667</v>
      </c>
      <c r="F11" s="4">
        <v>0.895833333333333</v>
      </c>
      <c r="G11" s="4">
        <v>0.90625</v>
      </c>
      <c r="H11" s="4">
        <v>0.916666666666667</v>
      </c>
      <c r="I11" s="4">
        <v>0.927083333333333</v>
      </c>
      <c r="J11" s="4">
        <v>0.9375</v>
      </c>
      <c r="K11" s="4">
        <v>0.947916666666667</v>
      </c>
      <c r="L11" s="4">
        <v>0.958333333333333</v>
      </c>
      <c r="M11" s="4">
        <v>0.96875</v>
      </c>
      <c r="N11" s="4">
        <v>0.979166666666667</v>
      </c>
      <c r="O11" s="4">
        <v>0.989583333333333</v>
      </c>
      <c r="P11" s="6">
        <v>1</v>
      </c>
    </row>
    <row r="12" ht="17.25" spans="1:96">
      <c r="A12" s="5">
        <v>0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</row>
    <row r="14" spans="1:96">
      <c r="A14" cm="1">
        <f t="array" ref="A14:P14">A2:P2</f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 cm="1">
        <f t="array" ref="Q14:AF14">A4:P4</f>
        <v>42</v>
      </c>
      <c r="R14">
        <v>42</v>
      </c>
      <c r="S14">
        <v>42</v>
      </c>
      <c r="T14">
        <v>67</v>
      </c>
      <c r="U14">
        <v>121</v>
      </c>
      <c r="V14">
        <v>264</v>
      </c>
      <c r="W14">
        <v>485</v>
      </c>
      <c r="X14">
        <v>742</v>
      </c>
      <c r="Y14">
        <v>1139</v>
      </c>
      <c r="Z14">
        <v>1585</v>
      </c>
      <c r="AA14">
        <v>2032</v>
      </c>
      <c r="AB14">
        <v>2607</v>
      </c>
      <c r="AC14">
        <v>3142</v>
      </c>
      <c r="AD14">
        <v>3821</v>
      </c>
      <c r="AE14">
        <v>4393</v>
      </c>
      <c r="AF14">
        <v>5016</v>
      </c>
      <c r="AG14" cm="1">
        <f t="array" ref="AG14:AV14">A6:P6</f>
        <v>5535</v>
      </c>
      <c r="AH14">
        <v>6144</v>
      </c>
      <c r="AI14">
        <v>6565</v>
      </c>
      <c r="AJ14">
        <v>7115</v>
      </c>
      <c r="AK14">
        <v>7539</v>
      </c>
      <c r="AL14">
        <v>7805</v>
      </c>
      <c r="AM14">
        <v>8018</v>
      </c>
      <c r="AN14">
        <v>8373</v>
      </c>
      <c r="AO14">
        <v>8462</v>
      </c>
      <c r="AP14">
        <v>8938</v>
      </c>
      <c r="AQ14">
        <v>8734</v>
      </c>
      <c r="AR14">
        <v>9311</v>
      </c>
      <c r="AS14">
        <v>9367</v>
      </c>
      <c r="AT14">
        <v>9441</v>
      </c>
      <c r="AU14">
        <v>9339</v>
      </c>
      <c r="AV14">
        <v>9198</v>
      </c>
      <c r="AW14" cm="1">
        <f t="array" ref="AW14:BL14">A8:P8</f>
        <v>9092</v>
      </c>
      <c r="AX14">
        <v>8708</v>
      </c>
      <c r="AY14">
        <v>8972</v>
      </c>
      <c r="AZ14">
        <v>9080</v>
      </c>
      <c r="BA14">
        <v>8918</v>
      </c>
      <c r="BB14">
        <v>8698</v>
      </c>
      <c r="BC14">
        <v>8536</v>
      </c>
      <c r="BD14">
        <v>8505</v>
      </c>
      <c r="BE14">
        <v>8071</v>
      </c>
      <c r="BF14">
        <v>7934</v>
      </c>
      <c r="BG14">
        <v>7604</v>
      </c>
      <c r="BH14">
        <v>6966</v>
      </c>
      <c r="BI14">
        <v>6461</v>
      </c>
      <c r="BJ14">
        <v>6219</v>
      </c>
      <c r="BK14">
        <v>5644</v>
      </c>
      <c r="BL14">
        <v>5092</v>
      </c>
      <c r="BM14" cm="1">
        <f t="array" ref="BM14:CB14">A10:P10</f>
        <v>4555</v>
      </c>
      <c r="BN14">
        <v>3826</v>
      </c>
      <c r="BO14">
        <v>3218</v>
      </c>
      <c r="BP14">
        <v>2629</v>
      </c>
      <c r="BQ14">
        <v>1841</v>
      </c>
      <c r="BR14">
        <v>1332</v>
      </c>
      <c r="BS14">
        <v>936</v>
      </c>
      <c r="BT14">
        <v>653</v>
      </c>
      <c r="BU14">
        <v>434</v>
      </c>
      <c r="BV14">
        <v>252</v>
      </c>
      <c r="BW14">
        <v>122</v>
      </c>
      <c r="BX14">
        <v>53</v>
      </c>
      <c r="BY14">
        <v>51</v>
      </c>
      <c r="BZ14">
        <v>51</v>
      </c>
      <c r="CA14">
        <v>44</v>
      </c>
      <c r="CB14">
        <v>50</v>
      </c>
      <c r="CC14" cm="1">
        <f t="array" ref="CC14:CR14">A12:P12</f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S32"/>
  <sheetViews>
    <sheetView workbookViewId="0">
      <selection activeCell="A2" sqref="A2:A32"/>
    </sheetView>
  </sheetViews>
  <sheetFormatPr defaultColWidth="9" defaultRowHeight="13.5"/>
  <cols>
    <col min="1" max="1" width="10.125" customWidth="1"/>
  </cols>
  <sheetData>
    <row r="1" spans="1:97">
      <c r="A1" t="s">
        <v>0</v>
      </c>
      <c r="B1" s="1">
        <v>0.0104166666666667</v>
      </c>
      <c r="C1" s="1">
        <v>0.0208333333333333</v>
      </c>
      <c r="D1" s="1">
        <v>0.03125</v>
      </c>
      <c r="E1" s="1">
        <v>0.0416666666666667</v>
      </c>
      <c r="F1" s="1">
        <v>0.0520833333333333</v>
      </c>
      <c r="G1" s="1">
        <v>0.0625</v>
      </c>
      <c r="H1" s="1">
        <v>0.0729166666666667</v>
      </c>
      <c r="I1" s="1">
        <v>0.0833333333333333</v>
      </c>
      <c r="J1" s="1">
        <v>0.09375</v>
      </c>
      <c r="K1" s="1">
        <v>0.104166666666667</v>
      </c>
      <c r="L1" s="1">
        <v>0.114583333333333</v>
      </c>
      <c r="M1" s="1">
        <v>0.125</v>
      </c>
      <c r="N1" s="1">
        <v>0.135416666666667</v>
      </c>
      <c r="O1" s="1">
        <v>0.145833333333333</v>
      </c>
      <c r="P1" s="1">
        <v>0.15625</v>
      </c>
      <c r="Q1" s="1">
        <v>0.166666666666667</v>
      </c>
      <c r="R1" s="1">
        <v>0.177083333333333</v>
      </c>
      <c r="S1" s="1">
        <v>0.1875</v>
      </c>
      <c r="T1" s="1">
        <v>0.197916666666667</v>
      </c>
      <c r="U1" s="1">
        <v>0.208333333333333</v>
      </c>
      <c r="V1" s="1">
        <v>0.21875</v>
      </c>
      <c r="W1" s="1">
        <v>0.229166666666667</v>
      </c>
      <c r="X1" s="1">
        <v>0.239583333333333</v>
      </c>
      <c r="Y1" s="1">
        <v>0.25</v>
      </c>
      <c r="Z1" s="1">
        <v>0.260416666666667</v>
      </c>
      <c r="AA1" s="1">
        <v>0.270833333333333</v>
      </c>
      <c r="AB1" s="1">
        <v>0.28125</v>
      </c>
      <c r="AC1" s="1">
        <v>0.291666666666667</v>
      </c>
      <c r="AD1" s="1">
        <v>0.302083333333333</v>
      </c>
      <c r="AE1" s="1">
        <v>0.3125</v>
      </c>
      <c r="AF1" s="1">
        <v>0.322916666666667</v>
      </c>
      <c r="AG1" s="1">
        <v>0.333333333333333</v>
      </c>
      <c r="AH1" s="1">
        <v>0.34375</v>
      </c>
      <c r="AI1" s="1">
        <v>0.354166666666667</v>
      </c>
      <c r="AJ1" s="1">
        <v>0.364583333333333</v>
      </c>
      <c r="AK1" s="1">
        <v>0.375</v>
      </c>
      <c r="AL1" s="1">
        <v>0.385416666666667</v>
      </c>
      <c r="AM1" s="1">
        <v>0.395833333333333</v>
      </c>
      <c r="AN1" s="1">
        <v>0.40625</v>
      </c>
      <c r="AO1" s="1">
        <v>0.416666666666667</v>
      </c>
      <c r="AP1" s="1">
        <v>0.427083333333333</v>
      </c>
      <c r="AQ1" s="1">
        <v>0.4375</v>
      </c>
      <c r="AR1" s="1">
        <v>0.447916666666667</v>
      </c>
      <c r="AS1" s="1">
        <v>0.458333333333333</v>
      </c>
      <c r="AT1" s="1">
        <v>0.46875</v>
      </c>
      <c r="AU1" s="1">
        <v>0.479166666666667</v>
      </c>
      <c r="AV1" s="1">
        <v>0.489583333333333</v>
      </c>
      <c r="AW1" s="1">
        <v>0.5</v>
      </c>
      <c r="AX1" s="1">
        <v>0.510416666666667</v>
      </c>
      <c r="AY1" s="1">
        <v>0.520833333333333</v>
      </c>
      <c r="AZ1" s="1">
        <v>0.53125</v>
      </c>
      <c r="BA1" s="1">
        <v>0.541666666666667</v>
      </c>
      <c r="BB1" s="1">
        <v>0.552083333333333</v>
      </c>
      <c r="BC1" s="1">
        <v>0.5625</v>
      </c>
      <c r="BD1" s="1">
        <v>0.572916666666667</v>
      </c>
      <c r="BE1" s="1">
        <v>0.583333333333333</v>
      </c>
      <c r="BF1" s="1">
        <v>0.59375</v>
      </c>
      <c r="BG1" s="1">
        <v>0.604166666666667</v>
      </c>
      <c r="BH1" s="1">
        <v>0.614583333333333</v>
      </c>
      <c r="BI1" s="1">
        <v>0.625</v>
      </c>
      <c r="BJ1" s="1">
        <v>0.635416666666667</v>
      </c>
      <c r="BK1" s="1">
        <v>0.645833333333333</v>
      </c>
      <c r="BL1" s="1">
        <v>0.65625</v>
      </c>
      <c r="BM1" s="1">
        <v>0.666666666666667</v>
      </c>
      <c r="BN1" s="1">
        <v>0.677083333333333</v>
      </c>
      <c r="BO1" s="1">
        <v>0.6875</v>
      </c>
      <c r="BP1" s="1">
        <v>0.697916666666667</v>
      </c>
      <c r="BQ1" s="1">
        <v>0.708333333333333</v>
      </c>
      <c r="BR1" s="1">
        <v>0.71875</v>
      </c>
      <c r="BS1" s="1">
        <v>0.729166666666667</v>
      </c>
      <c r="BT1" s="1">
        <v>0.739583333333333</v>
      </c>
      <c r="BU1" s="1">
        <v>0.75</v>
      </c>
      <c r="BV1" s="1">
        <v>0.760416666666667</v>
      </c>
      <c r="BW1" s="1">
        <v>0.770833333333333</v>
      </c>
      <c r="BX1" s="1">
        <v>0.78125</v>
      </c>
      <c r="BY1" s="1">
        <v>0.791666666666667</v>
      </c>
      <c r="BZ1" s="1">
        <v>0.802083333333333</v>
      </c>
      <c r="CA1" s="1">
        <v>0.8125</v>
      </c>
      <c r="CB1" s="1">
        <v>0.822916666666667</v>
      </c>
      <c r="CC1" s="1">
        <v>0.833333333333333</v>
      </c>
      <c r="CD1" s="1">
        <v>0.84375</v>
      </c>
      <c r="CE1" s="1">
        <v>0.854166666666667</v>
      </c>
      <c r="CF1" s="1">
        <v>0.864583333333333</v>
      </c>
      <c r="CG1" s="1">
        <v>0.875</v>
      </c>
      <c r="CH1" s="1">
        <v>0.885416666666667</v>
      </c>
      <c r="CI1" s="1">
        <v>0.895833333333333</v>
      </c>
      <c r="CJ1" s="1">
        <v>0.90625</v>
      </c>
      <c r="CK1" s="1">
        <v>0.916666666666667</v>
      </c>
      <c r="CL1" s="1">
        <v>0.927083333333333</v>
      </c>
      <c r="CM1" s="1">
        <v>0.9375</v>
      </c>
      <c r="CN1" s="1">
        <v>0.947916666666667</v>
      </c>
      <c r="CO1" s="1">
        <v>0.958333333333333</v>
      </c>
      <c r="CP1" s="1">
        <v>0.96875</v>
      </c>
      <c r="CQ1" s="1">
        <v>0.979166666666667</v>
      </c>
      <c r="CR1" s="1">
        <v>0.989583333333333</v>
      </c>
      <c r="CS1" s="1">
        <v>1</v>
      </c>
    </row>
    <row r="2" spans="1:97">
      <c r="A2" s="2">
        <v>46235</v>
      </c>
      <c r="B2">
        <v>18050</v>
      </c>
      <c r="C2">
        <v>18050</v>
      </c>
      <c r="D2">
        <v>18370</v>
      </c>
      <c r="E2">
        <v>18370</v>
      </c>
      <c r="F2">
        <v>18370</v>
      </c>
      <c r="G2">
        <v>18370</v>
      </c>
      <c r="H2">
        <v>18370</v>
      </c>
      <c r="I2">
        <v>18370</v>
      </c>
      <c r="J2">
        <v>18370</v>
      </c>
      <c r="K2">
        <v>18370</v>
      </c>
      <c r="L2">
        <v>18370</v>
      </c>
      <c r="M2">
        <v>18370</v>
      </c>
      <c r="N2">
        <v>18370</v>
      </c>
      <c r="O2">
        <v>18370</v>
      </c>
      <c r="P2">
        <v>18370</v>
      </c>
      <c r="Q2">
        <v>18370</v>
      </c>
      <c r="R2">
        <v>18370</v>
      </c>
      <c r="S2">
        <v>18370</v>
      </c>
      <c r="T2">
        <v>18370</v>
      </c>
      <c r="U2">
        <v>18370</v>
      </c>
      <c r="V2">
        <v>18370</v>
      </c>
      <c r="W2">
        <v>18370</v>
      </c>
      <c r="X2">
        <v>18370</v>
      </c>
      <c r="Y2">
        <v>18370</v>
      </c>
      <c r="Z2">
        <v>18370</v>
      </c>
      <c r="AA2">
        <v>18505</v>
      </c>
      <c r="AB2">
        <v>18505</v>
      </c>
      <c r="AC2">
        <v>18505</v>
      </c>
      <c r="AD2">
        <v>18505</v>
      </c>
      <c r="AE2">
        <v>18505</v>
      </c>
      <c r="AF2">
        <v>18505</v>
      </c>
      <c r="AG2">
        <v>18505</v>
      </c>
      <c r="AH2">
        <v>18805</v>
      </c>
      <c r="AI2">
        <v>18805</v>
      </c>
      <c r="AJ2">
        <v>18805</v>
      </c>
      <c r="AK2">
        <v>19755</v>
      </c>
      <c r="AL2">
        <v>19755</v>
      </c>
      <c r="AM2">
        <v>19755</v>
      </c>
      <c r="AN2">
        <v>19755</v>
      </c>
      <c r="AO2">
        <v>19755</v>
      </c>
      <c r="AP2">
        <v>19755</v>
      </c>
      <c r="AQ2">
        <v>20105</v>
      </c>
      <c r="AR2">
        <v>20105</v>
      </c>
      <c r="AS2">
        <v>20105</v>
      </c>
      <c r="AT2">
        <v>20105</v>
      </c>
      <c r="AU2">
        <v>20105</v>
      </c>
      <c r="AV2">
        <v>20105</v>
      </c>
      <c r="AW2">
        <v>20105</v>
      </c>
      <c r="AX2">
        <v>20455</v>
      </c>
      <c r="AY2">
        <v>20955</v>
      </c>
      <c r="AZ2">
        <v>20955</v>
      </c>
      <c r="BA2">
        <v>21585</v>
      </c>
      <c r="BB2">
        <v>21935</v>
      </c>
      <c r="BC2">
        <v>23185</v>
      </c>
      <c r="BD2">
        <v>23185</v>
      </c>
      <c r="BE2">
        <v>23185</v>
      </c>
      <c r="BF2">
        <v>23185</v>
      </c>
      <c r="BG2">
        <v>23185</v>
      </c>
      <c r="BH2">
        <v>24665</v>
      </c>
      <c r="BI2">
        <v>24665</v>
      </c>
      <c r="BJ2">
        <v>25265</v>
      </c>
      <c r="BK2">
        <v>25265</v>
      </c>
      <c r="BL2">
        <v>25945</v>
      </c>
      <c r="BM2">
        <v>26145</v>
      </c>
      <c r="BN2">
        <v>26145</v>
      </c>
      <c r="BO2">
        <v>26145</v>
      </c>
      <c r="BP2">
        <v>26145</v>
      </c>
      <c r="BQ2">
        <v>26145</v>
      </c>
      <c r="BR2">
        <v>26145</v>
      </c>
      <c r="BS2">
        <v>26145</v>
      </c>
      <c r="BT2">
        <v>26145</v>
      </c>
      <c r="BU2">
        <v>26280</v>
      </c>
      <c r="BV2">
        <v>26280</v>
      </c>
      <c r="BW2">
        <v>26415</v>
      </c>
      <c r="BX2">
        <v>26715</v>
      </c>
      <c r="BY2">
        <v>26715</v>
      </c>
      <c r="BZ2">
        <v>26715</v>
      </c>
      <c r="CA2">
        <v>27065</v>
      </c>
      <c r="CB2">
        <v>27065</v>
      </c>
      <c r="CC2">
        <v>27065</v>
      </c>
      <c r="CD2">
        <v>27065</v>
      </c>
      <c r="CE2">
        <v>27065</v>
      </c>
      <c r="CF2">
        <v>27065</v>
      </c>
      <c r="CG2">
        <v>27065</v>
      </c>
      <c r="CH2">
        <v>27065</v>
      </c>
      <c r="CI2">
        <v>27065</v>
      </c>
      <c r="CJ2">
        <v>27065</v>
      </c>
      <c r="CK2">
        <v>27065</v>
      </c>
      <c r="CL2">
        <v>27065</v>
      </c>
      <c r="CM2">
        <v>27065</v>
      </c>
      <c r="CN2">
        <v>27065</v>
      </c>
      <c r="CO2">
        <v>27065</v>
      </c>
      <c r="CP2">
        <v>27065</v>
      </c>
      <c r="CQ2">
        <v>27065</v>
      </c>
      <c r="CR2">
        <v>27065</v>
      </c>
      <c r="CS2">
        <v>27065</v>
      </c>
    </row>
    <row r="3" spans="1:97">
      <c r="A3" s="2">
        <v>46236</v>
      </c>
      <c r="B3">
        <v>27065</v>
      </c>
      <c r="C3">
        <v>27065</v>
      </c>
      <c r="D3">
        <v>27065</v>
      </c>
      <c r="E3">
        <v>27065</v>
      </c>
      <c r="F3">
        <v>27065</v>
      </c>
      <c r="G3">
        <v>27065</v>
      </c>
      <c r="H3">
        <v>27265</v>
      </c>
      <c r="I3">
        <v>27265</v>
      </c>
      <c r="J3">
        <v>27265</v>
      </c>
      <c r="K3">
        <v>27265</v>
      </c>
      <c r="L3">
        <v>27265</v>
      </c>
      <c r="M3">
        <v>27265</v>
      </c>
      <c r="N3">
        <v>27265</v>
      </c>
      <c r="O3">
        <v>27265</v>
      </c>
      <c r="P3">
        <v>27265</v>
      </c>
      <c r="Q3">
        <v>27265</v>
      </c>
      <c r="R3">
        <v>27265</v>
      </c>
      <c r="S3">
        <v>27265</v>
      </c>
      <c r="T3">
        <v>27265</v>
      </c>
      <c r="U3">
        <v>27265</v>
      </c>
      <c r="V3">
        <v>27265</v>
      </c>
      <c r="W3">
        <v>27265</v>
      </c>
      <c r="X3">
        <v>27265</v>
      </c>
      <c r="Y3">
        <v>27265</v>
      </c>
      <c r="Z3">
        <v>27265</v>
      </c>
      <c r="AA3">
        <v>27265</v>
      </c>
      <c r="AB3">
        <v>27265</v>
      </c>
      <c r="AC3">
        <v>27265</v>
      </c>
      <c r="AD3">
        <v>27265</v>
      </c>
      <c r="AE3">
        <v>27265</v>
      </c>
      <c r="AF3">
        <v>27265</v>
      </c>
      <c r="AG3">
        <v>27265</v>
      </c>
      <c r="AH3">
        <v>27265</v>
      </c>
      <c r="AI3">
        <v>27265</v>
      </c>
      <c r="AJ3">
        <v>27265</v>
      </c>
      <c r="AK3">
        <v>27265</v>
      </c>
      <c r="AL3">
        <v>27265</v>
      </c>
      <c r="AM3">
        <v>27265</v>
      </c>
      <c r="AN3">
        <v>27265</v>
      </c>
      <c r="AO3">
        <v>27265</v>
      </c>
      <c r="AP3">
        <v>27265</v>
      </c>
      <c r="AQ3">
        <v>27265</v>
      </c>
      <c r="AR3">
        <v>27265</v>
      </c>
      <c r="AS3">
        <v>27265</v>
      </c>
      <c r="AT3">
        <v>27265</v>
      </c>
      <c r="AU3">
        <v>27265</v>
      </c>
      <c r="AV3">
        <v>27265</v>
      </c>
      <c r="AW3">
        <v>27265</v>
      </c>
      <c r="AX3">
        <v>27265</v>
      </c>
      <c r="AY3">
        <v>27265</v>
      </c>
      <c r="AZ3">
        <v>27265</v>
      </c>
      <c r="BA3">
        <v>27265</v>
      </c>
      <c r="BB3">
        <v>27265</v>
      </c>
      <c r="BC3">
        <v>27265</v>
      </c>
      <c r="BD3">
        <v>27265</v>
      </c>
      <c r="BE3">
        <v>27265</v>
      </c>
      <c r="BF3">
        <v>27265</v>
      </c>
      <c r="BG3">
        <v>27265</v>
      </c>
      <c r="BH3">
        <v>27265</v>
      </c>
      <c r="BI3">
        <v>27265</v>
      </c>
      <c r="BJ3">
        <v>27265</v>
      </c>
      <c r="BK3">
        <v>27265</v>
      </c>
      <c r="BL3">
        <v>27265</v>
      </c>
      <c r="BM3">
        <v>27265</v>
      </c>
      <c r="BN3">
        <v>27265</v>
      </c>
      <c r="BO3">
        <v>27265</v>
      </c>
      <c r="BP3">
        <v>27265</v>
      </c>
      <c r="BQ3">
        <v>27265</v>
      </c>
      <c r="BR3">
        <v>27265</v>
      </c>
      <c r="BS3">
        <v>27265</v>
      </c>
      <c r="BT3">
        <v>27265</v>
      </c>
      <c r="BU3">
        <v>27265</v>
      </c>
      <c r="BV3">
        <v>27265</v>
      </c>
      <c r="BW3">
        <v>27265</v>
      </c>
      <c r="BX3">
        <v>27265</v>
      </c>
      <c r="BY3">
        <v>27265</v>
      </c>
      <c r="BZ3">
        <v>27265</v>
      </c>
      <c r="CA3">
        <v>27265</v>
      </c>
      <c r="CB3">
        <v>27265</v>
      </c>
      <c r="CC3">
        <v>27265</v>
      </c>
      <c r="CD3">
        <v>27265</v>
      </c>
      <c r="CE3">
        <v>27265</v>
      </c>
      <c r="CF3">
        <v>27265</v>
      </c>
      <c r="CG3">
        <v>27265</v>
      </c>
      <c r="CH3">
        <v>27265</v>
      </c>
      <c r="CI3">
        <v>27265</v>
      </c>
      <c r="CJ3">
        <v>27265</v>
      </c>
      <c r="CK3">
        <v>27265</v>
      </c>
      <c r="CL3">
        <v>27265</v>
      </c>
      <c r="CM3">
        <v>27265</v>
      </c>
      <c r="CN3">
        <v>27265</v>
      </c>
      <c r="CO3">
        <v>27265</v>
      </c>
      <c r="CP3">
        <v>27265</v>
      </c>
      <c r="CQ3">
        <v>27265</v>
      </c>
      <c r="CR3">
        <v>27265</v>
      </c>
      <c r="CS3">
        <v>27265</v>
      </c>
    </row>
    <row r="4" spans="1:97">
      <c r="A4" s="2">
        <v>46237</v>
      </c>
      <c r="B4">
        <v>27265</v>
      </c>
      <c r="C4">
        <v>27265</v>
      </c>
      <c r="D4">
        <v>27265</v>
      </c>
      <c r="E4">
        <v>27265</v>
      </c>
      <c r="F4">
        <v>27265</v>
      </c>
      <c r="G4">
        <v>27265</v>
      </c>
      <c r="H4">
        <v>27265</v>
      </c>
      <c r="I4">
        <v>27265</v>
      </c>
      <c r="J4">
        <v>27265</v>
      </c>
      <c r="K4">
        <v>27265</v>
      </c>
      <c r="L4">
        <v>27265</v>
      </c>
      <c r="M4">
        <v>27265</v>
      </c>
      <c r="N4">
        <v>27265</v>
      </c>
      <c r="O4">
        <v>27265</v>
      </c>
      <c r="P4">
        <v>27265</v>
      </c>
      <c r="Q4">
        <v>27265</v>
      </c>
      <c r="R4">
        <v>27265</v>
      </c>
      <c r="S4">
        <v>27265</v>
      </c>
      <c r="T4">
        <v>27265</v>
      </c>
      <c r="U4">
        <v>27265</v>
      </c>
      <c r="V4">
        <v>27265</v>
      </c>
      <c r="W4">
        <v>27265</v>
      </c>
      <c r="X4">
        <v>27265</v>
      </c>
      <c r="Y4">
        <v>27265</v>
      </c>
      <c r="Z4">
        <v>27265</v>
      </c>
      <c r="AA4">
        <v>27265</v>
      </c>
      <c r="AB4">
        <v>27265</v>
      </c>
      <c r="AC4">
        <v>27265</v>
      </c>
      <c r="AD4">
        <v>27265</v>
      </c>
      <c r="AE4">
        <v>27265</v>
      </c>
      <c r="AF4">
        <v>27265</v>
      </c>
      <c r="AG4">
        <v>27265</v>
      </c>
      <c r="AH4">
        <v>27265</v>
      </c>
      <c r="AI4">
        <v>27265</v>
      </c>
      <c r="AJ4">
        <v>27265</v>
      </c>
      <c r="AK4">
        <v>27265</v>
      </c>
      <c r="AL4">
        <v>27265</v>
      </c>
      <c r="AM4">
        <v>27265</v>
      </c>
      <c r="AN4">
        <v>27265</v>
      </c>
      <c r="AO4">
        <v>27265</v>
      </c>
      <c r="AP4">
        <v>27265</v>
      </c>
      <c r="AQ4">
        <v>27265</v>
      </c>
      <c r="AR4">
        <v>27265</v>
      </c>
      <c r="AS4">
        <v>27265</v>
      </c>
      <c r="AT4">
        <v>27265</v>
      </c>
      <c r="AU4">
        <v>27265</v>
      </c>
      <c r="AV4">
        <v>27265</v>
      </c>
      <c r="AW4">
        <v>27265</v>
      </c>
      <c r="AX4">
        <v>27265</v>
      </c>
      <c r="AY4">
        <v>27265</v>
      </c>
      <c r="AZ4">
        <v>27265</v>
      </c>
      <c r="BA4">
        <v>27265</v>
      </c>
      <c r="BB4">
        <v>27265</v>
      </c>
      <c r="BC4">
        <v>27265</v>
      </c>
      <c r="BD4">
        <v>27265</v>
      </c>
      <c r="BE4">
        <v>27265</v>
      </c>
      <c r="BF4">
        <v>27265</v>
      </c>
      <c r="BG4">
        <v>27265</v>
      </c>
      <c r="BH4">
        <v>27265</v>
      </c>
      <c r="BI4">
        <v>27265</v>
      </c>
      <c r="BJ4">
        <v>27265</v>
      </c>
      <c r="BK4">
        <v>27265</v>
      </c>
      <c r="BL4">
        <v>27265</v>
      </c>
      <c r="BM4">
        <v>27265</v>
      </c>
      <c r="BN4">
        <v>27265</v>
      </c>
      <c r="BO4">
        <v>27265</v>
      </c>
      <c r="BP4">
        <v>27265</v>
      </c>
      <c r="BQ4">
        <v>27265</v>
      </c>
      <c r="BR4">
        <v>27265</v>
      </c>
      <c r="BS4">
        <v>27265</v>
      </c>
      <c r="BT4">
        <v>27265</v>
      </c>
      <c r="BU4">
        <v>27265</v>
      </c>
      <c r="BV4">
        <v>27265</v>
      </c>
      <c r="BW4">
        <v>27265</v>
      </c>
      <c r="BX4">
        <v>27265</v>
      </c>
      <c r="BY4">
        <v>27265</v>
      </c>
      <c r="BZ4">
        <v>27265</v>
      </c>
      <c r="CA4">
        <v>27265</v>
      </c>
      <c r="CB4">
        <v>27265</v>
      </c>
      <c r="CC4">
        <v>27265</v>
      </c>
      <c r="CD4">
        <v>27265</v>
      </c>
      <c r="CE4">
        <v>27265</v>
      </c>
      <c r="CF4">
        <v>27265</v>
      </c>
      <c r="CG4">
        <v>27265</v>
      </c>
      <c r="CH4">
        <v>27265</v>
      </c>
      <c r="CI4">
        <v>27265</v>
      </c>
      <c r="CJ4">
        <v>27265</v>
      </c>
      <c r="CK4">
        <v>27265</v>
      </c>
      <c r="CL4">
        <v>27265</v>
      </c>
      <c r="CM4">
        <v>27265</v>
      </c>
      <c r="CN4">
        <v>27265</v>
      </c>
      <c r="CO4">
        <v>27265</v>
      </c>
      <c r="CP4">
        <v>27265</v>
      </c>
      <c r="CQ4">
        <v>27265</v>
      </c>
      <c r="CR4">
        <v>27265</v>
      </c>
      <c r="CS4">
        <v>27265</v>
      </c>
    </row>
    <row r="5" spans="1:97">
      <c r="A5" s="2">
        <v>46238</v>
      </c>
      <c r="B5">
        <v>27265</v>
      </c>
      <c r="C5">
        <v>27265</v>
      </c>
      <c r="D5">
        <v>27265</v>
      </c>
      <c r="E5">
        <v>27265</v>
      </c>
      <c r="F5">
        <v>27265</v>
      </c>
      <c r="G5">
        <v>27265</v>
      </c>
      <c r="H5">
        <v>27265</v>
      </c>
      <c r="I5">
        <v>27265</v>
      </c>
      <c r="J5">
        <v>27265</v>
      </c>
      <c r="K5">
        <v>27265</v>
      </c>
      <c r="L5">
        <v>27265</v>
      </c>
      <c r="M5">
        <v>27265</v>
      </c>
      <c r="N5">
        <v>27265</v>
      </c>
      <c r="O5">
        <v>27265</v>
      </c>
      <c r="P5">
        <v>27265</v>
      </c>
      <c r="Q5">
        <v>27265</v>
      </c>
      <c r="R5">
        <v>27265</v>
      </c>
      <c r="S5">
        <v>27265</v>
      </c>
      <c r="T5">
        <v>27265</v>
      </c>
      <c r="U5">
        <v>27265</v>
      </c>
      <c r="V5">
        <v>27265</v>
      </c>
      <c r="W5">
        <v>27265</v>
      </c>
      <c r="X5">
        <v>27265</v>
      </c>
      <c r="Y5">
        <v>27265</v>
      </c>
      <c r="Z5">
        <v>27265</v>
      </c>
      <c r="AA5">
        <v>27265</v>
      </c>
      <c r="AB5">
        <v>27265</v>
      </c>
      <c r="AC5">
        <v>27265</v>
      </c>
      <c r="AD5">
        <v>27265</v>
      </c>
      <c r="AE5">
        <v>27565</v>
      </c>
      <c r="AF5">
        <v>27565</v>
      </c>
      <c r="AG5">
        <v>27565</v>
      </c>
      <c r="AH5">
        <v>27565</v>
      </c>
      <c r="AI5">
        <v>27565</v>
      </c>
      <c r="AJ5">
        <v>27565</v>
      </c>
      <c r="AK5">
        <v>27565</v>
      </c>
      <c r="AL5">
        <v>27565</v>
      </c>
      <c r="AM5">
        <v>27565</v>
      </c>
      <c r="AN5">
        <v>27565</v>
      </c>
      <c r="AO5">
        <v>27565</v>
      </c>
      <c r="AP5">
        <v>27565</v>
      </c>
      <c r="AQ5">
        <v>27565</v>
      </c>
      <c r="AR5">
        <v>27565</v>
      </c>
      <c r="AS5">
        <v>27565</v>
      </c>
      <c r="AT5">
        <v>27565</v>
      </c>
      <c r="AU5">
        <v>27565</v>
      </c>
      <c r="AV5">
        <v>27565</v>
      </c>
      <c r="AW5">
        <v>27565</v>
      </c>
      <c r="AX5">
        <v>27565</v>
      </c>
      <c r="AY5">
        <v>27565</v>
      </c>
      <c r="AZ5">
        <v>27565</v>
      </c>
      <c r="BA5">
        <v>27565</v>
      </c>
      <c r="BB5">
        <v>27565</v>
      </c>
      <c r="BC5">
        <v>27565</v>
      </c>
      <c r="BD5">
        <v>27565</v>
      </c>
      <c r="BE5">
        <v>27565</v>
      </c>
      <c r="BF5">
        <v>27565</v>
      </c>
      <c r="BG5">
        <v>27565</v>
      </c>
      <c r="BH5">
        <v>27565</v>
      </c>
      <c r="BI5">
        <v>27565</v>
      </c>
      <c r="BJ5">
        <v>27565</v>
      </c>
      <c r="BK5">
        <v>27565</v>
      </c>
      <c r="BL5">
        <v>27565</v>
      </c>
      <c r="BM5">
        <v>27565</v>
      </c>
      <c r="BN5">
        <v>27565</v>
      </c>
      <c r="BO5">
        <v>27565</v>
      </c>
      <c r="BP5">
        <v>27565</v>
      </c>
      <c r="BQ5">
        <v>27565</v>
      </c>
      <c r="BR5">
        <v>27565</v>
      </c>
      <c r="BS5">
        <v>27565</v>
      </c>
      <c r="BT5">
        <v>27565</v>
      </c>
      <c r="BU5">
        <v>27565</v>
      </c>
      <c r="BV5">
        <v>27565</v>
      </c>
      <c r="BW5">
        <v>27565</v>
      </c>
      <c r="BX5">
        <v>27565</v>
      </c>
      <c r="BY5">
        <v>27565</v>
      </c>
      <c r="BZ5">
        <v>27565</v>
      </c>
      <c r="CA5">
        <v>27565</v>
      </c>
      <c r="CB5">
        <v>27565</v>
      </c>
      <c r="CC5">
        <v>27565</v>
      </c>
      <c r="CD5">
        <v>27565</v>
      </c>
      <c r="CE5">
        <v>27565</v>
      </c>
      <c r="CF5">
        <v>27565</v>
      </c>
      <c r="CG5">
        <v>27565</v>
      </c>
      <c r="CH5">
        <v>27565</v>
      </c>
      <c r="CI5">
        <v>27565</v>
      </c>
      <c r="CJ5">
        <v>27565</v>
      </c>
      <c r="CK5">
        <v>27565</v>
      </c>
      <c r="CL5">
        <v>27565</v>
      </c>
      <c r="CM5">
        <v>27565</v>
      </c>
      <c r="CN5">
        <v>27565</v>
      </c>
      <c r="CO5">
        <v>27565</v>
      </c>
      <c r="CP5">
        <v>27565</v>
      </c>
      <c r="CQ5">
        <v>27565</v>
      </c>
      <c r="CR5">
        <v>27565</v>
      </c>
      <c r="CS5">
        <v>27565</v>
      </c>
    </row>
    <row r="6" spans="1:97">
      <c r="A6" s="2">
        <v>46239</v>
      </c>
      <c r="B6">
        <v>27565</v>
      </c>
      <c r="C6">
        <v>27565</v>
      </c>
      <c r="D6">
        <v>27565</v>
      </c>
      <c r="E6">
        <v>27565</v>
      </c>
      <c r="F6">
        <v>27565</v>
      </c>
      <c r="G6">
        <v>27565</v>
      </c>
      <c r="H6">
        <v>27565</v>
      </c>
      <c r="I6">
        <v>27565</v>
      </c>
      <c r="J6">
        <v>27565</v>
      </c>
      <c r="K6">
        <v>27565</v>
      </c>
      <c r="L6">
        <v>27565</v>
      </c>
      <c r="M6">
        <v>27565</v>
      </c>
      <c r="N6">
        <v>27565</v>
      </c>
      <c r="O6">
        <v>27565</v>
      </c>
      <c r="P6">
        <v>27565</v>
      </c>
      <c r="Q6">
        <v>27565</v>
      </c>
      <c r="R6">
        <v>27565</v>
      </c>
      <c r="S6">
        <v>27565</v>
      </c>
      <c r="T6">
        <v>27565</v>
      </c>
      <c r="U6">
        <v>27565</v>
      </c>
      <c r="V6">
        <v>27565</v>
      </c>
      <c r="W6">
        <v>27565</v>
      </c>
      <c r="X6">
        <v>27565</v>
      </c>
      <c r="Y6">
        <v>27565</v>
      </c>
      <c r="Z6">
        <v>27565</v>
      </c>
      <c r="AA6">
        <v>27565</v>
      </c>
      <c r="AB6">
        <v>27565</v>
      </c>
      <c r="AC6">
        <v>27565</v>
      </c>
      <c r="AD6">
        <v>27565</v>
      </c>
      <c r="AE6">
        <v>27565</v>
      </c>
      <c r="AF6">
        <v>27565</v>
      </c>
      <c r="AG6">
        <v>27565</v>
      </c>
      <c r="AH6">
        <v>27565</v>
      </c>
      <c r="AI6">
        <v>27565</v>
      </c>
      <c r="AJ6">
        <v>27565</v>
      </c>
      <c r="AK6">
        <v>27565</v>
      </c>
      <c r="AL6">
        <v>27565</v>
      </c>
      <c r="AM6">
        <v>27565</v>
      </c>
      <c r="AN6">
        <v>27565</v>
      </c>
      <c r="AO6">
        <v>27565</v>
      </c>
      <c r="AP6">
        <v>27565</v>
      </c>
      <c r="AQ6">
        <v>27565</v>
      </c>
      <c r="AR6">
        <v>27565</v>
      </c>
      <c r="AS6">
        <v>27565</v>
      </c>
      <c r="AT6">
        <v>27565</v>
      </c>
      <c r="AU6">
        <v>27565</v>
      </c>
      <c r="AV6">
        <v>27565</v>
      </c>
      <c r="AW6">
        <v>27565</v>
      </c>
      <c r="AX6">
        <v>27565</v>
      </c>
      <c r="AY6">
        <v>27565</v>
      </c>
      <c r="AZ6">
        <v>27565</v>
      </c>
      <c r="BA6">
        <v>27565</v>
      </c>
      <c r="BB6">
        <v>27565</v>
      </c>
      <c r="BC6">
        <v>27565</v>
      </c>
      <c r="BD6">
        <v>27565</v>
      </c>
      <c r="BE6">
        <v>27565</v>
      </c>
      <c r="BF6">
        <v>27565</v>
      </c>
      <c r="BG6">
        <v>27565</v>
      </c>
      <c r="BH6">
        <v>27565</v>
      </c>
      <c r="BI6">
        <v>27565</v>
      </c>
      <c r="BJ6">
        <v>27565</v>
      </c>
      <c r="BK6">
        <v>27565</v>
      </c>
      <c r="BL6">
        <v>27565</v>
      </c>
      <c r="BM6">
        <v>27565</v>
      </c>
      <c r="BN6">
        <v>27565</v>
      </c>
      <c r="BO6">
        <v>27565</v>
      </c>
      <c r="BP6">
        <v>27565</v>
      </c>
      <c r="BQ6">
        <v>27565</v>
      </c>
      <c r="BR6">
        <v>27565</v>
      </c>
      <c r="BS6">
        <v>27565</v>
      </c>
      <c r="BT6">
        <v>27565</v>
      </c>
      <c r="BU6">
        <v>27565</v>
      </c>
      <c r="BV6">
        <v>27565</v>
      </c>
      <c r="BW6">
        <v>27565</v>
      </c>
      <c r="BX6">
        <v>27565</v>
      </c>
      <c r="BY6">
        <v>27565</v>
      </c>
      <c r="BZ6">
        <v>27565</v>
      </c>
      <c r="CA6">
        <v>27565</v>
      </c>
      <c r="CB6">
        <v>27565</v>
      </c>
      <c r="CC6">
        <v>27565</v>
      </c>
      <c r="CD6">
        <v>27565</v>
      </c>
      <c r="CE6">
        <v>27565</v>
      </c>
      <c r="CF6">
        <v>27565</v>
      </c>
      <c r="CG6">
        <v>27565</v>
      </c>
      <c r="CH6">
        <v>27565</v>
      </c>
      <c r="CI6">
        <v>27565</v>
      </c>
      <c r="CJ6">
        <v>27565</v>
      </c>
      <c r="CK6">
        <v>27565</v>
      </c>
      <c r="CL6">
        <v>27565</v>
      </c>
      <c r="CM6">
        <v>27565</v>
      </c>
      <c r="CN6">
        <v>27565</v>
      </c>
      <c r="CO6">
        <v>27565</v>
      </c>
      <c r="CP6">
        <v>27565</v>
      </c>
      <c r="CQ6">
        <v>27565</v>
      </c>
      <c r="CR6">
        <v>27565</v>
      </c>
      <c r="CS6">
        <v>27565</v>
      </c>
    </row>
    <row r="7" spans="1:97">
      <c r="A7" s="2">
        <v>46240</v>
      </c>
      <c r="B7">
        <v>27565</v>
      </c>
      <c r="C7">
        <v>27565</v>
      </c>
      <c r="D7">
        <v>27565</v>
      </c>
      <c r="E7">
        <v>27565</v>
      </c>
      <c r="F7">
        <v>27565</v>
      </c>
      <c r="G7">
        <v>27565</v>
      </c>
      <c r="H7">
        <v>27565</v>
      </c>
      <c r="I7">
        <v>27565</v>
      </c>
      <c r="J7">
        <v>27565</v>
      </c>
      <c r="K7">
        <v>27565</v>
      </c>
      <c r="L7">
        <v>27565</v>
      </c>
      <c r="M7">
        <v>27565</v>
      </c>
      <c r="N7">
        <v>27565</v>
      </c>
      <c r="O7">
        <v>27565</v>
      </c>
      <c r="P7">
        <v>27565</v>
      </c>
      <c r="Q7">
        <v>27565</v>
      </c>
      <c r="R7">
        <v>27565</v>
      </c>
      <c r="S7">
        <v>27565</v>
      </c>
      <c r="T7">
        <v>27565</v>
      </c>
      <c r="U7">
        <v>27565</v>
      </c>
      <c r="V7">
        <v>27565</v>
      </c>
      <c r="W7">
        <v>27565</v>
      </c>
      <c r="X7">
        <v>27565</v>
      </c>
      <c r="Y7">
        <v>27565</v>
      </c>
      <c r="Z7">
        <v>27565</v>
      </c>
      <c r="AA7">
        <v>27565</v>
      </c>
      <c r="AB7">
        <v>27565</v>
      </c>
      <c r="AC7">
        <v>27565</v>
      </c>
      <c r="AD7">
        <v>27565</v>
      </c>
      <c r="AE7">
        <v>27565</v>
      </c>
      <c r="AF7">
        <v>27565</v>
      </c>
      <c r="AG7">
        <v>27565</v>
      </c>
      <c r="AH7">
        <v>27565</v>
      </c>
      <c r="AI7">
        <v>27565</v>
      </c>
      <c r="AJ7">
        <v>27565</v>
      </c>
      <c r="AK7">
        <v>27565</v>
      </c>
      <c r="AL7">
        <v>27565</v>
      </c>
      <c r="AM7">
        <v>27565</v>
      </c>
      <c r="AN7">
        <v>27565</v>
      </c>
      <c r="AO7">
        <v>27565</v>
      </c>
      <c r="AP7">
        <v>27565</v>
      </c>
      <c r="AQ7">
        <v>27565</v>
      </c>
      <c r="AR7">
        <v>27565</v>
      </c>
      <c r="AS7">
        <v>27565</v>
      </c>
      <c r="AT7">
        <v>27565</v>
      </c>
      <c r="AU7">
        <v>27565</v>
      </c>
      <c r="AV7">
        <v>27565</v>
      </c>
      <c r="AW7">
        <v>27565</v>
      </c>
      <c r="AX7">
        <v>27565</v>
      </c>
      <c r="AY7">
        <v>27565</v>
      </c>
      <c r="AZ7">
        <v>27565</v>
      </c>
      <c r="BA7">
        <v>27565</v>
      </c>
      <c r="BB7">
        <v>27565</v>
      </c>
      <c r="BC7">
        <v>27565</v>
      </c>
      <c r="BD7">
        <v>27565</v>
      </c>
      <c r="BE7">
        <v>27565</v>
      </c>
      <c r="BF7">
        <v>27565</v>
      </c>
      <c r="BG7">
        <v>27565</v>
      </c>
      <c r="BH7">
        <v>27565</v>
      </c>
      <c r="BI7">
        <v>27565</v>
      </c>
      <c r="BJ7">
        <v>27565</v>
      </c>
      <c r="BK7">
        <v>27565</v>
      </c>
      <c r="BL7">
        <v>27565</v>
      </c>
      <c r="BM7">
        <v>27565</v>
      </c>
      <c r="BN7">
        <v>27565</v>
      </c>
      <c r="BO7">
        <v>27565</v>
      </c>
      <c r="BP7">
        <v>27565</v>
      </c>
      <c r="BQ7">
        <v>27565</v>
      </c>
      <c r="BR7">
        <v>27565</v>
      </c>
      <c r="BS7">
        <v>27565</v>
      </c>
      <c r="BT7">
        <v>27565</v>
      </c>
      <c r="BU7">
        <v>27565</v>
      </c>
      <c r="BV7">
        <v>27565</v>
      </c>
      <c r="BW7">
        <v>27565</v>
      </c>
      <c r="BX7">
        <v>27565</v>
      </c>
      <c r="BY7">
        <v>27565</v>
      </c>
      <c r="BZ7">
        <v>27565</v>
      </c>
      <c r="CA7">
        <v>27565</v>
      </c>
      <c r="CB7">
        <v>27565</v>
      </c>
      <c r="CC7">
        <v>27565</v>
      </c>
      <c r="CD7">
        <v>27565</v>
      </c>
      <c r="CE7">
        <v>27565</v>
      </c>
      <c r="CF7">
        <v>27565</v>
      </c>
      <c r="CG7">
        <v>27565</v>
      </c>
      <c r="CH7">
        <v>27565</v>
      </c>
      <c r="CI7">
        <v>27565</v>
      </c>
      <c r="CJ7">
        <v>27565</v>
      </c>
      <c r="CK7">
        <v>27565</v>
      </c>
      <c r="CL7">
        <v>27565</v>
      </c>
      <c r="CM7">
        <v>27565</v>
      </c>
      <c r="CN7">
        <v>27565</v>
      </c>
      <c r="CO7">
        <v>27565</v>
      </c>
      <c r="CP7">
        <v>27565</v>
      </c>
      <c r="CQ7">
        <v>27565</v>
      </c>
      <c r="CR7">
        <v>27565</v>
      </c>
      <c r="CS7">
        <v>27565</v>
      </c>
    </row>
    <row r="8" spans="1:97">
      <c r="A8" s="2">
        <v>46241</v>
      </c>
      <c r="B8">
        <v>27430</v>
      </c>
      <c r="C8">
        <v>26550</v>
      </c>
      <c r="D8">
        <v>26250</v>
      </c>
      <c r="E8">
        <v>25720</v>
      </c>
      <c r="F8">
        <v>25420</v>
      </c>
      <c r="G8">
        <v>25420</v>
      </c>
      <c r="H8">
        <v>25420</v>
      </c>
      <c r="I8">
        <v>25120</v>
      </c>
      <c r="J8">
        <v>25120</v>
      </c>
      <c r="K8">
        <v>25120</v>
      </c>
      <c r="L8">
        <v>25120</v>
      </c>
      <c r="M8">
        <v>25120</v>
      </c>
      <c r="N8">
        <v>25120</v>
      </c>
      <c r="O8">
        <v>24570</v>
      </c>
      <c r="P8">
        <v>24570</v>
      </c>
      <c r="Q8">
        <v>24570</v>
      </c>
      <c r="R8">
        <v>24570</v>
      </c>
      <c r="S8">
        <v>24570</v>
      </c>
      <c r="T8">
        <v>24570</v>
      </c>
      <c r="U8">
        <v>24570</v>
      </c>
      <c r="V8">
        <v>24570</v>
      </c>
      <c r="W8">
        <v>24570</v>
      </c>
      <c r="X8">
        <v>24570</v>
      </c>
      <c r="Y8">
        <v>24570</v>
      </c>
      <c r="Z8">
        <v>24570</v>
      </c>
      <c r="AA8">
        <v>24570</v>
      </c>
      <c r="AB8">
        <v>24570</v>
      </c>
      <c r="AC8">
        <v>24570</v>
      </c>
      <c r="AD8">
        <v>24570</v>
      </c>
      <c r="AE8">
        <v>24570</v>
      </c>
      <c r="AF8">
        <v>24570</v>
      </c>
      <c r="AG8">
        <v>24570</v>
      </c>
      <c r="AH8">
        <v>24570</v>
      </c>
      <c r="AI8">
        <v>24570</v>
      </c>
      <c r="AJ8">
        <v>24570</v>
      </c>
      <c r="AK8">
        <v>24570</v>
      </c>
      <c r="AL8">
        <v>24570</v>
      </c>
      <c r="AM8">
        <v>24570</v>
      </c>
      <c r="AN8">
        <v>24570</v>
      </c>
      <c r="AO8">
        <v>24570</v>
      </c>
      <c r="AP8">
        <v>24570</v>
      </c>
      <c r="AQ8">
        <v>24570</v>
      </c>
      <c r="AR8">
        <v>24570</v>
      </c>
      <c r="AS8">
        <v>24570</v>
      </c>
      <c r="AT8">
        <v>24570</v>
      </c>
      <c r="AU8">
        <v>24570</v>
      </c>
      <c r="AV8">
        <v>24570</v>
      </c>
      <c r="AW8">
        <v>24570</v>
      </c>
      <c r="AX8">
        <v>24570</v>
      </c>
      <c r="AY8">
        <v>24570</v>
      </c>
      <c r="AZ8">
        <v>24570</v>
      </c>
      <c r="BA8">
        <v>24570</v>
      </c>
      <c r="BB8">
        <v>24570</v>
      </c>
      <c r="BC8">
        <v>24570</v>
      </c>
      <c r="BD8">
        <v>24570</v>
      </c>
      <c r="BE8">
        <v>24570</v>
      </c>
      <c r="BF8">
        <v>24570</v>
      </c>
      <c r="BG8">
        <v>24570</v>
      </c>
      <c r="BH8">
        <v>24570</v>
      </c>
      <c r="BI8">
        <v>24570</v>
      </c>
      <c r="BJ8">
        <v>24570</v>
      </c>
      <c r="BK8">
        <v>24570</v>
      </c>
      <c r="BL8">
        <v>24570</v>
      </c>
      <c r="BM8">
        <v>24570</v>
      </c>
      <c r="BN8">
        <v>24570</v>
      </c>
      <c r="BO8">
        <v>24570</v>
      </c>
      <c r="BP8">
        <v>24570</v>
      </c>
      <c r="BQ8">
        <v>24570</v>
      </c>
      <c r="BR8">
        <v>24570</v>
      </c>
      <c r="BS8">
        <v>24570</v>
      </c>
      <c r="BT8">
        <v>24570</v>
      </c>
      <c r="BU8">
        <v>24570</v>
      </c>
      <c r="BV8">
        <v>24570</v>
      </c>
      <c r="BW8">
        <v>24570</v>
      </c>
      <c r="BX8">
        <v>24570</v>
      </c>
      <c r="BY8">
        <v>24570</v>
      </c>
      <c r="BZ8">
        <v>24570</v>
      </c>
      <c r="CA8">
        <v>24570</v>
      </c>
      <c r="CB8">
        <v>24570</v>
      </c>
      <c r="CC8">
        <v>24570</v>
      </c>
      <c r="CD8">
        <v>24570</v>
      </c>
      <c r="CE8">
        <v>24570</v>
      </c>
      <c r="CF8">
        <v>24570</v>
      </c>
      <c r="CG8">
        <v>24570</v>
      </c>
      <c r="CH8">
        <v>24570</v>
      </c>
      <c r="CI8">
        <v>24570</v>
      </c>
      <c r="CJ8">
        <v>24115</v>
      </c>
      <c r="CK8">
        <v>23980</v>
      </c>
      <c r="CL8">
        <v>23680</v>
      </c>
      <c r="CM8">
        <v>23680</v>
      </c>
      <c r="CN8">
        <v>23330</v>
      </c>
      <c r="CO8">
        <v>22830</v>
      </c>
      <c r="CP8">
        <v>22830</v>
      </c>
      <c r="CQ8">
        <v>22830</v>
      </c>
      <c r="CR8">
        <v>22830</v>
      </c>
      <c r="CS8">
        <v>22830</v>
      </c>
    </row>
    <row r="9" spans="1:97">
      <c r="A9" s="2">
        <v>46242</v>
      </c>
      <c r="B9">
        <v>22480</v>
      </c>
      <c r="C9">
        <v>22480</v>
      </c>
      <c r="D9">
        <v>22480</v>
      </c>
      <c r="E9">
        <v>22480</v>
      </c>
      <c r="F9">
        <v>22480</v>
      </c>
      <c r="G9">
        <v>22480</v>
      </c>
      <c r="H9">
        <v>22480</v>
      </c>
      <c r="I9">
        <v>22480</v>
      </c>
      <c r="J9">
        <v>22480</v>
      </c>
      <c r="K9">
        <v>22480</v>
      </c>
      <c r="L9">
        <v>22480</v>
      </c>
      <c r="M9">
        <v>22480</v>
      </c>
      <c r="N9">
        <v>22480</v>
      </c>
      <c r="O9">
        <v>22480</v>
      </c>
      <c r="P9">
        <v>22480</v>
      </c>
      <c r="Q9">
        <v>22480</v>
      </c>
      <c r="R9">
        <v>22480</v>
      </c>
      <c r="S9">
        <v>22480</v>
      </c>
      <c r="T9">
        <v>22480</v>
      </c>
      <c r="U9">
        <v>22480</v>
      </c>
      <c r="V9">
        <v>22480</v>
      </c>
      <c r="W9">
        <v>22480</v>
      </c>
      <c r="X9">
        <v>22480</v>
      </c>
      <c r="Y9">
        <v>22480</v>
      </c>
      <c r="Z9">
        <v>22480</v>
      </c>
      <c r="AA9">
        <v>22480</v>
      </c>
      <c r="AB9">
        <v>22480</v>
      </c>
      <c r="AC9">
        <v>22480</v>
      </c>
      <c r="AD9">
        <v>22480</v>
      </c>
      <c r="AE9">
        <v>22480</v>
      </c>
      <c r="AF9">
        <v>22480</v>
      </c>
      <c r="AG9">
        <v>22480</v>
      </c>
      <c r="AH9">
        <v>22480</v>
      </c>
      <c r="AI9">
        <v>22480</v>
      </c>
      <c r="AJ9">
        <v>22480</v>
      </c>
      <c r="AK9">
        <v>22480</v>
      </c>
      <c r="AL9">
        <v>22480</v>
      </c>
      <c r="AM9">
        <v>22480</v>
      </c>
      <c r="AN9">
        <v>22480</v>
      </c>
      <c r="AO9">
        <v>22480</v>
      </c>
      <c r="AP9">
        <v>22480</v>
      </c>
      <c r="AQ9">
        <v>22480</v>
      </c>
      <c r="AR9">
        <v>22480</v>
      </c>
      <c r="AS9">
        <v>22480</v>
      </c>
      <c r="AT9">
        <v>22480</v>
      </c>
      <c r="AU9">
        <v>22480</v>
      </c>
      <c r="AV9">
        <v>22480</v>
      </c>
      <c r="AW9">
        <v>22480</v>
      </c>
      <c r="AX9">
        <v>22480</v>
      </c>
      <c r="AY9">
        <v>22480</v>
      </c>
      <c r="AZ9">
        <v>22480</v>
      </c>
      <c r="BA9">
        <v>22480</v>
      </c>
      <c r="BB9">
        <v>22480</v>
      </c>
      <c r="BC9">
        <v>22480</v>
      </c>
      <c r="BD9">
        <v>22480</v>
      </c>
      <c r="BE9">
        <v>22480</v>
      </c>
      <c r="BF9">
        <v>22480</v>
      </c>
      <c r="BG9">
        <v>22480</v>
      </c>
      <c r="BH9">
        <v>22480</v>
      </c>
      <c r="BI9">
        <v>22480</v>
      </c>
      <c r="BJ9">
        <v>22480</v>
      </c>
      <c r="BK9">
        <v>22480</v>
      </c>
      <c r="BL9">
        <v>22480</v>
      </c>
      <c r="BM9">
        <v>22480</v>
      </c>
      <c r="BN9">
        <v>22480</v>
      </c>
      <c r="BO9">
        <v>22480</v>
      </c>
      <c r="BP9">
        <v>22480</v>
      </c>
      <c r="BQ9">
        <v>22480</v>
      </c>
      <c r="BR9">
        <v>22480</v>
      </c>
      <c r="BS9">
        <v>22480</v>
      </c>
      <c r="BT9">
        <v>22480</v>
      </c>
      <c r="BU9">
        <v>22480</v>
      </c>
      <c r="BV9">
        <v>22480</v>
      </c>
      <c r="BW9">
        <v>22480</v>
      </c>
      <c r="BX9">
        <v>22480</v>
      </c>
      <c r="BY9">
        <v>22480</v>
      </c>
      <c r="BZ9">
        <v>22480</v>
      </c>
      <c r="CA9">
        <v>22480</v>
      </c>
      <c r="CB9">
        <v>22480</v>
      </c>
      <c r="CC9">
        <v>22480</v>
      </c>
      <c r="CD9">
        <v>22480</v>
      </c>
      <c r="CE9">
        <v>22480</v>
      </c>
      <c r="CF9">
        <v>22480</v>
      </c>
      <c r="CG9">
        <v>22480</v>
      </c>
      <c r="CH9">
        <v>22480</v>
      </c>
      <c r="CI9">
        <v>22480</v>
      </c>
      <c r="CJ9">
        <v>22480</v>
      </c>
      <c r="CK9">
        <v>22480</v>
      </c>
      <c r="CL9">
        <v>22480</v>
      </c>
      <c r="CM9">
        <v>22480</v>
      </c>
      <c r="CN9">
        <v>22480</v>
      </c>
      <c r="CO9">
        <v>22480</v>
      </c>
      <c r="CP9">
        <v>22480</v>
      </c>
      <c r="CQ9">
        <v>22480</v>
      </c>
      <c r="CR9">
        <v>22480</v>
      </c>
      <c r="CS9">
        <v>22480</v>
      </c>
    </row>
    <row r="10" spans="1:97">
      <c r="A10" s="2">
        <v>46243</v>
      </c>
      <c r="B10">
        <v>22480</v>
      </c>
      <c r="C10">
        <v>22480</v>
      </c>
      <c r="D10">
        <v>22480</v>
      </c>
      <c r="E10">
        <v>22480</v>
      </c>
      <c r="F10">
        <v>22480</v>
      </c>
      <c r="G10">
        <v>22480</v>
      </c>
      <c r="H10">
        <v>22480</v>
      </c>
      <c r="I10">
        <v>22480</v>
      </c>
      <c r="J10">
        <v>22480</v>
      </c>
      <c r="K10">
        <v>22480</v>
      </c>
      <c r="L10">
        <v>22480</v>
      </c>
      <c r="M10">
        <v>22480</v>
      </c>
      <c r="N10">
        <v>22480</v>
      </c>
      <c r="O10">
        <v>22480</v>
      </c>
      <c r="P10">
        <v>22480</v>
      </c>
      <c r="Q10">
        <v>22480</v>
      </c>
      <c r="R10">
        <v>22480</v>
      </c>
      <c r="S10">
        <v>22480</v>
      </c>
      <c r="T10">
        <v>22480</v>
      </c>
      <c r="U10">
        <v>22480</v>
      </c>
      <c r="V10">
        <v>22480</v>
      </c>
      <c r="W10">
        <v>22480</v>
      </c>
      <c r="X10">
        <v>22480</v>
      </c>
      <c r="Y10">
        <v>22480</v>
      </c>
      <c r="Z10">
        <v>22480</v>
      </c>
      <c r="AA10">
        <v>22480</v>
      </c>
      <c r="AB10">
        <v>22480</v>
      </c>
      <c r="AC10">
        <v>22480</v>
      </c>
      <c r="AD10">
        <v>22480</v>
      </c>
      <c r="AE10">
        <v>22480</v>
      </c>
      <c r="AF10">
        <v>22480</v>
      </c>
      <c r="AG10">
        <v>22480</v>
      </c>
      <c r="AH10">
        <v>22480</v>
      </c>
      <c r="AI10">
        <v>22480</v>
      </c>
      <c r="AJ10">
        <v>22480</v>
      </c>
      <c r="AK10">
        <v>22480</v>
      </c>
      <c r="AL10">
        <v>22480</v>
      </c>
      <c r="AM10">
        <v>22480</v>
      </c>
      <c r="AN10">
        <v>22480</v>
      </c>
      <c r="AO10">
        <v>22480</v>
      </c>
      <c r="AP10">
        <v>22480</v>
      </c>
      <c r="AQ10">
        <v>22480</v>
      </c>
      <c r="AR10">
        <v>22480</v>
      </c>
      <c r="AS10">
        <v>22480</v>
      </c>
      <c r="AT10">
        <v>22480</v>
      </c>
      <c r="AU10">
        <v>22480</v>
      </c>
      <c r="AV10">
        <v>22480</v>
      </c>
      <c r="AW10">
        <v>22480</v>
      </c>
      <c r="AX10">
        <v>22480</v>
      </c>
      <c r="AY10">
        <v>22480</v>
      </c>
      <c r="AZ10">
        <v>22480</v>
      </c>
      <c r="BA10">
        <v>22480</v>
      </c>
      <c r="BB10">
        <v>22480</v>
      </c>
      <c r="BC10">
        <v>22480</v>
      </c>
      <c r="BD10">
        <v>22480</v>
      </c>
      <c r="BE10">
        <v>22480</v>
      </c>
      <c r="BF10">
        <v>22480</v>
      </c>
      <c r="BG10">
        <v>22480</v>
      </c>
      <c r="BH10">
        <v>22480</v>
      </c>
      <c r="BI10">
        <v>22480</v>
      </c>
      <c r="BJ10">
        <v>22480</v>
      </c>
      <c r="BK10">
        <v>22480</v>
      </c>
      <c r="BL10">
        <v>22480</v>
      </c>
      <c r="BM10">
        <v>22480</v>
      </c>
      <c r="BN10">
        <v>22480</v>
      </c>
      <c r="BO10">
        <v>22480</v>
      </c>
      <c r="BP10">
        <v>22480</v>
      </c>
      <c r="BQ10">
        <v>22480</v>
      </c>
      <c r="BR10">
        <v>22480</v>
      </c>
      <c r="BS10">
        <v>22480</v>
      </c>
      <c r="BT10">
        <v>22480</v>
      </c>
      <c r="BU10">
        <v>22480</v>
      </c>
      <c r="BV10">
        <v>22480</v>
      </c>
      <c r="BW10">
        <v>22480</v>
      </c>
      <c r="BX10">
        <v>22480</v>
      </c>
      <c r="BY10">
        <v>22480</v>
      </c>
      <c r="BZ10">
        <v>22480</v>
      </c>
      <c r="CA10">
        <v>22480</v>
      </c>
      <c r="CB10">
        <v>22480</v>
      </c>
      <c r="CC10">
        <v>22480</v>
      </c>
      <c r="CD10">
        <v>22480</v>
      </c>
      <c r="CE10">
        <v>22480</v>
      </c>
      <c r="CF10">
        <v>22480</v>
      </c>
      <c r="CG10">
        <v>22480</v>
      </c>
      <c r="CH10">
        <v>22480</v>
      </c>
      <c r="CI10">
        <v>22480</v>
      </c>
      <c r="CJ10">
        <v>22480</v>
      </c>
      <c r="CK10">
        <v>22480</v>
      </c>
      <c r="CL10">
        <v>22480</v>
      </c>
      <c r="CM10">
        <v>22480</v>
      </c>
      <c r="CN10">
        <v>22480</v>
      </c>
      <c r="CO10">
        <v>22480</v>
      </c>
      <c r="CP10">
        <v>22480</v>
      </c>
      <c r="CQ10">
        <v>22480</v>
      </c>
      <c r="CR10">
        <v>22480</v>
      </c>
      <c r="CS10">
        <v>22480</v>
      </c>
    </row>
    <row r="11" spans="1:97">
      <c r="A11" s="2">
        <v>46244</v>
      </c>
      <c r="B11">
        <v>22480</v>
      </c>
      <c r="C11">
        <v>22480</v>
      </c>
      <c r="D11">
        <v>22480</v>
      </c>
      <c r="E11">
        <v>22480</v>
      </c>
      <c r="F11">
        <v>22480</v>
      </c>
      <c r="G11">
        <v>22480</v>
      </c>
      <c r="H11">
        <v>22480</v>
      </c>
      <c r="I11">
        <v>22480</v>
      </c>
      <c r="J11">
        <v>22480</v>
      </c>
      <c r="K11">
        <v>22480</v>
      </c>
      <c r="L11">
        <v>21880</v>
      </c>
      <c r="M11">
        <v>21880</v>
      </c>
      <c r="N11">
        <v>21880</v>
      </c>
      <c r="O11">
        <v>21880</v>
      </c>
      <c r="P11">
        <v>21880</v>
      </c>
      <c r="Q11">
        <v>21880</v>
      </c>
      <c r="R11">
        <v>21880</v>
      </c>
      <c r="S11">
        <v>21880</v>
      </c>
      <c r="T11">
        <v>21880</v>
      </c>
      <c r="U11">
        <v>21880</v>
      </c>
      <c r="V11">
        <v>21880</v>
      </c>
      <c r="W11">
        <v>21880</v>
      </c>
      <c r="X11">
        <v>22230</v>
      </c>
      <c r="Y11">
        <v>22230</v>
      </c>
      <c r="Z11">
        <v>22230</v>
      </c>
      <c r="AA11">
        <v>22230</v>
      </c>
      <c r="AB11">
        <v>22230</v>
      </c>
      <c r="AC11">
        <v>22230</v>
      </c>
      <c r="AD11">
        <v>22230</v>
      </c>
      <c r="AE11">
        <v>22230</v>
      </c>
      <c r="AF11">
        <v>22230</v>
      </c>
      <c r="AG11">
        <v>22230</v>
      </c>
      <c r="AH11">
        <v>22230</v>
      </c>
      <c r="AI11">
        <v>22230</v>
      </c>
      <c r="AJ11">
        <v>22230</v>
      </c>
      <c r="AK11">
        <v>22230</v>
      </c>
      <c r="AL11">
        <v>22230</v>
      </c>
      <c r="AM11">
        <v>22230</v>
      </c>
      <c r="AN11">
        <v>22230</v>
      </c>
      <c r="AO11">
        <v>22230</v>
      </c>
      <c r="AP11">
        <v>22230</v>
      </c>
      <c r="AQ11">
        <v>22230</v>
      </c>
      <c r="AR11">
        <v>22230</v>
      </c>
      <c r="AS11">
        <v>22230</v>
      </c>
      <c r="AT11">
        <v>22230</v>
      </c>
      <c r="AU11">
        <v>22230</v>
      </c>
      <c r="AV11">
        <v>22230</v>
      </c>
      <c r="AW11">
        <v>22230</v>
      </c>
      <c r="AX11">
        <v>21880</v>
      </c>
      <c r="AY11">
        <v>21880</v>
      </c>
      <c r="AZ11">
        <v>21880</v>
      </c>
      <c r="BA11">
        <v>21880</v>
      </c>
      <c r="BB11">
        <v>21880</v>
      </c>
      <c r="BC11">
        <v>21880</v>
      </c>
      <c r="BD11">
        <v>21880</v>
      </c>
      <c r="BE11">
        <v>21880</v>
      </c>
      <c r="BF11">
        <v>21880</v>
      </c>
      <c r="BG11">
        <v>21880</v>
      </c>
      <c r="BH11">
        <v>21880</v>
      </c>
      <c r="BI11">
        <v>21880</v>
      </c>
      <c r="BJ11">
        <v>21880</v>
      </c>
      <c r="BK11">
        <v>21880</v>
      </c>
      <c r="BL11">
        <v>21880</v>
      </c>
      <c r="BM11">
        <v>21880</v>
      </c>
      <c r="BN11">
        <v>21880</v>
      </c>
      <c r="BO11">
        <v>21880</v>
      </c>
      <c r="BP11">
        <v>21880</v>
      </c>
      <c r="BQ11">
        <v>21880</v>
      </c>
      <c r="BR11">
        <v>21880</v>
      </c>
      <c r="BS11">
        <v>21880</v>
      </c>
      <c r="BT11">
        <v>21880</v>
      </c>
      <c r="BU11">
        <v>21880</v>
      </c>
      <c r="BV11">
        <v>21880</v>
      </c>
      <c r="BW11">
        <v>21880</v>
      </c>
      <c r="BX11">
        <v>21880</v>
      </c>
      <c r="BY11">
        <v>21880</v>
      </c>
      <c r="BZ11">
        <v>21880</v>
      </c>
      <c r="CA11">
        <v>21880</v>
      </c>
      <c r="CB11">
        <v>21880</v>
      </c>
      <c r="CC11">
        <v>21880</v>
      </c>
      <c r="CD11">
        <v>21880</v>
      </c>
      <c r="CE11">
        <v>21880</v>
      </c>
      <c r="CF11">
        <v>21880</v>
      </c>
      <c r="CG11">
        <v>21880</v>
      </c>
      <c r="CH11">
        <v>21880</v>
      </c>
      <c r="CI11">
        <v>21880</v>
      </c>
      <c r="CJ11">
        <v>21880</v>
      </c>
      <c r="CK11">
        <v>21880</v>
      </c>
      <c r="CL11">
        <v>21880</v>
      </c>
      <c r="CM11">
        <v>21880</v>
      </c>
      <c r="CN11">
        <v>21880</v>
      </c>
      <c r="CO11">
        <v>21880</v>
      </c>
      <c r="CP11">
        <v>21880</v>
      </c>
      <c r="CQ11">
        <v>21880</v>
      </c>
      <c r="CR11">
        <v>21880</v>
      </c>
      <c r="CS11">
        <v>21880</v>
      </c>
    </row>
    <row r="12" spans="1:97">
      <c r="A12" s="2">
        <v>46245</v>
      </c>
      <c r="B12">
        <v>21880</v>
      </c>
      <c r="C12">
        <v>21880</v>
      </c>
      <c r="D12">
        <v>21880</v>
      </c>
      <c r="E12">
        <v>21880</v>
      </c>
      <c r="F12">
        <v>21880</v>
      </c>
      <c r="G12">
        <v>21880</v>
      </c>
      <c r="H12">
        <v>21880</v>
      </c>
      <c r="I12">
        <v>21880</v>
      </c>
      <c r="J12">
        <v>21880</v>
      </c>
      <c r="K12">
        <v>21880</v>
      </c>
      <c r="L12">
        <v>21880</v>
      </c>
      <c r="M12">
        <v>21880</v>
      </c>
      <c r="N12">
        <v>21880</v>
      </c>
      <c r="O12">
        <v>21880</v>
      </c>
      <c r="P12">
        <v>21880</v>
      </c>
      <c r="Q12">
        <v>21880</v>
      </c>
      <c r="R12">
        <v>21880</v>
      </c>
      <c r="S12">
        <v>21880</v>
      </c>
      <c r="T12">
        <v>21880</v>
      </c>
      <c r="U12">
        <v>21880</v>
      </c>
      <c r="V12">
        <v>21880</v>
      </c>
      <c r="W12">
        <v>21880</v>
      </c>
      <c r="X12">
        <v>21880</v>
      </c>
      <c r="Y12">
        <v>21880</v>
      </c>
      <c r="Z12">
        <v>21880</v>
      </c>
      <c r="AA12">
        <v>21880</v>
      </c>
      <c r="AB12">
        <v>21880</v>
      </c>
      <c r="AC12">
        <v>21880</v>
      </c>
      <c r="AD12">
        <v>21880</v>
      </c>
      <c r="AE12">
        <v>21880</v>
      </c>
      <c r="AF12">
        <v>21880</v>
      </c>
      <c r="AG12">
        <v>21880</v>
      </c>
      <c r="AH12">
        <v>21880</v>
      </c>
      <c r="AI12">
        <v>21880</v>
      </c>
      <c r="AJ12">
        <v>21880</v>
      </c>
      <c r="AK12">
        <v>21880</v>
      </c>
      <c r="AL12">
        <v>21880</v>
      </c>
      <c r="AM12">
        <v>21880</v>
      </c>
      <c r="AN12">
        <v>21880</v>
      </c>
      <c r="AO12">
        <v>21880</v>
      </c>
      <c r="AP12">
        <v>21880</v>
      </c>
      <c r="AQ12">
        <v>21880</v>
      </c>
      <c r="AR12">
        <v>21880</v>
      </c>
      <c r="AS12">
        <v>21880</v>
      </c>
      <c r="AT12">
        <v>21880</v>
      </c>
      <c r="AU12">
        <v>21880</v>
      </c>
      <c r="AV12">
        <v>21880</v>
      </c>
      <c r="AW12">
        <v>21880</v>
      </c>
      <c r="AX12">
        <v>21880</v>
      </c>
      <c r="AY12">
        <v>21880</v>
      </c>
      <c r="AZ12">
        <v>21880</v>
      </c>
      <c r="BA12">
        <v>21880</v>
      </c>
      <c r="BB12">
        <v>21880</v>
      </c>
      <c r="BC12">
        <v>21880</v>
      </c>
      <c r="BD12">
        <v>21880</v>
      </c>
      <c r="BE12">
        <v>21880</v>
      </c>
      <c r="BF12">
        <v>21880</v>
      </c>
      <c r="BG12">
        <v>22760</v>
      </c>
      <c r="BH12">
        <v>22760</v>
      </c>
      <c r="BI12">
        <v>22760</v>
      </c>
      <c r="BJ12">
        <v>22760</v>
      </c>
      <c r="BK12">
        <v>22760</v>
      </c>
      <c r="BL12">
        <v>22760</v>
      </c>
      <c r="BM12">
        <v>22760</v>
      </c>
      <c r="BN12">
        <v>22760</v>
      </c>
      <c r="BO12">
        <v>22760</v>
      </c>
      <c r="BP12">
        <v>22760</v>
      </c>
      <c r="BQ12">
        <v>22760</v>
      </c>
      <c r="BR12">
        <v>22760</v>
      </c>
      <c r="BS12">
        <v>22760</v>
      </c>
      <c r="BT12">
        <v>22760</v>
      </c>
      <c r="BU12">
        <v>22895</v>
      </c>
      <c r="BV12">
        <v>22895</v>
      </c>
      <c r="BW12">
        <v>22895</v>
      </c>
      <c r="BX12">
        <v>22895</v>
      </c>
      <c r="BY12">
        <v>22895</v>
      </c>
      <c r="BZ12">
        <v>22895</v>
      </c>
      <c r="CA12">
        <v>23195</v>
      </c>
      <c r="CB12">
        <v>23195</v>
      </c>
      <c r="CC12">
        <v>23195</v>
      </c>
      <c r="CD12">
        <v>23545</v>
      </c>
      <c r="CE12">
        <v>23545</v>
      </c>
      <c r="CF12">
        <v>23545</v>
      </c>
      <c r="CG12">
        <v>23545</v>
      </c>
      <c r="CH12">
        <v>23545</v>
      </c>
      <c r="CI12">
        <v>23545</v>
      </c>
      <c r="CJ12">
        <v>23545</v>
      </c>
      <c r="CK12">
        <v>23545</v>
      </c>
      <c r="CL12">
        <v>23545</v>
      </c>
      <c r="CM12">
        <v>23545</v>
      </c>
      <c r="CN12">
        <v>23245</v>
      </c>
      <c r="CO12">
        <v>23245</v>
      </c>
      <c r="CP12">
        <v>23245</v>
      </c>
      <c r="CQ12">
        <v>23245</v>
      </c>
      <c r="CR12">
        <v>23245</v>
      </c>
      <c r="CS12">
        <v>23245</v>
      </c>
    </row>
    <row r="13" spans="1:97">
      <c r="A13" s="2">
        <v>46246</v>
      </c>
      <c r="B13">
        <v>23245</v>
      </c>
      <c r="C13">
        <v>23245</v>
      </c>
      <c r="D13">
        <v>23595</v>
      </c>
      <c r="E13">
        <v>23595</v>
      </c>
      <c r="F13">
        <v>23595</v>
      </c>
      <c r="G13">
        <v>23595</v>
      </c>
      <c r="H13">
        <v>23595</v>
      </c>
      <c r="I13">
        <v>23595</v>
      </c>
      <c r="J13">
        <v>23595</v>
      </c>
      <c r="K13">
        <v>23595</v>
      </c>
      <c r="L13">
        <v>23595</v>
      </c>
      <c r="M13">
        <v>23595</v>
      </c>
      <c r="N13">
        <v>23595</v>
      </c>
      <c r="O13">
        <v>23595</v>
      </c>
      <c r="P13">
        <v>23595</v>
      </c>
      <c r="Q13">
        <v>23595</v>
      </c>
      <c r="R13">
        <v>23595</v>
      </c>
      <c r="S13">
        <v>23945</v>
      </c>
      <c r="T13">
        <v>23945</v>
      </c>
      <c r="U13">
        <v>23945</v>
      </c>
      <c r="V13">
        <v>23945</v>
      </c>
      <c r="W13">
        <v>23945</v>
      </c>
      <c r="X13">
        <v>23945</v>
      </c>
      <c r="Y13">
        <v>23945</v>
      </c>
      <c r="Z13">
        <v>23945</v>
      </c>
      <c r="AA13">
        <v>23945</v>
      </c>
      <c r="AB13">
        <v>23945</v>
      </c>
      <c r="AC13">
        <v>23945</v>
      </c>
      <c r="AD13">
        <v>24080</v>
      </c>
      <c r="AE13">
        <v>24080</v>
      </c>
      <c r="AF13">
        <v>24080</v>
      </c>
      <c r="AG13">
        <v>24080</v>
      </c>
      <c r="AH13">
        <v>24080</v>
      </c>
      <c r="AI13">
        <v>24080</v>
      </c>
      <c r="AJ13">
        <v>24080</v>
      </c>
      <c r="AK13">
        <v>24080</v>
      </c>
      <c r="AL13">
        <v>24080</v>
      </c>
      <c r="AM13">
        <v>24080</v>
      </c>
      <c r="AN13">
        <v>24080</v>
      </c>
      <c r="AO13">
        <v>24080</v>
      </c>
      <c r="AP13">
        <v>24080</v>
      </c>
      <c r="AQ13">
        <v>24080</v>
      </c>
      <c r="AR13">
        <v>24080</v>
      </c>
      <c r="AS13">
        <v>24080</v>
      </c>
      <c r="AT13">
        <v>24080</v>
      </c>
      <c r="AU13">
        <v>24080</v>
      </c>
      <c r="AV13">
        <v>24080</v>
      </c>
      <c r="AW13">
        <v>24080</v>
      </c>
      <c r="AX13">
        <v>24410</v>
      </c>
      <c r="AY13">
        <v>24560</v>
      </c>
      <c r="AZ13">
        <v>24560</v>
      </c>
      <c r="BA13">
        <v>24910</v>
      </c>
      <c r="BB13">
        <v>24910</v>
      </c>
      <c r="BC13">
        <v>25710</v>
      </c>
      <c r="BD13">
        <v>26010</v>
      </c>
      <c r="BE13">
        <v>26010</v>
      </c>
      <c r="BF13">
        <v>26310</v>
      </c>
      <c r="BG13">
        <v>26445</v>
      </c>
      <c r="BH13">
        <v>26445</v>
      </c>
      <c r="BI13">
        <v>26445</v>
      </c>
      <c r="BJ13">
        <v>26445</v>
      </c>
      <c r="BK13">
        <v>26745</v>
      </c>
      <c r="BL13">
        <v>26745</v>
      </c>
      <c r="BM13">
        <v>26745</v>
      </c>
      <c r="BN13">
        <v>26745</v>
      </c>
      <c r="BO13">
        <v>26745</v>
      </c>
      <c r="BP13">
        <v>26745</v>
      </c>
      <c r="BQ13">
        <v>26745</v>
      </c>
      <c r="BR13">
        <v>26745</v>
      </c>
      <c r="BS13">
        <v>26745</v>
      </c>
      <c r="BT13">
        <v>26745</v>
      </c>
      <c r="BU13">
        <v>26745</v>
      </c>
      <c r="BV13">
        <v>26745</v>
      </c>
      <c r="BW13">
        <v>26645</v>
      </c>
      <c r="BX13">
        <v>26645</v>
      </c>
      <c r="BY13">
        <v>26645</v>
      </c>
      <c r="BZ13">
        <v>26645</v>
      </c>
      <c r="CA13">
        <v>26645</v>
      </c>
      <c r="CB13">
        <v>26645</v>
      </c>
      <c r="CC13">
        <v>26945</v>
      </c>
      <c r="CD13">
        <v>26945</v>
      </c>
      <c r="CE13">
        <v>26945</v>
      </c>
      <c r="CF13">
        <v>26945</v>
      </c>
      <c r="CG13">
        <v>26945</v>
      </c>
      <c r="CH13">
        <v>26945</v>
      </c>
      <c r="CI13">
        <v>26945</v>
      </c>
      <c r="CJ13">
        <v>26945</v>
      </c>
      <c r="CK13">
        <v>26945</v>
      </c>
      <c r="CL13">
        <v>26945</v>
      </c>
      <c r="CM13">
        <v>26945</v>
      </c>
      <c r="CN13">
        <v>26945</v>
      </c>
      <c r="CO13">
        <v>26945</v>
      </c>
      <c r="CP13">
        <v>26945</v>
      </c>
      <c r="CQ13">
        <v>26945</v>
      </c>
      <c r="CR13">
        <v>26945</v>
      </c>
      <c r="CS13">
        <v>26945</v>
      </c>
    </row>
    <row r="14" spans="1:97">
      <c r="A14" s="2">
        <v>46247</v>
      </c>
      <c r="B14">
        <v>26945</v>
      </c>
      <c r="C14">
        <v>26945</v>
      </c>
      <c r="D14">
        <v>26945</v>
      </c>
      <c r="E14">
        <v>26945</v>
      </c>
      <c r="F14">
        <v>26945</v>
      </c>
      <c r="G14">
        <v>26945</v>
      </c>
      <c r="H14">
        <v>26945</v>
      </c>
      <c r="I14">
        <v>26945</v>
      </c>
      <c r="J14">
        <v>26945</v>
      </c>
      <c r="K14">
        <v>26945</v>
      </c>
      <c r="L14">
        <v>26945</v>
      </c>
      <c r="M14">
        <v>26945</v>
      </c>
      <c r="N14">
        <v>26945</v>
      </c>
      <c r="O14">
        <v>26945</v>
      </c>
      <c r="P14">
        <v>26945</v>
      </c>
      <c r="Q14">
        <v>26945</v>
      </c>
      <c r="R14">
        <v>26945</v>
      </c>
      <c r="S14">
        <v>26945</v>
      </c>
      <c r="T14">
        <v>26945</v>
      </c>
      <c r="U14">
        <v>26945</v>
      </c>
      <c r="V14">
        <v>26945</v>
      </c>
      <c r="W14">
        <v>26945</v>
      </c>
      <c r="X14">
        <v>26945</v>
      </c>
      <c r="Y14">
        <v>26945</v>
      </c>
      <c r="Z14">
        <v>26945</v>
      </c>
      <c r="AA14">
        <v>26945</v>
      </c>
      <c r="AB14">
        <v>26945</v>
      </c>
      <c r="AC14">
        <v>26945</v>
      </c>
      <c r="AD14">
        <v>26945</v>
      </c>
      <c r="AE14">
        <v>26945</v>
      </c>
      <c r="AF14">
        <v>26945</v>
      </c>
      <c r="AG14">
        <v>26945</v>
      </c>
      <c r="AH14">
        <v>26945</v>
      </c>
      <c r="AI14">
        <v>26945</v>
      </c>
      <c r="AJ14">
        <v>26945</v>
      </c>
      <c r="AK14">
        <v>26945</v>
      </c>
      <c r="AL14">
        <v>26945</v>
      </c>
      <c r="AM14">
        <v>26945</v>
      </c>
      <c r="AN14">
        <v>26945</v>
      </c>
      <c r="AO14">
        <v>26945</v>
      </c>
      <c r="AP14">
        <v>26945</v>
      </c>
      <c r="AQ14">
        <v>26945</v>
      </c>
      <c r="AR14">
        <v>26945</v>
      </c>
      <c r="AS14">
        <v>26945</v>
      </c>
      <c r="AT14">
        <v>26945</v>
      </c>
      <c r="AU14">
        <v>26945</v>
      </c>
      <c r="AV14">
        <v>26945</v>
      </c>
      <c r="AW14">
        <v>26945</v>
      </c>
      <c r="AX14">
        <v>26945</v>
      </c>
      <c r="AY14">
        <v>26945</v>
      </c>
      <c r="AZ14">
        <v>26945</v>
      </c>
      <c r="BA14">
        <v>26945</v>
      </c>
      <c r="BB14">
        <v>26945</v>
      </c>
      <c r="BC14">
        <v>26945</v>
      </c>
      <c r="BD14">
        <v>26945</v>
      </c>
      <c r="BE14">
        <v>26945</v>
      </c>
      <c r="BF14">
        <v>26945</v>
      </c>
      <c r="BG14">
        <v>26945</v>
      </c>
      <c r="BH14">
        <v>26945</v>
      </c>
      <c r="BI14">
        <v>26945</v>
      </c>
      <c r="BJ14">
        <v>26945</v>
      </c>
      <c r="BK14">
        <v>26945</v>
      </c>
      <c r="BL14">
        <v>26945</v>
      </c>
      <c r="BM14">
        <v>26945</v>
      </c>
      <c r="BN14">
        <v>26945</v>
      </c>
      <c r="BO14">
        <v>26945</v>
      </c>
      <c r="BP14">
        <v>26945</v>
      </c>
      <c r="BQ14">
        <v>26945</v>
      </c>
      <c r="BR14">
        <v>26945</v>
      </c>
      <c r="BS14">
        <v>26945</v>
      </c>
      <c r="BT14">
        <v>26945</v>
      </c>
      <c r="BU14">
        <v>26945</v>
      </c>
      <c r="BV14">
        <v>26945</v>
      </c>
      <c r="BW14">
        <v>26945</v>
      </c>
      <c r="BX14">
        <v>26945</v>
      </c>
      <c r="BY14">
        <v>26945</v>
      </c>
      <c r="BZ14">
        <v>26945</v>
      </c>
      <c r="CA14">
        <v>26945</v>
      </c>
      <c r="CB14">
        <v>26945</v>
      </c>
      <c r="CC14">
        <v>26945</v>
      </c>
      <c r="CD14">
        <v>26945</v>
      </c>
      <c r="CE14">
        <v>26945</v>
      </c>
      <c r="CF14">
        <v>26945</v>
      </c>
      <c r="CG14">
        <v>26945</v>
      </c>
      <c r="CH14">
        <v>26945</v>
      </c>
      <c r="CI14">
        <v>26945</v>
      </c>
      <c r="CJ14">
        <v>26945</v>
      </c>
      <c r="CK14">
        <v>26125</v>
      </c>
      <c r="CL14">
        <v>26125</v>
      </c>
      <c r="CM14">
        <v>26125</v>
      </c>
      <c r="CN14">
        <v>26125</v>
      </c>
      <c r="CO14">
        <v>25990</v>
      </c>
      <c r="CP14">
        <v>25440</v>
      </c>
      <c r="CQ14">
        <v>25290</v>
      </c>
      <c r="CR14">
        <v>24990</v>
      </c>
      <c r="CS14">
        <v>24990</v>
      </c>
    </row>
    <row r="15" spans="1:97">
      <c r="A15" s="2">
        <v>46248</v>
      </c>
      <c r="B15">
        <v>24990</v>
      </c>
      <c r="C15">
        <v>24690</v>
      </c>
      <c r="D15">
        <v>24340</v>
      </c>
      <c r="E15">
        <v>23460</v>
      </c>
      <c r="F15">
        <v>23460</v>
      </c>
      <c r="G15">
        <v>23460</v>
      </c>
      <c r="H15">
        <v>23460</v>
      </c>
      <c r="I15">
        <v>23460</v>
      </c>
      <c r="J15">
        <v>23460</v>
      </c>
      <c r="K15">
        <v>23460</v>
      </c>
      <c r="L15">
        <v>23460</v>
      </c>
      <c r="M15">
        <v>23460</v>
      </c>
      <c r="N15">
        <v>23460</v>
      </c>
      <c r="O15">
        <v>23460</v>
      </c>
      <c r="P15">
        <v>23460</v>
      </c>
      <c r="Q15">
        <v>23460</v>
      </c>
      <c r="R15">
        <v>23460</v>
      </c>
      <c r="S15">
        <v>23460</v>
      </c>
      <c r="T15">
        <v>23460</v>
      </c>
      <c r="U15">
        <v>23460</v>
      </c>
      <c r="V15">
        <v>23460</v>
      </c>
      <c r="W15">
        <v>23460</v>
      </c>
      <c r="X15">
        <v>23460</v>
      </c>
      <c r="Y15">
        <v>23460</v>
      </c>
      <c r="Z15">
        <v>23460</v>
      </c>
      <c r="AA15">
        <v>23460</v>
      </c>
      <c r="AB15">
        <v>23460</v>
      </c>
      <c r="AC15">
        <v>23460</v>
      </c>
      <c r="AD15">
        <v>23460</v>
      </c>
      <c r="AE15">
        <v>23460</v>
      </c>
      <c r="AF15">
        <v>23460</v>
      </c>
      <c r="AG15">
        <v>23460</v>
      </c>
      <c r="AH15">
        <v>23460</v>
      </c>
      <c r="AI15">
        <v>23460</v>
      </c>
      <c r="AJ15">
        <v>23460</v>
      </c>
      <c r="AK15">
        <v>23460</v>
      </c>
      <c r="AL15">
        <v>23460</v>
      </c>
      <c r="AM15">
        <v>23460</v>
      </c>
      <c r="AN15">
        <v>23460</v>
      </c>
      <c r="AO15">
        <v>23460</v>
      </c>
      <c r="AP15">
        <v>23460</v>
      </c>
      <c r="AQ15">
        <v>23460</v>
      </c>
      <c r="AR15">
        <v>23460</v>
      </c>
      <c r="AS15">
        <v>23460</v>
      </c>
      <c r="AT15">
        <v>23460</v>
      </c>
      <c r="AU15">
        <v>23460</v>
      </c>
      <c r="AV15">
        <v>23460</v>
      </c>
      <c r="AW15">
        <v>23460</v>
      </c>
      <c r="AX15">
        <v>23460</v>
      </c>
      <c r="AY15">
        <v>23460</v>
      </c>
      <c r="AZ15">
        <v>23460</v>
      </c>
      <c r="BA15">
        <v>23460</v>
      </c>
      <c r="BB15">
        <v>23460</v>
      </c>
      <c r="BC15">
        <v>23460</v>
      </c>
      <c r="BD15">
        <v>23460</v>
      </c>
      <c r="BE15">
        <v>23460</v>
      </c>
      <c r="BF15">
        <v>23460</v>
      </c>
      <c r="BG15">
        <v>23460</v>
      </c>
      <c r="BH15">
        <v>23460</v>
      </c>
      <c r="BI15">
        <v>23460</v>
      </c>
      <c r="BJ15">
        <v>23460</v>
      </c>
      <c r="BK15">
        <v>23460</v>
      </c>
      <c r="BL15">
        <v>23460</v>
      </c>
      <c r="BM15">
        <v>23460</v>
      </c>
      <c r="BN15">
        <v>23460</v>
      </c>
      <c r="BO15">
        <v>23460</v>
      </c>
      <c r="BP15">
        <v>23460</v>
      </c>
      <c r="BQ15">
        <v>23460</v>
      </c>
      <c r="BR15">
        <v>23460</v>
      </c>
      <c r="BS15">
        <v>23460</v>
      </c>
      <c r="BT15">
        <v>23460</v>
      </c>
      <c r="BU15">
        <v>23460</v>
      </c>
      <c r="BV15">
        <v>23460</v>
      </c>
      <c r="BW15">
        <v>23460</v>
      </c>
      <c r="BX15">
        <v>23460</v>
      </c>
      <c r="BY15">
        <v>23460</v>
      </c>
      <c r="BZ15">
        <v>23460</v>
      </c>
      <c r="CA15">
        <v>23460</v>
      </c>
      <c r="CB15">
        <v>23460</v>
      </c>
      <c r="CC15">
        <v>23460</v>
      </c>
      <c r="CD15">
        <v>23460</v>
      </c>
      <c r="CE15">
        <v>23460</v>
      </c>
      <c r="CF15">
        <v>23460</v>
      </c>
      <c r="CG15">
        <v>23460</v>
      </c>
      <c r="CH15">
        <v>23460</v>
      </c>
      <c r="CI15">
        <v>23460</v>
      </c>
      <c r="CJ15">
        <v>23460</v>
      </c>
      <c r="CK15">
        <v>23460</v>
      </c>
      <c r="CL15">
        <v>23460</v>
      </c>
      <c r="CM15">
        <v>23460</v>
      </c>
      <c r="CN15">
        <v>23460</v>
      </c>
      <c r="CO15">
        <v>23460</v>
      </c>
      <c r="CP15">
        <v>23260</v>
      </c>
      <c r="CQ15">
        <v>23260</v>
      </c>
      <c r="CR15">
        <v>23260</v>
      </c>
      <c r="CS15">
        <v>23260</v>
      </c>
    </row>
    <row r="16" spans="1:97">
      <c r="A16" s="2">
        <v>46249</v>
      </c>
      <c r="B16">
        <v>23260</v>
      </c>
      <c r="C16">
        <v>23260</v>
      </c>
      <c r="D16">
        <v>23260</v>
      </c>
      <c r="E16">
        <v>23260</v>
      </c>
      <c r="F16">
        <v>23260</v>
      </c>
      <c r="G16">
        <v>23260</v>
      </c>
      <c r="H16">
        <v>23260</v>
      </c>
      <c r="I16">
        <v>23260</v>
      </c>
      <c r="J16">
        <v>23260</v>
      </c>
      <c r="K16">
        <v>23260</v>
      </c>
      <c r="L16">
        <v>23260</v>
      </c>
      <c r="M16">
        <v>23260</v>
      </c>
      <c r="N16">
        <v>23260</v>
      </c>
      <c r="O16">
        <v>23260</v>
      </c>
      <c r="P16">
        <v>23260</v>
      </c>
      <c r="Q16">
        <v>23260</v>
      </c>
      <c r="R16">
        <v>23260</v>
      </c>
      <c r="S16">
        <v>23260</v>
      </c>
      <c r="T16">
        <v>23260</v>
      </c>
      <c r="U16">
        <v>23260</v>
      </c>
      <c r="V16">
        <v>23260</v>
      </c>
      <c r="W16">
        <v>23260</v>
      </c>
      <c r="X16">
        <v>23260</v>
      </c>
      <c r="Y16">
        <v>23260</v>
      </c>
      <c r="Z16">
        <v>23260</v>
      </c>
      <c r="AA16">
        <v>23260</v>
      </c>
      <c r="AB16">
        <v>23260</v>
      </c>
      <c r="AC16">
        <v>23260</v>
      </c>
      <c r="AD16">
        <v>23260</v>
      </c>
      <c r="AE16">
        <v>23260</v>
      </c>
      <c r="AF16">
        <v>23260</v>
      </c>
      <c r="AG16">
        <v>23260</v>
      </c>
      <c r="AH16">
        <v>23260</v>
      </c>
      <c r="AI16">
        <v>23260</v>
      </c>
      <c r="AJ16">
        <v>23260</v>
      </c>
      <c r="AK16">
        <v>23260</v>
      </c>
      <c r="AL16">
        <v>23260</v>
      </c>
      <c r="AM16">
        <v>23260</v>
      </c>
      <c r="AN16">
        <v>23260</v>
      </c>
      <c r="AO16">
        <v>23260</v>
      </c>
      <c r="AP16">
        <v>23260</v>
      </c>
      <c r="AQ16">
        <v>23260</v>
      </c>
      <c r="AR16">
        <v>23260</v>
      </c>
      <c r="AS16">
        <v>23260</v>
      </c>
      <c r="AT16">
        <v>23260</v>
      </c>
      <c r="AU16">
        <v>23260</v>
      </c>
      <c r="AV16">
        <v>23260</v>
      </c>
      <c r="AW16">
        <v>23260</v>
      </c>
      <c r="AX16">
        <v>23260</v>
      </c>
      <c r="AY16">
        <v>23260</v>
      </c>
      <c r="AZ16">
        <v>23260</v>
      </c>
      <c r="BA16">
        <v>23260</v>
      </c>
      <c r="BB16">
        <v>23260</v>
      </c>
      <c r="BC16">
        <v>23260</v>
      </c>
      <c r="BD16">
        <v>23260</v>
      </c>
      <c r="BE16">
        <v>23260</v>
      </c>
      <c r="BF16">
        <v>23260</v>
      </c>
      <c r="BG16">
        <v>23260</v>
      </c>
      <c r="BH16">
        <v>23260</v>
      </c>
      <c r="BI16">
        <v>23260</v>
      </c>
      <c r="BJ16">
        <v>23260</v>
      </c>
      <c r="BK16">
        <v>23260</v>
      </c>
      <c r="BL16">
        <v>23260</v>
      </c>
      <c r="BM16">
        <v>23260</v>
      </c>
      <c r="BN16">
        <v>23260</v>
      </c>
      <c r="BO16">
        <v>23260</v>
      </c>
      <c r="BP16">
        <v>23260</v>
      </c>
      <c r="BQ16">
        <v>23260</v>
      </c>
      <c r="BR16">
        <v>23260</v>
      </c>
      <c r="BS16">
        <v>23260</v>
      </c>
      <c r="BT16">
        <v>23260</v>
      </c>
      <c r="BU16">
        <v>23260</v>
      </c>
      <c r="BV16">
        <v>23260</v>
      </c>
      <c r="BW16">
        <v>23260</v>
      </c>
      <c r="BX16">
        <v>23260</v>
      </c>
      <c r="BY16">
        <v>23260</v>
      </c>
      <c r="BZ16">
        <v>23260</v>
      </c>
      <c r="CA16">
        <v>23610</v>
      </c>
      <c r="CB16">
        <v>23610</v>
      </c>
      <c r="CC16">
        <v>23610</v>
      </c>
      <c r="CD16">
        <v>23610</v>
      </c>
      <c r="CE16">
        <v>23610</v>
      </c>
      <c r="CF16">
        <v>23610</v>
      </c>
      <c r="CG16">
        <v>23610</v>
      </c>
      <c r="CH16">
        <v>23610</v>
      </c>
      <c r="CI16">
        <v>23610</v>
      </c>
      <c r="CJ16">
        <v>23610</v>
      </c>
      <c r="CK16">
        <v>23610</v>
      </c>
      <c r="CL16">
        <v>23610</v>
      </c>
      <c r="CM16">
        <v>23610</v>
      </c>
      <c r="CN16">
        <v>23610</v>
      </c>
      <c r="CO16">
        <v>23610</v>
      </c>
      <c r="CP16">
        <v>23610</v>
      </c>
      <c r="CQ16">
        <v>23610</v>
      </c>
      <c r="CR16">
        <v>23610</v>
      </c>
      <c r="CS16">
        <v>23610</v>
      </c>
    </row>
    <row r="17" spans="1:97">
      <c r="A17" s="2">
        <v>46250</v>
      </c>
      <c r="B17">
        <v>24490</v>
      </c>
      <c r="C17">
        <v>24490</v>
      </c>
      <c r="D17">
        <v>24490</v>
      </c>
      <c r="E17">
        <v>24490</v>
      </c>
      <c r="F17">
        <v>24490</v>
      </c>
      <c r="G17">
        <v>24490</v>
      </c>
      <c r="H17">
        <v>24490</v>
      </c>
      <c r="I17">
        <v>24490</v>
      </c>
      <c r="J17">
        <v>24490</v>
      </c>
      <c r="K17">
        <v>24490</v>
      </c>
      <c r="L17">
        <v>24490</v>
      </c>
      <c r="M17">
        <v>24490</v>
      </c>
      <c r="N17">
        <v>24490</v>
      </c>
      <c r="O17">
        <v>24490</v>
      </c>
      <c r="P17">
        <v>24490</v>
      </c>
      <c r="Q17">
        <v>24490</v>
      </c>
      <c r="R17">
        <v>24490</v>
      </c>
      <c r="S17">
        <v>24490</v>
      </c>
      <c r="T17">
        <v>24490</v>
      </c>
      <c r="U17">
        <v>24490</v>
      </c>
      <c r="V17">
        <v>24490</v>
      </c>
      <c r="W17">
        <v>24490</v>
      </c>
      <c r="X17">
        <v>24490</v>
      </c>
      <c r="Y17">
        <v>24490</v>
      </c>
      <c r="Z17">
        <v>24490</v>
      </c>
      <c r="AA17">
        <v>24490</v>
      </c>
      <c r="AB17">
        <v>24490</v>
      </c>
      <c r="AC17">
        <v>24490</v>
      </c>
      <c r="AD17">
        <v>24490</v>
      </c>
      <c r="AE17">
        <v>24490</v>
      </c>
      <c r="AF17">
        <v>24490</v>
      </c>
      <c r="AG17">
        <v>24490</v>
      </c>
      <c r="AH17">
        <v>24490</v>
      </c>
      <c r="AI17">
        <v>24490</v>
      </c>
      <c r="AJ17">
        <v>24490</v>
      </c>
      <c r="AK17">
        <v>24490</v>
      </c>
      <c r="AL17">
        <v>24490</v>
      </c>
      <c r="AM17">
        <v>24490</v>
      </c>
      <c r="AN17">
        <v>24490</v>
      </c>
      <c r="AO17">
        <v>24490</v>
      </c>
      <c r="AP17">
        <v>24490</v>
      </c>
      <c r="AQ17">
        <v>24490</v>
      </c>
      <c r="AR17">
        <v>24490</v>
      </c>
      <c r="AS17">
        <v>24490</v>
      </c>
      <c r="AT17">
        <v>24490</v>
      </c>
      <c r="AU17">
        <v>24490</v>
      </c>
      <c r="AV17">
        <v>24490</v>
      </c>
      <c r="AW17">
        <v>24490</v>
      </c>
      <c r="AX17">
        <v>24490</v>
      </c>
      <c r="AY17">
        <v>24490</v>
      </c>
      <c r="AZ17">
        <v>24490</v>
      </c>
      <c r="BA17">
        <v>24490</v>
      </c>
      <c r="BB17">
        <v>24490</v>
      </c>
      <c r="BC17">
        <v>24490</v>
      </c>
      <c r="BD17">
        <v>24490</v>
      </c>
      <c r="BE17">
        <v>24490</v>
      </c>
      <c r="BF17">
        <v>24490</v>
      </c>
      <c r="BG17">
        <v>24490</v>
      </c>
      <c r="BH17">
        <v>24490</v>
      </c>
      <c r="BI17">
        <v>24490</v>
      </c>
      <c r="BJ17">
        <v>24490</v>
      </c>
      <c r="BK17">
        <v>24490</v>
      </c>
      <c r="BL17">
        <v>24490</v>
      </c>
      <c r="BM17">
        <v>24490</v>
      </c>
      <c r="BN17">
        <v>24490</v>
      </c>
      <c r="BO17">
        <v>24490</v>
      </c>
      <c r="BP17">
        <v>24490</v>
      </c>
      <c r="BQ17">
        <v>24490</v>
      </c>
      <c r="BR17">
        <v>24490</v>
      </c>
      <c r="BS17">
        <v>24490</v>
      </c>
      <c r="BT17">
        <v>24490</v>
      </c>
      <c r="BU17">
        <v>24490</v>
      </c>
      <c r="BV17">
        <v>24490</v>
      </c>
      <c r="BW17">
        <v>24490</v>
      </c>
      <c r="BX17">
        <v>24490</v>
      </c>
      <c r="BY17">
        <v>24490</v>
      </c>
      <c r="BZ17">
        <v>24490</v>
      </c>
      <c r="CA17">
        <v>24490</v>
      </c>
      <c r="CB17">
        <v>24490</v>
      </c>
      <c r="CC17">
        <v>24490</v>
      </c>
      <c r="CD17">
        <v>24490</v>
      </c>
      <c r="CE17">
        <v>24490</v>
      </c>
      <c r="CF17">
        <v>24490</v>
      </c>
      <c r="CG17">
        <v>24490</v>
      </c>
      <c r="CH17">
        <v>24490</v>
      </c>
      <c r="CI17">
        <v>24490</v>
      </c>
      <c r="CJ17">
        <v>24490</v>
      </c>
      <c r="CK17">
        <v>24490</v>
      </c>
      <c r="CL17">
        <v>24490</v>
      </c>
      <c r="CM17">
        <v>24490</v>
      </c>
      <c r="CN17">
        <v>24490</v>
      </c>
      <c r="CO17">
        <v>24490</v>
      </c>
      <c r="CP17">
        <v>24490</v>
      </c>
      <c r="CQ17">
        <v>24490</v>
      </c>
      <c r="CR17">
        <v>24490</v>
      </c>
      <c r="CS17">
        <v>24490</v>
      </c>
    </row>
    <row r="18" spans="1:97">
      <c r="A18" s="2">
        <v>46251</v>
      </c>
      <c r="B18">
        <v>24490</v>
      </c>
      <c r="C18">
        <v>24490</v>
      </c>
      <c r="D18">
        <v>24490</v>
      </c>
      <c r="E18">
        <v>24490</v>
      </c>
      <c r="F18">
        <v>24490</v>
      </c>
      <c r="G18">
        <v>24490</v>
      </c>
      <c r="H18">
        <v>24490</v>
      </c>
      <c r="I18">
        <v>24490</v>
      </c>
      <c r="J18">
        <v>24490</v>
      </c>
      <c r="K18">
        <v>24490</v>
      </c>
      <c r="L18">
        <v>24490</v>
      </c>
      <c r="M18">
        <v>24490</v>
      </c>
      <c r="N18">
        <v>24490</v>
      </c>
      <c r="O18">
        <v>24490</v>
      </c>
      <c r="P18">
        <v>24490</v>
      </c>
      <c r="Q18">
        <v>24490</v>
      </c>
      <c r="R18">
        <v>24490</v>
      </c>
      <c r="S18">
        <v>24490</v>
      </c>
      <c r="T18">
        <v>24490</v>
      </c>
      <c r="U18">
        <v>24490</v>
      </c>
      <c r="V18">
        <v>24490</v>
      </c>
      <c r="W18">
        <v>24490</v>
      </c>
      <c r="X18">
        <v>24490</v>
      </c>
      <c r="Y18">
        <v>24490</v>
      </c>
      <c r="Z18">
        <v>24490</v>
      </c>
      <c r="AA18">
        <v>24490</v>
      </c>
      <c r="AB18">
        <v>24490</v>
      </c>
      <c r="AC18">
        <v>24490</v>
      </c>
      <c r="AD18">
        <v>24490</v>
      </c>
      <c r="AE18">
        <v>24490</v>
      </c>
      <c r="AF18">
        <v>24490</v>
      </c>
      <c r="AG18">
        <v>24490</v>
      </c>
      <c r="AH18">
        <v>24490</v>
      </c>
      <c r="AI18">
        <v>24490</v>
      </c>
      <c r="AJ18">
        <v>24490</v>
      </c>
      <c r="AK18">
        <v>24490</v>
      </c>
      <c r="AL18">
        <v>24490</v>
      </c>
      <c r="AM18">
        <v>24490</v>
      </c>
      <c r="AN18">
        <v>24490</v>
      </c>
      <c r="AO18">
        <v>24490</v>
      </c>
      <c r="AP18">
        <v>24490</v>
      </c>
      <c r="AQ18">
        <v>24490</v>
      </c>
      <c r="AR18">
        <v>24490</v>
      </c>
      <c r="AS18">
        <v>24490</v>
      </c>
      <c r="AT18">
        <v>24490</v>
      </c>
      <c r="AU18">
        <v>24490</v>
      </c>
      <c r="AV18">
        <v>24490</v>
      </c>
      <c r="AW18">
        <v>24490</v>
      </c>
      <c r="AX18">
        <v>24490</v>
      </c>
      <c r="AY18">
        <v>24490</v>
      </c>
      <c r="AZ18">
        <v>24490</v>
      </c>
      <c r="BA18">
        <v>24490</v>
      </c>
      <c r="BB18">
        <v>24490</v>
      </c>
      <c r="BC18">
        <v>24490</v>
      </c>
      <c r="BD18">
        <v>24490</v>
      </c>
      <c r="BE18">
        <v>24490</v>
      </c>
      <c r="BF18">
        <v>24490</v>
      </c>
      <c r="BG18">
        <v>24490</v>
      </c>
      <c r="BH18">
        <v>24490</v>
      </c>
      <c r="BI18">
        <v>24490</v>
      </c>
      <c r="BJ18">
        <v>24490</v>
      </c>
      <c r="BK18">
        <v>24490</v>
      </c>
      <c r="BL18">
        <v>24490</v>
      </c>
      <c r="BM18">
        <v>24490</v>
      </c>
      <c r="BN18">
        <v>24490</v>
      </c>
      <c r="BO18">
        <v>24490</v>
      </c>
      <c r="BP18">
        <v>24490</v>
      </c>
      <c r="BQ18">
        <v>24490</v>
      </c>
      <c r="BR18">
        <v>24490</v>
      </c>
      <c r="BS18">
        <v>24490</v>
      </c>
      <c r="BT18">
        <v>24820</v>
      </c>
      <c r="BU18">
        <v>24820</v>
      </c>
      <c r="BV18">
        <v>25120</v>
      </c>
      <c r="BW18">
        <v>25270</v>
      </c>
      <c r="BX18">
        <v>25620</v>
      </c>
      <c r="BY18">
        <v>25620</v>
      </c>
      <c r="BZ18">
        <v>25620</v>
      </c>
      <c r="CA18">
        <v>25620</v>
      </c>
      <c r="CB18">
        <v>25620</v>
      </c>
      <c r="CC18">
        <v>25920</v>
      </c>
      <c r="CD18">
        <v>25920</v>
      </c>
      <c r="CE18">
        <v>25920</v>
      </c>
      <c r="CF18">
        <v>25920</v>
      </c>
      <c r="CG18">
        <v>26120</v>
      </c>
      <c r="CH18">
        <v>26120</v>
      </c>
      <c r="CI18">
        <v>26120</v>
      </c>
      <c r="CJ18">
        <v>26120</v>
      </c>
      <c r="CK18">
        <v>25790</v>
      </c>
      <c r="CL18">
        <v>25790</v>
      </c>
      <c r="CM18">
        <v>25790</v>
      </c>
      <c r="CN18">
        <v>26120</v>
      </c>
      <c r="CO18">
        <v>26120</v>
      </c>
      <c r="CP18">
        <v>26120</v>
      </c>
      <c r="CQ18">
        <v>26120</v>
      </c>
      <c r="CR18">
        <v>26120</v>
      </c>
      <c r="CS18">
        <v>26120</v>
      </c>
    </row>
    <row r="19" spans="1:97">
      <c r="A19" s="2">
        <v>46252</v>
      </c>
      <c r="B19">
        <v>26120</v>
      </c>
      <c r="C19">
        <v>26120</v>
      </c>
      <c r="D19">
        <v>26120</v>
      </c>
      <c r="E19">
        <v>26120</v>
      </c>
      <c r="F19">
        <v>26120</v>
      </c>
      <c r="G19">
        <v>26120</v>
      </c>
      <c r="H19">
        <v>26120</v>
      </c>
      <c r="I19">
        <v>26120</v>
      </c>
      <c r="J19">
        <v>26120</v>
      </c>
      <c r="K19">
        <v>26120</v>
      </c>
      <c r="L19">
        <v>26120</v>
      </c>
      <c r="M19">
        <v>26120</v>
      </c>
      <c r="N19">
        <v>26120</v>
      </c>
      <c r="O19">
        <v>26120</v>
      </c>
      <c r="P19">
        <v>26120</v>
      </c>
      <c r="Q19">
        <v>26120</v>
      </c>
      <c r="R19">
        <v>26120</v>
      </c>
      <c r="S19">
        <v>26120</v>
      </c>
      <c r="T19">
        <v>26120</v>
      </c>
      <c r="U19">
        <v>26120</v>
      </c>
      <c r="V19">
        <v>26120</v>
      </c>
      <c r="W19">
        <v>26120</v>
      </c>
      <c r="X19">
        <v>26120</v>
      </c>
      <c r="Y19">
        <v>26120</v>
      </c>
      <c r="Z19">
        <v>26120</v>
      </c>
      <c r="AA19">
        <v>26120</v>
      </c>
      <c r="AB19">
        <v>26120</v>
      </c>
      <c r="AC19">
        <v>26120</v>
      </c>
      <c r="AD19">
        <v>26120</v>
      </c>
      <c r="AE19">
        <v>26120</v>
      </c>
      <c r="AF19">
        <v>26120</v>
      </c>
      <c r="AG19">
        <v>26120</v>
      </c>
      <c r="AH19">
        <v>26120</v>
      </c>
      <c r="AI19">
        <v>26120</v>
      </c>
      <c r="AJ19">
        <v>26120</v>
      </c>
      <c r="AK19">
        <v>26120</v>
      </c>
      <c r="AL19">
        <v>26120</v>
      </c>
      <c r="AM19">
        <v>26120</v>
      </c>
      <c r="AN19">
        <v>26120</v>
      </c>
      <c r="AO19">
        <v>26120</v>
      </c>
      <c r="AP19">
        <v>26120</v>
      </c>
      <c r="AQ19">
        <v>26120</v>
      </c>
      <c r="AR19">
        <v>26120</v>
      </c>
      <c r="AS19">
        <v>26120</v>
      </c>
      <c r="AT19">
        <v>26120</v>
      </c>
      <c r="AU19">
        <v>26120</v>
      </c>
      <c r="AV19">
        <v>26120</v>
      </c>
      <c r="AW19">
        <v>26120</v>
      </c>
      <c r="AX19">
        <v>26120</v>
      </c>
      <c r="AY19">
        <v>26120</v>
      </c>
      <c r="AZ19">
        <v>26120</v>
      </c>
      <c r="BA19">
        <v>26120</v>
      </c>
      <c r="BB19">
        <v>26120</v>
      </c>
      <c r="BC19">
        <v>26120</v>
      </c>
      <c r="BD19">
        <v>26120</v>
      </c>
      <c r="BE19">
        <v>26120</v>
      </c>
      <c r="BF19">
        <v>26120</v>
      </c>
      <c r="BG19">
        <v>26120</v>
      </c>
      <c r="BH19">
        <v>26120</v>
      </c>
      <c r="BI19">
        <v>26120</v>
      </c>
      <c r="BJ19">
        <v>26120</v>
      </c>
      <c r="BK19">
        <v>26120</v>
      </c>
      <c r="BL19">
        <v>26120</v>
      </c>
      <c r="BM19">
        <v>26120</v>
      </c>
      <c r="BN19">
        <v>26120</v>
      </c>
      <c r="BO19">
        <v>26120</v>
      </c>
      <c r="BP19">
        <v>26120</v>
      </c>
      <c r="BQ19">
        <v>26120</v>
      </c>
      <c r="BR19">
        <v>26120</v>
      </c>
      <c r="BS19">
        <v>26120</v>
      </c>
      <c r="BT19">
        <v>26120</v>
      </c>
      <c r="BU19">
        <v>26120</v>
      </c>
      <c r="BV19">
        <v>26120</v>
      </c>
      <c r="BW19">
        <v>26120</v>
      </c>
      <c r="BX19">
        <v>26120</v>
      </c>
      <c r="BY19">
        <v>26120</v>
      </c>
      <c r="BZ19">
        <v>26120</v>
      </c>
      <c r="CA19">
        <v>26120</v>
      </c>
      <c r="CB19">
        <v>26120</v>
      </c>
      <c r="CC19">
        <v>26120</v>
      </c>
      <c r="CD19">
        <v>26120</v>
      </c>
      <c r="CE19">
        <v>26120</v>
      </c>
      <c r="CF19">
        <v>26120</v>
      </c>
      <c r="CG19">
        <v>26120</v>
      </c>
      <c r="CH19">
        <v>26120</v>
      </c>
      <c r="CI19">
        <v>26120</v>
      </c>
      <c r="CJ19">
        <v>26120</v>
      </c>
      <c r="CK19">
        <v>26120</v>
      </c>
      <c r="CL19">
        <v>26120</v>
      </c>
      <c r="CM19">
        <v>26120</v>
      </c>
      <c r="CN19">
        <v>26120</v>
      </c>
      <c r="CO19">
        <v>26120</v>
      </c>
      <c r="CP19">
        <v>25920</v>
      </c>
      <c r="CQ19">
        <v>25920</v>
      </c>
      <c r="CR19">
        <v>25920</v>
      </c>
      <c r="CS19">
        <v>25920</v>
      </c>
    </row>
    <row r="20" spans="1:97">
      <c r="A20" s="2">
        <v>46253</v>
      </c>
      <c r="B20">
        <v>25920</v>
      </c>
      <c r="C20">
        <v>25920</v>
      </c>
      <c r="D20">
        <v>25040</v>
      </c>
      <c r="E20">
        <v>25040</v>
      </c>
      <c r="F20">
        <v>25040</v>
      </c>
      <c r="G20">
        <v>25040</v>
      </c>
      <c r="H20">
        <v>25040</v>
      </c>
      <c r="I20">
        <v>25040</v>
      </c>
      <c r="J20">
        <v>25040</v>
      </c>
      <c r="K20">
        <v>25040</v>
      </c>
      <c r="L20">
        <v>25040</v>
      </c>
      <c r="M20">
        <v>25040</v>
      </c>
      <c r="N20">
        <v>25040</v>
      </c>
      <c r="O20">
        <v>25040</v>
      </c>
      <c r="P20">
        <v>25040</v>
      </c>
      <c r="Q20">
        <v>25040</v>
      </c>
      <c r="R20">
        <v>25040</v>
      </c>
      <c r="S20">
        <v>25040</v>
      </c>
      <c r="T20">
        <v>25040</v>
      </c>
      <c r="U20">
        <v>25040</v>
      </c>
      <c r="V20">
        <v>25040</v>
      </c>
      <c r="W20">
        <v>25040</v>
      </c>
      <c r="X20">
        <v>25040</v>
      </c>
      <c r="Y20">
        <v>25040</v>
      </c>
      <c r="Z20">
        <v>25040</v>
      </c>
      <c r="AA20">
        <v>25040</v>
      </c>
      <c r="AB20">
        <v>25040</v>
      </c>
      <c r="AC20">
        <v>25040</v>
      </c>
      <c r="AD20">
        <v>25040</v>
      </c>
      <c r="AE20">
        <v>25040</v>
      </c>
      <c r="AF20">
        <v>25040</v>
      </c>
      <c r="AG20">
        <v>25040</v>
      </c>
      <c r="AH20">
        <v>25040</v>
      </c>
      <c r="AI20">
        <v>25040</v>
      </c>
      <c r="AJ20">
        <v>25040</v>
      </c>
      <c r="AK20">
        <v>25040</v>
      </c>
      <c r="AL20">
        <v>25040</v>
      </c>
      <c r="AM20">
        <v>25040</v>
      </c>
      <c r="AN20">
        <v>25040</v>
      </c>
      <c r="AO20">
        <v>25040</v>
      </c>
      <c r="AP20">
        <v>25040</v>
      </c>
      <c r="AQ20">
        <v>25040</v>
      </c>
      <c r="AR20">
        <v>25040</v>
      </c>
      <c r="AS20">
        <v>25040</v>
      </c>
      <c r="AT20">
        <v>25040</v>
      </c>
      <c r="AU20">
        <v>25040</v>
      </c>
      <c r="AV20">
        <v>25040</v>
      </c>
      <c r="AW20">
        <v>25040</v>
      </c>
      <c r="AX20">
        <v>25040</v>
      </c>
      <c r="AY20">
        <v>25040</v>
      </c>
      <c r="AZ20">
        <v>25040</v>
      </c>
      <c r="BA20">
        <v>25040</v>
      </c>
      <c r="BB20">
        <v>25040</v>
      </c>
      <c r="BC20">
        <v>25040</v>
      </c>
      <c r="BD20">
        <v>25040</v>
      </c>
      <c r="BE20">
        <v>25040</v>
      </c>
      <c r="BF20">
        <v>25040</v>
      </c>
      <c r="BG20">
        <v>25040</v>
      </c>
      <c r="BH20">
        <v>25040</v>
      </c>
      <c r="BI20">
        <v>25040</v>
      </c>
      <c r="BJ20">
        <v>25040</v>
      </c>
      <c r="BK20">
        <v>25040</v>
      </c>
      <c r="BL20">
        <v>25040</v>
      </c>
      <c r="BM20">
        <v>25040</v>
      </c>
      <c r="BN20">
        <v>25040</v>
      </c>
      <c r="BO20">
        <v>25040</v>
      </c>
      <c r="BP20">
        <v>25040</v>
      </c>
      <c r="BQ20">
        <v>25040</v>
      </c>
      <c r="BR20">
        <v>25040</v>
      </c>
      <c r="BS20">
        <v>25040</v>
      </c>
      <c r="BT20">
        <v>25040</v>
      </c>
      <c r="BU20">
        <v>25040</v>
      </c>
      <c r="BV20">
        <v>25040</v>
      </c>
      <c r="BW20">
        <v>25040</v>
      </c>
      <c r="BX20">
        <v>25040</v>
      </c>
      <c r="BY20">
        <v>25040</v>
      </c>
      <c r="BZ20">
        <v>25040</v>
      </c>
      <c r="CA20">
        <v>25040</v>
      </c>
      <c r="CB20">
        <v>25040</v>
      </c>
      <c r="CC20">
        <v>25040</v>
      </c>
      <c r="CD20">
        <v>25040</v>
      </c>
      <c r="CE20">
        <v>25040</v>
      </c>
      <c r="CF20">
        <v>25040</v>
      </c>
      <c r="CG20">
        <v>25040</v>
      </c>
      <c r="CH20">
        <v>25040</v>
      </c>
      <c r="CI20">
        <v>25040</v>
      </c>
      <c r="CJ20">
        <v>25040</v>
      </c>
      <c r="CK20">
        <v>25040</v>
      </c>
      <c r="CL20">
        <v>25040</v>
      </c>
      <c r="CM20">
        <v>25040</v>
      </c>
      <c r="CN20">
        <v>25040</v>
      </c>
      <c r="CO20">
        <v>25040</v>
      </c>
      <c r="CP20">
        <v>25040</v>
      </c>
      <c r="CQ20">
        <v>25040</v>
      </c>
      <c r="CR20">
        <v>24740</v>
      </c>
      <c r="CS20">
        <v>24740</v>
      </c>
    </row>
    <row r="21" spans="1:97">
      <c r="A21" s="2">
        <v>46254</v>
      </c>
      <c r="B21">
        <v>24740</v>
      </c>
      <c r="C21">
        <v>24740</v>
      </c>
      <c r="D21">
        <v>24740</v>
      </c>
      <c r="E21">
        <v>24740</v>
      </c>
      <c r="F21">
        <v>24740</v>
      </c>
      <c r="G21">
        <v>24740</v>
      </c>
      <c r="H21">
        <v>24740</v>
      </c>
      <c r="I21">
        <v>24740</v>
      </c>
      <c r="J21">
        <v>24740</v>
      </c>
      <c r="K21">
        <v>24740</v>
      </c>
      <c r="L21">
        <v>24740</v>
      </c>
      <c r="M21">
        <v>24740</v>
      </c>
      <c r="N21">
        <v>24740</v>
      </c>
      <c r="O21">
        <v>24740</v>
      </c>
      <c r="P21">
        <v>24740</v>
      </c>
      <c r="Q21">
        <v>24740</v>
      </c>
      <c r="R21">
        <v>24740</v>
      </c>
      <c r="S21">
        <v>24740</v>
      </c>
      <c r="T21">
        <v>24740</v>
      </c>
      <c r="U21">
        <v>24740</v>
      </c>
      <c r="V21">
        <v>24740</v>
      </c>
      <c r="W21">
        <v>24410</v>
      </c>
      <c r="X21">
        <v>24410</v>
      </c>
      <c r="Y21">
        <v>24410</v>
      </c>
      <c r="Z21">
        <v>24410</v>
      </c>
      <c r="AA21">
        <v>24410</v>
      </c>
      <c r="AB21">
        <v>24410</v>
      </c>
      <c r="AC21">
        <v>24410</v>
      </c>
      <c r="AD21">
        <v>24410</v>
      </c>
      <c r="AE21">
        <v>24410</v>
      </c>
      <c r="AF21">
        <v>24410</v>
      </c>
      <c r="AG21">
        <v>24410</v>
      </c>
      <c r="AH21">
        <v>24410</v>
      </c>
      <c r="AI21">
        <v>24410</v>
      </c>
      <c r="AJ21">
        <v>24410</v>
      </c>
      <c r="AK21">
        <v>24410</v>
      </c>
      <c r="AL21">
        <v>24410</v>
      </c>
      <c r="AM21">
        <v>24410</v>
      </c>
      <c r="AN21">
        <v>24410</v>
      </c>
      <c r="AO21">
        <v>24410</v>
      </c>
      <c r="AP21">
        <v>24410</v>
      </c>
      <c r="AQ21">
        <v>24410</v>
      </c>
      <c r="AR21">
        <v>24545</v>
      </c>
      <c r="AS21">
        <v>24545</v>
      </c>
      <c r="AT21">
        <v>24545</v>
      </c>
      <c r="AU21">
        <v>24545</v>
      </c>
      <c r="AV21">
        <v>24545</v>
      </c>
      <c r="AW21">
        <v>24545</v>
      </c>
      <c r="AX21">
        <v>24545</v>
      </c>
      <c r="AY21">
        <v>24545</v>
      </c>
      <c r="AZ21">
        <v>24545</v>
      </c>
      <c r="BA21">
        <v>24545</v>
      </c>
      <c r="BB21">
        <v>24545</v>
      </c>
      <c r="BC21">
        <v>24545</v>
      </c>
      <c r="BD21">
        <v>24545</v>
      </c>
      <c r="BE21">
        <v>24545</v>
      </c>
      <c r="BF21">
        <v>24545</v>
      </c>
      <c r="BG21">
        <v>24680</v>
      </c>
      <c r="BH21">
        <v>24680</v>
      </c>
      <c r="BI21">
        <v>24680</v>
      </c>
      <c r="BJ21">
        <v>24680</v>
      </c>
      <c r="BK21">
        <v>24680</v>
      </c>
      <c r="BL21">
        <v>24815</v>
      </c>
      <c r="BM21">
        <v>24815</v>
      </c>
      <c r="BN21">
        <v>24815</v>
      </c>
      <c r="BO21">
        <v>24815</v>
      </c>
      <c r="BP21">
        <v>24815</v>
      </c>
      <c r="BQ21">
        <v>24815</v>
      </c>
      <c r="BR21">
        <v>25015</v>
      </c>
      <c r="BS21">
        <v>25015</v>
      </c>
      <c r="BT21">
        <v>25015</v>
      </c>
      <c r="BU21">
        <v>25015</v>
      </c>
      <c r="BV21">
        <v>25215</v>
      </c>
      <c r="BW21">
        <v>25215</v>
      </c>
      <c r="BX21">
        <v>25215</v>
      </c>
      <c r="BY21">
        <v>25215</v>
      </c>
      <c r="BZ21">
        <v>25215</v>
      </c>
      <c r="CA21">
        <v>25215</v>
      </c>
      <c r="CB21">
        <v>25215</v>
      </c>
      <c r="CC21">
        <v>25215</v>
      </c>
      <c r="CD21">
        <v>25215</v>
      </c>
      <c r="CE21">
        <v>25215</v>
      </c>
      <c r="CF21">
        <v>25215</v>
      </c>
      <c r="CG21">
        <v>25215</v>
      </c>
      <c r="CH21">
        <v>25215</v>
      </c>
      <c r="CI21">
        <v>25215</v>
      </c>
      <c r="CJ21">
        <v>25215</v>
      </c>
      <c r="CK21">
        <v>25215</v>
      </c>
      <c r="CL21">
        <v>25215</v>
      </c>
      <c r="CM21">
        <v>25215</v>
      </c>
      <c r="CN21">
        <v>25215</v>
      </c>
      <c r="CO21">
        <v>25215</v>
      </c>
      <c r="CP21">
        <v>25215</v>
      </c>
      <c r="CQ21">
        <v>25215</v>
      </c>
      <c r="CR21">
        <v>25215</v>
      </c>
      <c r="CS21">
        <v>25215</v>
      </c>
    </row>
    <row r="22" spans="1:97">
      <c r="A22" s="2">
        <v>46255</v>
      </c>
      <c r="B22">
        <v>25215</v>
      </c>
      <c r="C22">
        <v>25215</v>
      </c>
      <c r="D22">
        <v>25215</v>
      </c>
      <c r="E22">
        <v>25215</v>
      </c>
      <c r="F22">
        <v>25215</v>
      </c>
      <c r="G22">
        <v>25215</v>
      </c>
      <c r="H22">
        <v>25215</v>
      </c>
      <c r="I22">
        <v>25215</v>
      </c>
      <c r="J22">
        <v>25215</v>
      </c>
      <c r="K22">
        <v>25215</v>
      </c>
      <c r="L22">
        <v>25215</v>
      </c>
      <c r="M22">
        <v>25215</v>
      </c>
      <c r="N22">
        <v>25215</v>
      </c>
      <c r="O22">
        <v>25215</v>
      </c>
      <c r="P22">
        <v>25215</v>
      </c>
      <c r="Q22">
        <v>25215</v>
      </c>
      <c r="R22">
        <v>25215</v>
      </c>
      <c r="S22">
        <v>25215</v>
      </c>
      <c r="T22">
        <v>25215</v>
      </c>
      <c r="U22">
        <v>25215</v>
      </c>
      <c r="V22">
        <v>25215</v>
      </c>
      <c r="W22">
        <v>25215</v>
      </c>
      <c r="X22">
        <v>25215</v>
      </c>
      <c r="Y22">
        <v>25215</v>
      </c>
      <c r="Z22">
        <v>25215</v>
      </c>
      <c r="AA22">
        <v>25215</v>
      </c>
      <c r="AB22">
        <v>25215</v>
      </c>
      <c r="AC22">
        <v>25215</v>
      </c>
      <c r="AD22">
        <v>25215</v>
      </c>
      <c r="AE22">
        <v>25215</v>
      </c>
      <c r="AF22">
        <v>25215</v>
      </c>
      <c r="AG22">
        <v>25215</v>
      </c>
      <c r="AH22">
        <v>25215</v>
      </c>
      <c r="AI22">
        <v>25215</v>
      </c>
      <c r="AJ22">
        <v>25215</v>
      </c>
      <c r="AK22">
        <v>25215</v>
      </c>
      <c r="AL22">
        <v>25215</v>
      </c>
      <c r="AM22">
        <v>25215</v>
      </c>
      <c r="AN22">
        <v>25215</v>
      </c>
      <c r="AO22">
        <v>25215</v>
      </c>
      <c r="AP22">
        <v>25215</v>
      </c>
      <c r="AQ22">
        <v>25215</v>
      </c>
      <c r="AR22">
        <v>25215</v>
      </c>
      <c r="AS22">
        <v>25215</v>
      </c>
      <c r="AT22">
        <v>25215</v>
      </c>
      <c r="AU22">
        <v>25215</v>
      </c>
      <c r="AV22">
        <v>25215</v>
      </c>
      <c r="AW22">
        <v>25215</v>
      </c>
      <c r="AX22">
        <v>25215</v>
      </c>
      <c r="AY22">
        <v>25215</v>
      </c>
      <c r="AZ22">
        <v>25215</v>
      </c>
      <c r="BA22">
        <v>25215</v>
      </c>
      <c r="BB22">
        <v>25215</v>
      </c>
      <c r="BC22">
        <v>25215</v>
      </c>
      <c r="BD22">
        <v>24865</v>
      </c>
      <c r="BE22">
        <v>24865</v>
      </c>
      <c r="BF22">
        <v>24865</v>
      </c>
      <c r="BG22">
        <v>24865</v>
      </c>
      <c r="BH22">
        <v>24865</v>
      </c>
      <c r="BI22">
        <v>24865</v>
      </c>
      <c r="BJ22">
        <v>24865</v>
      </c>
      <c r="BK22">
        <v>24865</v>
      </c>
      <c r="BL22">
        <v>24865</v>
      </c>
      <c r="BM22">
        <v>24865</v>
      </c>
      <c r="BN22">
        <v>24865</v>
      </c>
      <c r="BO22">
        <v>24865</v>
      </c>
      <c r="BP22">
        <v>24865</v>
      </c>
      <c r="BQ22">
        <v>24865</v>
      </c>
      <c r="BR22">
        <v>24865</v>
      </c>
      <c r="BS22">
        <v>24865</v>
      </c>
      <c r="BT22">
        <v>24865</v>
      </c>
      <c r="BU22">
        <v>24865</v>
      </c>
      <c r="BV22">
        <v>24865</v>
      </c>
      <c r="BW22">
        <v>24865</v>
      </c>
      <c r="BX22">
        <v>24865</v>
      </c>
      <c r="BY22">
        <v>24865</v>
      </c>
      <c r="BZ22">
        <v>24665</v>
      </c>
      <c r="CA22">
        <v>24665</v>
      </c>
      <c r="CB22">
        <v>24665</v>
      </c>
      <c r="CC22">
        <v>24665</v>
      </c>
      <c r="CD22">
        <v>24665</v>
      </c>
      <c r="CE22">
        <v>24665</v>
      </c>
      <c r="CF22">
        <v>24665</v>
      </c>
      <c r="CG22">
        <v>24465</v>
      </c>
      <c r="CH22">
        <v>24165</v>
      </c>
      <c r="CI22">
        <v>24165</v>
      </c>
      <c r="CJ22">
        <v>24165</v>
      </c>
      <c r="CK22">
        <v>24165</v>
      </c>
      <c r="CL22">
        <v>24165</v>
      </c>
      <c r="CM22">
        <v>24165</v>
      </c>
      <c r="CN22">
        <v>24165</v>
      </c>
      <c r="CO22">
        <v>23730</v>
      </c>
      <c r="CP22">
        <v>23730</v>
      </c>
      <c r="CQ22">
        <v>23730</v>
      </c>
      <c r="CR22">
        <v>23280</v>
      </c>
      <c r="CS22">
        <v>23280</v>
      </c>
    </row>
    <row r="23" spans="1:97">
      <c r="A23" s="2">
        <v>46256</v>
      </c>
      <c r="B23">
        <v>23280</v>
      </c>
      <c r="C23">
        <v>23280</v>
      </c>
      <c r="D23">
        <v>23280</v>
      </c>
      <c r="E23">
        <v>23280</v>
      </c>
      <c r="F23">
        <v>23280</v>
      </c>
      <c r="G23">
        <v>23280</v>
      </c>
      <c r="H23">
        <v>23280</v>
      </c>
      <c r="I23">
        <v>23280</v>
      </c>
      <c r="J23">
        <v>23280</v>
      </c>
      <c r="K23">
        <v>23280</v>
      </c>
      <c r="L23">
        <v>22930</v>
      </c>
      <c r="M23">
        <v>22930</v>
      </c>
      <c r="N23">
        <v>22930</v>
      </c>
      <c r="O23">
        <v>22930</v>
      </c>
      <c r="P23">
        <v>22930</v>
      </c>
      <c r="Q23">
        <v>22930</v>
      </c>
      <c r="R23">
        <v>22930</v>
      </c>
      <c r="S23">
        <v>22930</v>
      </c>
      <c r="T23">
        <v>22930</v>
      </c>
      <c r="U23">
        <v>22930</v>
      </c>
      <c r="V23">
        <v>22930</v>
      </c>
      <c r="W23">
        <v>22930</v>
      </c>
      <c r="X23">
        <v>22930</v>
      </c>
      <c r="Y23">
        <v>22930</v>
      </c>
      <c r="Z23">
        <v>22930</v>
      </c>
      <c r="AA23">
        <v>22930</v>
      </c>
      <c r="AB23">
        <v>22930</v>
      </c>
      <c r="AC23">
        <v>22930</v>
      </c>
      <c r="AD23">
        <v>22930</v>
      </c>
      <c r="AE23">
        <v>22930</v>
      </c>
      <c r="AF23">
        <v>22930</v>
      </c>
      <c r="AG23">
        <v>22930</v>
      </c>
      <c r="AH23">
        <v>22930</v>
      </c>
      <c r="AI23">
        <v>22930</v>
      </c>
      <c r="AJ23">
        <v>22930</v>
      </c>
      <c r="AK23">
        <v>22930</v>
      </c>
      <c r="AL23">
        <v>22930</v>
      </c>
      <c r="AM23">
        <v>22930</v>
      </c>
      <c r="AN23">
        <v>22930</v>
      </c>
      <c r="AO23">
        <v>22930</v>
      </c>
      <c r="AP23">
        <v>22930</v>
      </c>
      <c r="AQ23">
        <v>22930</v>
      </c>
      <c r="AR23">
        <v>22930</v>
      </c>
      <c r="AS23">
        <v>22930</v>
      </c>
      <c r="AT23">
        <v>22930</v>
      </c>
      <c r="AU23">
        <v>22930</v>
      </c>
      <c r="AV23">
        <v>22930</v>
      </c>
      <c r="AW23">
        <v>22930</v>
      </c>
      <c r="AX23">
        <v>22930</v>
      </c>
      <c r="AY23">
        <v>22930</v>
      </c>
      <c r="AZ23">
        <v>22930</v>
      </c>
      <c r="BA23">
        <v>22930</v>
      </c>
      <c r="BB23">
        <v>22930</v>
      </c>
      <c r="BC23">
        <v>22930</v>
      </c>
      <c r="BD23">
        <v>22930</v>
      </c>
      <c r="BE23">
        <v>22930</v>
      </c>
      <c r="BF23">
        <v>22930</v>
      </c>
      <c r="BG23">
        <v>22930</v>
      </c>
      <c r="BH23">
        <v>22930</v>
      </c>
      <c r="BI23">
        <v>22930</v>
      </c>
      <c r="BJ23">
        <v>22930</v>
      </c>
      <c r="BK23">
        <v>22930</v>
      </c>
      <c r="BL23">
        <v>22930</v>
      </c>
      <c r="BM23">
        <v>22930</v>
      </c>
      <c r="BN23">
        <v>22930</v>
      </c>
      <c r="BO23">
        <v>22930</v>
      </c>
      <c r="BP23">
        <v>22930</v>
      </c>
      <c r="BQ23">
        <v>22930</v>
      </c>
      <c r="BR23">
        <v>22930</v>
      </c>
      <c r="BS23">
        <v>22930</v>
      </c>
      <c r="BT23">
        <v>22930</v>
      </c>
      <c r="BU23">
        <v>22930</v>
      </c>
      <c r="BV23">
        <v>22930</v>
      </c>
      <c r="BW23">
        <v>22930</v>
      </c>
      <c r="BX23">
        <v>22930</v>
      </c>
      <c r="BY23">
        <v>22930</v>
      </c>
      <c r="BZ23">
        <v>22930</v>
      </c>
      <c r="CA23">
        <v>22930</v>
      </c>
      <c r="CB23">
        <v>22930</v>
      </c>
      <c r="CC23">
        <v>22930</v>
      </c>
      <c r="CD23">
        <v>22930</v>
      </c>
      <c r="CE23">
        <v>22930</v>
      </c>
      <c r="CF23">
        <v>22930</v>
      </c>
      <c r="CG23">
        <v>22930</v>
      </c>
      <c r="CH23">
        <v>22930</v>
      </c>
      <c r="CI23">
        <v>22930</v>
      </c>
      <c r="CJ23">
        <v>22795</v>
      </c>
      <c r="CK23">
        <v>22795</v>
      </c>
      <c r="CL23">
        <v>22795</v>
      </c>
      <c r="CM23">
        <v>22795</v>
      </c>
      <c r="CN23">
        <v>22795</v>
      </c>
      <c r="CO23">
        <v>22795</v>
      </c>
      <c r="CP23">
        <v>22795</v>
      </c>
      <c r="CQ23">
        <v>22795</v>
      </c>
      <c r="CR23">
        <v>22795</v>
      </c>
      <c r="CS23">
        <v>22795</v>
      </c>
    </row>
    <row r="24" spans="1:97">
      <c r="A24" s="2">
        <v>46257</v>
      </c>
      <c r="B24">
        <v>22795</v>
      </c>
      <c r="C24">
        <v>22795</v>
      </c>
      <c r="D24">
        <v>22795</v>
      </c>
      <c r="E24">
        <v>22795</v>
      </c>
      <c r="F24">
        <v>22795</v>
      </c>
      <c r="G24">
        <v>22795</v>
      </c>
      <c r="H24">
        <v>22795</v>
      </c>
      <c r="I24">
        <v>22795</v>
      </c>
      <c r="J24">
        <v>22795</v>
      </c>
      <c r="K24">
        <v>22795</v>
      </c>
      <c r="L24">
        <v>22795</v>
      </c>
      <c r="M24">
        <v>22795</v>
      </c>
      <c r="N24">
        <v>22795</v>
      </c>
      <c r="O24">
        <v>22795</v>
      </c>
      <c r="P24">
        <v>22795</v>
      </c>
      <c r="Q24">
        <v>22795</v>
      </c>
      <c r="R24">
        <v>22795</v>
      </c>
      <c r="S24">
        <v>22795</v>
      </c>
      <c r="T24">
        <v>22795</v>
      </c>
      <c r="U24">
        <v>22795</v>
      </c>
      <c r="V24">
        <v>22795</v>
      </c>
      <c r="W24">
        <v>22795</v>
      </c>
      <c r="X24">
        <v>22795</v>
      </c>
      <c r="Y24">
        <v>22795</v>
      </c>
      <c r="Z24">
        <v>22795</v>
      </c>
      <c r="AA24">
        <v>22795</v>
      </c>
      <c r="AB24">
        <v>22795</v>
      </c>
      <c r="AC24">
        <v>22795</v>
      </c>
      <c r="AD24">
        <v>22795</v>
      </c>
      <c r="AE24">
        <v>22795</v>
      </c>
      <c r="AF24">
        <v>22795</v>
      </c>
      <c r="AG24">
        <v>22795</v>
      </c>
      <c r="AH24">
        <v>22795</v>
      </c>
      <c r="AI24">
        <v>22795</v>
      </c>
      <c r="AJ24">
        <v>22795</v>
      </c>
      <c r="AK24">
        <v>22795</v>
      </c>
      <c r="AL24">
        <v>22795</v>
      </c>
      <c r="AM24">
        <v>22795</v>
      </c>
      <c r="AN24">
        <v>22795</v>
      </c>
      <c r="AO24">
        <v>22795</v>
      </c>
      <c r="AP24">
        <v>22795</v>
      </c>
      <c r="AQ24">
        <v>22795</v>
      </c>
      <c r="AR24">
        <v>22795</v>
      </c>
      <c r="AS24">
        <v>22795</v>
      </c>
      <c r="AT24">
        <v>22795</v>
      </c>
      <c r="AU24">
        <v>22795</v>
      </c>
      <c r="AV24">
        <v>22795</v>
      </c>
      <c r="AW24">
        <v>22795</v>
      </c>
      <c r="AX24">
        <v>22795</v>
      </c>
      <c r="AY24">
        <v>22795</v>
      </c>
      <c r="AZ24">
        <v>22795</v>
      </c>
      <c r="BA24">
        <v>22795</v>
      </c>
      <c r="BB24">
        <v>22795</v>
      </c>
      <c r="BC24">
        <v>22795</v>
      </c>
      <c r="BD24">
        <v>22795</v>
      </c>
      <c r="BE24">
        <v>22795</v>
      </c>
      <c r="BF24">
        <v>22795</v>
      </c>
      <c r="BG24">
        <v>22795</v>
      </c>
      <c r="BH24">
        <v>22795</v>
      </c>
      <c r="BI24">
        <v>22795</v>
      </c>
      <c r="BJ24">
        <v>22795</v>
      </c>
      <c r="BK24">
        <v>22795</v>
      </c>
      <c r="BL24">
        <v>22795</v>
      </c>
      <c r="BM24">
        <v>22795</v>
      </c>
      <c r="BN24">
        <v>22795</v>
      </c>
      <c r="BO24">
        <v>22795</v>
      </c>
      <c r="BP24">
        <v>22795</v>
      </c>
      <c r="BQ24">
        <v>22795</v>
      </c>
      <c r="BR24">
        <v>22795</v>
      </c>
      <c r="BS24">
        <v>22945</v>
      </c>
      <c r="BT24">
        <v>22945</v>
      </c>
      <c r="BU24">
        <v>22945</v>
      </c>
      <c r="BV24">
        <v>23245</v>
      </c>
      <c r="BW24">
        <v>23245</v>
      </c>
      <c r="BX24">
        <v>23245</v>
      </c>
      <c r="BY24">
        <v>23245</v>
      </c>
      <c r="BZ24">
        <v>23245</v>
      </c>
      <c r="CA24">
        <v>23245</v>
      </c>
      <c r="CB24">
        <v>23245</v>
      </c>
      <c r="CC24">
        <v>23245</v>
      </c>
      <c r="CD24">
        <v>23245</v>
      </c>
      <c r="CE24">
        <v>23245</v>
      </c>
      <c r="CF24">
        <v>23245</v>
      </c>
      <c r="CG24">
        <v>23245</v>
      </c>
      <c r="CH24">
        <v>23245</v>
      </c>
      <c r="CI24">
        <v>23245</v>
      </c>
      <c r="CJ24">
        <v>23245</v>
      </c>
      <c r="CK24">
        <v>23245</v>
      </c>
      <c r="CL24">
        <v>23245</v>
      </c>
      <c r="CM24">
        <v>23245</v>
      </c>
      <c r="CN24">
        <v>23245</v>
      </c>
      <c r="CO24">
        <v>23445</v>
      </c>
      <c r="CP24">
        <v>23445</v>
      </c>
      <c r="CQ24">
        <v>23795</v>
      </c>
      <c r="CR24">
        <v>23795</v>
      </c>
      <c r="CS24">
        <v>23195</v>
      </c>
    </row>
    <row r="25" spans="1:97">
      <c r="A25" s="2">
        <v>46258</v>
      </c>
      <c r="B25">
        <v>23195</v>
      </c>
      <c r="C25">
        <v>23330</v>
      </c>
      <c r="D25">
        <v>23330</v>
      </c>
      <c r="E25">
        <v>23330</v>
      </c>
      <c r="F25">
        <v>23330</v>
      </c>
      <c r="G25">
        <v>23330</v>
      </c>
      <c r="H25">
        <v>23330</v>
      </c>
      <c r="I25">
        <v>23330</v>
      </c>
      <c r="J25">
        <v>23330</v>
      </c>
      <c r="K25">
        <v>23330</v>
      </c>
      <c r="L25">
        <v>23330</v>
      </c>
      <c r="M25">
        <v>23330</v>
      </c>
      <c r="N25">
        <v>23330</v>
      </c>
      <c r="O25">
        <v>23330</v>
      </c>
      <c r="P25">
        <v>23330</v>
      </c>
      <c r="Q25">
        <v>23330</v>
      </c>
      <c r="R25">
        <v>23330</v>
      </c>
      <c r="S25">
        <v>23330</v>
      </c>
      <c r="T25">
        <v>23330</v>
      </c>
      <c r="U25">
        <v>23330</v>
      </c>
      <c r="V25">
        <v>23330</v>
      </c>
      <c r="W25">
        <v>23330</v>
      </c>
      <c r="X25">
        <v>23330</v>
      </c>
      <c r="Y25">
        <v>23330</v>
      </c>
      <c r="Z25">
        <v>23330</v>
      </c>
      <c r="AA25">
        <v>23330</v>
      </c>
      <c r="AB25">
        <v>23330</v>
      </c>
      <c r="AC25">
        <v>23330</v>
      </c>
      <c r="AD25">
        <v>23330</v>
      </c>
      <c r="AE25">
        <v>23330</v>
      </c>
      <c r="AF25">
        <v>23330</v>
      </c>
      <c r="AG25">
        <v>23330</v>
      </c>
      <c r="AH25">
        <v>23330</v>
      </c>
      <c r="AI25">
        <v>23000</v>
      </c>
      <c r="AJ25">
        <v>23000</v>
      </c>
      <c r="AK25">
        <v>23000</v>
      </c>
      <c r="AL25">
        <v>23000</v>
      </c>
      <c r="AM25">
        <v>23000</v>
      </c>
      <c r="AN25">
        <v>23000</v>
      </c>
      <c r="AO25">
        <v>23000</v>
      </c>
      <c r="AP25">
        <v>23000</v>
      </c>
      <c r="AQ25">
        <v>23000</v>
      </c>
      <c r="AR25">
        <v>23000</v>
      </c>
      <c r="AS25">
        <v>23000</v>
      </c>
      <c r="AT25">
        <v>23000</v>
      </c>
      <c r="AU25">
        <v>23000</v>
      </c>
      <c r="AV25">
        <v>23000</v>
      </c>
      <c r="AW25">
        <v>23000</v>
      </c>
      <c r="AX25">
        <v>23000</v>
      </c>
      <c r="AY25">
        <v>23000</v>
      </c>
      <c r="AZ25">
        <v>23000</v>
      </c>
      <c r="BA25">
        <v>23000</v>
      </c>
      <c r="BB25">
        <v>23880</v>
      </c>
      <c r="BC25">
        <v>23880</v>
      </c>
      <c r="BD25">
        <v>23880</v>
      </c>
      <c r="BE25">
        <v>23880</v>
      </c>
      <c r="BF25">
        <v>23880</v>
      </c>
      <c r="BG25">
        <v>23880</v>
      </c>
      <c r="BH25">
        <v>23880</v>
      </c>
      <c r="BI25">
        <v>23880</v>
      </c>
      <c r="BJ25">
        <v>23880</v>
      </c>
      <c r="BK25">
        <v>23530</v>
      </c>
      <c r="BL25">
        <v>23530</v>
      </c>
      <c r="BM25">
        <v>23530</v>
      </c>
      <c r="BN25">
        <v>23530</v>
      </c>
      <c r="BO25">
        <v>23530</v>
      </c>
      <c r="BP25">
        <v>23530</v>
      </c>
      <c r="BQ25">
        <v>23530</v>
      </c>
      <c r="BR25">
        <v>23530</v>
      </c>
      <c r="BS25">
        <v>23530</v>
      </c>
      <c r="BT25">
        <v>23530</v>
      </c>
      <c r="BU25">
        <v>23530</v>
      </c>
      <c r="BV25">
        <v>23530</v>
      </c>
      <c r="BW25">
        <v>23530</v>
      </c>
      <c r="BX25">
        <v>23530</v>
      </c>
      <c r="BY25">
        <v>23530</v>
      </c>
      <c r="BZ25">
        <v>23530</v>
      </c>
      <c r="CA25">
        <v>23530</v>
      </c>
      <c r="CB25">
        <v>23530</v>
      </c>
      <c r="CC25">
        <v>23530</v>
      </c>
      <c r="CD25">
        <v>23530</v>
      </c>
      <c r="CE25">
        <v>23530</v>
      </c>
      <c r="CF25">
        <v>23230</v>
      </c>
      <c r="CG25">
        <v>23230</v>
      </c>
      <c r="CH25">
        <v>23230</v>
      </c>
      <c r="CI25">
        <v>23230</v>
      </c>
      <c r="CJ25">
        <v>23230</v>
      </c>
      <c r="CK25">
        <v>23230</v>
      </c>
      <c r="CL25">
        <v>23230</v>
      </c>
      <c r="CM25">
        <v>23230</v>
      </c>
      <c r="CN25">
        <v>23230</v>
      </c>
      <c r="CO25">
        <v>23230</v>
      </c>
      <c r="CP25">
        <v>22630</v>
      </c>
      <c r="CQ25">
        <v>22630</v>
      </c>
      <c r="CR25">
        <v>22630</v>
      </c>
      <c r="CS25">
        <v>22630</v>
      </c>
    </row>
    <row r="26" spans="1:97">
      <c r="A26" s="2">
        <v>46259</v>
      </c>
      <c r="B26">
        <v>22630</v>
      </c>
      <c r="C26">
        <v>22630</v>
      </c>
      <c r="D26">
        <v>22630</v>
      </c>
      <c r="E26">
        <v>22630</v>
      </c>
      <c r="F26">
        <v>22630</v>
      </c>
      <c r="G26">
        <v>22630</v>
      </c>
      <c r="H26">
        <v>22630</v>
      </c>
      <c r="I26">
        <v>22630</v>
      </c>
      <c r="J26">
        <v>22630</v>
      </c>
      <c r="K26">
        <v>22630</v>
      </c>
      <c r="L26">
        <v>22630</v>
      </c>
      <c r="M26">
        <v>22630</v>
      </c>
      <c r="N26">
        <v>22630</v>
      </c>
      <c r="O26">
        <v>22630</v>
      </c>
      <c r="P26">
        <v>22630</v>
      </c>
      <c r="Q26">
        <v>22630</v>
      </c>
      <c r="R26">
        <v>22630</v>
      </c>
      <c r="S26">
        <v>22630</v>
      </c>
      <c r="T26">
        <v>22630</v>
      </c>
      <c r="U26">
        <v>22630</v>
      </c>
      <c r="V26">
        <v>22630</v>
      </c>
      <c r="W26">
        <v>22630</v>
      </c>
      <c r="X26">
        <v>22630</v>
      </c>
      <c r="Y26">
        <v>22630</v>
      </c>
      <c r="Z26">
        <v>22630</v>
      </c>
      <c r="AA26">
        <v>22630</v>
      </c>
      <c r="AB26">
        <v>22630</v>
      </c>
      <c r="AC26">
        <v>22630</v>
      </c>
      <c r="AD26">
        <v>22630</v>
      </c>
      <c r="AE26">
        <v>22630</v>
      </c>
      <c r="AF26">
        <v>22630</v>
      </c>
      <c r="AG26">
        <v>22630</v>
      </c>
      <c r="AH26">
        <v>22630</v>
      </c>
      <c r="AI26">
        <v>22630</v>
      </c>
      <c r="AJ26">
        <v>22960</v>
      </c>
      <c r="AK26">
        <v>22960</v>
      </c>
      <c r="AL26">
        <v>22960</v>
      </c>
      <c r="AM26">
        <v>22960</v>
      </c>
      <c r="AN26">
        <v>23095</v>
      </c>
      <c r="AO26">
        <v>23095</v>
      </c>
      <c r="AP26">
        <v>23095</v>
      </c>
      <c r="AQ26">
        <v>23095</v>
      </c>
      <c r="AR26">
        <v>23095</v>
      </c>
      <c r="AS26">
        <v>23095</v>
      </c>
      <c r="AT26">
        <v>23095</v>
      </c>
      <c r="AU26">
        <v>23095</v>
      </c>
      <c r="AV26">
        <v>23095</v>
      </c>
      <c r="AW26">
        <v>23095</v>
      </c>
      <c r="AX26">
        <v>23095</v>
      </c>
      <c r="AY26">
        <v>23095</v>
      </c>
      <c r="AZ26">
        <v>23095</v>
      </c>
      <c r="BA26">
        <v>23095</v>
      </c>
      <c r="BB26">
        <v>23095</v>
      </c>
      <c r="BC26">
        <v>23095</v>
      </c>
      <c r="BD26">
        <v>23095</v>
      </c>
      <c r="BE26">
        <v>23095</v>
      </c>
      <c r="BF26">
        <v>23095</v>
      </c>
      <c r="BG26">
        <v>23095</v>
      </c>
      <c r="BH26">
        <v>23295</v>
      </c>
      <c r="BI26">
        <v>23295</v>
      </c>
      <c r="BJ26">
        <v>23645</v>
      </c>
      <c r="BK26">
        <v>23645</v>
      </c>
      <c r="BL26">
        <v>23645</v>
      </c>
      <c r="BM26">
        <v>23645</v>
      </c>
      <c r="BN26">
        <v>23645</v>
      </c>
      <c r="BO26">
        <v>23645</v>
      </c>
      <c r="BP26">
        <v>23645</v>
      </c>
      <c r="BQ26">
        <v>23645</v>
      </c>
      <c r="BR26">
        <v>23645</v>
      </c>
      <c r="BS26">
        <v>23645</v>
      </c>
      <c r="BT26">
        <v>23645</v>
      </c>
      <c r="BU26">
        <v>23645</v>
      </c>
      <c r="BV26">
        <v>23645</v>
      </c>
      <c r="BW26">
        <v>23645</v>
      </c>
      <c r="BX26">
        <v>23645</v>
      </c>
      <c r="BY26">
        <v>23645</v>
      </c>
      <c r="BZ26">
        <v>23645</v>
      </c>
      <c r="CA26">
        <v>23645</v>
      </c>
      <c r="CB26">
        <v>23645</v>
      </c>
      <c r="CC26">
        <v>23645</v>
      </c>
      <c r="CD26">
        <v>23645</v>
      </c>
      <c r="CE26">
        <v>23645</v>
      </c>
      <c r="CF26">
        <v>23645</v>
      </c>
      <c r="CG26">
        <v>23645</v>
      </c>
      <c r="CH26">
        <v>23645</v>
      </c>
      <c r="CI26">
        <v>23645</v>
      </c>
      <c r="CJ26">
        <v>23645</v>
      </c>
      <c r="CK26">
        <v>23645</v>
      </c>
      <c r="CL26">
        <v>23645</v>
      </c>
      <c r="CM26">
        <v>23645</v>
      </c>
      <c r="CN26">
        <v>23645</v>
      </c>
      <c r="CO26">
        <v>23645</v>
      </c>
      <c r="CP26">
        <v>23645</v>
      </c>
      <c r="CQ26">
        <v>23645</v>
      </c>
      <c r="CR26">
        <v>23645</v>
      </c>
      <c r="CS26">
        <v>23645</v>
      </c>
    </row>
    <row r="27" spans="1:97">
      <c r="A27" s="2">
        <v>46260</v>
      </c>
      <c r="B27">
        <v>23645</v>
      </c>
      <c r="C27">
        <v>23645</v>
      </c>
      <c r="D27">
        <v>23645</v>
      </c>
      <c r="E27">
        <v>23645</v>
      </c>
      <c r="F27">
        <v>23645</v>
      </c>
      <c r="G27">
        <v>23645</v>
      </c>
      <c r="H27">
        <v>23645</v>
      </c>
      <c r="I27">
        <v>23645</v>
      </c>
      <c r="J27">
        <v>23645</v>
      </c>
      <c r="K27">
        <v>23645</v>
      </c>
      <c r="L27">
        <v>23645</v>
      </c>
      <c r="M27">
        <v>23645</v>
      </c>
      <c r="N27">
        <v>23645</v>
      </c>
      <c r="O27">
        <v>23645</v>
      </c>
      <c r="P27">
        <v>23645</v>
      </c>
      <c r="Q27">
        <v>23645</v>
      </c>
      <c r="R27">
        <v>23645</v>
      </c>
      <c r="S27">
        <v>23645</v>
      </c>
      <c r="T27">
        <v>23645</v>
      </c>
      <c r="U27">
        <v>23645</v>
      </c>
      <c r="V27">
        <v>23645</v>
      </c>
      <c r="W27">
        <v>23645</v>
      </c>
      <c r="X27">
        <v>23645</v>
      </c>
      <c r="Y27">
        <v>23645</v>
      </c>
      <c r="Z27">
        <v>23645</v>
      </c>
      <c r="AA27">
        <v>23645</v>
      </c>
      <c r="AB27">
        <v>23645</v>
      </c>
      <c r="AC27">
        <v>23645</v>
      </c>
      <c r="AD27">
        <v>23645</v>
      </c>
      <c r="AE27">
        <v>23645</v>
      </c>
      <c r="AF27">
        <v>23645</v>
      </c>
      <c r="AG27">
        <v>23645</v>
      </c>
      <c r="AH27">
        <v>23645</v>
      </c>
      <c r="AI27">
        <v>23645</v>
      </c>
      <c r="AJ27">
        <v>23645</v>
      </c>
      <c r="AK27">
        <v>23645</v>
      </c>
      <c r="AL27">
        <v>23645</v>
      </c>
      <c r="AM27">
        <v>23645</v>
      </c>
      <c r="AN27">
        <v>23645</v>
      </c>
      <c r="AO27">
        <v>23645</v>
      </c>
      <c r="AP27">
        <v>23645</v>
      </c>
      <c r="AQ27">
        <v>23645</v>
      </c>
      <c r="AR27">
        <v>23645</v>
      </c>
      <c r="AS27">
        <v>23645</v>
      </c>
      <c r="AT27">
        <v>23645</v>
      </c>
      <c r="AU27">
        <v>23645</v>
      </c>
      <c r="AV27">
        <v>23645</v>
      </c>
      <c r="AW27">
        <v>23645</v>
      </c>
      <c r="AX27">
        <v>23645</v>
      </c>
      <c r="AY27">
        <v>23645</v>
      </c>
      <c r="AZ27">
        <v>23645</v>
      </c>
      <c r="BA27">
        <v>23645</v>
      </c>
      <c r="BB27">
        <v>23645</v>
      </c>
      <c r="BC27">
        <v>23645</v>
      </c>
      <c r="BD27">
        <v>23645</v>
      </c>
      <c r="BE27">
        <v>23645</v>
      </c>
      <c r="BF27">
        <v>23645</v>
      </c>
      <c r="BG27">
        <v>23645</v>
      </c>
      <c r="BH27">
        <v>23645</v>
      </c>
      <c r="BI27">
        <v>23645</v>
      </c>
      <c r="BJ27">
        <v>23645</v>
      </c>
      <c r="BK27">
        <v>23645</v>
      </c>
      <c r="BL27">
        <v>23645</v>
      </c>
      <c r="BM27">
        <v>23645</v>
      </c>
      <c r="BN27">
        <v>23645</v>
      </c>
      <c r="BO27">
        <v>23645</v>
      </c>
      <c r="BP27">
        <v>23645</v>
      </c>
      <c r="BQ27">
        <v>23645</v>
      </c>
      <c r="BR27">
        <v>23645</v>
      </c>
      <c r="BS27">
        <v>23645</v>
      </c>
      <c r="BT27">
        <v>23645</v>
      </c>
      <c r="BU27">
        <v>23645</v>
      </c>
      <c r="BV27">
        <v>23645</v>
      </c>
      <c r="BW27">
        <v>23645</v>
      </c>
      <c r="BX27">
        <v>23645</v>
      </c>
      <c r="BY27">
        <v>23510</v>
      </c>
      <c r="BZ27">
        <v>23510</v>
      </c>
      <c r="CA27">
        <v>23510</v>
      </c>
      <c r="CB27">
        <v>23510</v>
      </c>
      <c r="CC27">
        <v>23360</v>
      </c>
      <c r="CD27">
        <v>23160</v>
      </c>
      <c r="CE27">
        <v>23160</v>
      </c>
      <c r="CF27">
        <v>23160</v>
      </c>
      <c r="CG27">
        <v>23160</v>
      </c>
      <c r="CH27">
        <v>23160</v>
      </c>
      <c r="CI27">
        <v>23160</v>
      </c>
      <c r="CJ27">
        <v>23160</v>
      </c>
      <c r="CK27">
        <v>23160</v>
      </c>
      <c r="CL27">
        <v>23160</v>
      </c>
      <c r="CM27">
        <v>23160</v>
      </c>
      <c r="CN27">
        <v>23160</v>
      </c>
      <c r="CO27">
        <v>23160</v>
      </c>
      <c r="CP27">
        <v>23160</v>
      </c>
      <c r="CQ27">
        <v>23160</v>
      </c>
      <c r="CR27">
        <v>23160</v>
      </c>
      <c r="CS27">
        <v>23160</v>
      </c>
    </row>
    <row r="28" spans="1:97">
      <c r="A28" s="2">
        <v>46261</v>
      </c>
      <c r="B28">
        <v>23160</v>
      </c>
      <c r="C28">
        <v>23160</v>
      </c>
      <c r="D28">
        <v>23160</v>
      </c>
      <c r="E28">
        <v>23160</v>
      </c>
      <c r="F28">
        <v>23160</v>
      </c>
      <c r="G28">
        <v>22810</v>
      </c>
      <c r="H28">
        <v>22810</v>
      </c>
      <c r="I28">
        <v>22810</v>
      </c>
      <c r="J28">
        <v>22810</v>
      </c>
      <c r="K28">
        <v>22810</v>
      </c>
      <c r="L28">
        <v>22810</v>
      </c>
      <c r="M28">
        <v>22810</v>
      </c>
      <c r="N28">
        <v>22810</v>
      </c>
      <c r="O28">
        <v>22810</v>
      </c>
      <c r="P28">
        <v>22810</v>
      </c>
      <c r="Q28">
        <v>22810</v>
      </c>
      <c r="R28">
        <v>22810</v>
      </c>
      <c r="S28">
        <v>22810</v>
      </c>
      <c r="T28">
        <v>22810</v>
      </c>
      <c r="U28">
        <v>22810</v>
      </c>
      <c r="V28">
        <v>22810</v>
      </c>
      <c r="W28">
        <v>22810</v>
      </c>
      <c r="X28">
        <v>22810</v>
      </c>
      <c r="Y28">
        <v>22810</v>
      </c>
      <c r="Z28">
        <v>22810</v>
      </c>
      <c r="AA28">
        <v>22810</v>
      </c>
      <c r="AB28">
        <v>22810</v>
      </c>
      <c r="AC28">
        <v>22810</v>
      </c>
      <c r="AD28">
        <v>22810</v>
      </c>
      <c r="AE28">
        <v>22810</v>
      </c>
      <c r="AF28">
        <v>22810</v>
      </c>
      <c r="AG28">
        <v>22810</v>
      </c>
      <c r="AH28">
        <v>22810</v>
      </c>
      <c r="AI28">
        <v>22810</v>
      </c>
      <c r="AJ28">
        <v>22810</v>
      </c>
      <c r="AK28">
        <v>22810</v>
      </c>
      <c r="AL28">
        <v>21930</v>
      </c>
      <c r="AM28">
        <v>21930</v>
      </c>
      <c r="AN28">
        <v>21930</v>
      </c>
      <c r="AO28">
        <v>21930</v>
      </c>
      <c r="AP28">
        <v>21930</v>
      </c>
      <c r="AQ28">
        <v>21930</v>
      </c>
      <c r="AR28">
        <v>21930</v>
      </c>
      <c r="AS28">
        <v>21930</v>
      </c>
      <c r="AT28">
        <v>21930</v>
      </c>
      <c r="AU28">
        <v>21930</v>
      </c>
      <c r="AV28">
        <v>21930</v>
      </c>
      <c r="AW28">
        <v>21930</v>
      </c>
      <c r="AX28">
        <v>21930</v>
      </c>
      <c r="AY28">
        <v>21930</v>
      </c>
      <c r="AZ28">
        <v>21930</v>
      </c>
      <c r="BA28">
        <v>21930</v>
      </c>
      <c r="BB28">
        <v>21930</v>
      </c>
      <c r="BC28">
        <v>21930</v>
      </c>
      <c r="BD28">
        <v>21930</v>
      </c>
      <c r="BE28">
        <v>21930</v>
      </c>
      <c r="BF28">
        <v>21930</v>
      </c>
      <c r="BG28">
        <v>21930</v>
      </c>
      <c r="BH28">
        <v>21930</v>
      </c>
      <c r="BI28">
        <v>21930</v>
      </c>
      <c r="BJ28">
        <v>21930</v>
      </c>
      <c r="BK28">
        <v>21930</v>
      </c>
      <c r="BL28">
        <v>21930</v>
      </c>
      <c r="BM28">
        <v>21930</v>
      </c>
      <c r="BN28">
        <v>21930</v>
      </c>
      <c r="BO28">
        <v>21930</v>
      </c>
      <c r="BP28">
        <v>21930</v>
      </c>
      <c r="BQ28">
        <v>21930</v>
      </c>
      <c r="BR28">
        <v>21930</v>
      </c>
      <c r="BS28">
        <v>21930</v>
      </c>
      <c r="BT28">
        <v>21930</v>
      </c>
      <c r="BU28">
        <v>21930</v>
      </c>
      <c r="BV28">
        <v>21930</v>
      </c>
      <c r="BW28">
        <v>21930</v>
      </c>
      <c r="BX28">
        <v>21930</v>
      </c>
      <c r="BY28">
        <v>21930</v>
      </c>
      <c r="BZ28">
        <v>21930</v>
      </c>
      <c r="CA28">
        <v>21930</v>
      </c>
      <c r="CB28">
        <v>21930</v>
      </c>
      <c r="CC28">
        <v>21930</v>
      </c>
      <c r="CD28">
        <v>21930</v>
      </c>
      <c r="CE28">
        <v>21930</v>
      </c>
      <c r="CF28">
        <v>21930</v>
      </c>
      <c r="CG28">
        <v>21930</v>
      </c>
      <c r="CH28">
        <v>21930</v>
      </c>
      <c r="CI28">
        <v>21930</v>
      </c>
      <c r="CJ28">
        <v>21930</v>
      </c>
      <c r="CK28">
        <v>21930</v>
      </c>
      <c r="CL28">
        <v>21930</v>
      </c>
      <c r="CM28">
        <v>21930</v>
      </c>
      <c r="CN28">
        <v>21930</v>
      </c>
      <c r="CO28">
        <v>21930</v>
      </c>
      <c r="CP28">
        <v>21930</v>
      </c>
      <c r="CQ28">
        <v>21930</v>
      </c>
      <c r="CR28">
        <v>21930</v>
      </c>
      <c r="CS28">
        <v>21930</v>
      </c>
    </row>
    <row r="29" spans="1:97">
      <c r="A29" s="2">
        <v>46262</v>
      </c>
      <c r="B29">
        <v>21930</v>
      </c>
      <c r="C29">
        <v>21930</v>
      </c>
      <c r="D29">
        <v>21930</v>
      </c>
      <c r="E29">
        <v>21930</v>
      </c>
      <c r="F29">
        <v>21930</v>
      </c>
      <c r="G29">
        <v>21930</v>
      </c>
      <c r="H29">
        <v>21930</v>
      </c>
      <c r="I29">
        <v>21930</v>
      </c>
      <c r="J29">
        <v>21930</v>
      </c>
      <c r="K29">
        <v>21930</v>
      </c>
      <c r="L29">
        <v>21930</v>
      </c>
      <c r="M29">
        <v>21930</v>
      </c>
      <c r="N29">
        <v>21930</v>
      </c>
      <c r="O29">
        <v>21930</v>
      </c>
      <c r="P29">
        <v>21930</v>
      </c>
      <c r="Q29">
        <v>21930</v>
      </c>
      <c r="R29">
        <v>21930</v>
      </c>
      <c r="S29">
        <v>21930</v>
      </c>
      <c r="T29">
        <v>21930</v>
      </c>
      <c r="U29">
        <v>21930</v>
      </c>
      <c r="V29">
        <v>21930</v>
      </c>
      <c r="W29">
        <v>21930</v>
      </c>
      <c r="X29">
        <v>21930</v>
      </c>
      <c r="Y29">
        <v>21930</v>
      </c>
      <c r="Z29">
        <v>21930</v>
      </c>
      <c r="AA29">
        <v>21930</v>
      </c>
      <c r="AB29">
        <v>21930</v>
      </c>
      <c r="AC29">
        <v>21930</v>
      </c>
      <c r="AD29">
        <v>21930</v>
      </c>
      <c r="AE29">
        <v>21930</v>
      </c>
      <c r="AF29">
        <v>21930</v>
      </c>
      <c r="AG29">
        <v>21930</v>
      </c>
      <c r="AH29">
        <v>21930</v>
      </c>
      <c r="AI29">
        <v>21930</v>
      </c>
      <c r="AJ29">
        <v>21930</v>
      </c>
      <c r="AK29">
        <v>21930</v>
      </c>
      <c r="AL29">
        <v>21930</v>
      </c>
      <c r="AM29">
        <v>21930</v>
      </c>
      <c r="AN29">
        <v>21930</v>
      </c>
      <c r="AO29">
        <v>21930</v>
      </c>
      <c r="AP29">
        <v>21930</v>
      </c>
      <c r="AQ29">
        <v>21930</v>
      </c>
      <c r="AR29">
        <v>21930</v>
      </c>
      <c r="AS29">
        <v>21930</v>
      </c>
      <c r="AT29">
        <v>21930</v>
      </c>
      <c r="AU29">
        <v>21930</v>
      </c>
      <c r="AV29">
        <v>21930</v>
      </c>
      <c r="AW29">
        <v>21930</v>
      </c>
      <c r="AX29">
        <v>21930</v>
      </c>
      <c r="AY29">
        <v>21930</v>
      </c>
      <c r="AZ29">
        <v>21930</v>
      </c>
      <c r="BA29">
        <v>21930</v>
      </c>
      <c r="BB29">
        <v>21930</v>
      </c>
      <c r="BC29">
        <v>21930</v>
      </c>
      <c r="BD29">
        <v>21795</v>
      </c>
      <c r="BE29">
        <v>21795</v>
      </c>
      <c r="BF29">
        <v>21795</v>
      </c>
      <c r="BG29">
        <v>21795</v>
      </c>
      <c r="BH29">
        <v>21795</v>
      </c>
      <c r="BI29">
        <v>21795</v>
      </c>
      <c r="BJ29">
        <v>21795</v>
      </c>
      <c r="BK29">
        <v>21795</v>
      </c>
      <c r="BL29">
        <v>21795</v>
      </c>
      <c r="BM29">
        <v>21795</v>
      </c>
      <c r="BN29">
        <v>21795</v>
      </c>
      <c r="BO29">
        <v>21795</v>
      </c>
      <c r="BP29">
        <v>21795</v>
      </c>
      <c r="BQ29">
        <v>21795</v>
      </c>
      <c r="BR29">
        <v>21795</v>
      </c>
      <c r="BS29">
        <v>21795</v>
      </c>
      <c r="BT29">
        <v>21795</v>
      </c>
      <c r="BU29">
        <v>21795</v>
      </c>
      <c r="BV29">
        <v>21795</v>
      </c>
      <c r="BW29">
        <v>21795</v>
      </c>
      <c r="BX29">
        <v>21795</v>
      </c>
      <c r="BY29">
        <v>21795</v>
      </c>
      <c r="BZ29">
        <v>21795</v>
      </c>
      <c r="CA29">
        <v>21795</v>
      </c>
      <c r="CB29">
        <v>21795</v>
      </c>
      <c r="CC29">
        <v>21795</v>
      </c>
      <c r="CD29">
        <v>21795</v>
      </c>
      <c r="CE29">
        <v>21795</v>
      </c>
      <c r="CF29">
        <v>21795</v>
      </c>
      <c r="CG29">
        <v>21795</v>
      </c>
      <c r="CH29">
        <v>21795</v>
      </c>
      <c r="CI29">
        <v>21795</v>
      </c>
      <c r="CJ29">
        <v>21795</v>
      </c>
      <c r="CK29">
        <v>21795</v>
      </c>
      <c r="CL29">
        <v>21795</v>
      </c>
      <c r="CM29">
        <v>21795</v>
      </c>
      <c r="CN29">
        <v>21310</v>
      </c>
      <c r="CO29">
        <v>20980</v>
      </c>
      <c r="CP29">
        <v>20680</v>
      </c>
      <c r="CQ29">
        <v>20680</v>
      </c>
      <c r="CR29">
        <v>20680</v>
      </c>
      <c r="CS29">
        <v>20680</v>
      </c>
    </row>
    <row r="30" spans="1:97">
      <c r="A30" s="2">
        <v>46263</v>
      </c>
      <c r="B30">
        <v>20680</v>
      </c>
      <c r="C30">
        <v>20680</v>
      </c>
      <c r="D30">
        <v>20680</v>
      </c>
      <c r="E30">
        <v>20680</v>
      </c>
      <c r="F30">
        <v>20680</v>
      </c>
      <c r="G30">
        <v>20680</v>
      </c>
      <c r="H30">
        <v>20080</v>
      </c>
      <c r="I30">
        <v>20080</v>
      </c>
      <c r="J30">
        <v>20080</v>
      </c>
      <c r="K30">
        <v>19730</v>
      </c>
      <c r="L30">
        <v>19730</v>
      </c>
      <c r="M30">
        <v>19730</v>
      </c>
      <c r="N30">
        <v>19730</v>
      </c>
      <c r="O30">
        <v>19730</v>
      </c>
      <c r="P30">
        <v>19070</v>
      </c>
      <c r="Q30">
        <v>19070</v>
      </c>
      <c r="R30">
        <v>19070</v>
      </c>
      <c r="S30">
        <v>19070</v>
      </c>
      <c r="T30">
        <v>19070</v>
      </c>
      <c r="U30">
        <v>19070</v>
      </c>
      <c r="V30">
        <v>19070</v>
      </c>
      <c r="W30">
        <v>19070</v>
      </c>
      <c r="X30">
        <v>19070</v>
      </c>
      <c r="Y30">
        <v>19070</v>
      </c>
      <c r="Z30">
        <v>19070</v>
      </c>
      <c r="AA30">
        <v>19070</v>
      </c>
      <c r="AB30">
        <v>19070</v>
      </c>
      <c r="AC30">
        <v>19070</v>
      </c>
      <c r="AD30">
        <v>19070</v>
      </c>
      <c r="AE30">
        <v>19070</v>
      </c>
      <c r="AF30">
        <v>19070</v>
      </c>
      <c r="AG30">
        <v>19070</v>
      </c>
      <c r="AH30">
        <v>19070</v>
      </c>
      <c r="AI30">
        <v>19070</v>
      </c>
      <c r="AJ30">
        <v>19070</v>
      </c>
      <c r="AK30">
        <v>19070</v>
      </c>
      <c r="AL30">
        <v>19070</v>
      </c>
      <c r="AM30">
        <v>19070</v>
      </c>
      <c r="AN30">
        <v>19070</v>
      </c>
      <c r="AO30">
        <v>19070</v>
      </c>
      <c r="AP30">
        <v>19070</v>
      </c>
      <c r="AQ30">
        <v>19070</v>
      </c>
      <c r="AR30">
        <v>19070</v>
      </c>
      <c r="AS30">
        <v>19070</v>
      </c>
      <c r="AT30">
        <v>19070</v>
      </c>
      <c r="AU30">
        <v>19070</v>
      </c>
      <c r="AV30">
        <v>19070</v>
      </c>
      <c r="AW30">
        <v>19070</v>
      </c>
      <c r="AX30">
        <v>19070</v>
      </c>
      <c r="AY30">
        <v>19070</v>
      </c>
      <c r="AZ30">
        <v>19070</v>
      </c>
      <c r="BA30">
        <v>19070</v>
      </c>
      <c r="BB30">
        <v>19070</v>
      </c>
      <c r="BC30">
        <v>19070</v>
      </c>
      <c r="BD30">
        <v>19070</v>
      </c>
      <c r="BE30">
        <v>19070</v>
      </c>
      <c r="BF30">
        <v>19070</v>
      </c>
      <c r="BG30">
        <v>19070</v>
      </c>
      <c r="BH30">
        <v>19070</v>
      </c>
      <c r="BI30">
        <v>19070</v>
      </c>
      <c r="BJ30">
        <v>19070</v>
      </c>
      <c r="BK30">
        <v>19070</v>
      </c>
      <c r="BL30">
        <v>19070</v>
      </c>
      <c r="BM30">
        <v>19070</v>
      </c>
      <c r="BN30">
        <v>19070</v>
      </c>
      <c r="BO30">
        <v>19070</v>
      </c>
      <c r="BP30">
        <v>19070</v>
      </c>
      <c r="BQ30">
        <v>19070</v>
      </c>
      <c r="BR30">
        <v>19070</v>
      </c>
      <c r="BS30">
        <v>19070</v>
      </c>
      <c r="BT30">
        <v>19070</v>
      </c>
      <c r="BU30">
        <v>19070</v>
      </c>
      <c r="BV30">
        <v>19070</v>
      </c>
      <c r="BW30">
        <v>19070</v>
      </c>
      <c r="BX30">
        <v>19070</v>
      </c>
      <c r="BY30">
        <v>19070</v>
      </c>
      <c r="BZ30">
        <v>19070</v>
      </c>
      <c r="CA30">
        <v>19070</v>
      </c>
      <c r="CB30">
        <v>19070</v>
      </c>
      <c r="CC30">
        <v>19070</v>
      </c>
      <c r="CD30">
        <v>19070</v>
      </c>
      <c r="CE30">
        <v>19070</v>
      </c>
      <c r="CF30">
        <v>19070</v>
      </c>
      <c r="CG30">
        <v>19070</v>
      </c>
      <c r="CH30">
        <v>19070</v>
      </c>
      <c r="CI30">
        <v>19070</v>
      </c>
      <c r="CJ30">
        <v>19070</v>
      </c>
      <c r="CK30">
        <v>19070</v>
      </c>
      <c r="CL30">
        <v>19070</v>
      </c>
      <c r="CM30">
        <v>18470</v>
      </c>
      <c r="CN30">
        <v>18470</v>
      </c>
      <c r="CO30">
        <v>18470</v>
      </c>
      <c r="CP30">
        <v>18470</v>
      </c>
      <c r="CQ30">
        <v>18470</v>
      </c>
      <c r="CR30">
        <v>18470</v>
      </c>
      <c r="CS30">
        <v>18470</v>
      </c>
    </row>
    <row r="31" spans="1:97">
      <c r="A31" s="2">
        <v>46264</v>
      </c>
      <c r="B31">
        <v>18470</v>
      </c>
      <c r="C31">
        <v>18470</v>
      </c>
      <c r="D31">
        <v>18470</v>
      </c>
      <c r="E31">
        <v>18470</v>
      </c>
      <c r="F31">
        <v>18470</v>
      </c>
      <c r="G31">
        <v>18470</v>
      </c>
      <c r="H31">
        <v>18470</v>
      </c>
      <c r="I31">
        <v>18470</v>
      </c>
      <c r="J31">
        <v>18470</v>
      </c>
      <c r="K31">
        <v>18470</v>
      </c>
      <c r="L31">
        <v>18470</v>
      </c>
      <c r="M31">
        <v>18470</v>
      </c>
      <c r="N31">
        <v>18470</v>
      </c>
      <c r="O31">
        <v>18470</v>
      </c>
      <c r="P31">
        <v>18470</v>
      </c>
      <c r="Q31">
        <v>18470</v>
      </c>
      <c r="R31">
        <v>18470</v>
      </c>
      <c r="S31">
        <v>18470</v>
      </c>
      <c r="T31">
        <v>18470</v>
      </c>
      <c r="U31">
        <v>18470</v>
      </c>
      <c r="V31">
        <v>18470</v>
      </c>
      <c r="W31">
        <v>18470</v>
      </c>
      <c r="X31">
        <v>18470</v>
      </c>
      <c r="Y31">
        <v>18470</v>
      </c>
      <c r="Z31">
        <v>18470</v>
      </c>
      <c r="AA31">
        <v>18470</v>
      </c>
      <c r="AB31">
        <v>18470</v>
      </c>
      <c r="AC31">
        <v>18470</v>
      </c>
      <c r="AD31">
        <v>18470</v>
      </c>
      <c r="AE31">
        <v>18470</v>
      </c>
      <c r="AF31">
        <v>18470</v>
      </c>
      <c r="AG31">
        <v>18470</v>
      </c>
      <c r="AH31">
        <v>18470</v>
      </c>
      <c r="AI31">
        <v>18470</v>
      </c>
      <c r="AJ31">
        <v>18470</v>
      </c>
      <c r="AK31">
        <v>18470</v>
      </c>
      <c r="AL31">
        <v>18470</v>
      </c>
      <c r="AM31">
        <v>18470</v>
      </c>
      <c r="AN31">
        <v>18470</v>
      </c>
      <c r="AO31">
        <v>18470</v>
      </c>
      <c r="AP31">
        <v>18470</v>
      </c>
      <c r="AQ31">
        <v>18470</v>
      </c>
      <c r="AR31">
        <v>18470</v>
      </c>
      <c r="AS31">
        <v>18470</v>
      </c>
      <c r="AT31">
        <v>18470</v>
      </c>
      <c r="AU31">
        <v>18470</v>
      </c>
      <c r="AV31">
        <v>18470</v>
      </c>
      <c r="AW31">
        <v>18470</v>
      </c>
      <c r="AX31">
        <v>18470</v>
      </c>
      <c r="AY31">
        <v>18470</v>
      </c>
      <c r="AZ31">
        <v>18470</v>
      </c>
      <c r="BA31">
        <v>18470</v>
      </c>
      <c r="BB31">
        <v>18470</v>
      </c>
      <c r="BC31">
        <v>18470</v>
      </c>
      <c r="BD31">
        <v>18470</v>
      </c>
      <c r="BE31">
        <v>18470</v>
      </c>
      <c r="BF31">
        <v>18470</v>
      </c>
      <c r="BG31">
        <v>18470</v>
      </c>
      <c r="BH31">
        <v>18470</v>
      </c>
      <c r="BI31">
        <v>18470</v>
      </c>
      <c r="BJ31">
        <v>18470</v>
      </c>
      <c r="BK31">
        <v>18470</v>
      </c>
      <c r="BL31">
        <v>18470</v>
      </c>
      <c r="BM31">
        <v>18470</v>
      </c>
      <c r="BN31">
        <v>18470</v>
      </c>
      <c r="BO31">
        <v>18470</v>
      </c>
      <c r="BP31">
        <v>18470</v>
      </c>
      <c r="BQ31">
        <v>18470</v>
      </c>
      <c r="BR31">
        <v>18470</v>
      </c>
      <c r="BS31">
        <v>18470</v>
      </c>
      <c r="BT31">
        <v>18470</v>
      </c>
      <c r="BU31">
        <v>18470</v>
      </c>
      <c r="BV31">
        <v>18470</v>
      </c>
      <c r="BW31">
        <v>18470</v>
      </c>
      <c r="BX31">
        <v>18470</v>
      </c>
      <c r="BY31">
        <v>18470</v>
      </c>
      <c r="BZ31">
        <v>18470</v>
      </c>
      <c r="CA31">
        <v>18470</v>
      </c>
      <c r="CB31">
        <v>18470</v>
      </c>
      <c r="CC31">
        <v>18470</v>
      </c>
      <c r="CD31">
        <v>18470</v>
      </c>
      <c r="CE31">
        <v>18470</v>
      </c>
      <c r="CF31">
        <v>18470</v>
      </c>
      <c r="CG31">
        <v>18470</v>
      </c>
      <c r="CH31">
        <v>18470</v>
      </c>
      <c r="CI31">
        <v>18470</v>
      </c>
      <c r="CJ31">
        <v>18470</v>
      </c>
      <c r="CK31">
        <v>18470</v>
      </c>
      <c r="CL31">
        <v>18470</v>
      </c>
      <c r="CM31">
        <v>18470</v>
      </c>
      <c r="CN31">
        <v>18470</v>
      </c>
      <c r="CO31">
        <v>17920</v>
      </c>
      <c r="CP31">
        <v>17920</v>
      </c>
      <c r="CQ31">
        <v>17920</v>
      </c>
      <c r="CR31">
        <v>17920</v>
      </c>
      <c r="CS31">
        <v>17920</v>
      </c>
    </row>
    <row r="32" spans="1:97">
      <c r="A32" s="2">
        <v>46265</v>
      </c>
      <c r="B32">
        <v>18520</v>
      </c>
      <c r="C32">
        <v>18520</v>
      </c>
      <c r="D32">
        <v>18520</v>
      </c>
      <c r="E32">
        <v>17920</v>
      </c>
      <c r="F32">
        <v>18520</v>
      </c>
      <c r="G32">
        <v>18520</v>
      </c>
      <c r="H32">
        <v>18520</v>
      </c>
      <c r="I32">
        <v>18520</v>
      </c>
      <c r="J32">
        <v>18520</v>
      </c>
      <c r="K32">
        <v>18520</v>
      </c>
      <c r="L32">
        <v>18520</v>
      </c>
      <c r="M32">
        <v>18520</v>
      </c>
      <c r="N32">
        <v>18520</v>
      </c>
      <c r="O32">
        <v>18520</v>
      </c>
      <c r="P32">
        <v>18520</v>
      </c>
      <c r="Q32">
        <v>18520</v>
      </c>
      <c r="R32">
        <v>18520</v>
      </c>
      <c r="S32">
        <v>18520</v>
      </c>
      <c r="T32">
        <v>18520</v>
      </c>
      <c r="U32">
        <v>18520</v>
      </c>
      <c r="V32">
        <v>18520</v>
      </c>
      <c r="W32">
        <v>18520</v>
      </c>
      <c r="X32">
        <v>18520</v>
      </c>
      <c r="Y32">
        <v>18520</v>
      </c>
      <c r="Z32">
        <v>18520</v>
      </c>
      <c r="AA32">
        <v>18520</v>
      </c>
      <c r="AB32">
        <v>18520</v>
      </c>
      <c r="AC32">
        <v>18520</v>
      </c>
      <c r="AD32">
        <v>18520</v>
      </c>
      <c r="AE32">
        <v>18520</v>
      </c>
      <c r="AF32">
        <v>18520</v>
      </c>
      <c r="AG32">
        <v>18520</v>
      </c>
      <c r="AH32">
        <v>18520</v>
      </c>
      <c r="AI32">
        <v>18520</v>
      </c>
      <c r="AJ32">
        <v>18520</v>
      </c>
      <c r="AK32">
        <v>18520</v>
      </c>
      <c r="AL32">
        <v>18520</v>
      </c>
      <c r="AM32">
        <v>18520</v>
      </c>
      <c r="AN32">
        <v>18520</v>
      </c>
      <c r="AO32">
        <v>18520</v>
      </c>
      <c r="AP32">
        <v>18520</v>
      </c>
      <c r="AQ32">
        <v>18520</v>
      </c>
      <c r="AR32">
        <v>18520</v>
      </c>
      <c r="AS32">
        <v>18520</v>
      </c>
      <c r="AT32">
        <v>18520</v>
      </c>
      <c r="AU32">
        <v>18520</v>
      </c>
      <c r="AV32">
        <v>18520</v>
      </c>
      <c r="AW32">
        <v>18520</v>
      </c>
      <c r="AX32">
        <v>18520</v>
      </c>
      <c r="AY32">
        <v>18520</v>
      </c>
      <c r="AZ32">
        <v>18520</v>
      </c>
      <c r="BA32">
        <v>18520</v>
      </c>
      <c r="BB32">
        <v>18520</v>
      </c>
      <c r="BC32">
        <v>18520</v>
      </c>
      <c r="BD32">
        <v>18520</v>
      </c>
      <c r="BE32">
        <v>18520</v>
      </c>
      <c r="BF32">
        <v>18520</v>
      </c>
      <c r="BG32">
        <v>18520</v>
      </c>
      <c r="BH32">
        <v>18520</v>
      </c>
      <c r="BI32">
        <v>18520</v>
      </c>
      <c r="BJ32">
        <v>18520</v>
      </c>
      <c r="BK32">
        <v>18520</v>
      </c>
      <c r="BL32">
        <v>18520</v>
      </c>
      <c r="BM32">
        <v>18520</v>
      </c>
      <c r="BN32">
        <v>18520</v>
      </c>
      <c r="BO32">
        <v>18520</v>
      </c>
      <c r="BP32">
        <v>18520</v>
      </c>
      <c r="BQ32">
        <v>18520</v>
      </c>
      <c r="BR32">
        <v>18520</v>
      </c>
      <c r="BS32">
        <v>18520</v>
      </c>
      <c r="BT32">
        <v>18520</v>
      </c>
      <c r="BU32">
        <v>18520</v>
      </c>
      <c r="BV32">
        <v>18520</v>
      </c>
      <c r="BW32">
        <v>18520</v>
      </c>
      <c r="BX32">
        <v>18520</v>
      </c>
      <c r="BY32">
        <v>18520</v>
      </c>
      <c r="BZ32">
        <v>18520</v>
      </c>
      <c r="CA32">
        <v>18520</v>
      </c>
      <c r="CB32">
        <v>18520</v>
      </c>
      <c r="CC32">
        <v>18520</v>
      </c>
      <c r="CD32">
        <v>18520</v>
      </c>
      <c r="CE32">
        <v>18520</v>
      </c>
      <c r="CF32">
        <v>18520</v>
      </c>
      <c r="CG32">
        <v>18520</v>
      </c>
      <c r="CH32">
        <v>18520</v>
      </c>
      <c r="CI32">
        <v>18520</v>
      </c>
      <c r="CJ32">
        <v>18520</v>
      </c>
      <c r="CK32">
        <v>18520</v>
      </c>
      <c r="CL32">
        <v>18520</v>
      </c>
      <c r="CM32">
        <v>18520</v>
      </c>
      <c r="CN32">
        <v>18520</v>
      </c>
      <c r="CO32">
        <v>18520</v>
      </c>
      <c r="CP32">
        <v>18520</v>
      </c>
      <c r="CQ32">
        <v>18520</v>
      </c>
      <c r="CR32">
        <v>18520</v>
      </c>
      <c r="CS32">
        <v>18520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14"/>
  <dimension ref="A1:CS32"/>
  <sheetViews>
    <sheetView workbookViewId="0">
      <selection activeCell="B3" sqref="B3:E3"/>
    </sheetView>
  </sheetViews>
  <sheetFormatPr defaultColWidth="9" defaultRowHeight="13.5"/>
  <cols>
    <col min="1" max="1" width="11.8916666666667"/>
    <col min="2" max="2" width="13.75"/>
    <col min="3" max="97" width="12.6666666666667"/>
  </cols>
  <sheetData>
    <row r="1" spans="1:97">
      <c r="A1" t="s">
        <v>0</v>
      </c>
      <c r="B1" s="1">
        <v>0.0104166666666667</v>
      </c>
      <c r="C1" s="1">
        <v>0.0208333333333333</v>
      </c>
      <c r="D1" s="1">
        <v>0.03125</v>
      </c>
      <c r="E1" s="1">
        <v>0.0416666666666667</v>
      </c>
      <c r="F1" s="1">
        <v>0.0520833333333333</v>
      </c>
      <c r="G1" s="1">
        <v>0.0625</v>
      </c>
      <c r="H1" s="1">
        <v>0.0729166666666667</v>
      </c>
      <c r="I1" s="1">
        <v>0.0833333333333333</v>
      </c>
      <c r="J1" s="1">
        <v>0.09375</v>
      </c>
      <c r="K1" s="1">
        <v>0.104166666666667</v>
      </c>
      <c r="L1" s="1">
        <v>0.114583333333333</v>
      </c>
      <c r="M1" s="1">
        <v>0.125</v>
      </c>
      <c r="N1" s="1">
        <v>0.135416666666667</v>
      </c>
      <c r="O1" s="1">
        <v>0.145833333333333</v>
      </c>
      <c r="P1" s="1">
        <v>0.15625</v>
      </c>
      <c r="Q1" s="1">
        <v>0.166666666666667</v>
      </c>
      <c r="R1" s="1">
        <v>0.177083333333333</v>
      </c>
      <c r="S1" s="1">
        <v>0.1875</v>
      </c>
      <c r="T1" s="1">
        <v>0.197916666666667</v>
      </c>
      <c r="U1" s="1">
        <v>0.208333333333333</v>
      </c>
      <c r="V1" s="1">
        <v>0.21875</v>
      </c>
      <c r="W1" s="1">
        <v>0.229166666666667</v>
      </c>
      <c r="X1" s="1">
        <v>0.239583333333333</v>
      </c>
      <c r="Y1" s="1">
        <v>0.25</v>
      </c>
      <c r="Z1" s="1">
        <v>0.260416666666667</v>
      </c>
      <c r="AA1" s="1">
        <v>0.270833333333333</v>
      </c>
      <c r="AB1" s="1">
        <v>0.28125</v>
      </c>
      <c r="AC1" s="1">
        <v>0.291666666666667</v>
      </c>
      <c r="AD1" s="1">
        <v>0.302083333333333</v>
      </c>
      <c r="AE1" s="1">
        <v>0.3125</v>
      </c>
      <c r="AF1" s="1">
        <v>0.322916666666667</v>
      </c>
      <c r="AG1" s="1">
        <v>0.333333333333333</v>
      </c>
      <c r="AH1" s="1">
        <v>0.34375</v>
      </c>
      <c r="AI1" s="1">
        <v>0.354166666666667</v>
      </c>
      <c r="AJ1" s="1">
        <v>0.364583333333333</v>
      </c>
      <c r="AK1" s="1">
        <v>0.375</v>
      </c>
      <c r="AL1" s="1">
        <v>0.385416666666667</v>
      </c>
      <c r="AM1" s="1">
        <v>0.395833333333333</v>
      </c>
      <c r="AN1" s="1">
        <v>0.40625</v>
      </c>
      <c r="AO1" s="1">
        <v>0.416666666666667</v>
      </c>
      <c r="AP1" s="1">
        <v>0.427083333333333</v>
      </c>
      <c r="AQ1" s="1">
        <v>0.4375</v>
      </c>
      <c r="AR1" s="1">
        <v>0.447916666666667</v>
      </c>
      <c r="AS1" s="1">
        <v>0.458333333333333</v>
      </c>
      <c r="AT1" s="1">
        <v>0.46875</v>
      </c>
      <c r="AU1" s="1">
        <v>0.479166666666667</v>
      </c>
      <c r="AV1" s="1">
        <v>0.489583333333333</v>
      </c>
      <c r="AW1" s="1">
        <v>0.5</v>
      </c>
      <c r="AX1" s="1">
        <v>0.510416666666667</v>
      </c>
      <c r="AY1" s="1">
        <v>0.520833333333333</v>
      </c>
      <c r="AZ1" s="1">
        <v>0.53125</v>
      </c>
      <c r="BA1" s="1">
        <v>0.541666666666667</v>
      </c>
      <c r="BB1" s="1">
        <v>0.552083333333333</v>
      </c>
      <c r="BC1" s="1">
        <v>0.5625</v>
      </c>
      <c r="BD1" s="1">
        <v>0.572916666666667</v>
      </c>
      <c r="BE1" s="1">
        <v>0.583333333333333</v>
      </c>
      <c r="BF1" s="1">
        <v>0.59375</v>
      </c>
      <c r="BG1" s="1">
        <v>0.604166666666667</v>
      </c>
      <c r="BH1" s="1">
        <v>0.614583333333333</v>
      </c>
      <c r="BI1" s="1">
        <v>0.625</v>
      </c>
      <c r="BJ1" s="1">
        <v>0.635416666666667</v>
      </c>
      <c r="BK1" s="1">
        <v>0.645833333333333</v>
      </c>
      <c r="BL1" s="1">
        <v>0.65625</v>
      </c>
      <c r="BM1" s="1">
        <v>0.666666666666667</v>
      </c>
      <c r="BN1" s="1">
        <v>0.677083333333333</v>
      </c>
      <c r="BO1" s="1">
        <v>0.6875</v>
      </c>
      <c r="BP1" s="1">
        <v>0.697916666666667</v>
      </c>
      <c r="BQ1" s="1">
        <v>0.708333333333333</v>
      </c>
      <c r="BR1" s="1">
        <v>0.71875</v>
      </c>
      <c r="BS1" s="1">
        <v>0.729166666666667</v>
      </c>
      <c r="BT1" s="1">
        <v>0.739583333333333</v>
      </c>
      <c r="BU1" s="1">
        <v>0.75</v>
      </c>
      <c r="BV1" s="1">
        <v>0.760416666666667</v>
      </c>
      <c r="BW1" s="1">
        <v>0.770833333333333</v>
      </c>
      <c r="BX1" s="1">
        <v>0.78125</v>
      </c>
      <c r="BY1" s="1">
        <v>0.791666666666667</v>
      </c>
      <c r="BZ1" s="1">
        <v>0.802083333333333</v>
      </c>
      <c r="CA1" s="1">
        <v>0.8125</v>
      </c>
      <c r="CB1" s="1">
        <v>0.822916666666667</v>
      </c>
      <c r="CC1" s="1">
        <v>0.833333333333333</v>
      </c>
      <c r="CD1" s="1">
        <v>0.84375</v>
      </c>
      <c r="CE1" s="1">
        <v>0.854166666666667</v>
      </c>
      <c r="CF1" s="1">
        <v>0.864583333333333</v>
      </c>
      <c r="CG1" s="1">
        <v>0.875</v>
      </c>
      <c r="CH1" s="1">
        <v>0.885416666666667</v>
      </c>
      <c r="CI1" s="1">
        <v>0.895833333333333</v>
      </c>
      <c r="CJ1" s="1">
        <v>0.90625</v>
      </c>
      <c r="CK1" s="1">
        <v>0.916666666666667</v>
      </c>
      <c r="CL1" s="1">
        <v>0.927083333333333</v>
      </c>
      <c r="CM1" s="1">
        <v>0.9375</v>
      </c>
      <c r="CN1" s="1">
        <v>0.947916666666667</v>
      </c>
      <c r="CO1" s="1">
        <v>0.958333333333333</v>
      </c>
      <c r="CP1" s="1">
        <v>0.96875</v>
      </c>
      <c r="CQ1" s="1">
        <v>0.979166666666667</v>
      </c>
      <c r="CR1" s="1">
        <v>0.989583333333333</v>
      </c>
      <c r="CS1" s="1">
        <v>1</v>
      </c>
    </row>
    <row r="2" spans="1:97">
      <c r="A2" s="2">
        <v>46235</v>
      </c>
      <c r="B2" cm="1">
        <f t="array" ref="B2:CS2">_xlfn._xlws.FILTER(_xlfn.TRIMRANGE(竞价空间!$B$2:$CS$1047693),_xlfn.TRIMRANGE(竞价空间!$A$2:$A$1047693)=A2)/_xlfn._xlws.FILTER(_xlfn.TRIMRANGE(实时开机!$B$2:$CS$32),_xlfn.TRIMRANGE(实时开机!$A$2:$A$32)=A2)</f>
        <v>0.573452077562327</v>
      </c>
      <c r="C2">
        <v>0.618352354570637</v>
      </c>
      <c r="D2">
        <v>0.583449101796407</v>
      </c>
      <c r="E2">
        <v>0.572293413173653</v>
      </c>
      <c r="F2">
        <v>0.5907283614589</v>
      </c>
      <c r="G2">
        <v>0.585118671747414</v>
      </c>
      <c r="H2">
        <v>0.574245508982036</v>
      </c>
      <c r="I2">
        <v>0.585728905824714</v>
      </c>
      <c r="J2">
        <v>0.604437125748503</v>
      </c>
      <c r="K2">
        <v>0.610174197060425</v>
      </c>
      <c r="L2">
        <v>0.62676810016331</v>
      </c>
      <c r="M2">
        <v>0.643144801306478</v>
      </c>
      <c r="N2">
        <v>0.677877517691889</v>
      </c>
      <c r="O2">
        <v>0.647722917800762</v>
      </c>
      <c r="P2">
        <v>0.660066956995101</v>
      </c>
      <c r="Q2">
        <v>0.659563418617311</v>
      </c>
      <c r="R2">
        <v>0.682200326619488</v>
      </c>
      <c r="S2">
        <v>0.678483396842678</v>
      </c>
      <c r="T2">
        <v>0.687874251497006</v>
      </c>
      <c r="U2">
        <v>0.658868263473054</v>
      </c>
      <c r="V2">
        <v>0.662195971692978</v>
      </c>
      <c r="W2">
        <v>0.691844855743059</v>
      </c>
      <c r="X2">
        <v>0.704878606423517</v>
      </c>
      <c r="Y2">
        <v>0.715268372346217</v>
      </c>
      <c r="Z2">
        <v>0.75445944474687</v>
      </c>
      <c r="AA2">
        <v>0.753657389894623</v>
      </c>
      <c r="AB2">
        <v>0.73363955687652</v>
      </c>
      <c r="AC2">
        <v>0.719339097541205</v>
      </c>
      <c r="AD2">
        <v>0.725211024047555</v>
      </c>
      <c r="AE2">
        <v>0.728334504188057</v>
      </c>
      <c r="AF2">
        <v>0.74318562550662</v>
      </c>
      <c r="AG2">
        <v>0.714914347473656</v>
      </c>
      <c r="AH2">
        <v>0.720639723477798</v>
      </c>
      <c r="AI2">
        <v>0.718260037224142</v>
      </c>
      <c r="AJ2">
        <v>0.706473278383409</v>
      </c>
      <c r="AK2">
        <v>0.659104530498608</v>
      </c>
      <c r="AL2">
        <v>0.633802581624905</v>
      </c>
      <c r="AM2">
        <v>0.627484181219944</v>
      </c>
      <c r="AN2">
        <v>0.597418375094913</v>
      </c>
      <c r="AO2">
        <v>0.599545937737282</v>
      </c>
      <c r="AP2">
        <v>0.619668944570995</v>
      </c>
      <c r="AQ2">
        <v>0.591568763989057</v>
      </c>
      <c r="AR2">
        <v>0.601464312360109</v>
      </c>
      <c r="AS2">
        <v>0.601513553842328</v>
      </c>
      <c r="AT2">
        <v>0.543167868689381</v>
      </c>
      <c r="AU2">
        <v>0.573674210395424</v>
      </c>
      <c r="AV2">
        <v>0.552623725441432</v>
      </c>
      <c r="AW2">
        <v>0.568285501119125</v>
      </c>
      <c r="AX2">
        <v>0.516721583964801</v>
      </c>
      <c r="AY2">
        <v>0.505796707229778</v>
      </c>
      <c r="AZ2">
        <v>0.492118348842758</v>
      </c>
      <c r="BA2">
        <v>0.458416492934908</v>
      </c>
      <c r="BB2">
        <v>0.480997036699339</v>
      </c>
      <c r="BC2">
        <v>0.470492991158076</v>
      </c>
      <c r="BD2">
        <v>0.478389044640932</v>
      </c>
      <c r="BE2">
        <v>0.488396376967867</v>
      </c>
      <c r="BF2">
        <v>0.488841492344188</v>
      </c>
      <c r="BG2">
        <v>0.507916756523614</v>
      </c>
      <c r="BH2">
        <v>0.489921346036894</v>
      </c>
      <c r="BI2">
        <v>0.505663896209203</v>
      </c>
      <c r="BJ2">
        <v>0.507851969127251</v>
      </c>
      <c r="BK2">
        <v>0.517744310310706</v>
      </c>
      <c r="BL2">
        <v>0.489380227404124</v>
      </c>
      <c r="BM2">
        <v>0.482001529929241</v>
      </c>
      <c r="BN2">
        <v>0.535578886976477</v>
      </c>
      <c r="BO2">
        <v>0.56160374832664</v>
      </c>
      <c r="BP2">
        <v>0.574101740294511</v>
      </c>
      <c r="BQ2">
        <v>0.573803021610251</v>
      </c>
      <c r="BR2">
        <v>0.612810480015299</v>
      </c>
      <c r="BS2">
        <v>0.641408682348441</v>
      </c>
      <c r="BT2">
        <v>0.639454962707975</v>
      </c>
      <c r="BU2">
        <v>0.653600076103501</v>
      </c>
      <c r="BV2">
        <v>0.655759132420091</v>
      </c>
      <c r="BW2">
        <v>0.658358129850464</v>
      </c>
      <c r="BX2">
        <v>0.678582818641213</v>
      </c>
      <c r="BY2">
        <v>0.694069998128392</v>
      </c>
      <c r="BZ2">
        <v>0.712345124461913</v>
      </c>
      <c r="CA2">
        <v>0.731532606687604</v>
      </c>
      <c r="CB2">
        <v>0.757784223166451</v>
      </c>
      <c r="CC2">
        <v>0.761457602069093</v>
      </c>
      <c r="CD2">
        <v>0.772688342878256</v>
      </c>
      <c r="CE2">
        <v>0.802591538887862</v>
      </c>
      <c r="CF2">
        <v>0.814840199519675</v>
      </c>
      <c r="CG2">
        <v>0.813398485128395</v>
      </c>
      <c r="CH2">
        <v>0.804118972843155</v>
      </c>
      <c r="CI2">
        <v>0.772798448180307</v>
      </c>
      <c r="CJ2">
        <v>0.760159985220765</v>
      </c>
      <c r="CK2">
        <v>0.747684832809902</v>
      </c>
      <c r="CL2">
        <v>0.759654535377794</v>
      </c>
      <c r="CM2">
        <v>0.757999630519121</v>
      </c>
      <c r="CN2">
        <v>0.735496767042306</v>
      </c>
      <c r="CO2">
        <v>0.705271014225014</v>
      </c>
      <c r="CP2">
        <v>0.690476260853501</v>
      </c>
      <c r="CQ2">
        <v>0.666888601514872</v>
      </c>
      <c r="CR2">
        <v>0.652297062627009</v>
      </c>
      <c r="CS2">
        <v>0.644899685941252</v>
      </c>
    </row>
    <row r="3" spans="1:97">
      <c r="A3" s="2">
        <v>46236</v>
      </c>
      <c r="B3" cm="1">
        <f t="array" ref="B3:CS3">_xlfn._xlws.FILTER(_xlfn.TRIMRANGE(竞价空间!$B$2:$CS$1047693),_xlfn.TRIMRANGE(竞价空间!$A$2:$A$1047693)=A3)/_xlfn._xlws.FILTER(_xlfn.TRIMRANGE(实时开机!$B$2:$CS$32),_xlfn.TRIMRANGE(实时开机!$A$2:$A$32)=A3)</f>
        <v>0.709433955292814</v>
      </c>
      <c r="C3">
        <v>0.760890818400148</v>
      </c>
      <c r="D3">
        <v>0.783043414003325</v>
      </c>
      <c r="E3">
        <v>0.788772215037872</v>
      </c>
      <c r="F3">
        <v>0.789658230186588</v>
      </c>
      <c r="G3">
        <v>0.780829484574173</v>
      </c>
      <c r="H3">
        <v>0.775545938015771</v>
      </c>
      <c r="I3">
        <v>0.758832569227948</v>
      </c>
      <c r="J3">
        <v>0.746051714652485</v>
      </c>
      <c r="K3">
        <v>0.76182761782505</v>
      </c>
      <c r="L3">
        <v>0.753326242435357</v>
      </c>
      <c r="M3">
        <v>0.750569594718503</v>
      </c>
      <c r="N3">
        <v>0.755591050797726</v>
      </c>
      <c r="O3">
        <v>0.751691545938016</v>
      </c>
      <c r="P3">
        <v>0.752166880616175</v>
      </c>
      <c r="Q3">
        <v>0.751614890885751</v>
      </c>
      <c r="R3">
        <v>0.755312305153127</v>
      </c>
      <c r="S3">
        <v>0.742211993398129</v>
      </c>
      <c r="T3">
        <v>0.723522097927746</v>
      </c>
      <c r="U3">
        <v>0.706657986429488</v>
      </c>
      <c r="V3">
        <v>0.705038694296717</v>
      </c>
      <c r="W3">
        <v>0.683598019438841</v>
      </c>
      <c r="X3">
        <v>0.691375756464332</v>
      </c>
      <c r="Y3">
        <v>0.699738125802311</v>
      </c>
      <c r="Z3">
        <v>0.716322024573629</v>
      </c>
      <c r="AA3">
        <v>0.737234183018522</v>
      </c>
      <c r="AB3">
        <v>0.733105079772602</v>
      </c>
      <c r="AC3">
        <v>0.730827434439758</v>
      </c>
      <c r="AD3">
        <v>0.685451677975426</v>
      </c>
      <c r="AE3">
        <v>0.678572528883184</v>
      </c>
      <c r="AF3">
        <v>0.682231432239134</v>
      </c>
      <c r="AG3">
        <v>0.692370805061434</v>
      </c>
      <c r="AH3">
        <v>0.704986612873647</v>
      </c>
      <c r="AI3">
        <v>0.706476434989914</v>
      </c>
      <c r="AJ3">
        <v>0.678562259306804</v>
      </c>
      <c r="AK3">
        <v>0.661595452044746</v>
      </c>
      <c r="AL3">
        <v>0.69797432605905</v>
      </c>
      <c r="AM3">
        <v>0.692847606821933</v>
      </c>
      <c r="AN3">
        <v>0.695984228864845</v>
      </c>
      <c r="AO3">
        <v>0.673417201540436</v>
      </c>
      <c r="AP3">
        <v>0.642339629561709</v>
      </c>
      <c r="AQ3">
        <v>0.642866312121768</v>
      </c>
      <c r="AR3">
        <v>0.657931413900605</v>
      </c>
      <c r="AS3">
        <v>0.658088391710985</v>
      </c>
      <c r="AT3">
        <v>0.669038327526132</v>
      </c>
      <c r="AU3">
        <v>0.652693929946818</v>
      </c>
      <c r="AV3">
        <v>0.665015587749862</v>
      </c>
      <c r="AW3">
        <v>0.658416284613974</v>
      </c>
      <c r="AX3">
        <v>0.664257472950669</v>
      </c>
      <c r="AY3">
        <v>0.644920227397763</v>
      </c>
      <c r="AZ3">
        <v>0.65199119750596</v>
      </c>
      <c r="BA3">
        <v>0.635678708967541</v>
      </c>
      <c r="BB3">
        <v>0.660774986246103</v>
      </c>
      <c r="BC3">
        <v>0.655642031909041</v>
      </c>
      <c r="BD3">
        <v>0.658488538419219</v>
      </c>
      <c r="BE3">
        <v>0.662056115899505</v>
      </c>
      <c r="BF3">
        <v>0.67413790573996</v>
      </c>
      <c r="BG3">
        <v>0.674333761232349</v>
      </c>
      <c r="BH3">
        <v>0.666571428571429</v>
      </c>
      <c r="BI3">
        <v>0.636575096277279</v>
      </c>
      <c r="BJ3">
        <v>0.637467449110581</v>
      </c>
      <c r="BK3">
        <v>0.631335411699982</v>
      </c>
      <c r="BL3">
        <v>0.651637997432606</v>
      </c>
      <c r="BM3">
        <v>0.678063451311205</v>
      </c>
      <c r="BN3">
        <v>0.693812947001651</v>
      </c>
      <c r="BO3">
        <v>0.710945901338713</v>
      </c>
      <c r="BP3">
        <v>0.713690812396846</v>
      </c>
      <c r="BQ3">
        <v>0.698188886851274</v>
      </c>
      <c r="BR3">
        <v>0.719619292132771</v>
      </c>
      <c r="BS3">
        <v>0.728626444159178</v>
      </c>
      <c r="BT3">
        <v>0.747172932330827</v>
      </c>
      <c r="BU3">
        <v>0.762466898954704</v>
      </c>
      <c r="BV3">
        <v>0.756594168347699</v>
      </c>
      <c r="BW3">
        <v>0.747205941683477</v>
      </c>
      <c r="BX3">
        <v>0.759649000550156</v>
      </c>
      <c r="BY3">
        <v>0.73384302218962</v>
      </c>
      <c r="BZ3">
        <v>0.76784375573079</v>
      </c>
      <c r="CA3">
        <v>0.79383348615441</v>
      </c>
      <c r="CB3">
        <v>0.810408582431689</v>
      </c>
      <c r="CC3">
        <v>0.805093343113882</v>
      </c>
      <c r="CD3">
        <v>0.798828534751513</v>
      </c>
      <c r="CE3">
        <v>0.791738125802311</v>
      </c>
      <c r="CF3">
        <v>0.76206381808179</v>
      </c>
      <c r="CG3">
        <v>0.746326792591234</v>
      </c>
      <c r="CH3">
        <v>0.773296534017972</v>
      </c>
      <c r="CI3">
        <v>0.792533284430589</v>
      </c>
      <c r="CJ3">
        <v>0.769946084724005</v>
      </c>
      <c r="CK3">
        <v>0.748516779754264</v>
      </c>
      <c r="CL3">
        <v>0.726478268842839</v>
      </c>
      <c r="CM3">
        <v>0.710603704382909</v>
      </c>
      <c r="CN3">
        <v>0.722550889418669</v>
      </c>
      <c r="CO3">
        <v>0.725337979094077</v>
      </c>
      <c r="CP3">
        <v>0.691097377590317</v>
      </c>
      <c r="CQ3">
        <v>0.661705849990831</v>
      </c>
      <c r="CR3">
        <v>0.609084907390427</v>
      </c>
      <c r="CS3">
        <v>0.582099394828535</v>
      </c>
    </row>
    <row r="4" spans="1:97">
      <c r="A4" s="2">
        <v>46237</v>
      </c>
      <c r="B4" cm="1">
        <f t="array" ref="B4:CS4">_xlfn._xlws.FILTER(_xlfn.TRIMRANGE(竞价空间!$B$2:$CS$1047693),_xlfn.TRIMRANGE(竞价空间!$A$2:$A$1047693)=A4)/_xlfn._xlws.FILTER(_xlfn.TRIMRANGE(实时开机!$B$2:$CS$32),_xlfn.TRIMRANGE(实时开机!$A$2:$A$32)=A4)</f>
        <v>0.58988410049514</v>
      </c>
      <c r="C4">
        <v>0.58997946084724</v>
      </c>
      <c r="D4">
        <v>0.595119017054832</v>
      </c>
      <c r="E4">
        <v>0.588957637997433</v>
      </c>
      <c r="F4">
        <v>0.592297450944434</v>
      </c>
      <c r="G4">
        <v>0.587216944801027</v>
      </c>
      <c r="H4">
        <v>0.582627177700348</v>
      </c>
      <c r="I4">
        <v>0.567250320924262</v>
      </c>
      <c r="J4">
        <v>0.551731890702366</v>
      </c>
      <c r="K4">
        <v>0.538641848523748</v>
      </c>
      <c r="L4">
        <v>0.509130020172382</v>
      </c>
      <c r="M4">
        <v>0.490314322391344</v>
      </c>
      <c r="N4">
        <v>0.503693013020356</v>
      </c>
      <c r="O4">
        <v>0.500847606821933</v>
      </c>
      <c r="P4">
        <v>0.489502292316156</v>
      </c>
      <c r="Q4">
        <v>0.488200623509995</v>
      </c>
      <c r="R4">
        <v>0.488487804878049</v>
      </c>
      <c r="S4">
        <v>0.494256739409499</v>
      </c>
      <c r="T4">
        <v>0.508579130753714</v>
      </c>
      <c r="U4">
        <v>0.510691729323308</v>
      </c>
      <c r="V4">
        <v>0.474689895470383</v>
      </c>
      <c r="W4">
        <v>0.459114982578397</v>
      </c>
      <c r="X4">
        <v>0.468785989363653</v>
      </c>
      <c r="Y4">
        <v>0.453570511644966</v>
      </c>
      <c r="Z4">
        <v>0.50391344214194</v>
      </c>
      <c r="AA4">
        <v>0.535256556024207</v>
      </c>
      <c r="AB4">
        <v>0.526343297267559</v>
      </c>
      <c r="AC4">
        <v>0.530945901338713</v>
      </c>
      <c r="AD4">
        <v>0.522344030808729</v>
      </c>
      <c r="AE4">
        <v>0.529397395928846</v>
      </c>
      <c r="AF4">
        <v>0.535980561158995</v>
      </c>
      <c r="AG4">
        <v>0.521208875848157</v>
      </c>
      <c r="AH4">
        <v>0.558605171465248</v>
      </c>
      <c r="AI4">
        <v>0.544978910691363</v>
      </c>
      <c r="AJ4">
        <v>0.538734641481753</v>
      </c>
      <c r="AK4">
        <v>0.542367870896754</v>
      </c>
      <c r="AL4">
        <v>0.559486521181001</v>
      </c>
      <c r="AM4">
        <v>0.557121217678342</v>
      </c>
      <c r="AN4">
        <v>0.544750779387493</v>
      </c>
      <c r="AO4">
        <v>0.538042178617275</v>
      </c>
      <c r="AP4">
        <v>0.5598679625894</v>
      </c>
      <c r="AQ4">
        <v>0.581675041261691</v>
      </c>
      <c r="AR4">
        <v>0.566264074821199</v>
      </c>
      <c r="AS4">
        <v>0.560494039977994</v>
      </c>
      <c r="AT4">
        <v>0.530857876398313</v>
      </c>
      <c r="AU4">
        <v>0.530292682926829</v>
      </c>
      <c r="AV4">
        <v>0.551953420135705</v>
      </c>
      <c r="AW4">
        <v>0.557780304419585</v>
      </c>
      <c r="AX4">
        <v>0.547213277095177</v>
      </c>
      <c r="AY4">
        <v>0.530001833852925</v>
      </c>
      <c r="AZ4">
        <v>0.558395011920044</v>
      </c>
      <c r="BA4">
        <v>0.56416724738676</v>
      </c>
      <c r="BB4">
        <v>0.532241335044929</v>
      </c>
      <c r="BC4">
        <v>0.530151476251605</v>
      </c>
      <c r="BD4">
        <v>0.547806711901705</v>
      </c>
      <c r="BE4">
        <v>0.551199339812947</v>
      </c>
      <c r="BF4">
        <v>0.543775903172566</v>
      </c>
      <c r="BG4">
        <v>0.550465798642949</v>
      </c>
      <c r="BH4">
        <v>0.564317990097194</v>
      </c>
      <c r="BI4">
        <v>0.560641848523748</v>
      </c>
      <c r="BJ4">
        <v>0.564565193471484</v>
      </c>
      <c r="BK4">
        <v>0.566272510544654</v>
      </c>
      <c r="BL4">
        <v>0.561307170364937</v>
      </c>
      <c r="BM4">
        <v>0.558865578580598</v>
      </c>
      <c r="BN4">
        <v>0.555110214560792</v>
      </c>
      <c r="BO4">
        <v>0.562973042362003</v>
      </c>
      <c r="BP4">
        <v>0.580320924261874</v>
      </c>
      <c r="BQ4">
        <v>0.585244452594902</v>
      </c>
      <c r="BR4">
        <v>0.606993581514763</v>
      </c>
      <c r="BS4">
        <v>0.627158628278012</v>
      </c>
      <c r="BT4">
        <v>0.638639647900238</v>
      </c>
      <c r="BU4">
        <v>0.643215110948102</v>
      </c>
      <c r="BV4">
        <v>0.657141023289932</v>
      </c>
      <c r="BW4">
        <v>0.667725655602421</v>
      </c>
      <c r="BX4">
        <v>0.672957637997433</v>
      </c>
      <c r="BY4">
        <v>0.67807188703466</v>
      </c>
      <c r="BZ4">
        <v>0.682392444525949</v>
      </c>
      <c r="CA4">
        <v>0.689146891619292</v>
      </c>
      <c r="CB4">
        <v>0.684760682193288</v>
      </c>
      <c r="CC4">
        <v>0.677169264624977</v>
      </c>
      <c r="CD4">
        <v>0.672942967174033</v>
      </c>
      <c r="CE4">
        <v>0.665153860260407</v>
      </c>
      <c r="CF4">
        <v>0.658335595085274</v>
      </c>
      <c r="CG4">
        <v>0.655133321107647</v>
      </c>
      <c r="CH4">
        <v>0.625945351182835</v>
      </c>
      <c r="CI4">
        <v>0.614624610306253</v>
      </c>
      <c r="CJ4">
        <v>0.605364019805612</v>
      </c>
      <c r="CK4">
        <v>0.587897671006785</v>
      </c>
      <c r="CL4">
        <v>0.578841004951403</v>
      </c>
      <c r="CM4">
        <v>0.559341280029342</v>
      </c>
      <c r="CN4">
        <v>0.534254172015404</v>
      </c>
      <c r="CO4">
        <v>0.548740876581698</v>
      </c>
      <c r="CP4">
        <v>0.504316889785439</v>
      </c>
      <c r="CQ4">
        <v>0.46382761782505</v>
      </c>
      <c r="CR4">
        <v>0.466231799009719</v>
      </c>
      <c r="CS4">
        <v>0.462339629561709</v>
      </c>
    </row>
    <row r="5" spans="1:97">
      <c r="A5" s="2">
        <v>46238</v>
      </c>
      <c r="B5" cm="1">
        <f t="array" ref="B5:CS5">_xlfn._xlws.FILTER(_xlfn.TRIMRANGE(竞价空间!$B$2:$CS$1047693),_xlfn.TRIMRANGE(竞价空间!$A$2:$A$1047693)=A5)/_xlfn._xlws.FILTER(_xlfn.TRIMRANGE(实时开机!$B$2:$CS$32),_xlfn.TRIMRANGE(实时开机!$A$2:$A$32)=A5)</f>
        <v>0.468086191087475</v>
      </c>
      <c r="C5">
        <v>0.483076104896387</v>
      </c>
      <c r="D5">
        <v>0.451177700348432</v>
      </c>
      <c r="E5">
        <v>0.477008252338162</v>
      </c>
      <c r="F5">
        <v>0.479112781954887</v>
      </c>
      <c r="G5">
        <v>0.499397029158262</v>
      </c>
      <c r="H5">
        <v>0.483219145424537</v>
      </c>
      <c r="I5">
        <v>0.466604071153493</v>
      </c>
      <c r="J5">
        <v>0.482020905923345</v>
      </c>
      <c r="K5">
        <v>0.490765450210893</v>
      </c>
      <c r="L5">
        <v>0.490456996148909</v>
      </c>
      <c r="M5">
        <v>0.479818448560425</v>
      </c>
      <c r="N5">
        <v>0.477401430405281</v>
      </c>
      <c r="O5">
        <v>0.465505960022006</v>
      </c>
      <c r="P5">
        <v>0.481732624243536</v>
      </c>
      <c r="Q5">
        <v>0.473967357417935</v>
      </c>
      <c r="R5">
        <v>0.457364019805612</v>
      </c>
      <c r="S5">
        <v>0.473432239134421</v>
      </c>
      <c r="T5">
        <v>0.479041995231982</v>
      </c>
      <c r="U5">
        <v>0.498310654685494</v>
      </c>
      <c r="V5">
        <v>0.490503209242619</v>
      </c>
      <c r="W5">
        <v>0.488931597285898</v>
      </c>
      <c r="X5">
        <v>0.477572345497891</v>
      </c>
      <c r="Y5">
        <v>0.496416651384559</v>
      </c>
      <c r="Z5">
        <v>0.529715386026041</v>
      </c>
      <c r="AA5">
        <v>0.54010562992848</v>
      </c>
      <c r="AB5">
        <v>0.543226847606822</v>
      </c>
      <c r="AC5">
        <v>0.544946634879883</v>
      </c>
      <c r="AD5">
        <v>0.543700348432056</v>
      </c>
      <c r="AE5">
        <v>0.542164701614366</v>
      </c>
      <c r="AF5">
        <v>0.531563576999819</v>
      </c>
      <c r="AG5">
        <v>0.543214946490114</v>
      </c>
      <c r="AH5">
        <v>0.551302376201705</v>
      </c>
      <c r="AI5">
        <v>0.550460366406675</v>
      </c>
      <c r="AJ5">
        <v>0.5422245601306</v>
      </c>
      <c r="AK5">
        <v>0.544333393796481</v>
      </c>
      <c r="AL5">
        <v>0.564484309813169</v>
      </c>
      <c r="AM5">
        <v>0.57306947215672</v>
      </c>
      <c r="AN5">
        <v>0.560111735896971</v>
      </c>
      <c r="AO5">
        <v>0.553007799746055</v>
      </c>
      <c r="AP5">
        <v>0.573284600036278</v>
      </c>
      <c r="AQ5">
        <v>0.576033738436423</v>
      </c>
      <c r="AR5">
        <v>0.57132813350263</v>
      </c>
      <c r="AS5">
        <v>0.537423181570833</v>
      </c>
      <c r="AT5">
        <v>0.530906221657899</v>
      </c>
      <c r="AU5">
        <v>0.524166878287684</v>
      </c>
      <c r="AV5">
        <v>0.527881734083076</v>
      </c>
      <c r="AW5">
        <v>0.495936513694903</v>
      </c>
      <c r="AX5">
        <v>0.481137674587339</v>
      </c>
      <c r="AY5">
        <v>0.483418828224197</v>
      </c>
      <c r="AZ5">
        <v>0.465210230364593</v>
      </c>
      <c r="BA5">
        <v>0.464691819336115</v>
      </c>
      <c r="BB5">
        <v>0.484300380917831</v>
      </c>
      <c r="BC5">
        <v>0.49423725739162</v>
      </c>
      <c r="BD5">
        <v>0.473917286413931</v>
      </c>
      <c r="BE5">
        <v>0.45550117903138</v>
      </c>
      <c r="BF5">
        <v>0.480385271177217</v>
      </c>
      <c r="BG5">
        <v>0.495298748412842</v>
      </c>
      <c r="BH5">
        <v>0.496384182840559</v>
      </c>
      <c r="BI5">
        <v>0.504355160529657</v>
      </c>
      <c r="BJ5">
        <v>0.506969707962997</v>
      </c>
      <c r="BK5">
        <v>0.507620896063849</v>
      </c>
      <c r="BL5">
        <v>0.541382187556684</v>
      </c>
      <c r="BM5">
        <v>0.546406675131507</v>
      </c>
      <c r="BN5">
        <v>0.599973517141302</v>
      </c>
      <c r="BO5">
        <v>0.60345256666062</v>
      </c>
      <c r="BP5">
        <v>0.622745873390169</v>
      </c>
      <c r="BQ5">
        <v>0.634371122800653</v>
      </c>
      <c r="BR5">
        <v>0.671188826410303</v>
      </c>
      <c r="BS5">
        <v>0.699722836930891</v>
      </c>
      <c r="BT5">
        <v>0.708122982042445</v>
      </c>
      <c r="BU5">
        <v>0.723561400326501</v>
      </c>
      <c r="BV5">
        <v>0.742884092145837</v>
      </c>
      <c r="BW5">
        <v>0.755348449120261</v>
      </c>
      <c r="BX5">
        <v>0.741282786141847</v>
      </c>
      <c r="BY5">
        <v>0.736396880101578</v>
      </c>
      <c r="BZ5">
        <v>0.748602575730092</v>
      </c>
      <c r="CA5">
        <v>0.749593687647379</v>
      </c>
      <c r="CB5">
        <v>0.747246145474333</v>
      </c>
      <c r="CC5">
        <v>0.746122619263559</v>
      </c>
      <c r="CD5">
        <v>0.736865590422637</v>
      </c>
      <c r="CE5">
        <v>0.747517866860149</v>
      </c>
      <c r="CF5">
        <v>0.742792671866497</v>
      </c>
      <c r="CG5">
        <v>0.748761110103392</v>
      </c>
      <c r="CH5">
        <v>0.736713948848177</v>
      </c>
      <c r="CI5">
        <v>0.731670233992382</v>
      </c>
      <c r="CJ5">
        <v>0.732585162343552</v>
      </c>
      <c r="CK5">
        <v>0.720286232541266</v>
      </c>
      <c r="CL5">
        <v>0.682473426446581</v>
      </c>
      <c r="CM5">
        <v>0.651842191184473</v>
      </c>
      <c r="CN5">
        <v>0.644056593506258</v>
      </c>
      <c r="CO5">
        <v>0.611041900961364</v>
      </c>
      <c r="CP5">
        <v>0.588511155450753</v>
      </c>
      <c r="CQ5">
        <v>0.576036640667513</v>
      </c>
      <c r="CR5">
        <v>0.54896354072193</v>
      </c>
      <c r="CS5">
        <v>0.543242517685471</v>
      </c>
    </row>
    <row r="6" spans="1:97">
      <c r="A6" s="2">
        <v>46239</v>
      </c>
      <c r="B6" cm="1">
        <f t="array" ref="B6:CS6">_xlfn._xlws.FILTER(_xlfn.TRIMRANGE(竞价空间!$B$2:$CS$1047693),_xlfn.TRIMRANGE(竞价空间!$A$2:$A$1047693)=A6)/_xlfn._xlws.FILTER(_xlfn.TRIMRANGE(实时开机!$B$2:$CS$32),_xlfn.TRIMRANGE(实时开机!$A$2:$A$32)=A6)</f>
        <v>0.605761291492835</v>
      </c>
      <c r="C6">
        <v>0.61306366769454</v>
      </c>
      <c r="D6">
        <v>0.621293669508435</v>
      </c>
      <c r="E6">
        <v>0.628011608924361</v>
      </c>
      <c r="F6">
        <v>0.644420460729186</v>
      </c>
      <c r="G6">
        <v>0.644375838926175</v>
      </c>
      <c r="H6">
        <v>0.637932160348268</v>
      </c>
      <c r="I6">
        <v>0.628342100489751</v>
      </c>
      <c r="J6">
        <v>0.629541810266642</v>
      </c>
      <c r="K6">
        <v>0.629387266461092</v>
      </c>
      <c r="L6">
        <v>0.62758969707963</v>
      </c>
      <c r="M6">
        <v>0.624679122075095</v>
      </c>
      <c r="N6">
        <v>0.628345002720842</v>
      </c>
      <c r="O6">
        <v>0.62462905858879</v>
      </c>
      <c r="P6">
        <v>0.625969526573553</v>
      </c>
      <c r="Q6">
        <v>0.638040631235262</v>
      </c>
      <c r="R6">
        <v>0.615340105205877</v>
      </c>
      <c r="S6">
        <v>0.605099582804281</v>
      </c>
      <c r="T6">
        <v>0.598584799564665</v>
      </c>
      <c r="U6">
        <v>0.596194086704154</v>
      </c>
      <c r="V6">
        <v>0.568771630691094</v>
      </c>
      <c r="W6">
        <v>0.583820061672411</v>
      </c>
      <c r="X6">
        <v>0.594396517322692</v>
      </c>
      <c r="Y6">
        <v>0.576683838200617</v>
      </c>
      <c r="Z6">
        <v>0.577925993107201</v>
      </c>
      <c r="AA6">
        <v>0.585994558316706</v>
      </c>
      <c r="AB6">
        <v>0.602342463268638</v>
      </c>
      <c r="AC6">
        <v>0.611788499909305</v>
      </c>
      <c r="AD6">
        <v>0.606186468347542</v>
      </c>
      <c r="AE6">
        <v>0.603777616542717</v>
      </c>
      <c r="AF6">
        <v>0.598779974605478</v>
      </c>
      <c r="AG6">
        <v>0.582619626337747</v>
      </c>
      <c r="AH6">
        <v>0.570415381824778</v>
      </c>
      <c r="AI6">
        <v>0.57371413023762</v>
      </c>
      <c r="AJ6">
        <v>0.555461636132777</v>
      </c>
      <c r="AK6">
        <v>0.605629965536006</v>
      </c>
      <c r="AL6">
        <v>0.60784835842554</v>
      </c>
      <c r="AM6">
        <v>0.619599854888445</v>
      </c>
      <c r="AN6">
        <v>0.631445311082895</v>
      </c>
      <c r="AO6">
        <v>0.648094685289316</v>
      </c>
      <c r="AP6">
        <v>0.650602938508979</v>
      </c>
      <c r="AQ6">
        <v>0.679609649918375</v>
      </c>
      <c r="AR6">
        <v>0.68083620533285</v>
      </c>
      <c r="AS6">
        <v>0.662479956466534</v>
      </c>
      <c r="AT6">
        <v>0.656701614366044</v>
      </c>
      <c r="AU6">
        <v>0.646707056049338</v>
      </c>
      <c r="AV6">
        <v>0.652674043170687</v>
      </c>
      <c r="AW6">
        <v>0.659633956103755</v>
      </c>
      <c r="AX6">
        <v>0.654575004534736</v>
      </c>
      <c r="AY6">
        <v>0.649075639397787</v>
      </c>
      <c r="AZ6">
        <v>0.667963722111373</v>
      </c>
      <c r="BA6">
        <v>0.659176129149283</v>
      </c>
      <c r="BB6">
        <v>0.659532740794486</v>
      </c>
      <c r="BC6">
        <v>0.66631598040994</v>
      </c>
      <c r="BD6">
        <v>0.686111373118085</v>
      </c>
      <c r="BE6">
        <v>0.680743333937965</v>
      </c>
      <c r="BF6">
        <v>0.704861962633775</v>
      </c>
      <c r="BG6">
        <v>0.713946671503718</v>
      </c>
      <c r="BH6">
        <v>0.73396009432251</v>
      </c>
      <c r="BI6">
        <v>0.680438599673499</v>
      </c>
      <c r="BJ6">
        <v>0.657058588790132</v>
      </c>
      <c r="BK6">
        <v>0.655790676582623</v>
      </c>
      <c r="BL6">
        <v>0.67294794122982</v>
      </c>
      <c r="BM6">
        <v>0.651250861599855</v>
      </c>
      <c r="BN6">
        <v>0.686678033738436</v>
      </c>
      <c r="BO6">
        <v>0.723371304190096</v>
      </c>
      <c r="BP6">
        <v>0.779113731180845</v>
      </c>
      <c r="BQ6">
        <v>0.797422093234174</v>
      </c>
      <c r="BR6">
        <v>0.812742971159078</v>
      </c>
      <c r="BS6">
        <v>0.835155450752766</v>
      </c>
      <c r="BT6">
        <v>0.841455106112824</v>
      </c>
      <c r="BU6">
        <v>0.840023943406494</v>
      </c>
      <c r="BV6">
        <v>0.826553600580446</v>
      </c>
      <c r="BW6">
        <v>0.830018138944313</v>
      </c>
      <c r="BX6">
        <v>0.829496462905859</v>
      </c>
      <c r="BY6">
        <v>0.836727371666969</v>
      </c>
      <c r="BZ6">
        <v>0.841338291311446</v>
      </c>
      <c r="CA6">
        <v>0.848372211137312</v>
      </c>
      <c r="CB6">
        <v>0.852898240522402</v>
      </c>
      <c r="CC6">
        <v>0.849985488844549</v>
      </c>
      <c r="CD6">
        <v>0.837013241429349</v>
      </c>
      <c r="CE6">
        <v>0.855793578813713</v>
      </c>
      <c r="CF6">
        <v>0.850588790132414</v>
      </c>
      <c r="CG6">
        <v>0.851008162524941</v>
      </c>
      <c r="CH6">
        <v>0.844311264284419</v>
      </c>
      <c r="CI6">
        <v>0.824582260112461</v>
      </c>
      <c r="CJ6">
        <v>0.822513694902957</v>
      </c>
      <c r="CK6">
        <v>0.794858334844912</v>
      </c>
      <c r="CL6">
        <v>0.769988753854526</v>
      </c>
      <c r="CM6">
        <v>0.762766914565572</v>
      </c>
      <c r="CN6">
        <v>0.744252131325957</v>
      </c>
      <c r="CO6">
        <v>0.727262470524216</v>
      </c>
      <c r="CP6">
        <v>0.730818791946309</v>
      </c>
      <c r="CQ6">
        <v>0.72530963177943</v>
      </c>
      <c r="CR6">
        <v>0.722791583529839</v>
      </c>
      <c r="CS6">
        <v>0.701644839470343</v>
      </c>
    </row>
    <row r="7" spans="1:97">
      <c r="A7" s="2">
        <v>46240</v>
      </c>
      <c r="B7" cm="1">
        <f t="array" ref="B7:CS7">_xlfn._xlws.FILTER(_xlfn.TRIMRANGE(竞价空间!$B$2:$CS$1047693),_xlfn.TRIMRANGE(竞价空间!$A$2:$A$1047693)=A7)/_xlfn._xlws.FILTER(_xlfn.TRIMRANGE(实时开机!$B$2:$CS$32),_xlfn.TRIMRANGE(实时开机!$A$2:$A$32)=A7)</f>
        <v>0.713275530564121</v>
      </c>
      <c r="C7">
        <v>0.731647741701433</v>
      </c>
      <c r="D7">
        <v>0.738255033557047</v>
      </c>
      <c r="E7">
        <v>0.731777979321603</v>
      </c>
      <c r="F7">
        <v>0.717555233085434</v>
      </c>
      <c r="G7">
        <v>0.723398875385453</v>
      </c>
      <c r="H7">
        <v>0.725220750952295</v>
      </c>
      <c r="I7">
        <v>0.731576637039724</v>
      </c>
      <c r="J7">
        <v>0.74428586976238</v>
      </c>
      <c r="K7">
        <v>0.734832577543987</v>
      </c>
      <c r="L7">
        <v>0.731904226374025</v>
      </c>
      <c r="M7">
        <v>0.716030836205333</v>
      </c>
      <c r="N7">
        <v>0.721122075095229</v>
      </c>
      <c r="O7">
        <v>0.711943043714856</v>
      </c>
      <c r="P7">
        <v>0.712626881915473</v>
      </c>
      <c r="Q7">
        <v>0.702670052602938</v>
      </c>
      <c r="R7">
        <v>0.699145292943951</v>
      </c>
      <c r="S7">
        <v>0.692745873390169</v>
      </c>
      <c r="T7">
        <v>0.693168873571558</v>
      </c>
      <c r="U7">
        <v>0.69438889896608</v>
      </c>
      <c r="V7">
        <v>0.690480682024306</v>
      </c>
      <c r="W7">
        <v>0.68284200979503</v>
      </c>
      <c r="X7">
        <v>0.679287502267368</v>
      </c>
      <c r="Y7">
        <v>0.639226555414475</v>
      </c>
      <c r="Z7">
        <v>0.627863595138763</v>
      </c>
      <c r="AA7">
        <v>0.616189007799746</v>
      </c>
      <c r="AB7">
        <v>0.624849990930528</v>
      </c>
      <c r="AC7">
        <v>0.652970070741883</v>
      </c>
      <c r="AD7">
        <v>0.63899365136949</v>
      </c>
      <c r="AE7">
        <v>0.649630691093778</v>
      </c>
      <c r="AF7">
        <v>0.662446943587883</v>
      </c>
      <c r="AG7">
        <v>0.707544349718846</v>
      </c>
      <c r="AH7">
        <v>0.721370215853437</v>
      </c>
      <c r="AI7">
        <v>0.727587520406312</v>
      </c>
      <c r="AJ7">
        <v>0.724698712134954</v>
      </c>
      <c r="AK7">
        <v>0.703650643932523</v>
      </c>
      <c r="AL7">
        <v>0.704007255577725</v>
      </c>
      <c r="AM7">
        <v>0.712531108289498</v>
      </c>
      <c r="AN7">
        <v>0.688427716306911</v>
      </c>
      <c r="AO7">
        <v>0.699386540903319</v>
      </c>
      <c r="AP7">
        <v>0.676445855251224</v>
      </c>
      <c r="AQ7">
        <v>0.67818284055868</v>
      </c>
      <c r="AR7">
        <v>0.671050607654634</v>
      </c>
      <c r="AS7">
        <v>0.661117721748594</v>
      </c>
      <c r="AT7">
        <v>0.663950299292581</v>
      </c>
      <c r="AU7">
        <v>0.661449301650644</v>
      </c>
      <c r="AV7">
        <v>0.66400290223109</v>
      </c>
      <c r="AW7">
        <v>0.66666896426628</v>
      </c>
      <c r="AX7">
        <v>0.66019154725195</v>
      </c>
      <c r="AY7">
        <v>0.649170324687103</v>
      </c>
      <c r="AZ7">
        <v>0.651265009976419</v>
      </c>
      <c r="BA7">
        <v>0.635601306003991</v>
      </c>
      <c r="BB7">
        <v>0.650456738617813</v>
      </c>
      <c r="BC7">
        <v>0.653228732087793</v>
      </c>
      <c r="BD7">
        <v>0.661592962089606</v>
      </c>
      <c r="BE7">
        <v>0.662179212769817</v>
      </c>
      <c r="BF7">
        <v>0.667768909849447</v>
      </c>
      <c r="BG7">
        <v>0.676438599673499</v>
      </c>
      <c r="BH7">
        <v>0.679272991111917</v>
      </c>
      <c r="BI7">
        <v>0.699098131688736</v>
      </c>
      <c r="BJ7">
        <v>0.682562670052603</v>
      </c>
      <c r="BK7">
        <v>0.711179031380374</v>
      </c>
      <c r="BL7">
        <v>0.721854525666606</v>
      </c>
      <c r="BM7">
        <v>0.741069834935607</v>
      </c>
      <c r="BN7">
        <v>0.740721204425902</v>
      </c>
      <c r="BO7">
        <v>0.747910393615092</v>
      </c>
      <c r="BP7">
        <v>0.763251224378741</v>
      </c>
      <c r="BQ7">
        <v>0.775245782695447</v>
      </c>
      <c r="BR7">
        <v>0.797587883185199</v>
      </c>
      <c r="BS7">
        <v>0.803421367676401</v>
      </c>
      <c r="BT7">
        <v>0.829484491202612</v>
      </c>
      <c r="BU7">
        <v>0.854462905858879</v>
      </c>
      <c r="BV7">
        <v>0.834982405224016</v>
      </c>
      <c r="BW7">
        <v>0.835209867585707</v>
      </c>
      <c r="BX7">
        <v>0.833239252675494</v>
      </c>
      <c r="BY7">
        <v>0.810990023580628</v>
      </c>
      <c r="BZ7">
        <v>0.838481407582079</v>
      </c>
      <c r="CA7">
        <v>0.845875204063124</v>
      </c>
      <c r="CB7">
        <v>0.846417195719209</v>
      </c>
      <c r="CC7">
        <v>0.849158715762743</v>
      </c>
      <c r="CD7">
        <v>0.839227643751134</v>
      </c>
      <c r="CE7">
        <v>0.835573009250862</v>
      </c>
      <c r="CF7">
        <v>0.83758679484854</v>
      </c>
      <c r="CG7">
        <v>0.845335751859242</v>
      </c>
      <c r="CH7">
        <v>0.815933611463813</v>
      </c>
      <c r="CI7">
        <v>0.83310067114094</v>
      </c>
      <c r="CJ7">
        <v>0.804868855432614</v>
      </c>
      <c r="CK7">
        <v>0.76652893161618</v>
      </c>
      <c r="CL7">
        <v>0.714876111010339</v>
      </c>
      <c r="CM7">
        <v>0.71250172319971</v>
      </c>
      <c r="CN7">
        <v>0.716577181208054</v>
      </c>
      <c r="CO7">
        <v>0.729004534736078</v>
      </c>
      <c r="CP7">
        <v>0.73438889896608</v>
      </c>
      <c r="CQ7">
        <v>0.728660983130782</v>
      </c>
      <c r="CR7">
        <v>0.702641393070923</v>
      </c>
      <c r="CS7">
        <v>0.684794122982042</v>
      </c>
    </row>
    <row r="8" spans="1:97">
      <c r="A8" s="2">
        <v>46241</v>
      </c>
      <c r="B8" cm="1">
        <f t="array" ref="B8:CS8">_xlfn._xlws.FILTER(_xlfn.TRIMRANGE(竞价空间!$B$2:$CS$1047693),_xlfn.TRIMRANGE(竞价空间!$A$2:$A$1047693)=A8)/_xlfn._xlws.FILTER(_xlfn.TRIMRANGE(实时开机!$B$2:$CS$32),_xlfn.TRIMRANGE(实时开机!$A$2:$A$32)=A8)</f>
        <v>0.61875100255195</v>
      </c>
      <c r="C8">
        <v>0.591239924670433</v>
      </c>
      <c r="D8">
        <v>0.565476571428571</v>
      </c>
      <c r="E8">
        <v>0.535339813374806</v>
      </c>
      <c r="F8">
        <v>0.518387883556255</v>
      </c>
      <c r="G8">
        <v>0.496035798583792</v>
      </c>
      <c r="H8">
        <v>0.454968528717545</v>
      </c>
      <c r="I8">
        <v>0.442724920382166</v>
      </c>
      <c r="J8">
        <v>0.476432722929936</v>
      </c>
      <c r="K8">
        <v>0.468298168789809</v>
      </c>
      <c r="L8">
        <v>0.463946257961783</v>
      </c>
      <c r="M8">
        <v>0.462955015923567</v>
      </c>
      <c r="N8">
        <v>0.470194267515924</v>
      </c>
      <c r="O8">
        <v>0.465741147741148</v>
      </c>
      <c r="P8">
        <v>0.438855107855108</v>
      </c>
      <c r="Q8">
        <v>0.404027269027269</v>
      </c>
      <c r="R8">
        <v>0.388426536426536</v>
      </c>
      <c r="S8">
        <v>0.357685795685796</v>
      </c>
      <c r="T8">
        <v>0.346590557590558</v>
      </c>
      <c r="U8">
        <v>0.339026862026862</v>
      </c>
      <c r="V8">
        <v>0.337437932437932</v>
      </c>
      <c r="W8">
        <v>0.31768253968254</v>
      </c>
      <c r="X8">
        <v>0.317474969474969</v>
      </c>
      <c r="Y8">
        <v>0.331717541717542</v>
      </c>
      <c r="Z8">
        <v>0.344003663003663</v>
      </c>
      <c r="AA8">
        <v>0.329348392348392</v>
      </c>
      <c r="AB8">
        <v>0.319383801383801</v>
      </c>
      <c r="AC8">
        <v>0.320566544566545</v>
      </c>
      <c r="AD8">
        <v>0.320035816035816</v>
      </c>
      <c r="AE8">
        <v>0.34112617012617</v>
      </c>
      <c r="AF8">
        <v>0.335314204314204</v>
      </c>
      <c r="AG8">
        <v>0.337375661375661</v>
      </c>
      <c r="AH8">
        <v>0.341512820512821</v>
      </c>
      <c r="AI8">
        <v>0.354357753357753</v>
      </c>
      <c r="AJ8">
        <v>0.361331705331706</v>
      </c>
      <c r="AK8">
        <v>0.36538258038258</v>
      </c>
      <c r="AL8">
        <v>0.362804232804233</v>
      </c>
      <c r="AM8">
        <v>0.366525844525845</v>
      </c>
      <c r="AN8">
        <v>0.369015466015466</v>
      </c>
      <c r="AO8">
        <v>0.372316239316239</v>
      </c>
      <c r="AP8">
        <v>0.364781440781441</v>
      </c>
      <c r="AQ8">
        <v>0.381159544159544</v>
      </c>
      <c r="AR8">
        <v>0.375782254782255</v>
      </c>
      <c r="AS8">
        <v>0.355700447700448</v>
      </c>
      <c r="AT8">
        <v>0.370749694749695</v>
      </c>
      <c r="AU8">
        <v>0.366877085877086</v>
      </c>
      <c r="AV8">
        <v>0.383888074888075</v>
      </c>
      <c r="AW8">
        <v>0.386905168905169</v>
      </c>
      <c r="AX8">
        <v>0.381905168905169</v>
      </c>
      <c r="AY8">
        <v>0.368426536426536</v>
      </c>
      <c r="AZ8">
        <v>0.375161172161172</v>
      </c>
      <c r="BA8">
        <v>0.382722018722019</v>
      </c>
      <c r="BB8">
        <v>0.380382173382174</v>
      </c>
      <c r="BC8">
        <v>0.384185592185592</v>
      </c>
      <c r="BD8">
        <v>0.362327635327636</v>
      </c>
      <c r="BE8">
        <v>0.373017908017908</v>
      </c>
      <c r="BF8">
        <v>0.3722035002035</v>
      </c>
      <c r="BG8">
        <v>0.364248270248271</v>
      </c>
      <c r="BH8">
        <v>0.364923483923484</v>
      </c>
      <c r="BI8">
        <v>0.362286528286528</v>
      </c>
      <c r="BJ8">
        <v>0.359689865689866</v>
      </c>
      <c r="BK8">
        <v>0.361412698412698</v>
      </c>
      <c r="BL8">
        <v>0.368122507122507</v>
      </c>
      <c r="BM8">
        <v>0.364941798941799</v>
      </c>
      <c r="BN8">
        <v>0.365700447700448</v>
      </c>
      <c r="BO8">
        <v>0.37044363044363</v>
      </c>
      <c r="BP8">
        <v>0.369377696377696</v>
      </c>
      <c r="BQ8">
        <v>0.368375661375662</v>
      </c>
      <c r="BR8">
        <v>0.38194301994302</v>
      </c>
      <c r="BS8">
        <v>0.395942205942206</v>
      </c>
      <c r="BT8">
        <v>0.398033374033374</v>
      </c>
      <c r="BU8">
        <v>0.369835978835979</v>
      </c>
      <c r="BV8">
        <v>0.390321123321123</v>
      </c>
      <c r="BW8">
        <v>0.381969067969068</v>
      </c>
      <c r="BX8">
        <v>0.376437118437118</v>
      </c>
      <c r="BY8">
        <v>0.368351648351648</v>
      </c>
      <c r="BZ8">
        <v>0.362894993894994</v>
      </c>
      <c r="CA8">
        <v>0.361990638990639</v>
      </c>
      <c r="CB8">
        <v>0.386290191290191</v>
      </c>
      <c r="CC8">
        <v>0.363910052910053</v>
      </c>
      <c r="CD8">
        <v>0.375227513227513</v>
      </c>
      <c r="CE8">
        <v>0.391745217745218</v>
      </c>
      <c r="CF8">
        <v>0.379702075702076</v>
      </c>
      <c r="CG8">
        <v>0.373499389499389</v>
      </c>
      <c r="CH8">
        <v>0.362632885632886</v>
      </c>
      <c r="CI8">
        <v>0.361768416768417</v>
      </c>
      <c r="CJ8">
        <v>0.385616421314534</v>
      </c>
      <c r="CK8">
        <v>0.382000834028357</v>
      </c>
      <c r="CL8">
        <v>0.369158783783784</v>
      </c>
      <c r="CM8">
        <v>0.369129222972973</v>
      </c>
      <c r="CN8">
        <v>0.36763266180883</v>
      </c>
      <c r="CO8">
        <v>0.380189662724485</v>
      </c>
      <c r="CP8">
        <v>0.344256679807271</v>
      </c>
      <c r="CQ8">
        <v>0.34079194042926</v>
      </c>
      <c r="CR8">
        <v>0.308037669732808</v>
      </c>
      <c r="CS8">
        <v>0.322225142356548</v>
      </c>
    </row>
    <row r="9" spans="1:97">
      <c r="A9" s="2">
        <v>46242</v>
      </c>
      <c r="B9" cm="1">
        <f t="array" ref="B9:CS9">_xlfn._xlws.FILTER(_xlfn.TRIMRANGE(竞价空间!$B$2:$CS$1047693),_xlfn.TRIMRANGE(竞价空间!$A$2:$A$1047693)=A9)/_xlfn._xlws.FILTER(_xlfn.TRIMRANGE(实时开机!$B$2:$CS$32),_xlfn.TRIMRANGE(实时开机!$A$2:$A$32)=A9)</f>
        <v>0.355699733096085</v>
      </c>
      <c r="C9">
        <v>0.369197508896797</v>
      </c>
      <c r="D9">
        <v>0.404480427046263</v>
      </c>
      <c r="E9">
        <v>0.410742882562278</v>
      </c>
      <c r="F9">
        <v>0.405627224199288</v>
      </c>
      <c r="G9">
        <v>0.401893238434164</v>
      </c>
      <c r="H9">
        <v>0.373193060498221</v>
      </c>
      <c r="I9">
        <v>0.365264679715302</v>
      </c>
      <c r="J9">
        <v>0.38172909252669</v>
      </c>
      <c r="K9">
        <v>0.369126334519573</v>
      </c>
      <c r="L9">
        <v>0.367935943060498</v>
      </c>
      <c r="M9">
        <v>0.360199733096085</v>
      </c>
      <c r="N9">
        <v>0.388428825622776</v>
      </c>
      <c r="O9">
        <v>0.400739323843416</v>
      </c>
      <c r="P9">
        <v>0.404219306049822</v>
      </c>
      <c r="Q9">
        <v>0.398157473309609</v>
      </c>
      <c r="R9">
        <v>0.375487099644128</v>
      </c>
      <c r="S9">
        <v>0.381564501779359</v>
      </c>
      <c r="T9">
        <v>0.389132117437722</v>
      </c>
      <c r="U9">
        <v>0.397665480427046</v>
      </c>
      <c r="V9">
        <v>0.418641014234875</v>
      </c>
      <c r="W9">
        <v>0.403401690391459</v>
      </c>
      <c r="X9">
        <v>0.388971085409253</v>
      </c>
      <c r="Y9">
        <v>0.3823371886121</v>
      </c>
      <c r="Z9">
        <v>0.403669483985765</v>
      </c>
      <c r="AA9">
        <v>0.415538701067616</v>
      </c>
      <c r="AB9">
        <v>0.412740658362989</v>
      </c>
      <c r="AC9">
        <v>0.399135231316726</v>
      </c>
      <c r="AD9">
        <v>0.358139234875445</v>
      </c>
      <c r="AE9">
        <v>0.329261565836299</v>
      </c>
      <c r="AF9">
        <v>0.316124555160142</v>
      </c>
      <c r="AG9">
        <v>0.301891459074733</v>
      </c>
      <c r="AH9">
        <v>0.312093416370107</v>
      </c>
      <c r="AI9">
        <v>0.320876334519573</v>
      </c>
      <c r="AJ9">
        <v>0.320547597864769</v>
      </c>
      <c r="AK9">
        <v>0.315987989323843</v>
      </c>
      <c r="AL9">
        <v>0.313909697508897</v>
      </c>
      <c r="AM9">
        <v>0.315783362989324</v>
      </c>
      <c r="AN9">
        <v>0.314468416370107</v>
      </c>
      <c r="AO9">
        <v>0.31927090747331</v>
      </c>
      <c r="AP9">
        <v>0.31235409252669</v>
      </c>
      <c r="AQ9">
        <v>0.316465302491103</v>
      </c>
      <c r="AR9">
        <v>0.318303825622776</v>
      </c>
      <c r="AS9">
        <v>0.313279359430605</v>
      </c>
      <c r="AT9">
        <v>0.31340524911032</v>
      </c>
      <c r="AU9">
        <v>0.314614323843416</v>
      </c>
      <c r="AV9">
        <v>0.315326512455516</v>
      </c>
      <c r="AW9">
        <v>0.310608540925267</v>
      </c>
      <c r="AX9">
        <v>0.310472419928826</v>
      </c>
      <c r="AY9">
        <v>0.311037366548043</v>
      </c>
      <c r="AZ9">
        <v>0.310945284697509</v>
      </c>
      <c r="BA9">
        <v>0.306752669039146</v>
      </c>
      <c r="BB9">
        <v>0.304689946619217</v>
      </c>
      <c r="BC9">
        <v>0.301965747330961</v>
      </c>
      <c r="BD9">
        <v>0.315181494661922</v>
      </c>
      <c r="BE9">
        <v>0.31324243772242</v>
      </c>
      <c r="BF9">
        <v>0.320222419928826</v>
      </c>
      <c r="BG9">
        <v>0.31983896797153</v>
      </c>
      <c r="BH9">
        <v>0.320211743772242</v>
      </c>
      <c r="BI9">
        <v>0.313086743772242</v>
      </c>
      <c r="BJ9">
        <v>0.316678380782918</v>
      </c>
      <c r="BK9">
        <v>0.315049822064057</v>
      </c>
      <c r="BL9">
        <v>0.310404804270463</v>
      </c>
      <c r="BM9">
        <v>0.330806939501779</v>
      </c>
      <c r="BN9">
        <v>0.316494217081851</v>
      </c>
      <c r="BO9">
        <v>0.328133451957295</v>
      </c>
      <c r="BP9">
        <v>0.386972864768683</v>
      </c>
      <c r="BQ9">
        <v>0.438225978647687</v>
      </c>
      <c r="BR9">
        <v>0.456449733096085</v>
      </c>
      <c r="BS9">
        <v>0.505132117437722</v>
      </c>
      <c r="BT9">
        <v>0.510937722419929</v>
      </c>
      <c r="BU9">
        <v>0.530364323843416</v>
      </c>
      <c r="BV9">
        <v>0.520342081850534</v>
      </c>
      <c r="BW9">
        <v>0.494302935943061</v>
      </c>
      <c r="BX9">
        <v>0.474790035587189</v>
      </c>
      <c r="BY9">
        <v>0.415346975088968</v>
      </c>
      <c r="BZ9">
        <v>0.399504448398577</v>
      </c>
      <c r="CA9">
        <v>0.396853202846975</v>
      </c>
      <c r="CB9">
        <v>0.398002669039145</v>
      </c>
      <c r="CC9">
        <v>0.394019572953737</v>
      </c>
      <c r="CD9">
        <v>0.396483985765125</v>
      </c>
      <c r="CE9">
        <v>0.390713078291815</v>
      </c>
      <c r="CF9">
        <v>0.37452846975089</v>
      </c>
      <c r="CG9">
        <v>0.347418149466192</v>
      </c>
      <c r="CH9">
        <v>0.378915925266904</v>
      </c>
      <c r="CI9">
        <v>0.347118327402135</v>
      </c>
      <c r="CJ9">
        <v>0.350739768683274</v>
      </c>
      <c r="CK9">
        <v>0.332644572953737</v>
      </c>
      <c r="CL9">
        <v>0.360262900355872</v>
      </c>
      <c r="CM9">
        <v>0.374019572953737</v>
      </c>
      <c r="CN9">
        <v>0.390898131672598</v>
      </c>
      <c r="CO9">
        <v>0.404752224199288</v>
      </c>
      <c r="CP9">
        <v>0.43730115658363</v>
      </c>
      <c r="CQ9">
        <v>0.435699288256228</v>
      </c>
      <c r="CR9">
        <v>0.412161476868327</v>
      </c>
      <c r="CS9">
        <v>0.402859430604982</v>
      </c>
    </row>
    <row r="10" spans="1:97">
      <c r="A10" s="2">
        <v>46243</v>
      </c>
      <c r="B10" cm="1">
        <f t="array" ref="B10:CS10">_xlfn._xlws.FILTER(_xlfn.TRIMRANGE(竞价空间!$B$2:$CS$1047693),_xlfn.TRIMRANGE(竞价空间!$A$2:$A$1047693)=A10)/_xlfn._xlws.FILTER(_xlfn.TRIMRANGE(实时开机!$B$2:$CS$32),_xlfn.TRIMRANGE(实时开机!$A$2:$A$32)=A10)</f>
        <v>0.407080960854093</v>
      </c>
      <c r="C10">
        <v>0.422778024911032</v>
      </c>
      <c r="D10">
        <v>0.437790035587189</v>
      </c>
      <c r="E10">
        <v>0.435337633451957</v>
      </c>
      <c r="F10">
        <v>0.445320284697509</v>
      </c>
      <c r="G10">
        <v>0.468826957295374</v>
      </c>
      <c r="H10">
        <v>0.478203291814947</v>
      </c>
      <c r="I10">
        <v>0.477532473309609</v>
      </c>
      <c r="J10">
        <v>0.44533140569395</v>
      </c>
      <c r="K10">
        <v>0.448354982206406</v>
      </c>
      <c r="L10">
        <v>0.447375</v>
      </c>
      <c r="M10">
        <v>0.446365213523132</v>
      </c>
      <c r="N10">
        <v>0.480064501779359</v>
      </c>
      <c r="O10">
        <v>0.475761565836299</v>
      </c>
      <c r="P10">
        <v>0.460371886120996</v>
      </c>
      <c r="Q10">
        <v>0.456226423487544</v>
      </c>
      <c r="R10">
        <v>0.425202846975089</v>
      </c>
      <c r="S10">
        <v>0.435736209964413</v>
      </c>
      <c r="T10">
        <v>0.430697953736655</v>
      </c>
      <c r="U10">
        <v>0.42517615658363</v>
      </c>
      <c r="V10">
        <v>0.375452846975089</v>
      </c>
      <c r="W10">
        <v>0.373965302491103</v>
      </c>
      <c r="X10">
        <v>0.394273576512456</v>
      </c>
      <c r="Y10">
        <v>0.409725978647687</v>
      </c>
      <c r="Z10">
        <v>0.467577846975089</v>
      </c>
      <c r="AA10">
        <v>0.485526245551601</v>
      </c>
      <c r="AB10">
        <v>0.502687722419929</v>
      </c>
      <c r="AC10">
        <v>0.504748220640569</v>
      </c>
      <c r="AD10">
        <v>0.454175266903915</v>
      </c>
      <c r="AE10">
        <v>0.449790925266904</v>
      </c>
      <c r="AF10">
        <v>0.441528024911032</v>
      </c>
      <c r="AG10">
        <v>0.429443060498221</v>
      </c>
      <c r="AH10">
        <v>0.417334074733096</v>
      </c>
      <c r="AI10">
        <v>0.390384341637011</v>
      </c>
      <c r="AJ10">
        <v>0.371842971530249</v>
      </c>
      <c r="AK10">
        <v>0.358901690391459</v>
      </c>
      <c r="AL10">
        <v>0.334883007117438</v>
      </c>
      <c r="AM10">
        <v>0.363168149466192</v>
      </c>
      <c r="AN10">
        <v>0.364074288256228</v>
      </c>
      <c r="AO10">
        <v>0.344417259786477</v>
      </c>
      <c r="AP10">
        <v>0.356207740213523</v>
      </c>
      <c r="AQ10">
        <v>0.343476868327402</v>
      </c>
      <c r="AR10">
        <v>0.350487544483986</v>
      </c>
      <c r="AS10">
        <v>0.346565391459075</v>
      </c>
      <c r="AT10">
        <v>0.345125</v>
      </c>
      <c r="AU10">
        <v>0.34034475088968</v>
      </c>
      <c r="AV10">
        <v>0.339068505338078</v>
      </c>
      <c r="AW10">
        <v>0.33853603202847</v>
      </c>
      <c r="AX10">
        <v>0.369430604982206</v>
      </c>
      <c r="AY10">
        <v>0.372718861209964</v>
      </c>
      <c r="AZ10">
        <v>0.38933140569395</v>
      </c>
      <c r="BA10">
        <v>0.382226868327402</v>
      </c>
      <c r="BB10">
        <v>0.372869217081851</v>
      </c>
      <c r="BC10">
        <v>0.378685943060498</v>
      </c>
      <c r="BD10">
        <v>0.396195729537367</v>
      </c>
      <c r="BE10">
        <v>0.382851868327402</v>
      </c>
      <c r="BF10">
        <v>0.421762900355872</v>
      </c>
      <c r="BG10">
        <v>0.438876779359431</v>
      </c>
      <c r="BH10">
        <v>0.405967526690391</v>
      </c>
      <c r="BI10">
        <v>0.42620640569395</v>
      </c>
      <c r="BJ10">
        <v>0.429636120996441</v>
      </c>
      <c r="BK10">
        <v>0.441662366548043</v>
      </c>
      <c r="BL10">
        <v>0.464588078291815</v>
      </c>
      <c r="BM10">
        <v>0.483806939501779</v>
      </c>
      <c r="BN10">
        <v>0.546093861209964</v>
      </c>
      <c r="BO10">
        <v>0.577046708185053</v>
      </c>
      <c r="BP10">
        <v>0.592422597864769</v>
      </c>
      <c r="BQ10">
        <v>0.644197064056939</v>
      </c>
      <c r="BR10">
        <v>0.689878558718861</v>
      </c>
      <c r="BS10">
        <v>0.699655693950178</v>
      </c>
      <c r="BT10">
        <v>0.722376779359431</v>
      </c>
      <c r="BU10">
        <v>0.713997330960854</v>
      </c>
      <c r="BV10">
        <v>0.707407918149466</v>
      </c>
      <c r="BW10">
        <v>0.698410142348754</v>
      </c>
      <c r="BX10">
        <v>0.698380338078292</v>
      </c>
      <c r="BY10">
        <v>0.693565836298932</v>
      </c>
      <c r="BZ10">
        <v>0.684136565836299</v>
      </c>
      <c r="CA10">
        <v>0.691228202846975</v>
      </c>
      <c r="CB10">
        <v>0.698100088967972</v>
      </c>
      <c r="CC10">
        <v>0.681237544483986</v>
      </c>
      <c r="CD10">
        <v>0.660000889679715</v>
      </c>
      <c r="CE10">
        <v>0.664050711743772</v>
      </c>
      <c r="CF10">
        <v>0.659531138790036</v>
      </c>
      <c r="CG10">
        <v>0.668687277580071</v>
      </c>
      <c r="CH10">
        <v>0.634838523131673</v>
      </c>
      <c r="CI10">
        <v>0.607158807829182</v>
      </c>
      <c r="CJ10">
        <v>0.595489768683274</v>
      </c>
      <c r="CK10">
        <v>0.564981316725979</v>
      </c>
      <c r="CL10">
        <v>0.563054270462633</v>
      </c>
      <c r="CM10">
        <v>0.574163256227758</v>
      </c>
      <c r="CN10">
        <v>0.590814501779359</v>
      </c>
      <c r="CO10">
        <v>0.616987099644128</v>
      </c>
      <c r="CP10">
        <v>0.583504893238434</v>
      </c>
      <c r="CQ10">
        <v>0.576025355871886</v>
      </c>
      <c r="CR10">
        <v>0.583731316725979</v>
      </c>
      <c r="CS10">
        <v>0.575443950177936</v>
      </c>
    </row>
    <row r="11" spans="1:97">
      <c r="A11" s="2">
        <v>46244</v>
      </c>
      <c r="B11" cm="1">
        <f t="array" ref="B11:CS11">_xlfn._xlws.FILTER(_xlfn.TRIMRANGE(竞价空间!$B$2:$CS$1047693),_xlfn.TRIMRANGE(竞价空间!$A$2:$A$1047693)=A11)/_xlfn._xlws.FILTER(_xlfn.TRIMRANGE(实时开机!$B$2:$CS$32),_xlfn.TRIMRANGE(实时开机!$A$2:$A$32)=A11)</f>
        <v>0.575519572953737</v>
      </c>
      <c r="C11">
        <v>0.55799421708185</v>
      </c>
      <c r="D11">
        <v>0.548913701067616</v>
      </c>
      <c r="E11">
        <v>0.536675711743772</v>
      </c>
      <c r="F11">
        <v>0.536591192170819</v>
      </c>
      <c r="G11">
        <v>0.557289145907473</v>
      </c>
      <c r="H11">
        <v>0.55726334519573</v>
      </c>
      <c r="I11">
        <v>0.548337633451957</v>
      </c>
      <c r="J11">
        <v>0.516776690391459</v>
      </c>
      <c r="K11">
        <v>0.508958629893238</v>
      </c>
      <c r="L11">
        <v>0.506387568555759</v>
      </c>
      <c r="M11">
        <v>0.513587294332724</v>
      </c>
      <c r="N11">
        <v>0.500679616087751</v>
      </c>
      <c r="O11">
        <v>0.502445155393053</v>
      </c>
      <c r="P11">
        <v>0.493418647166362</v>
      </c>
      <c r="Q11">
        <v>0.494861517367459</v>
      </c>
      <c r="R11">
        <v>0.495601919561243</v>
      </c>
      <c r="S11">
        <v>0.484767824497258</v>
      </c>
      <c r="T11">
        <v>0.47859689213894</v>
      </c>
      <c r="U11">
        <v>0.480283363802559</v>
      </c>
      <c r="V11">
        <v>0.495130255941499</v>
      </c>
      <c r="W11">
        <v>0.499874314442413</v>
      </c>
      <c r="X11">
        <v>0.489243814664867</v>
      </c>
      <c r="Y11">
        <v>0.48872154745839</v>
      </c>
      <c r="Z11">
        <v>0.507818263607737</v>
      </c>
      <c r="AA11">
        <v>0.485892037786775</v>
      </c>
      <c r="AB11">
        <v>0.466750337381916</v>
      </c>
      <c r="AC11">
        <v>0.468748088169141</v>
      </c>
      <c r="AD11">
        <v>0.444486279802069</v>
      </c>
      <c r="AE11">
        <v>0.458606837606838</v>
      </c>
      <c r="AF11">
        <v>0.451921727395412</v>
      </c>
      <c r="AG11">
        <v>0.473835357624831</v>
      </c>
      <c r="AH11">
        <v>0.473954116059379</v>
      </c>
      <c r="AI11">
        <v>0.484219973009447</v>
      </c>
      <c r="AJ11">
        <v>0.454341430499325</v>
      </c>
      <c r="AK11">
        <v>0.456789923526766</v>
      </c>
      <c r="AL11">
        <v>0.414327935222672</v>
      </c>
      <c r="AM11">
        <v>0.43406342780027</v>
      </c>
      <c r="AN11">
        <v>0.405971659919028</v>
      </c>
      <c r="AO11">
        <v>0.371799820062978</v>
      </c>
      <c r="AP11">
        <v>0.37578497525866</v>
      </c>
      <c r="AQ11">
        <v>0.357973459289249</v>
      </c>
      <c r="AR11">
        <v>0.360648672964462</v>
      </c>
      <c r="AS11">
        <v>0.349391812865497</v>
      </c>
      <c r="AT11">
        <v>0.348343229869545</v>
      </c>
      <c r="AU11">
        <v>0.359928025191183</v>
      </c>
      <c r="AV11">
        <v>0.350706702654071</v>
      </c>
      <c r="AW11">
        <v>0.332231668915879</v>
      </c>
      <c r="AX11">
        <v>0.344258226691042</v>
      </c>
      <c r="AY11">
        <v>0.319988117001828</v>
      </c>
      <c r="AZ11">
        <v>0.344688299817185</v>
      </c>
      <c r="BA11">
        <v>0.323477148080439</v>
      </c>
      <c r="BB11">
        <v>0.33345521023766</v>
      </c>
      <c r="BC11">
        <v>0.338371115173675</v>
      </c>
      <c r="BD11">
        <v>0.337997257769653</v>
      </c>
      <c r="BE11">
        <v>0.320755027422303</v>
      </c>
      <c r="BF11">
        <v>0.344183272394881</v>
      </c>
      <c r="BG11">
        <v>0.355571755027422</v>
      </c>
      <c r="BH11">
        <v>0.34564168190128</v>
      </c>
      <c r="BI11">
        <v>0.343861517367459</v>
      </c>
      <c r="BJ11">
        <v>0.335432815356489</v>
      </c>
      <c r="BK11">
        <v>0.33754844606947</v>
      </c>
      <c r="BL11">
        <v>0.36058592321755</v>
      </c>
      <c r="BM11">
        <v>0.409301645338208</v>
      </c>
      <c r="BN11">
        <v>0.389572212065814</v>
      </c>
      <c r="BO11">
        <v>0.406037934186472</v>
      </c>
      <c r="BP11">
        <v>0.440119744058501</v>
      </c>
      <c r="BQ11">
        <v>0.437908592321755</v>
      </c>
      <c r="BR11">
        <v>0.452667276051188</v>
      </c>
      <c r="BS11">
        <v>0.470633455210238</v>
      </c>
      <c r="BT11">
        <v>0.486821755027422</v>
      </c>
      <c r="BU11">
        <v>0.509361060329068</v>
      </c>
      <c r="BV11">
        <v>0.492475319926874</v>
      </c>
      <c r="BW11">
        <v>0.513840950639854</v>
      </c>
      <c r="BX11">
        <v>0.508235374771481</v>
      </c>
      <c r="BY11">
        <v>0.510391224862888</v>
      </c>
      <c r="BZ11">
        <v>0.50460466179159</v>
      </c>
      <c r="CA11">
        <v>0.517055758683729</v>
      </c>
      <c r="CB11">
        <v>0.487009597806216</v>
      </c>
      <c r="CC11">
        <v>0.523793875685558</v>
      </c>
      <c r="CD11">
        <v>0.481926873857404</v>
      </c>
      <c r="CE11">
        <v>0.485050274223035</v>
      </c>
      <c r="CF11">
        <v>0.482542961608775</v>
      </c>
      <c r="CG11">
        <v>0.484830895795247</v>
      </c>
      <c r="CH11">
        <v>0.477882998171846</v>
      </c>
      <c r="CI11">
        <v>0.45677970749543</v>
      </c>
      <c r="CJ11">
        <v>0.462718464351005</v>
      </c>
      <c r="CK11">
        <v>0.458054387568556</v>
      </c>
      <c r="CL11">
        <v>0.495040219378428</v>
      </c>
      <c r="CM11">
        <v>0.48563802559415</v>
      </c>
      <c r="CN11">
        <v>0.499964351005484</v>
      </c>
      <c r="CO11">
        <v>0.491061700182815</v>
      </c>
      <c r="CP11">
        <v>0.471264168190128</v>
      </c>
      <c r="CQ11">
        <v>0.456803473491773</v>
      </c>
      <c r="CR11">
        <v>0.455987659963437</v>
      </c>
      <c r="CS11">
        <v>0.439895795246801</v>
      </c>
    </row>
    <row r="12" spans="1:97">
      <c r="A12" s="2">
        <v>46245</v>
      </c>
      <c r="B12" cm="1">
        <f t="array" ref="B12:CS12">_xlfn._xlws.FILTER(_xlfn.TRIMRANGE(竞价空间!$B$2:$CS$1047693),_xlfn.TRIMRANGE(竞价空间!$A$2:$A$1047693)=A12)/_xlfn._xlws.FILTER(_xlfn.TRIMRANGE(实时开机!$B$2:$CS$32),_xlfn.TRIMRANGE(实时开机!$A$2:$A$32)=A12)</f>
        <v>0.438787934186472</v>
      </c>
      <c r="C12">
        <v>0.43510831809872</v>
      </c>
      <c r="D12">
        <v>0.434000914076782</v>
      </c>
      <c r="E12">
        <v>0.417709323583181</v>
      </c>
      <c r="F12">
        <v>0.397966179159049</v>
      </c>
      <c r="G12">
        <v>0.401495429616088</v>
      </c>
      <c r="H12">
        <v>0.408769195612431</v>
      </c>
      <c r="I12">
        <v>0.427105575868373</v>
      </c>
      <c r="J12">
        <v>0.455612431444241</v>
      </c>
      <c r="K12">
        <v>0.460808043875686</v>
      </c>
      <c r="L12">
        <v>0.446115173674589</v>
      </c>
      <c r="M12">
        <v>0.441117915904936</v>
      </c>
      <c r="N12">
        <v>0.442192413162706</v>
      </c>
      <c r="O12">
        <v>0.434122029250457</v>
      </c>
      <c r="P12">
        <v>0.436800274223035</v>
      </c>
      <c r="Q12">
        <v>0.435289762340037</v>
      </c>
      <c r="R12">
        <v>0.4275</v>
      </c>
      <c r="S12">
        <v>0.423966636197441</v>
      </c>
      <c r="T12">
        <v>0.41411563071298</v>
      </c>
      <c r="U12">
        <v>0.429583180987203</v>
      </c>
      <c r="V12">
        <v>0.446997714808044</v>
      </c>
      <c r="W12">
        <v>0.446961151736746</v>
      </c>
      <c r="X12">
        <v>0.456253199268739</v>
      </c>
      <c r="Y12">
        <v>0.426010968921389</v>
      </c>
      <c r="Z12">
        <v>0.45642550274223</v>
      </c>
      <c r="AA12">
        <v>0.451012340036563</v>
      </c>
      <c r="AB12">
        <v>0.451334552102377</v>
      </c>
      <c r="AC12">
        <v>0.430353290676417</v>
      </c>
      <c r="AD12">
        <v>0.417858775137112</v>
      </c>
      <c r="AE12">
        <v>0.396028336380256</v>
      </c>
      <c r="AF12">
        <v>0.395066270566728</v>
      </c>
      <c r="AG12">
        <v>0.381460694698355</v>
      </c>
      <c r="AH12">
        <v>0.392904021937843</v>
      </c>
      <c r="AI12">
        <v>0.398665904936015</v>
      </c>
      <c r="AJ12">
        <v>0.391158592321755</v>
      </c>
      <c r="AK12">
        <v>0.385023765996344</v>
      </c>
      <c r="AL12">
        <v>0.38655255941499</v>
      </c>
      <c r="AM12">
        <v>0.395082723948812</v>
      </c>
      <c r="AN12">
        <v>0.394378427787934</v>
      </c>
      <c r="AO12">
        <v>0.362307129798903</v>
      </c>
      <c r="AP12">
        <v>0.378069926873857</v>
      </c>
      <c r="AQ12">
        <v>0.392380712979891</v>
      </c>
      <c r="AR12">
        <v>0.409191956124314</v>
      </c>
      <c r="AS12">
        <v>0.396587751371115</v>
      </c>
      <c r="AT12">
        <v>0.374670018281536</v>
      </c>
      <c r="AU12">
        <v>0.372404936014625</v>
      </c>
      <c r="AV12">
        <v>0.37229478976234</v>
      </c>
      <c r="AW12">
        <v>0.371614716636197</v>
      </c>
      <c r="AX12">
        <v>0.385332723948812</v>
      </c>
      <c r="AY12">
        <v>0.413558500914077</v>
      </c>
      <c r="AZ12">
        <v>0.398416819012797</v>
      </c>
      <c r="BA12">
        <v>0.409290676416819</v>
      </c>
      <c r="BB12">
        <v>0.43443281535649</v>
      </c>
      <c r="BC12">
        <v>0.415333180987203</v>
      </c>
      <c r="BD12">
        <v>0.441555758683729</v>
      </c>
      <c r="BE12">
        <v>0.423580438756856</v>
      </c>
      <c r="BF12">
        <v>0.420336837294333</v>
      </c>
      <c r="BG12">
        <v>0.425461775043937</v>
      </c>
      <c r="BH12">
        <v>0.395370386643234</v>
      </c>
      <c r="BI12">
        <v>0.425216608084359</v>
      </c>
      <c r="BJ12">
        <v>0.423661247803164</v>
      </c>
      <c r="BK12">
        <v>0.423960896309314</v>
      </c>
      <c r="BL12">
        <v>0.444542618629174</v>
      </c>
      <c r="BM12">
        <v>0.473148066783831</v>
      </c>
      <c r="BN12">
        <v>0.521868629173989</v>
      </c>
      <c r="BO12">
        <v>0.555263181019332</v>
      </c>
      <c r="BP12">
        <v>0.576628295254833</v>
      </c>
      <c r="BQ12">
        <v>0.611769771528998</v>
      </c>
      <c r="BR12">
        <v>0.629548769771529</v>
      </c>
      <c r="BS12">
        <v>0.647296572934974</v>
      </c>
      <c r="BT12">
        <v>0.672061072056239</v>
      </c>
      <c r="BU12">
        <v>0.673761519982529</v>
      </c>
      <c r="BV12">
        <v>0.709119021620441</v>
      </c>
      <c r="BW12">
        <v>0.719087573706049</v>
      </c>
      <c r="BX12">
        <v>0.74144398340249</v>
      </c>
      <c r="BY12">
        <v>0.73077353133872</v>
      </c>
      <c r="BZ12">
        <v>0.709695129941035</v>
      </c>
      <c r="CA12">
        <v>0.710904074153912</v>
      </c>
      <c r="CB12">
        <v>0.713347273119207</v>
      </c>
      <c r="CC12">
        <v>0.708027161026083</v>
      </c>
      <c r="CD12">
        <v>0.692793374389467</v>
      </c>
      <c r="CE12">
        <v>0.695002335952432</v>
      </c>
      <c r="CF12">
        <v>0.684444680399236</v>
      </c>
      <c r="CG12">
        <v>0.679683159906562</v>
      </c>
      <c r="CH12">
        <v>0.678071352728817</v>
      </c>
      <c r="CI12">
        <v>0.655920577617328</v>
      </c>
      <c r="CJ12">
        <v>0.60846039498832</v>
      </c>
      <c r="CK12">
        <v>0.567483966871947</v>
      </c>
      <c r="CL12">
        <v>0.568541516245487</v>
      </c>
      <c r="CM12">
        <v>0.577161605436398</v>
      </c>
      <c r="CN12">
        <v>0.582003011400301</v>
      </c>
      <c r="CO12">
        <v>0.590472789847279</v>
      </c>
      <c r="CP12">
        <v>0.572241772424177</v>
      </c>
      <c r="CQ12">
        <v>0.564100666810067</v>
      </c>
      <c r="CR12">
        <v>0.560910733491073</v>
      </c>
      <c r="CS12">
        <v>0.536648741664874</v>
      </c>
    </row>
    <row r="13" spans="1:97">
      <c r="A13" s="2">
        <v>46246</v>
      </c>
      <c r="B13" cm="1">
        <f t="array" ref="B13:CS13">_xlfn._xlws.FILTER(_xlfn.TRIMRANGE(竞价空间!$B$2:$CS$1047693),_xlfn.TRIMRANGE(竞价空间!$A$2:$A$1047693)=A13)/_xlfn._xlws.FILTER(_xlfn.TRIMRANGE(实时开机!$B$2:$CS$32),_xlfn.TRIMRANGE(实时开机!$A$2:$A$32)=A13)</f>
        <v>0.575467842546784</v>
      </c>
      <c r="C13">
        <v>0.555285867928587</v>
      </c>
      <c r="D13">
        <v>0.546183089637635</v>
      </c>
      <c r="E13">
        <v>0.555411315956771</v>
      </c>
      <c r="F13">
        <v>0.556531044712863</v>
      </c>
      <c r="G13">
        <v>0.553475312566222</v>
      </c>
      <c r="H13">
        <v>0.554274634456453</v>
      </c>
      <c r="I13">
        <v>0.550502648866285</v>
      </c>
      <c r="J13">
        <v>0.563490146217419</v>
      </c>
      <c r="K13">
        <v>0.568564102564103</v>
      </c>
      <c r="L13">
        <v>0.569901250264887</v>
      </c>
      <c r="M13">
        <v>0.564988768806951</v>
      </c>
      <c r="N13">
        <v>0.567644840008476</v>
      </c>
      <c r="O13">
        <v>0.566676838313202</v>
      </c>
      <c r="P13">
        <v>0.572729391820301</v>
      </c>
      <c r="Q13">
        <v>0.561637635092181</v>
      </c>
      <c r="R13">
        <v>0.571298580207671</v>
      </c>
      <c r="S13">
        <v>0.559285028189601</v>
      </c>
      <c r="T13">
        <v>0.556024639799541</v>
      </c>
      <c r="U13">
        <v>0.570956358321153</v>
      </c>
      <c r="V13">
        <v>0.579429108373356</v>
      </c>
      <c r="W13">
        <v>0.586950511589058</v>
      </c>
      <c r="X13">
        <v>0.574330340363333</v>
      </c>
      <c r="Y13">
        <v>0.61329672165379</v>
      </c>
      <c r="Z13">
        <v>0.666431405303821</v>
      </c>
      <c r="AA13">
        <v>0.668636458550846</v>
      </c>
      <c r="AB13">
        <v>0.658726247650867</v>
      </c>
      <c r="AC13">
        <v>0.64283733556066</v>
      </c>
      <c r="AD13">
        <v>0.617533637873754</v>
      </c>
      <c r="AE13">
        <v>0.61149584717608</v>
      </c>
      <c r="AF13">
        <v>0.619978820598007</v>
      </c>
      <c r="AG13">
        <v>0.621429817275748</v>
      </c>
      <c r="AH13">
        <v>0.610675249169435</v>
      </c>
      <c r="AI13">
        <v>0.612529900332226</v>
      </c>
      <c r="AJ13">
        <v>0.601083887043189</v>
      </c>
      <c r="AK13">
        <v>0.586341777408638</v>
      </c>
      <c r="AL13">
        <v>0.565111295681063</v>
      </c>
      <c r="AM13">
        <v>0.565510382059801</v>
      </c>
      <c r="AN13">
        <v>0.546355066445183</v>
      </c>
      <c r="AO13">
        <v>0.522696428571429</v>
      </c>
      <c r="AP13">
        <v>0.495222591362126</v>
      </c>
      <c r="AQ13">
        <v>0.492232142857143</v>
      </c>
      <c r="AR13">
        <v>0.490931893687708</v>
      </c>
      <c r="AS13">
        <v>0.496449335548173</v>
      </c>
      <c r="AT13">
        <v>0.48552450166113</v>
      </c>
      <c r="AU13">
        <v>0.505334302325581</v>
      </c>
      <c r="AV13">
        <v>0.484109634551495</v>
      </c>
      <c r="AW13">
        <v>0.48947549833887</v>
      </c>
      <c r="AX13">
        <v>0.504095043015158</v>
      </c>
      <c r="AY13">
        <v>0.490451954397394</v>
      </c>
      <c r="AZ13">
        <v>0.512941368078176</v>
      </c>
      <c r="BA13">
        <v>0.490032517061421</v>
      </c>
      <c r="BB13">
        <v>0.509412284223204</v>
      </c>
      <c r="BC13">
        <v>0.484584208479191</v>
      </c>
      <c r="BD13">
        <v>0.495875048058439</v>
      </c>
      <c r="BE13">
        <v>0.497248366013072</v>
      </c>
      <c r="BF13">
        <v>0.512149752945648</v>
      </c>
      <c r="BG13">
        <v>0.5368111174135</v>
      </c>
      <c r="BH13">
        <v>0.542461334845907</v>
      </c>
      <c r="BI13">
        <v>0.548332387975043</v>
      </c>
      <c r="BJ13">
        <v>0.558801663830592</v>
      </c>
      <c r="BK13">
        <v>0.555885212189194</v>
      </c>
      <c r="BL13">
        <v>0.569504580295382</v>
      </c>
      <c r="BM13">
        <v>0.58725556178725</v>
      </c>
      <c r="BN13">
        <v>0.626538418395962</v>
      </c>
      <c r="BO13">
        <v>0.652136848008974</v>
      </c>
      <c r="BP13">
        <v>0.669984670031782</v>
      </c>
      <c r="BQ13">
        <v>0.655893811927463</v>
      </c>
      <c r="BR13">
        <v>0.683669470929146</v>
      </c>
      <c r="BS13">
        <v>0.672766124509254</v>
      </c>
      <c r="BT13">
        <v>0.672115535614134</v>
      </c>
      <c r="BU13">
        <v>0.679596934006356</v>
      </c>
      <c r="BV13">
        <v>0.693177790241167</v>
      </c>
      <c r="BW13">
        <v>0.713388252955526</v>
      </c>
      <c r="BX13">
        <v>0.712861700131357</v>
      </c>
      <c r="BY13">
        <v>0.708904109589041</v>
      </c>
      <c r="BZ13">
        <v>0.73111953462188</v>
      </c>
      <c r="CA13">
        <v>0.724310752486395</v>
      </c>
      <c r="CB13">
        <v>0.716394070182023</v>
      </c>
      <c r="CC13">
        <v>0.689706067916125</v>
      </c>
      <c r="CD13">
        <v>0.694634626090184</v>
      </c>
      <c r="CE13">
        <v>0.688100204119503</v>
      </c>
      <c r="CF13">
        <v>0.692614956392652</v>
      </c>
      <c r="CG13">
        <v>0.678730005566896</v>
      </c>
      <c r="CH13">
        <v>0.656861384301355</v>
      </c>
      <c r="CI13">
        <v>0.642107255520505</v>
      </c>
      <c r="CJ13">
        <v>0.636017442939321</v>
      </c>
      <c r="CK13">
        <v>0.657874930413806</v>
      </c>
      <c r="CL13">
        <v>0.57810094637224</v>
      </c>
      <c r="CM13">
        <v>0.569946186676563</v>
      </c>
      <c r="CN13">
        <v>0.571511226572648</v>
      </c>
      <c r="CO13">
        <v>0.548926702542216</v>
      </c>
      <c r="CP13">
        <v>0.564042679532381</v>
      </c>
      <c r="CQ13">
        <v>0.55397476340694</v>
      </c>
      <c r="CR13">
        <v>0.540004824642791</v>
      </c>
      <c r="CS13">
        <v>0.524530339580627</v>
      </c>
    </row>
    <row r="14" spans="1:97">
      <c r="A14" s="2">
        <v>46247</v>
      </c>
      <c r="B14" cm="1">
        <f t="array" ref="B14:CS14">_xlfn._xlws.FILTER(_xlfn.TRIMRANGE(竞价空间!$B$2:$CS$1047693),_xlfn.TRIMRANGE(竞价空间!$A$2:$A$1047693)=A14)/_xlfn._xlws.FILTER(_xlfn.TRIMRANGE(实时开机!$B$2:$CS$32),_xlfn.TRIMRANGE(实时开机!$A$2:$A$32)=A14)</f>
        <v>0.513093709408053</v>
      </c>
      <c r="C14">
        <v>0.551413991464094</v>
      </c>
      <c r="D14">
        <v>0.52672369641863</v>
      </c>
      <c r="E14">
        <v>0.536591204305066</v>
      </c>
      <c r="F14">
        <v>0.499847838188903</v>
      </c>
      <c r="G14">
        <v>0.510260530710707</v>
      </c>
      <c r="H14">
        <v>0.521537576544813</v>
      </c>
      <c r="I14">
        <v>0.510872146966042</v>
      </c>
      <c r="J14">
        <v>0.550166264613101</v>
      </c>
      <c r="K14">
        <v>0.563731675635554</v>
      </c>
      <c r="L14">
        <v>0.55427500463908</v>
      </c>
      <c r="M14">
        <v>0.553006494711449</v>
      </c>
      <c r="N14">
        <v>0.517938764149193</v>
      </c>
      <c r="O14">
        <v>0.515668213026536</v>
      </c>
      <c r="P14">
        <v>0.508968268695491</v>
      </c>
      <c r="Q14">
        <v>0.504451289664131</v>
      </c>
      <c r="R14">
        <v>0.508238263128595</v>
      </c>
      <c r="S14">
        <v>0.51779068472815</v>
      </c>
      <c r="T14">
        <v>0.524691779550937</v>
      </c>
      <c r="U14">
        <v>0.521862312117276</v>
      </c>
      <c r="V14">
        <v>0.531196140285767</v>
      </c>
      <c r="W14">
        <v>0.529912043050659</v>
      </c>
      <c r="X14">
        <v>0.552580812766747</v>
      </c>
      <c r="Y14">
        <v>0.561640378548896</v>
      </c>
      <c r="Z14">
        <v>0.598771200593802</v>
      </c>
      <c r="AA14">
        <v>0.602052328817962</v>
      </c>
      <c r="AB14">
        <v>0.590950083503433</v>
      </c>
      <c r="AC14">
        <v>0.583267396548525</v>
      </c>
      <c r="AD14">
        <v>0.578639079606606</v>
      </c>
      <c r="AE14">
        <v>0.552610131749861</v>
      </c>
      <c r="AF14">
        <v>0.554137316756355</v>
      </c>
      <c r="AG14">
        <v>0.557045462980145</v>
      </c>
      <c r="AH14">
        <v>0.574361105956578</v>
      </c>
      <c r="AI14">
        <v>0.578321766561514</v>
      </c>
      <c r="AJ14">
        <v>0.556836518834663</v>
      </c>
      <c r="AK14">
        <v>0.554470959361663</v>
      </c>
      <c r="AL14">
        <v>0.535092596028948</v>
      </c>
      <c r="AM14">
        <v>0.530581555019484</v>
      </c>
      <c r="AN14">
        <v>0.523182037483763</v>
      </c>
      <c r="AO14">
        <v>0.500573390239377</v>
      </c>
      <c r="AP14">
        <v>0.491405084431249</v>
      </c>
      <c r="AQ14">
        <v>0.509594730005567</v>
      </c>
      <c r="AR14">
        <v>0.508557060679161</v>
      </c>
      <c r="AS14">
        <v>0.482734830209686</v>
      </c>
      <c r="AT14">
        <v>0.473544999072184</v>
      </c>
      <c r="AU14">
        <v>0.435281870476897</v>
      </c>
      <c r="AV14">
        <v>0.435721655223604</v>
      </c>
      <c r="AW14">
        <v>0.43659268881054</v>
      </c>
      <c r="AX14">
        <v>0.4282924475784</v>
      </c>
      <c r="AY14">
        <v>0.402598255706068</v>
      </c>
      <c r="AZ14">
        <v>0.407943959918352</v>
      </c>
      <c r="BA14">
        <v>0.398853961773984</v>
      </c>
      <c r="BB14">
        <v>0.407942846539247</v>
      </c>
      <c r="BC14">
        <v>0.414769716088328</v>
      </c>
      <c r="BD14">
        <v>0.421355724624235</v>
      </c>
      <c r="BE14">
        <v>0.420558545184635</v>
      </c>
      <c r="BF14">
        <v>0.453127853033958</v>
      </c>
      <c r="BG14">
        <v>0.47463054370013</v>
      </c>
      <c r="BH14">
        <v>0.469683429207645</v>
      </c>
      <c r="BI14">
        <v>0.481214696604194</v>
      </c>
      <c r="BJ14">
        <v>0.528967897569122</v>
      </c>
      <c r="BK14">
        <v>0.526744850621637</v>
      </c>
      <c r="BL14">
        <v>0.554167006865838</v>
      </c>
      <c r="BM14">
        <v>0.593969567637781</v>
      </c>
      <c r="BN14">
        <v>0.661458526628317</v>
      </c>
      <c r="BO14">
        <v>0.73433290035257</v>
      </c>
      <c r="BP14">
        <v>0.678912599740212</v>
      </c>
      <c r="BQ14">
        <v>0.653390981629245</v>
      </c>
      <c r="BR14">
        <v>0.705039524958248</v>
      </c>
      <c r="BS14">
        <v>0.711412506958619</v>
      </c>
      <c r="BT14">
        <v>0.729323807756541</v>
      </c>
      <c r="BU14">
        <v>0.723705696789757</v>
      </c>
      <c r="BV14">
        <v>0.753507886435331</v>
      </c>
      <c r="BW14">
        <v>0.786673965485248</v>
      </c>
      <c r="BX14">
        <v>0.767591018741882</v>
      </c>
      <c r="BY14">
        <v>0.772223418073854</v>
      </c>
      <c r="BZ14">
        <v>0.770750417517165</v>
      </c>
      <c r="CA14">
        <v>0.770047504175172</v>
      </c>
      <c r="CB14">
        <v>0.758964186305437</v>
      </c>
      <c r="CC14">
        <v>0.75504657635925</v>
      </c>
      <c r="CD14">
        <v>0.749808498793839</v>
      </c>
      <c r="CE14">
        <v>0.746351456670996</v>
      </c>
      <c r="CF14">
        <v>0.75081462237892</v>
      </c>
      <c r="CG14">
        <v>0.73708702913342</v>
      </c>
      <c r="CH14">
        <v>0.718070142883652</v>
      </c>
      <c r="CI14">
        <v>0.712920393393951</v>
      </c>
      <c r="CJ14">
        <v>0.705113007979217</v>
      </c>
      <c r="CK14">
        <v>0.702801531100478</v>
      </c>
      <c r="CL14">
        <v>0.692432535885167</v>
      </c>
      <c r="CM14">
        <v>0.670126315789474</v>
      </c>
      <c r="CN14">
        <v>0.677753110047847</v>
      </c>
      <c r="CO14">
        <v>0.697464794151597</v>
      </c>
      <c r="CP14">
        <v>0.672318396226415</v>
      </c>
      <c r="CQ14">
        <v>0.668581257413998</v>
      </c>
      <c r="CR14">
        <v>0.652795118047219</v>
      </c>
      <c r="CS14">
        <v>0.633517807122849</v>
      </c>
    </row>
    <row r="15" spans="1:97">
      <c r="A15" s="2">
        <v>46248</v>
      </c>
      <c r="B15" cm="1">
        <f t="array" ref="B15:CS15">_xlfn._xlws.FILTER(_xlfn.TRIMRANGE(竞价空间!$B$2:$CS$1047693),_xlfn.TRIMRANGE(竞价空间!$A$2:$A$1047693)=A15)/_xlfn._xlws.FILTER(_xlfn.TRIMRANGE(实时开机!$B$2:$CS$32),_xlfn.TRIMRANGE(实时开机!$A$2:$A$32)=A15)</f>
        <v>0.629172468987595</v>
      </c>
      <c r="C15">
        <v>0.620728635074929</v>
      </c>
      <c r="D15">
        <v>0.609064913722268</v>
      </c>
      <c r="E15">
        <v>0.619153452685422</v>
      </c>
      <c r="F15">
        <v>0.606632992327366</v>
      </c>
      <c r="G15">
        <v>0.607533248081841</v>
      </c>
      <c r="H15">
        <v>0.597048593350384</v>
      </c>
      <c r="I15">
        <v>0.589066496163683</v>
      </c>
      <c r="J15">
        <v>0.584047740835465</v>
      </c>
      <c r="K15">
        <v>0.578928815004263</v>
      </c>
      <c r="L15">
        <v>0.565829923273657</v>
      </c>
      <c r="M15">
        <v>0.558538789428815</v>
      </c>
      <c r="N15">
        <v>0.581538363171355</v>
      </c>
      <c r="O15">
        <v>0.578382779198636</v>
      </c>
      <c r="P15">
        <v>0.582108269394714</v>
      </c>
      <c r="Q15">
        <v>0.576948849104859</v>
      </c>
      <c r="R15">
        <v>0.569851662404092</v>
      </c>
      <c r="S15">
        <v>0.560142369991475</v>
      </c>
      <c r="T15">
        <v>0.554040920716113</v>
      </c>
      <c r="U15">
        <v>0.559480392156863</v>
      </c>
      <c r="V15">
        <v>0.585010230179028</v>
      </c>
      <c r="W15">
        <v>0.593650468883205</v>
      </c>
      <c r="X15">
        <v>0.594480392156863</v>
      </c>
      <c r="Y15">
        <v>0.613474850809889</v>
      </c>
      <c r="Z15">
        <v>0.604846547314578</v>
      </c>
      <c r="AA15">
        <v>0.607880221653879</v>
      </c>
      <c r="AB15">
        <v>0.606470161977835</v>
      </c>
      <c r="AC15">
        <v>0.60888789428815</v>
      </c>
      <c r="AD15">
        <v>0.566465046888321</v>
      </c>
      <c r="AE15">
        <v>0.541778772378517</v>
      </c>
      <c r="AF15">
        <v>0.526523870417732</v>
      </c>
      <c r="AG15">
        <v>0.513631713554987</v>
      </c>
      <c r="AH15">
        <v>0.536127877237852</v>
      </c>
      <c r="AI15">
        <v>0.514097612958227</v>
      </c>
      <c r="AJ15">
        <v>0.4951210571185</v>
      </c>
      <c r="AK15">
        <v>0.49873316283035</v>
      </c>
      <c r="AL15">
        <v>0.487597186700767</v>
      </c>
      <c r="AM15">
        <v>0.475500426257459</v>
      </c>
      <c r="AN15">
        <v>0.477883631713555</v>
      </c>
      <c r="AO15">
        <v>0.469140238704177</v>
      </c>
      <c r="AP15">
        <v>0.477279624893436</v>
      </c>
      <c r="AQ15">
        <v>0.463540068201193</v>
      </c>
      <c r="AR15">
        <v>0.462554987212276</v>
      </c>
      <c r="AS15">
        <v>0.463630434782609</v>
      </c>
      <c r="AT15">
        <v>0.460174339300938</v>
      </c>
      <c r="AU15">
        <v>0.47349147485081</v>
      </c>
      <c r="AV15">
        <v>0.476436913895993</v>
      </c>
      <c r="AW15">
        <v>0.471334612105712</v>
      </c>
      <c r="AX15">
        <v>0.473434782608696</v>
      </c>
      <c r="AY15">
        <v>0.466170929241262</v>
      </c>
      <c r="AZ15">
        <v>0.488017902813299</v>
      </c>
      <c r="BA15">
        <v>0.490432225063939</v>
      </c>
      <c r="BB15">
        <v>0.496265558397272</v>
      </c>
      <c r="BC15">
        <v>0.47923273657289</v>
      </c>
      <c r="BD15">
        <v>0.473782608695652</v>
      </c>
      <c r="BE15">
        <v>0.495657715260017</v>
      </c>
      <c r="BF15">
        <v>0.492441176470588</v>
      </c>
      <c r="BG15">
        <v>0.512407075873828</v>
      </c>
      <c r="BH15">
        <v>0.521538363171355</v>
      </c>
      <c r="BI15">
        <v>0.535697783461211</v>
      </c>
      <c r="BJ15">
        <v>0.54602600170503</v>
      </c>
      <c r="BK15">
        <v>0.560101875532822</v>
      </c>
      <c r="BL15">
        <v>0.593845694799659</v>
      </c>
      <c r="BM15">
        <v>0.633098465473146</v>
      </c>
      <c r="BN15">
        <v>0.661463341858483</v>
      </c>
      <c r="BO15">
        <v>0.692245950554135</v>
      </c>
      <c r="BP15">
        <v>0.716400682011935</v>
      </c>
      <c r="BQ15">
        <v>0.700627024722933</v>
      </c>
      <c r="BR15">
        <v>0.737711423699915</v>
      </c>
      <c r="BS15">
        <v>0.735098465473146</v>
      </c>
      <c r="BT15">
        <v>0.739764279624893</v>
      </c>
      <c r="BU15">
        <v>0.754016624040921</v>
      </c>
      <c r="BV15">
        <v>0.791536658141518</v>
      </c>
      <c r="BW15">
        <v>0.789250639386189</v>
      </c>
      <c r="BX15">
        <v>0.756826086956522</v>
      </c>
      <c r="BY15">
        <v>0.725101875532822</v>
      </c>
      <c r="BZ15">
        <v>0.699029838022165</v>
      </c>
      <c r="CA15">
        <v>0.684180306905371</v>
      </c>
      <c r="CB15">
        <v>0.65106052855925</v>
      </c>
      <c r="CC15">
        <v>0.624900682011935</v>
      </c>
      <c r="CD15">
        <v>0.661762148337596</v>
      </c>
      <c r="CE15">
        <v>0.660110826939471</v>
      </c>
      <c r="CF15">
        <v>0.609988917306053</v>
      </c>
      <c r="CG15">
        <v>0.599535379369139</v>
      </c>
      <c r="CH15">
        <v>0.583342284739983</v>
      </c>
      <c r="CI15">
        <v>0.563132139812447</v>
      </c>
      <c r="CJ15">
        <v>0.517021739130435</v>
      </c>
      <c r="CK15">
        <v>0.503796248934356</v>
      </c>
      <c r="CL15">
        <v>0.493016624040921</v>
      </c>
      <c r="CM15">
        <v>0.484056692242114</v>
      </c>
      <c r="CN15">
        <v>0.47606052855925</v>
      </c>
      <c r="CO15">
        <v>0.476645353793691</v>
      </c>
      <c r="CP15">
        <v>0.48337747205503</v>
      </c>
      <c r="CQ15">
        <v>0.502049441100602</v>
      </c>
      <c r="CR15">
        <v>0.509697764402408</v>
      </c>
      <c r="CS15">
        <v>0.506019776440241</v>
      </c>
    </row>
    <row r="16" spans="1:97">
      <c r="A16" s="2">
        <v>46249</v>
      </c>
      <c r="B16" cm="1">
        <f t="array" ref="B16:CS16">_xlfn._xlws.FILTER(_xlfn.TRIMRANGE(竞价空间!$B$2:$CS$1047693),_xlfn.TRIMRANGE(竞价空间!$A$2:$A$1047693)=A16)/_xlfn._xlws.FILTER(_xlfn.TRIMRANGE(实时开机!$B$2:$CS$32),_xlfn.TRIMRANGE(实时开机!$A$2:$A$32)=A16)</f>
        <v>0.555299226139295</v>
      </c>
      <c r="C16">
        <v>0.540134995700774</v>
      </c>
      <c r="D16">
        <v>0.539005588993981</v>
      </c>
      <c r="E16">
        <v>0.525369733447979</v>
      </c>
      <c r="F16">
        <v>0.52821668099742</v>
      </c>
      <c r="G16">
        <v>0.524104041272571</v>
      </c>
      <c r="H16">
        <v>0.524851676698194</v>
      </c>
      <c r="I16">
        <v>0.512320722269991</v>
      </c>
      <c r="J16">
        <v>0.51052407566638</v>
      </c>
      <c r="K16">
        <v>0.503826741186586</v>
      </c>
      <c r="L16">
        <v>0.502069217540843</v>
      </c>
      <c r="M16">
        <v>0.503278159931212</v>
      </c>
      <c r="N16">
        <v>0.511702493551161</v>
      </c>
      <c r="O16">
        <v>0.51270894239037</v>
      </c>
      <c r="P16">
        <v>0.50969475494411</v>
      </c>
      <c r="Q16">
        <v>0.514707652622528</v>
      </c>
      <c r="R16">
        <v>0.531217540842648</v>
      </c>
      <c r="S16">
        <v>0.52480309544282</v>
      </c>
      <c r="T16">
        <v>0.53280739466896</v>
      </c>
      <c r="U16">
        <v>0.551773000859845</v>
      </c>
      <c r="V16">
        <v>0.57202622527945</v>
      </c>
      <c r="W16">
        <v>0.577231728288908</v>
      </c>
      <c r="X16">
        <v>0.584232588134136</v>
      </c>
      <c r="Y16">
        <v>0.586588564058469</v>
      </c>
      <c r="Z16">
        <v>0.597746775580396</v>
      </c>
      <c r="AA16">
        <v>0.592001289767842</v>
      </c>
      <c r="AB16">
        <v>0.585389939810834</v>
      </c>
      <c r="AC16">
        <v>0.578673258813414</v>
      </c>
      <c r="AD16">
        <v>0.546066638005159</v>
      </c>
      <c r="AE16">
        <v>0.538963456577816</v>
      </c>
      <c r="AF16">
        <v>0.535659071367154</v>
      </c>
      <c r="AG16">
        <v>0.55031728288908</v>
      </c>
      <c r="AH16">
        <v>0.560993121238177</v>
      </c>
      <c r="AI16">
        <v>0.551142734307825</v>
      </c>
      <c r="AJ16">
        <v>0.54883147033534</v>
      </c>
      <c r="AK16">
        <v>0.540954428202923</v>
      </c>
      <c r="AL16">
        <v>0.56830524505589</v>
      </c>
      <c r="AM16">
        <v>0.587025795356836</v>
      </c>
      <c r="AN16">
        <v>0.570546861564918</v>
      </c>
      <c r="AO16">
        <v>0.591901117798796</v>
      </c>
      <c r="AP16">
        <v>0.576193035253654</v>
      </c>
      <c r="AQ16">
        <v>0.570009458297506</v>
      </c>
      <c r="AR16">
        <v>0.58760060189166</v>
      </c>
      <c r="AS16">
        <v>0.578563198624248</v>
      </c>
      <c r="AT16">
        <v>0.588525365434222</v>
      </c>
      <c r="AU16">
        <v>0.573470765262253</v>
      </c>
      <c r="AV16">
        <v>0.56909415305245</v>
      </c>
      <c r="AW16">
        <v>0.549602321582115</v>
      </c>
      <c r="AX16">
        <v>0.571609630266552</v>
      </c>
      <c r="AY16">
        <v>0.583176268271711</v>
      </c>
      <c r="AZ16">
        <v>0.553019776440241</v>
      </c>
      <c r="BA16">
        <v>0.560922613929493</v>
      </c>
      <c r="BB16">
        <v>0.573270421324162</v>
      </c>
      <c r="BC16">
        <v>0.570491831470335</v>
      </c>
      <c r="BD16">
        <v>0.580303525365434</v>
      </c>
      <c r="BE16">
        <v>0.588188736027515</v>
      </c>
      <c r="BF16">
        <v>0.6193271711092</v>
      </c>
      <c r="BG16">
        <v>0.627415305245056</v>
      </c>
      <c r="BH16">
        <v>0.625554170249355</v>
      </c>
      <c r="BI16">
        <v>0.635849097162511</v>
      </c>
      <c r="BJ16">
        <v>0.675783748925193</v>
      </c>
      <c r="BK16">
        <v>0.675589423903697</v>
      </c>
      <c r="BL16">
        <v>0.70318486672399</v>
      </c>
      <c r="BM16">
        <v>0.739087274290628</v>
      </c>
      <c r="BN16">
        <v>0.777278589853826</v>
      </c>
      <c r="BO16">
        <v>0.779853826311264</v>
      </c>
      <c r="BP16">
        <v>0.7647932072227</v>
      </c>
      <c r="BQ16">
        <v>0.756665950128977</v>
      </c>
      <c r="BR16">
        <v>0.759131126397248</v>
      </c>
      <c r="BS16">
        <v>0.745713241616509</v>
      </c>
      <c r="BT16">
        <v>0.750928202923474</v>
      </c>
      <c r="BU16">
        <v>0.729456577815993</v>
      </c>
      <c r="BV16">
        <v>0.732957867583835</v>
      </c>
      <c r="BW16">
        <v>0.733515477214101</v>
      </c>
      <c r="BX16">
        <v>0.71046388650043</v>
      </c>
      <c r="BY16">
        <v>0.723795786758384</v>
      </c>
      <c r="BZ16">
        <v>0.716644883920894</v>
      </c>
      <c r="CA16">
        <v>0.713353663701821</v>
      </c>
      <c r="CB16">
        <v>0.708507835662855</v>
      </c>
      <c r="CC16">
        <v>0.678132570944515</v>
      </c>
      <c r="CD16">
        <v>0.670570520965692</v>
      </c>
      <c r="CE16">
        <v>0.678739093604405</v>
      </c>
      <c r="CF16">
        <v>0.681595933926302</v>
      </c>
      <c r="CG16">
        <v>0.667541719610335</v>
      </c>
      <c r="CH16">
        <v>0.674889030072003</v>
      </c>
      <c r="CI16">
        <v>0.677203727234223</v>
      </c>
      <c r="CJ16">
        <v>0.63298305802626</v>
      </c>
      <c r="CK16">
        <v>0.631832274459975</v>
      </c>
      <c r="CL16">
        <v>0.622536213468869</v>
      </c>
      <c r="CM16">
        <v>0.612095722151631</v>
      </c>
      <c r="CN16">
        <v>0.617058873358746</v>
      </c>
      <c r="CO16">
        <v>0.624852604828462</v>
      </c>
      <c r="CP16">
        <v>0.630756035578145</v>
      </c>
      <c r="CQ16">
        <v>0.628548496399831</v>
      </c>
      <c r="CR16">
        <v>0.629630241423126</v>
      </c>
      <c r="CS16">
        <v>0.602567556120288</v>
      </c>
    </row>
    <row r="17" spans="1:97">
      <c r="A17" s="2">
        <v>46250</v>
      </c>
      <c r="B17" cm="1">
        <f t="array" ref="B17:CS17">_xlfn._xlws.FILTER(_xlfn.TRIMRANGE(竞价空间!$B$2:$CS$1047693),_xlfn.TRIMRANGE(竞价空间!$A$2:$A$1047693)=A17)/_xlfn._xlws.FILTER(_xlfn.TRIMRANGE(实时开机!$B$2:$CS$32),_xlfn.TRIMRANGE(实时开机!$A$2:$A$32)=A17)</f>
        <v>0.526590445079624</v>
      </c>
      <c r="C17">
        <v>0.547029399755002</v>
      </c>
      <c r="D17">
        <v>0.552757043691303</v>
      </c>
      <c r="E17">
        <v>0.556766435279706</v>
      </c>
      <c r="F17">
        <v>0.56477623519804</v>
      </c>
      <c r="G17">
        <v>0.56473458554512</v>
      </c>
      <c r="H17">
        <v>0.560865251122907</v>
      </c>
      <c r="I17">
        <v>0.557494487545937</v>
      </c>
      <c r="J17">
        <v>0.564290322580645</v>
      </c>
      <c r="K17">
        <v>0.560037566353614</v>
      </c>
      <c r="L17">
        <v>0.557420988158432</v>
      </c>
      <c r="M17">
        <v>0.557516537362189</v>
      </c>
      <c r="N17">
        <v>0.56295794201715</v>
      </c>
      <c r="O17">
        <v>0.561815843201307</v>
      </c>
      <c r="P17">
        <v>0.568161290322581</v>
      </c>
      <c r="Q17">
        <v>0.566553287055941</v>
      </c>
      <c r="R17">
        <v>0.586092282564312</v>
      </c>
      <c r="S17">
        <v>0.577163331972234</v>
      </c>
      <c r="T17">
        <v>0.57479052674561</v>
      </c>
      <c r="U17">
        <v>0.563077582686811</v>
      </c>
      <c r="V17">
        <v>0.595310739077174</v>
      </c>
      <c r="W17">
        <v>0.583227439771335</v>
      </c>
      <c r="X17">
        <v>0.578114740710494</v>
      </c>
      <c r="Y17">
        <v>0.55935688035933</v>
      </c>
      <c r="Z17">
        <v>0.578257247856268</v>
      </c>
      <c r="AA17">
        <v>0.570263372805227</v>
      </c>
      <c r="AB17">
        <v>0.57229358922009</v>
      </c>
      <c r="AC17">
        <v>0.5564405879951</v>
      </c>
      <c r="AD17">
        <v>0.55358023683136</v>
      </c>
      <c r="AE17">
        <v>0.528495712535729</v>
      </c>
      <c r="AF17">
        <v>0.509888934258881</v>
      </c>
      <c r="AG17">
        <v>0.505418538178849</v>
      </c>
      <c r="AH17">
        <v>0.494609636586362</v>
      </c>
      <c r="AI17">
        <v>0.493655777868518</v>
      </c>
      <c r="AJ17">
        <v>0.490673744385463</v>
      </c>
      <c r="AK17">
        <v>0.490173540220498</v>
      </c>
      <c r="AL17">
        <v>0.49380440996325</v>
      </c>
      <c r="AM17">
        <v>0.499350755410372</v>
      </c>
      <c r="AN17">
        <v>0.498208656594528</v>
      </c>
      <c r="AO17">
        <v>0.517567986933442</v>
      </c>
      <c r="AP17">
        <v>0.505653736218865</v>
      </c>
      <c r="AQ17">
        <v>0.510129440587995</v>
      </c>
      <c r="AR17">
        <v>0.5548464679461</v>
      </c>
      <c r="AS17">
        <v>0.558421804818293</v>
      </c>
      <c r="AT17">
        <v>0.59074806043283</v>
      </c>
      <c r="AU17">
        <v>0.575282972641895</v>
      </c>
      <c r="AV17">
        <v>0.577481829318089</v>
      </c>
      <c r="AW17">
        <v>0.580350755410372</v>
      </c>
      <c r="AX17">
        <v>0.579739485504287</v>
      </c>
      <c r="AY17">
        <v>0.554833401388322</v>
      </c>
      <c r="AZ17">
        <v>0.586660677827685</v>
      </c>
      <c r="BA17">
        <v>0.578719477337689</v>
      </c>
      <c r="BB17">
        <v>0.589288280930992</v>
      </c>
      <c r="BC17">
        <v>0.602450387913434</v>
      </c>
      <c r="BD17">
        <v>0.608791343405472</v>
      </c>
      <c r="BE17">
        <v>0.583911392405063</v>
      </c>
      <c r="BF17">
        <v>0.589998775010208</v>
      </c>
      <c r="BG17">
        <v>0.588779501837485</v>
      </c>
      <c r="BH17">
        <v>0.583905267456104</v>
      </c>
      <c r="BI17">
        <v>0.593970191915067</v>
      </c>
      <c r="BJ17">
        <v>0.642006124948959</v>
      </c>
      <c r="BK17">
        <v>0.668922417313189</v>
      </c>
      <c r="BL17">
        <v>0.664979991833401</v>
      </c>
      <c r="BM17">
        <v>0.710442221314822</v>
      </c>
      <c r="BN17">
        <v>0.719959575336872</v>
      </c>
      <c r="BO17">
        <v>0.754824009799918</v>
      </c>
      <c r="BP17">
        <v>0.738492037566354</v>
      </c>
      <c r="BQ17">
        <v>0.744717435688036</v>
      </c>
      <c r="BR17">
        <v>0.744281339322172</v>
      </c>
      <c r="BS17">
        <v>0.744429971416905</v>
      </c>
      <c r="BT17">
        <v>0.761372396896692</v>
      </c>
      <c r="BU17">
        <v>0.749717844017966</v>
      </c>
      <c r="BV17">
        <v>0.752995100040833</v>
      </c>
      <c r="BW17">
        <v>0.760211106574112</v>
      </c>
      <c r="BX17">
        <v>0.770476929358922</v>
      </c>
      <c r="BY17">
        <v>0.76063617803185</v>
      </c>
      <c r="BZ17">
        <v>0.761971008574928</v>
      </c>
      <c r="CA17">
        <v>0.752476521028991</v>
      </c>
      <c r="CB17">
        <v>0.758617803184973</v>
      </c>
      <c r="CC17">
        <v>0.74218170681911</v>
      </c>
      <c r="CD17">
        <v>0.743810534912209</v>
      </c>
      <c r="CE17">
        <v>0.731570845242956</v>
      </c>
      <c r="CF17">
        <v>0.73136382196815</v>
      </c>
      <c r="CG17">
        <v>0.724871376071866</v>
      </c>
      <c r="CH17">
        <v>0.725935892200898</v>
      </c>
      <c r="CI17">
        <v>0.709565128623928</v>
      </c>
      <c r="CJ17">
        <v>0.661731727235606</v>
      </c>
      <c r="CK17">
        <v>0.640630053082891</v>
      </c>
      <c r="CL17">
        <v>0.624858717844018</v>
      </c>
      <c r="CM17">
        <v>0.617374438546345</v>
      </c>
      <c r="CN17">
        <v>0.614235606369947</v>
      </c>
      <c r="CO17">
        <v>0.607598203348305</v>
      </c>
      <c r="CP17">
        <v>0.593848509595753</v>
      </c>
      <c r="CQ17">
        <v>0.588438546345447</v>
      </c>
      <c r="CR17">
        <v>0.564385055124541</v>
      </c>
      <c r="CS17">
        <v>0.521339322172315</v>
      </c>
    </row>
    <row r="18" spans="1:97">
      <c r="A18" s="2">
        <v>46251</v>
      </c>
      <c r="B18" cm="1">
        <f t="array" ref="B18:CS18">_xlfn._xlws.FILTER(_xlfn.TRIMRANGE(竞价空间!$B$2:$CS$1047693),_xlfn.TRIMRANGE(竞价空间!$A$2:$A$1047693)=A18)/_xlfn._xlws.FILTER(_xlfn.TRIMRANGE(实时开机!$B$2:$CS$32),_xlfn.TRIMRANGE(实时开机!$A$2:$A$32)=A18)</f>
        <v>0.523332380563495</v>
      </c>
      <c r="C18">
        <v>0.537875867701103</v>
      </c>
      <c r="D18">
        <v>0.537168640261331</v>
      </c>
      <c r="E18">
        <v>0.556182931808902</v>
      </c>
      <c r="F18">
        <v>0.594170273581053</v>
      </c>
      <c r="G18">
        <v>0.616704777460188</v>
      </c>
      <c r="H18">
        <v>0.584682727643936</v>
      </c>
      <c r="I18">
        <v>0.590808901592487</v>
      </c>
      <c r="J18">
        <v>0.578449571253573</v>
      </c>
      <c r="K18">
        <v>0.568101674152715</v>
      </c>
      <c r="L18">
        <v>0.55553164556962</v>
      </c>
      <c r="M18">
        <v>0.5423564720294</v>
      </c>
      <c r="N18">
        <v>0.537357288689261</v>
      </c>
      <c r="O18">
        <v>0.5303564720294</v>
      </c>
      <c r="P18">
        <v>0.542017149857084</v>
      </c>
      <c r="Q18">
        <v>0.532127398938342</v>
      </c>
      <c r="R18">
        <v>0.546717435688036</v>
      </c>
      <c r="S18">
        <v>0.547942425479788</v>
      </c>
      <c r="T18">
        <v>0.545957533687219</v>
      </c>
      <c r="U18">
        <v>0.550768885259289</v>
      </c>
      <c r="V18">
        <v>0.537569620253165</v>
      </c>
      <c r="W18">
        <v>0.522592078399347</v>
      </c>
      <c r="X18">
        <v>0.509793793385055</v>
      </c>
      <c r="Y18">
        <v>0.505798285014292</v>
      </c>
      <c r="Z18">
        <v>0.537878726010617</v>
      </c>
      <c r="AA18">
        <v>0.53930788076766</v>
      </c>
      <c r="AB18">
        <v>0.539634544712127</v>
      </c>
      <c r="AC18">
        <v>0.545680277664353</v>
      </c>
      <c r="AD18">
        <v>0.555015108207432</v>
      </c>
      <c r="AE18">
        <v>0.554215189873418</v>
      </c>
      <c r="AF18">
        <v>0.55430747243773</v>
      </c>
      <c r="AG18">
        <v>0.568395671702736</v>
      </c>
      <c r="AH18">
        <v>0.568305430788077</v>
      </c>
      <c r="AI18">
        <v>0.565944467129441</v>
      </c>
      <c r="AJ18">
        <v>0.565770518579012</v>
      </c>
      <c r="AK18">
        <v>0.576328297264189</v>
      </c>
      <c r="AL18">
        <v>0.563427929767252</v>
      </c>
      <c r="AM18">
        <v>0.569779910167415</v>
      </c>
      <c r="AN18">
        <v>0.57713964883626</v>
      </c>
      <c r="AO18">
        <v>0.570504695794202</v>
      </c>
      <c r="AP18">
        <v>0.558877092690894</v>
      </c>
      <c r="AQ18">
        <v>0.541598611678236</v>
      </c>
      <c r="AR18">
        <v>0.538888525928951</v>
      </c>
      <c r="AS18">
        <v>0.550201306655778</v>
      </c>
      <c r="AT18">
        <v>0.559736627194773</v>
      </c>
      <c r="AU18">
        <v>0.559109840751327</v>
      </c>
      <c r="AV18">
        <v>0.549088607594937</v>
      </c>
      <c r="AW18">
        <v>0.525623111474071</v>
      </c>
      <c r="AX18">
        <v>0.561184565128624</v>
      </c>
      <c r="AY18">
        <v>0.538819926500613</v>
      </c>
      <c r="AZ18">
        <v>0.570993466721111</v>
      </c>
      <c r="BA18">
        <v>0.561187423438138</v>
      </c>
      <c r="BB18">
        <v>0.537459779501837</v>
      </c>
      <c r="BC18">
        <v>0.531101674152715</v>
      </c>
      <c r="BD18">
        <v>0.53824499795835</v>
      </c>
      <c r="BE18">
        <v>0.530460187831768</v>
      </c>
      <c r="BF18">
        <v>0.522411188240098</v>
      </c>
      <c r="BG18">
        <v>0.532511637403022</v>
      </c>
      <c r="BH18">
        <v>0.516610453246223</v>
      </c>
      <c r="BI18">
        <v>0.543162923642303</v>
      </c>
      <c r="BJ18">
        <v>0.568084932625561</v>
      </c>
      <c r="BK18">
        <v>0.561937525520621</v>
      </c>
      <c r="BL18">
        <v>0.553460187831768</v>
      </c>
      <c r="BM18">
        <v>0.560736627194773</v>
      </c>
      <c r="BN18">
        <v>0.603804818293181</v>
      </c>
      <c r="BO18">
        <v>0.582158023683136</v>
      </c>
      <c r="BP18">
        <v>0.597445079624336</v>
      </c>
      <c r="BQ18">
        <v>0.599814618211515</v>
      </c>
      <c r="BR18">
        <v>0.63498570845243</v>
      </c>
      <c r="BS18">
        <v>0.62110494079216</v>
      </c>
      <c r="BT18">
        <v>0.603522562449637</v>
      </c>
      <c r="BU18">
        <v>0.597465753424658</v>
      </c>
      <c r="BV18">
        <v>0.601419585987261</v>
      </c>
      <c r="BW18">
        <v>0.593774831816383</v>
      </c>
      <c r="BX18">
        <v>0.594688524590164</v>
      </c>
      <c r="BY18">
        <v>0.604481264637002</v>
      </c>
      <c r="BZ18">
        <v>0.628205698672912</v>
      </c>
      <c r="CA18">
        <v>0.623825136612022</v>
      </c>
      <c r="CB18">
        <v>0.625917642466823</v>
      </c>
      <c r="CC18">
        <v>0.618432098765432</v>
      </c>
      <c r="CD18">
        <v>0.613266975308642</v>
      </c>
      <c r="CE18">
        <v>0.616567515432099</v>
      </c>
      <c r="CF18">
        <v>0.622029706790123</v>
      </c>
      <c r="CG18">
        <v>0.610236983154671</v>
      </c>
      <c r="CH18">
        <v>0.612341883614089</v>
      </c>
      <c r="CI18">
        <v>0.579030627871363</v>
      </c>
      <c r="CJ18">
        <v>0.568776033690659</v>
      </c>
      <c r="CK18">
        <v>0.558480418766964</v>
      </c>
      <c r="CL18">
        <v>0.539451337727802</v>
      </c>
      <c r="CM18">
        <v>0.533510275300504</v>
      </c>
      <c r="CN18">
        <v>0.531228560490046</v>
      </c>
      <c r="CO18">
        <v>0.524096477794793</v>
      </c>
      <c r="CP18">
        <v>0.513752297090352</v>
      </c>
      <c r="CQ18">
        <v>0.501140505359878</v>
      </c>
      <c r="CR18">
        <v>0.463732771822358</v>
      </c>
      <c r="CS18">
        <v>0.43518989280245</v>
      </c>
    </row>
    <row r="19" spans="1:97">
      <c r="A19" s="2">
        <v>46252</v>
      </c>
      <c r="B19" cm="1">
        <f t="array" ref="B19:CS19">_xlfn._xlws.FILTER(_xlfn.TRIMRANGE(竞价空间!$B$2:$CS$1047693),_xlfn.TRIMRANGE(竞价空间!$A$2:$A$1047693)=A19)/_xlfn._xlws.FILTER(_xlfn.TRIMRANGE(实时开机!$B$2:$CS$32),_xlfn.TRIMRANGE(实时开机!$A$2:$A$32)=A19)</f>
        <v>0.472413093415008</v>
      </c>
      <c r="C19">
        <v>0.480407350689127</v>
      </c>
      <c r="D19">
        <v>0.495326186830015</v>
      </c>
      <c r="E19">
        <v>0.507388973966309</v>
      </c>
      <c r="F19">
        <v>0.545027182235835</v>
      </c>
      <c r="G19">
        <v>0.560746937212864</v>
      </c>
      <c r="H19">
        <v>0.566124425727412</v>
      </c>
      <c r="I19">
        <v>0.556133996937213</v>
      </c>
      <c r="J19">
        <v>0.555830398162328</v>
      </c>
      <c r="K19">
        <v>0.544705589586524</v>
      </c>
      <c r="L19">
        <v>0.534270290964778</v>
      </c>
      <c r="M19">
        <v>0.518061255742726</v>
      </c>
      <c r="N19">
        <v>0.563905436447167</v>
      </c>
      <c r="O19">
        <v>0.563215543644717</v>
      </c>
      <c r="P19">
        <v>0.565957886676876</v>
      </c>
      <c r="Q19">
        <v>0.569264548238897</v>
      </c>
      <c r="R19">
        <v>0.597807810107198</v>
      </c>
      <c r="S19">
        <v>0.59444180704441</v>
      </c>
      <c r="T19">
        <v>0.617440275650842</v>
      </c>
      <c r="U19">
        <v>0.627438744257274</v>
      </c>
      <c r="V19">
        <v>0.629341500765697</v>
      </c>
      <c r="W19">
        <v>0.633581546707504</v>
      </c>
      <c r="X19">
        <v>0.65114854517611</v>
      </c>
      <c r="Y19">
        <v>0.667055130168453</v>
      </c>
      <c r="Z19">
        <v>0.707059724349158</v>
      </c>
      <c r="AA19">
        <v>0.702818912710567</v>
      </c>
      <c r="AB19">
        <v>0.724712098009188</v>
      </c>
      <c r="AC19">
        <v>0.730208269525268</v>
      </c>
      <c r="AD19">
        <v>0.709150076569678</v>
      </c>
      <c r="AE19">
        <v>0.695700612557427</v>
      </c>
      <c r="AF19">
        <v>0.685327718223583</v>
      </c>
      <c r="AG19">
        <v>0.661201378254211</v>
      </c>
      <c r="AH19">
        <v>0.649730857580398</v>
      </c>
      <c r="AI19">
        <v>0.608606814701378</v>
      </c>
      <c r="AJ19">
        <v>0.579396248085758</v>
      </c>
      <c r="AK19">
        <v>0.55123124042879</v>
      </c>
      <c r="AL19">
        <v>0.561590735068913</v>
      </c>
      <c r="AM19">
        <v>0.548254977029097</v>
      </c>
      <c r="AN19">
        <v>0.524091500765697</v>
      </c>
      <c r="AO19">
        <v>0.530218989280245</v>
      </c>
      <c r="AP19">
        <v>0.536892419601838</v>
      </c>
      <c r="AQ19">
        <v>0.552326569678407</v>
      </c>
      <c r="AR19">
        <v>0.539179938744257</v>
      </c>
      <c r="AS19">
        <v>0.532028713629403</v>
      </c>
      <c r="AT19">
        <v>0.544578483920368</v>
      </c>
      <c r="AU19">
        <v>0.531538667687596</v>
      </c>
      <c r="AV19">
        <v>0.562672664624809</v>
      </c>
      <c r="AW19">
        <v>0.558208269525268</v>
      </c>
      <c r="AX19">
        <v>0.518844180704441</v>
      </c>
      <c r="AY19">
        <v>0.510385145482389</v>
      </c>
      <c r="AZ19">
        <v>0.519040199081164</v>
      </c>
      <c r="BA19">
        <v>0.523974732006126</v>
      </c>
      <c r="BB19">
        <v>0.507499234303216</v>
      </c>
      <c r="BC19">
        <v>0.519799004594181</v>
      </c>
      <c r="BD19">
        <v>0.522937595712098</v>
      </c>
      <c r="BE19">
        <v>0.544977029096478</v>
      </c>
      <c r="BF19">
        <v>0.562870980091884</v>
      </c>
      <c r="BG19">
        <v>0.535192189892802</v>
      </c>
      <c r="BH19">
        <v>0.541467075038285</v>
      </c>
      <c r="BI19">
        <v>0.546643950995406</v>
      </c>
      <c r="BJ19">
        <v>0.570982771822358</v>
      </c>
      <c r="BK19">
        <v>0.608055130168453</v>
      </c>
      <c r="BL19">
        <v>0.622467075038285</v>
      </c>
      <c r="BM19">
        <v>0.653695252679939</v>
      </c>
      <c r="BN19">
        <v>0.681165007656968</v>
      </c>
      <c r="BO19">
        <v>0.70575</v>
      </c>
      <c r="BP19">
        <v>0.730104134762634</v>
      </c>
      <c r="BQ19">
        <v>0.731445252679939</v>
      </c>
      <c r="BR19">
        <v>0.740381316998469</v>
      </c>
      <c r="BS19">
        <v>0.74358460949464</v>
      </c>
      <c r="BT19">
        <v>0.754078101071975</v>
      </c>
      <c r="BU19">
        <v>0.738156202143951</v>
      </c>
      <c r="BV19">
        <v>0.743115237366003</v>
      </c>
      <c r="BW19">
        <v>0.749421516079632</v>
      </c>
      <c r="BX19">
        <v>0.768259571209801</v>
      </c>
      <c r="BY19">
        <v>0.774044027565084</v>
      </c>
      <c r="BZ19">
        <v>0.751443721286371</v>
      </c>
      <c r="CA19">
        <v>0.756048621745789</v>
      </c>
      <c r="CB19">
        <v>0.746632082695253</v>
      </c>
      <c r="CC19">
        <v>0.751062404287902</v>
      </c>
      <c r="CD19">
        <v>0.740566232771822</v>
      </c>
      <c r="CE19">
        <v>0.736407350689127</v>
      </c>
      <c r="CF19">
        <v>0.753792879019908</v>
      </c>
      <c r="CG19">
        <v>0.754771056661562</v>
      </c>
      <c r="CH19">
        <v>0.770487748851455</v>
      </c>
      <c r="CI19">
        <v>0.782659647779479</v>
      </c>
      <c r="CJ19">
        <v>0.779947932618683</v>
      </c>
      <c r="CK19">
        <v>0.755926875957121</v>
      </c>
      <c r="CL19">
        <v>0.762991960183767</v>
      </c>
      <c r="CM19">
        <v>0.758468989280245</v>
      </c>
      <c r="CN19">
        <v>0.747783307810107</v>
      </c>
      <c r="CO19">
        <v>0.723504977029097</v>
      </c>
      <c r="CP19">
        <v>0.678597222222222</v>
      </c>
      <c r="CQ19">
        <v>0.667332947530864</v>
      </c>
      <c r="CR19">
        <v>0.653399691358025</v>
      </c>
      <c r="CS19">
        <v>0.61941975308642</v>
      </c>
    </row>
    <row r="20" spans="1:97">
      <c r="A20" s="2">
        <v>46253</v>
      </c>
      <c r="B20" cm="1">
        <f t="array" ref="B20:CS20">_xlfn._xlws.FILTER(_xlfn.TRIMRANGE(竞价空间!$B$2:$CS$1047693),_xlfn.TRIMRANGE(竞价空间!$A$2:$A$1047693)=A20)/_xlfn._xlws.FILTER(_xlfn.TRIMRANGE(实时开机!$B$2:$CS$32),_xlfn.TRIMRANGE(实时开机!$A$2:$A$32)=A20)</f>
        <v>0.611949845679012</v>
      </c>
      <c r="C20">
        <v>0.616435185185185</v>
      </c>
      <c r="D20">
        <v>0.636076677316294</v>
      </c>
      <c r="E20">
        <v>0.622895367412141</v>
      </c>
      <c r="F20">
        <v>0.647303913738019</v>
      </c>
      <c r="G20">
        <v>0.662559504792332</v>
      </c>
      <c r="H20">
        <v>0.67852196485623</v>
      </c>
      <c r="I20">
        <v>0.679474041533546</v>
      </c>
      <c r="J20">
        <v>0.661988817891374</v>
      </c>
      <c r="K20">
        <v>0.65902875399361</v>
      </c>
      <c r="L20">
        <v>0.664127396166134</v>
      </c>
      <c r="M20">
        <v>0.661640974440895</v>
      </c>
      <c r="N20">
        <v>0.647352236421725</v>
      </c>
      <c r="O20">
        <v>0.634648162939297</v>
      </c>
      <c r="P20">
        <v>0.628180511182109</v>
      </c>
      <c r="Q20">
        <v>0.629642971246006</v>
      </c>
      <c r="R20">
        <v>0.624268370607029</v>
      </c>
      <c r="S20">
        <v>0.62585982428115</v>
      </c>
      <c r="T20">
        <v>0.631658945686901</v>
      </c>
      <c r="U20">
        <v>0.651114616613419</v>
      </c>
      <c r="V20">
        <v>0.644499600638978</v>
      </c>
      <c r="W20">
        <v>0.649867811501597</v>
      </c>
      <c r="X20">
        <v>0.640436501597444</v>
      </c>
      <c r="Y20">
        <v>0.639205271565495</v>
      </c>
      <c r="Z20">
        <v>0.647768370607029</v>
      </c>
      <c r="AA20">
        <v>0.639172124600639</v>
      </c>
      <c r="AB20">
        <v>0.642825878594249</v>
      </c>
      <c r="AC20">
        <v>0.618255191693291</v>
      </c>
      <c r="AD20">
        <v>0.592879392971246</v>
      </c>
      <c r="AE20">
        <v>0.567003594249201</v>
      </c>
      <c r="AF20">
        <v>0.528027156549521</v>
      </c>
      <c r="AG20">
        <v>0.54459624600639</v>
      </c>
      <c r="AH20">
        <v>0.558288738019169</v>
      </c>
      <c r="AI20">
        <v>0.54055750798722</v>
      </c>
      <c r="AJ20">
        <v>0.534770367412141</v>
      </c>
      <c r="AK20">
        <v>0.518731629392971</v>
      </c>
      <c r="AL20">
        <v>0.511261980830671</v>
      </c>
      <c r="AM20">
        <v>0.516855830670927</v>
      </c>
      <c r="AN20">
        <v>0.541669728434505</v>
      </c>
      <c r="AO20">
        <v>0.551571086261981</v>
      </c>
      <c r="AP20">
        <v>0.567074680511182</v>
      </c>
      <c r="AQ20">
        <v>0.592452476038339</v>
      </c>
      <c r="AR20">
        <v>0.634207268370607</v>
      </c>
      <c r="AS20">
        <v>0.633304313099042</v>
      </c>
      <c r="AT20">
        <v>0.64603714057508</v>
      </c>
      <c r="AU20">
        <v>0.624651757188498</v>
      </c>
      <c r="AV20">
        <v>0.633000798722045</v>
      </c>
      <c r="AW20">
        <v>0.629690095846645</v>
      </c>
      <c r="AX20">
        <v>0.615552715654952</v>
      </c>
      <c r="AY20">
        <v>0.609125399361022</v>
      </c>
      <c r="AZ20">
        <v>0.615685702875399</v>
      </c>
      <c r="BA20">
        <v>0.626580271565495</v>
      </c>
      <c r="BB20">
        <v>0.620786341853035</v>
      </c>
      <c r="BC20">
        <v>0.636187699680511</v>
      </c>
      <c r="BD20">
        <v>0.609469249201278</v>
      </c>
      <c r="BE20">
        <v>0.616557907348243</v>
      </c>
      <c r="BF20">
        <v>0.626261581469649</v>
      </c>
      <c r="BG20">
        <v>0.643316693290735</v>
      </c>
      <c r="BH20">
        <v>0.645075479233227</v>
      </c>
      <c r="BI20">
        <v>0.664380990415335</v>
      </c>
      <c r="BJ20">
        <v>0.676972044728435</v>
      </c>
      <c r="BK20">
        <v>0.690063099041534</v>
      </c>
      <c r="BL20">
        <v>0.684742012779553</v>
      </c>
      <c r="BM20">
        <v>0.705288738019169</v>
      </c>
      <c r="BN20">
        <v>0.734648961661342</v>
      </c>
      <c r="BO20">
        <v>0.748688897763578</v>
      </c>
      <c r="BP20">
        <v>0.736390575079872</v>
      </c>
      <c r="BQ20">
        <v>0.711154153354633</v>
      </c>
      <c r="BR20">
        <v>0.702515974440895</v>
      </c>
      <c r="BS20">
        <v>0.708136182108626</v>
      </c>
      <c r="BT20">
        <v>0.711783546325879</v>
      </c>
      <c r="BU20">
        <v>0.707966853035144</v>
      </c>
      <c r="BV20">
        <v>0.707255191693291</v>
      </c>
      <c r="BW20">
        <v>0.692932907348243</v>
      </c>
      <c r="BX20">
        <v>0.705037939297125</v>
      </c>
      <c r="BY20">
        <v>0.719815495207668</v>
      </c>
      <c r="BZ20">
        <v>0.710974440894569</v>
      </c>
      <c r="CA20">
        <v>0.708275559105431</v>
      </c>
      <c r="CB20">
        <v>0.71405910543131</v>
      </c>
      <c r="CC20">
        <v>0.696085463258786</v>
      </c>
      <c r="CD20">
        <v>0.66843250798722</v>
      </c>
      <c r="CE20">
        <v>0.67294928115016</v>
      </c>
      <c r="CF20">
        <v>0.648771166134185</v>
      </c>
      <c r="CG20">
        <v>0.647445287539936</v>
      </c>
      <c r="CH20">
        <v>0.611599041533546</v>
      </c>
      <c r="CI20">
        <v>0.591539536741214</v>
      </c>
      <c r="CJ20">
        <v>0.557185303514377</v>
      </c>
      <c r="CK20">
        <v>0.528812699680511</v>
      </c>
      <c r="CL20">
        <v>0.516625</v>
      </c>
      <c r="CM20">
        <v>0.497791932907348</v>
      </c>
      <c r="CN20">
        <v>0.503310303514377</v>
      </c>
      <c r="CO20">
        <v>0.504929712460064</v>
      </c>
      <c r="CP20">
        <v>0.505557108626198</v>
      </c>
      <c r="CQ20">
        <v>0.528106230031949</v>
      </c>
      <c r="CR20">
        <v>0.511239288601455</v>
      </c>
      <c r="CS20">
        <v>0.532320533548909</v>
      </c>
    </row>
    <row r="21" spans="1:97">
      <c r="A21" s="2">
        <v>46254</v>
      </c>
      <c r="B21" cm="1">
        <f t="array" ref="B21:CS21">_xlfn._xlws.FILTER(_xlfn.TRIMRANGE(竞价空间!$B$2:$CS$1047693),_xlfn.TRIMRANGE(竞价空间!$A$2:$A$1047693)=A21)/_xlfn._xlws.FILTER(_xlfn.TRIMRANGE(实时开机!$B$2:$CS$32),_xlfn.TRIMRANGE(实时开机!$A$2:$A$32)=A21)</f>
        <v>0.496429668552951</v>
      </c>
      <c r="C21">
        <v>0.484716653193209</v>
      </c>
      <c r="D21">
        <v>0.465025464834276</v>
      </c>
      <c r="E21">
        <v>0.461011721907842</v>
      </c>
      <c r="F21">
        <v>0.454980598221504</v>
      </c>
      <c r="G21">
        <v>0.447151576394503</v>
      </c>
      <c r="H21">
        <v>0.433343168957154</v>
      </c>
      <c r="I21">
        <v>0.419853274050121</v>
      </c>
      <c r="J21">
        <v>0.411160064672595</v>
      </c>
      <c r="K21">
        <v>0.405550525464834</v>
      </c>
      <c r="L21">
        <v>0.397133791430881</v>
      </c>
      <c r="M21">
        <v>0.396850040420372</v>
      </c>
      <c r="N21">
        <v>0.407762732417138</v>
      </c>
      <c r="O21">
        <v>0.404639450282943</v>
      </c>
      <c r="P21">
        <v>0.396994341147939</v>
      </c>
      <c r="Q21">
        <v>0.40116774454325</v>
      </c>
      <c r="R21">
        <v>0.436833468067906</v>
      </c>
      <c r="S21">
        <v>0.443304365400162</v>
      </c>
      <c r="T21">
        <v>0.449660468876314</v>
      </c>
      <c r="U21">
        <v>0.456755860953921</v>
      </c>
      <c r="V21">
        <v>0.475150767987065</v>
      </c>
      <c r="W21">
        <v>0.464289225727161</v>
      </c>
      <c r="X21">
        <v>0.480210569438755</v>
      </c>
      <c r="Y21">
        <v>0.480379762392462</v>
      </c>
      <c r="Z21">
        <v>0.4850708725932</v>
      </c>
      <c r="AA21">
        <v>0.492124948791479</v>
      </c>
      <c r="AB21">
        <v>0.490948381810733</v>
      </c>
      <c r="AC21">
        <v>0.488437115936092</v>
      </c>
      <c r="AD21">
        <v>0.48998648095043</v>
      </c>
      <c r="AE21">
        <v>0.483936911102007</v>
      </c>
      <c r="AF21">
        <v>0.468697255223269</v>
      </c>
      <c r="AG21">
        <v>0.47420524375256</v>
      </c>
      <c r="AH21">
        <v>0.495568209750102</v>
      </c>
      <c r="AI21">
        <v>0.492447357640311</v>
      </c>
      <c r="AJ21">
        <v>0.481453502662843</v>
      </c>
      <c r="AK21">
        <v>0.470950020483408</v>
      </c>
      <c r="AL21">
        <v>0.465358869315854</v>
      </c>
      <c r="AM21">
        <v>0.466328963539533</v>
      </c>
      <c r="AN21">
        <v>0.459564113068415</v>
      </c>
      <c r="AO21">
        <v>0.461779188857026</v>
      </c>
      <c r="AP21">
        <v>0.467700942236788</v>
      </c>
      <c r="AQ21">
        <v>0.488407619827939</v>
      </c>
      <c r="AR21">
        <v>0.476906090853534</v>
      </c>
      <c r="AS21">
        <v>0.462328783866368</v>
      </c>
      <c r="AT21">
        <v>0.456127113465064</v>
      </c>
      <c r="AU21">
        <v>0.448811977999593</v>
      </c>
      <c r="AV21">
        <v>0.450383784884905</v>
      </c>
      <c r="AW21">
        <v>0.43796944387859</v>
      </c>
      <c r="AX21">
        <v>0.400993685068242</v>
      </c>
      <c r="AY21">
        <v>0.390426970869831</v>
      </c>
      <c r="AZ21">
        <v>0.380345895294357</v>
      </c>
      <c r="BA21">
        <v>0.402806681605215</v>
      </c>
      <c r="BB21">
        <v>0.427648808311265</v>
      </c>
      <c r="BC21">
        <v>0.446693420248523</v>
      </c>
      <c r="BD21">
        <v>0.427344061927073</v>
      </c>
      <c r="BE21">
        <v>0.422770014259523</v>
      </c>
      <c r="BF21">
        <v>0.417240985944184</v>
      </c>
      <c r="BG21">
        <v>0.401828200972448</v>
      </c>
      <c r="BH21">
        <v>0.42644773095624</v>
      </c>
      <c r="BI21">
        <v>0.427948541329011</v>
      </c>
      <c r="BJ21">
        <v>0.429677876823339</v>
      </c>
      <c r="BK21">
        <v>0.445238249594814</v>
      </c>
      <c r="BL21">
        <v>0.451761031634092</v>
      </c>
      <c r="BM21">
        <v>0.45871287527705</v>
      </c>
      <c r="BN21">
        <v>0.450936127342333</v>
      </c>
      <c r="BO21">
        <v>0.464890187386661</v>
      </c>
      <c r="BP21">
        <v>0.478920814023776</v>
      </c>
      <c r="BQ21">
        <v>0.500735442272819</v>
      </c>
      <c r="BR21">
        <v>0.523166100339796</v>
      </c>
      <c r="BS21">
        <v>0.51315530681591</v>
      </c>
      <c r="BT21">
        <v>0.517079752148711</v>
      </c>
      <c r="BU21">
        <v>0.529249650209874</v>
      </c>
      <c r="BV21">
        <v>0.501277810826889</v>
      </c>
      <c r="BW21">
        <v>0.49277414237557</v>
      </c>
      <c r="BX21">
        <v>0.5208082490581</v>
      </c>
      <c r="BY21">
        <v>0.538654768986714</v>
      </c>
      <c r="BZ21">
        <v>0.559733888558398</v>
      </c>
      <c r="CA21">
        <v>0.580644457664089</v>
      </c>
      <c r="CB21">
        <v>0.584396192742415</v>
      </c>
      <c r="CC21">
        <v>0.573766012294269</v>
      </c>
      <c r="CD21">
        <v>0.546166964108665</v>
      </c>
      <c r="CE21">
        <v>0.5485084275233</v>
      </c>
      <c r="CF21">
        <v>0.539495538370018</v>
      </c>
      <c r="CG21">
        <v>0.534589331746976</v>
      </c>
      <c r="CH21">
        <v>0.50226333531628</v>
      </c>
      <c r="CI21">
        <v>0.491888558397779</v>
      </c>
      <c r="CJ21">
        <v>0.451509022407297</v>
      </c>
      <c r="CK21">
        <v>0.431486813404719</v>
      </c>
      <c r="CL21">
        <v>0.457553440412453</v>
      </c>
      <c r="CM21">
        <v>0.429024786833234</v>
      </c>
      <c r="CN21">
        <v>0.447379734285148</v>
      </c>
      <c r="CO21">
        <v>0.455417806860995</v>
      </c>
      <c r="CP21">
        <v>0.477376561570494</v>
      </c>
      <c r="CQ21">
        <v>0.473641086654769</v>
      </c>
      <c r="CR21">
        <v>0.470156256196708</v>
      </c>
      <c r="CS21">
        <v>0.456333531627999</v>
      </c>
    </row>
    <row r="22" spans="1:97">
      <c r="A22" s="2">
        <v>46255</v>
      </c>
      <c r="B22" cm="1">
        <f t="array" ref="B22:CS22">_xlfn._xlws.FILTER(_xlfn.TRIMRANGE(竞价空间!$B$2:$CS$1047693),_xlfn.TRIMRANGE(竞价空间!$A$2:$A$1047693)=A22)/_xlfn._xlws.FILTER(_xlfn.TRIMRANGE(实时开机!$B$2:$CS$32),_xlfn.TRIMRANGE(实时开机!$A$2:$A$32)=A22)</f>
        <v>0.44162420781281</v>
      </c>
      <c r="C22">
        <v>0.44177586357327</v>
      </c>
      <c r="D22">
        <v>0.442122561967083</v>
      </c>
      <c r="E22">
        <v>0.441936133254015</v>
      </c>
      <c r="F22">
        <v>0.453365250842752</v>
      </c>
      <c r="G22">
        <v>0.46562837993258</v>
      </c>
      <c r="H22">
        <v>0.47194906206623</v>
      </c>
      <c r="I22">
        <v>0.47264155463018</v>
      </c>
      <c r="J22">
        <v>0.465816950228039</v>
      </c>
      <c r="K22">
        <v>0.463846821336506</v>
      </c>
      <c r="L22">
        <v>0.453447582788023</v>
      </c>
      <c r="M22">
        <v>0.45224499702558</v>
      </c>
      <c r="N22">
        <v>0.463562784057109</v>
      </c>
      <c r="O22">
        <v>0.473923172714654</v>
      </c>
      <c r="P22">
        <v>0.470546595280587</v>
      </c>
      <c r="Q22">
        <v>0.459812905016855</v>
      </c>
      <c r="R22">
        <v>0.452528970850684</v>
      </c>
      <c r="S22">
        <v>0.442539647035495</v>
      </c>
      <c r="T22">
        <v>0.432147769185009</v>
      </c>
      <c r="U22">
        <v>0.445463779496332</v>
      </c>
      <c r="V22">
        <v>0.443924981162007</v>
      </c>
      <c r="W22">
        <v>0.45530581003371</v>
      </c>
      <c r="X22">
        <v>0.466707182232798</v>
      </c>
      <c r="Y22">
        <v>0.479376085663296</v>
      </c>
      <c r="Z22">
        <v>0.483934784850288</v>
      </c>
      <c r="AA22">
        <v>0.489038746777712</v>
      </c>
      <c r="AB22">
        <v>0.487121618084474</v>
      </c>
      <c r="AC22">
        <v>0.476374475510609</v>
      </c>
      <c r="AD22">
        <v>0.466231227443982</v>
      </c>
      <c r="AE22">
        <v>0.465809367440016</v>
      </c>
      <c r="AF22">
        <v>0.467634550862582</v>
      </c>
      <c r="AG22">
        <v>0.457517287328971</v>
      </c>
      <c r="AH22">
        <v>0.484944993059687</v>
      </c>
      <c r="AI22">
        <v>0.482377806860995</v>
      </c>
      <c r="AJ22">
        <v>0.467053928217331</v>
      </c>
      <c r="AK22">
        <v>0.454847289311917</v>
      </c>
      <c r="AL22">
        <v>0.452511758873686</v>
      </c>
      <c r="AM22">
        <v>0.449751211580408</v>
      </c>
      <c r="AN22">
        <v>0.459513527662106</v>
      </c>
      <c r="AO22">
        <v>0.444574610350982</v>
      </c>
      <c r="AP22">
        <v>0.463000261748959</v>
      </c>
      <c r="AQ22">
        <v>0.462364513186595</v>
      </c>
      <c r="AR22">
        <v>0.507692912948642</v>
      </c>
      <c r="AS22">
        <v>0.49638078921277</v>
      </c>
      <c r="AT22">
        <v>0.519822946658735</v>
      </c>
      <c r="AU22">
        <v>0.508910584969264</v>
      </c>
      <c r="AV22">
        <v>0.497849327781083</v>
      </c>
      <c r="AW22">
        <v>0.476684021415824</v>
      </c>
      <c r="AX22">
        <v>0.482483934166171</v>
      </c>
      <c r="AY22">
        <v>0.484950323220305</v>
      </c>
      <c r="AZ22">
        <v>0.509170906206623</v>
      </c>
      <c r="BA22">
        <v>0.494409597461828</v>
      </c>
      <c r="BB22">
        <v>0.492988253023994</v>
      </c>
      <c r="BC22">
        <v>0.481175348007139</v>
      </c>
      <c r="BD22">
        <v>0.500142819223809</v>
      </c>
      <c r="BE22">
        <v>0.50782918962397</v>
      </c>
      <c r="BF22">
        <v>0.529764423889001</v>
      </c>
      <c r="BG22">
        <v>0.551119372612105</v>
      </c>
      <c r="BH22">
        <v>0.557374108184195</v>
      </c>
      <c r="BI22">
        <v>0.581798881962598</v>
      </c>
      <c r="BJ22">
        <v>0.583043764327368</v>
      </c>
      <c r="BK22">
        <v>0.566509487231048</v>
      </c>
      <c r="BL22">
        <v>0.569933706012467</v>
      </c>
      <c r="BM22">
        <v>0.590831723305852</v>
      </c>
      <c r="BN22">
        <v>0.621200836517193</v>
      </c>
      <c r="BO22">
        <v>0.621409402774985</v>
      </c>
      <c r="BP22">
        <v>0.664541451839936</v>
      </c>
      <c r="BQ22">
        <v>0.653558865875729</v>
      </c>
      <c r="BR22">
        <v>0.66513756686105</v>
      </c>
      <c r="BS22">
        <v>0.675253344057913</v>
      </c>
      <c r="BT22">
        <v>0.678071570480595</v>
      </c>
      <c r="BU22">
        <v>0.687337108385281</v>
      </c>
      <c r="BV22">
        <v>0.701047576915343</v>
      </c>
      <c r="BW22">
        <v>0.710526796702192</v>
      </c>
      <c r="BX22">
        <v>0.71265188819626</v>
      </c>
      <c r="BY22">
        <v>0.724748007239091</v>
      </c>
      <c r="BZ22">
        <v>0.73800679505372</v>
      </c>
      <c r="CA22">
        <v>0.73452544090817</v>
      </c>
      <c r="CB22">
        <v>0.733693817149807</v>
      </c>
      <c r="CC22">
        <v>0.727950115548348</v>
      </c>
      <c r="CD22">
        <v>0.690804459760795</v>
      </c>
      <c r="CE22">
        <v>0.692099249949321</v>
      </c>
      <c r="CF22">
        <v>0.689948201905534</v>
      </c>
      <c r="CG22">
        <v>0.670384598405886</v>
      </c>
      <c r="CH22">
        <v>0.667496743223671</v>
      </c>
      <c r="CI22">
        <v>0.641148785433478</v>
      </c>
      <c r="CJ22">
        <v>0.616113635423133</v>
      </c>
      <c r="CK22">
        <v>0.586862387750879</v>
      </c>
      <c r="CL22">
        <v>0.610399337885371</v>
      </c>
      <c r="CM22">
        <v>0.617804643078833</v>
      </c>
      <c r="CN22">
        <v>0.622067701220774</v>
      </c>
      <c r="CO22">
        <v>0.645029363674673</v>
      </c>
      <c r="CP22">
        <v>0.641472364096081</v>
      </c>
      <c r="CQ22">
        <v>0.634312937210282</v>
      </c>
      <c r="CR22">
        <v>0.628349536082474</v>
      </c>
      <c r="CS22">
        <v>0.592690549828179</v>
      </c>
    </row>
    <row r="23" spans="1:97">
      <c r="A23" s="2">
        <v>46256</v>
      </c>
      <c r="B23" cm="1">
        <f t="array" ref="B23:CS23">_xlfn._xlws.FILTER(_xlfn.TRIMRANGE(竞价空间!$B$2:$CS$1047693),_xlfn.TRIMRANGE(竞价空间!$A$2:$A$1047693)=A23)/_xlfn._xlws.FILTER(_xlfn.TRIMRANGE(实时开机!$B$2:$CS$32),_xlfn.TRIMRANGE(实时开机!$A$2:$A$32)=A23)</f>
        <v>0.59385824742268</v>
      </c>
      <c r="C23">
        <v>0.599466494845361</v>
      </c>
      <c r="D23">
        <v>0.602854381443299</v>
      </c>
      <c r="E23">
        <v>0.612836340206186</v>
      </c>
      <c r="F23">
        <v>0.623531786941581</v>
      </c>
      <c r="G23">
        <v>0.622269759450172</v>
      </c>
      <c r="H23">
        <v>0.62615206185567</v>
      </c>
      <c r="I23">
        <v>0.624330756013746</v>
      </c>
      <c r="J23">
        <v>0.615247422680412</v>
      </c>
      <c r="K23">
        <v>0.606604381443299</v>
      </c>
      <c r="L23">
        <v>0.604238988225033</v>
      </c>
      <c r="M23">
        <v>0.591310946358482</v>
      </c>
      <c r="N23">
        <v>0.612927169646751</v>
      </c>
      <c r="O23">
        <v>0.599389882250327</v>
      </c>
      <c r="P23">
        <v>0.598492804186655</v>
      </c>
      <c r="Q23">
        <v>0.598874400348888</v>
      </c>
      <c r="R23">
        <v>0.605776711731356</v>
      </c>
      <c r="S23">
        <v>0.609180549498474</v>
      </c>
      <c r="T23">
        <v>0.622511993022242</v>
      </c>
      <c r="U23">
        <v>0.632054949847362</v>
      </c>
      <c r="V23">
        <v>0.627922808547754</v>
      </c>
      <c r="W23">
        <v>0.624330571303969</v>
      </c>
      <c r="X23">
        <v>0.635354993458352</v>
      </c>
      <c r="Y23">
        <v>0.618675098124727</v>
      </c>
      <c r="Z23">
        <v>0.648307021369385</v>
      </c>
      <c r="AA23">
        <v>0.653912341910161</v>
      </c>
      <c r="AB23">
        <v>0.636761883994767</v>
      </c>
      <c r="AC23">
        <v>0.646421718273005</v>
      </c>
      <c r="AD23">
        <v>0.627161360662887</v>
      </c>
      <c r="AE23">
        <v>0.631319668556476</v>
      </c>
      <c r="AF23">
        <v>0.605417357174008</v>
      </c>
      <c r="AG23">
        <v>0.60718621892717</v>
      </c>
      <c r="AH23">
        <v>0.621136066288705</v>
      </c>
      <c r="AI23">
        <v>0.63339991277802</v>
      </c>
      <c r="AJ23">
        <v>0.614986480593109</v>
      </c>
      <c r="AK23">
        <v>0.597503270824248</v>
      </c>
      <c r="AL23">
        <v>0.603272568687309</v>
      </c>
      <c r="AM23">
        <v>0.608146532926297</v>
      </c>
      <c r="AN23">
        <v>0.602389882250327</v>
      </c>
      <c r="AO23">
        <v>0.586940252943742</v>
      </c>
      <c r="AP23">
        <v>0.565184038377671</v>
      </c>
      <c r="AQ23">
        <v>0.555068469254252</v>
      </c>
      <c r="AR23">
        <v>0.537617095508068</v>
      </c>
      <c r="AS23">
        <v>0.541335368512865</v>
      </c>
      <c r="AT23">
        <v>0.517043610989969</v>
      </c>
      <c r="AU23">
        <v>0.524417793283907</v>
      </c>
      <c r="AV23">
        <v>0.506578281726995</v>
      </c>
      <c r="AW23">
        <v>0.510079808111644</v>
      </c>
      <c r="AX23">
        <v>0.51998517226341</v>
      </c>
      <c r="AY23">
        <v>0.531778456170955</v>
      </c>
      <c r="AZ23">
        <v>0.539996075010903</v>
      </c>
      <c r="BA23">
        <v>0.531139555167902</v>
      </c>
      <c r="BB23">
        <v>0.533531617967728</v>
      </c>
      <c r="BC23">
        <v>0.540541212385521</v>
      </c>
      <c r="BD23">
        <v>0.531169646750981</v>
      </c>
      <c r="BE23">
        <v>0.502830353249019</v>
      </c>
      <c r="BF23">
        <v>0.49165765372874</v>
      </c>
      <c r="BG23">
        <v>0.482891844744876</v>
      </c>
      <c r="BH23">
        <v>0.469161360662887</v>
      </c>
      <c r="BI23">
        <v>0.43845704317488</v>
      </c>
      <c r="BJ23">
        <v>0.493780200610554</v>
      </c>
      <c r="BK23">
        <v>0.519272568687309</v>
      </c>
      <c r="BL23">
        <v>0.522374182293938</v>
      </c>
      <c r="BM23">
        <v>0.555565634539904</v>
      </c>
      <c r="BN23">
        <v>0.575816397732228</v>
      </c>
      <c r="BO23">
        <v>0.628345835150458</v>
      </c>
      <c r="BP23">
        <v>0.661424334932403</v>
      </c>
      <c r="BQ23">
        <v>0.659446576537287</v>
      </c>
      <c r="BR23">
        <v>0.685294374182294</v>
      </c>
      <c r="BS23">
        <v>0.689150021805495</v>
      </c>
      <c r="BT23">
        <v>0.681273440907109</v>
      </c>
      <c r="BU23">
        <v>0.69401439162669</v>
      </c>
      <c r="BV23">
        <v>0.664184474487571</v>
      </c>
      <c r="BW23">
        <v>0.640218491059747</v>
      </c>
      <c r="BX23">
        <v>0.616991277802006</v>
      </c>
      <c r="BY23">
        <v>0.59172786742259</v>
      </c>
      <c r="BZ23">
        <v>0.586695595290013</v>
      </c>
      <c r="CA23">
        <v>0.569401657217619</v>
      </c>
      <c r="CB23">
        <v>0.559081988661143</v>
      </c>
      <c r="CC23">
        <v>0.555187963366768</v>
      </c>
      <c r="CD23">
        <v>0.572658089838639</v>
      </c>
      <c r="CE23">
        <v>0.573548190143916</v>
      </c>
      <c r="CF23">
        <v>0.572075883122547</v>
      </c>
      <c r="CG23">
        <v>0.56434234627126</v>
      </c>
      <c r="CH23">
        <v>0.566041866550371</v>
      </c>
      <c r="CI23">
        <v>0.53497078063672</v>
      </c>
      <c r="CJ23">
        <v>0.518857205527528</v>
      </c>
      <c r="CK23">
        <v>0.498318929589822</v>
      </c>
      <c r="CL23">
        <v>0.512011844702786</v>
      </c>
      <c r="CM23">
        <v>0.527037946918184</v>
      </c>
      <c r="CN23">
        <v>0.528041237113402</v>
      </c>
      <c r="CO23">
        <v>0.523494187321781</v>
      </c>
      <c r="CP23">
        <v>0.523981574906778</v>
      </c>
      <c r="CQ23">
        <v>0.506642246106602</v>
      </c>
      <c r="CR23">
        <v>0.498694889230094</v>
      </c>
      <c r="CS23">
        <v>0.47614301381882</v>
      </c>
    </row>
    <row r="24" spans="1:97">
      <c r="A24" s="2">
        <v>46257</v>
      </c>
      <c r="B24" cm="1">
        <f t="array" ref="B24:CS24">_xlfn._xlws.FILTER(_xlfn.TRIMRANGE(竞价空间!$B$2:$CS$1047693),_xlfn.TRIMRANGE(竞价空间!$A$2:$A$1047693)=A24)/_xlfn._xlws.FILTER(_xlfn.TRIMRANGE(实时开机!$B$2:$CS$32),_xlfn.TRIMRANGE(实时开机!$A$2:$A$32)=A24)</f>
        <v>0.505488484316736</v>
      </c>
      <c r="C24">
        <v>0.498818161877605</v>
      </c>
      <c r="D24">
        <v>0.492655406887475</v>
      </c>
      <c r="E24">
        <v>0.499506470717263</v>
      </c>
      <c r="F24">
        <v>0.481127001535424</v>
      </c>
      <c r="G24">
        <v>0.471520508883527</v>
      </c>
      <c r="H24">
        <v>0.465326606711998</v>
      </c>
      <c r="I24">
        <v>0.464044307962272</v>
      </c>
      <c r="J24">
        <v>0.455040140381663</v>
      </c>
      <c r="K24">
        <v>0.458531256854573</v>
      </c>
      <c r="L24">
        <v>0.462825180960737</v>
      </c>
      <c r="M24">
        <v>0.464422461066023</v>
      </c>
      <c r="N24">
        <v>0.47219170870805</v>
      </c>
      <c r="O24">
        <v>0.477396358850625</v>
      </c>
      <c r="P24">
        <v>0.47624347444615</v>
      </c>
      <c r="Q24">
        <v>0.474822548804562</v>
      </c>
      <c r="R24">
        <v>0.479669664400088</v>
      </c>
      <c r="S24">
        <v>0.466369817942531</v>
      </c>
      <c r="T24">
        <v>0.447528844044747</v>
      </c>
      <c r="U24">
        <v>0.428842289975872</v>
      </c>
      <c r="V24">
        <v>0.448518973459092</v>
      </c>
      <c r="W24">
        <v>0.450831761351173</v>
      </c>
      <c r="X24">
        <v>0.451784601886379</v>
      </c>
      <c r="Y24">
        <v>0.44009738977846</v>
      </c>
      <c r="Z24">
        <v>0.452670761131827</v>
      </c>
      <c r="AA24">
        <v>0.436477297652994</v>
      </c>
      <c r="AB24">
        <v>0.44913884623821</v>
      </c>
      <c r="AC24">
        <v>0.436256196534328</v>
      </c>
      <c r="AD24">
        <v>0.435037508225488</v>
      </c>
      <c r="AE24">
        <v>0.438656722965563</v>
      </c>
      <c r="AF24">
        <v>0.422777363456898</v>
      </c>
      <c r="AG24">
        <v>0.424488703663084</v>
      </c>
      <c r="AH24">
        <v>0.437453827593771</v>
      </c>
      <c r="AI24">
        <v>0.412299188418513</v>
      </c>
      <c r="AJ24">
        <v>0.396834393507348</v>
      </c>
      <c r="AK24">
        <v>0.38342487387585</v>
      </c>
      <c r="AL24">
        <v>0.399851721868831</v>
      </c>
      <c r="AM24">
        <v>0.370912480807195</v>
      </c>
      <c r="AN24">
        <v>0.388139504277254</v>
      </c>
      <c r="AO24">
        <v>0.399483658697083</v>
      </c>
      <c r="AP24">
        <v>0.415045404694012</v>
      </c>
      <c r="AQ24">
        <v>0.433124808071946</v>
      </c>
      <c r="AR24">
        <v>0.461007677122176</v>
      </c>
      <c r="AS24">
        <v>0.460203553410836</v>
      </c>
      <c r="AT24">
        <v>0.493658258389998</v>
      </c>
      <c r="AU24">
        <v>0.512019741171309</v>
      </c>
      <c r="AV24">
        <v>0.534926518973459</v>
      </c>
      <c r="AW24">
        <v>0.522590919061198</v>
      </c>
      <c r="AX24">
        <v>0.505844702785699</v>
      </c>
      <c r="AY24">
        <v>0.521204650142575</v>
      </c>
      <c r="AZ24">
        <v>0.51691818381224</v>
      </c>
      <c r="BA24">
        <v>0.497571835928932</v>
      </c>
      <c r="BB24">
        <v>0.514707611318272</v>
      </c>
      <c r="BC24">
        <v>0.524569423119105</v>
      </c>
      <c r="BD24">
        <v>0.548213643342838</v>
      </c>
      <c r="BE24">
        <v>0.586384733494187</v>
      </c>
      <c r="BF24">
        <v>0.602141259048037</v>
      </c>
      <c r="BG24">
        <v>0.608039482342619</v>
      </c>
      <c r="BH24">
        <v>0.654025444176354</v>
      </c>
      <c r="BI24">
        <v>0.676160561526651</v>
      </c>
      <c r="BJ24">
        <v>0.691356876508006</v>
      </c>
      <c r="BK24">
        <v>0.71593156393946</v>
      </c>
      <c r="BL24">
        <v>0.720178547927177</v>
      </c>
      <c r="BM24">
        <v>0.714039043649923</v>
      </c>
      <c r="BN24">
        <v>0.768535205088835</v>
      </c>
      <c r="BO24">
        <v>0.789302478613731</v>
      </c>
      <c r="BP24">
        <v>0.811390217152884</v>
      </c>
      <c r="BQ24">
        <v>0.793315639394604</v>
      </c>
      <c r="BR24">
        <v>0.814384733494187</v>
      </c>
      <c r="BS24">
        <v>0.824512529962955</v>
      </c>
      <c r="BT24">
        <v>0.838813249073872</v>
      </c>
      <c r="BU24">
        <v>0.843860536064502</v>
      </c>
      <c r="BV24">
        <v>0.812279630027963</v>
      </c>
      <c r="BW24">
        <v>0.812329533232953</v>
      </c>
      <c r="BX24">
        <v>0.817221768122177</v>
      </c>
      <c r="BY24">
        <v>0.789934609593461</v>
      </c>
      <c r="BZ24">
        <v>0.805350828135083</v>
      </c>
      <c r="CA24">
        <v>0.800318778231878</v>
      </c>
      <c r="CB24">
        <v>0.797466551946655</v>
      </c>
      <c r="CC24">
        <v>0.797822327382233</v>
      </c>
      <c r="CD24">
        <v>0.787773284577329</v>
      </c>
      <c r="CE24">
        <v>0.786100666810067</v>
      </c>
      <c r="CF24">
        <v>0.773815013981501</v>
      </c>
      <c r="CG24">
        <v>0.777303936330394</v>
      </c>
      <c r="CH24">
        <v>0.784127339212734</v>
      </c>
      <c r="CI24">
        <v>0.780224134222413</v>
      </c>
      <c r="CJ24">
        <v>0.763892019789202</v>
      </c>
      <c r="CK24">
        <v>0.726148419014842</v>
      </c>
      <c r="CL24">
        <v>0.728094213809421</v>
      </c>
      <c r="CM24">
        <v>0.726579049257905</v>
      </c>
      <c r="CN24">
        <v>0.693061733706173</v>
      </c>
      <c r="CO24">
        <v>0.694972488803583</v>
      </c>
      <c r="CP24">
        <v>0.689779483898486</v>
      </c>
      <c r="CQ24">
        <v>0.666099180500105</v>
      </c>
      <c r="CR24">
        <v>0.661206555999159</v>
      </c>
      <c r="CS24">
        <v>0.636865272688079</v>
      </c>
    </row>
    <row r="25" spans="1:97">
      <c r="A25" s="2">
        <v>46258</v>
      </c>
      <c r="B25" cm="1">
        <f t="array" ref="B25:CS25">_xlfn._xlws.FILTER(_xlfn.TRIMRANGE(竞价空间!$B$2:$CS$1047693),_xlfn.TRIMRANGE(竞价空间!$A$2:$A$1047693)=A25)/_xlfn._xlws.FILTER(_xlfn.TRIMRANGE(实时开机!$B$2:$CS$32),_xlfn.TRIMRANGE(实时开机!$A$2:$A$32)=A25)</f>
        <v>0.655373140763095</v>
      </c>
      <c r="C25">
        <v>0.692036862408915</v>
      </c>
      <c r="D25">
        <v>0.700784826403772</v>
      </c>
      <c r="E25">
        <v>0.68760651521646</v>
      </c>
      <c r="F25">
        <v>0.692877411058723</v>
      </c>
      <c r="G25">
        <v>0.706041148735534</v>
      </c>
      <c r="H25">
        <v>0.713380197171024</v>
      </c>
      <c r="I25">
        <v>0.723493356193742</v>
      </c>
      <c r="J25">
        <v>0.706786540934419</v>
      </c>
      <c r="K25">
        <v>0.688264894984998</v>
      </c>
      <c r="L25">
        <v>0.690892841834548</v>
      </c>
      <c r="M25">
        <v>0.682039005572225</v>
      </c>
      <c r="N25">
        <v>0.701140591513073</v>
      </c>
      <c r="O25">
        <v>0.701669952850407</v>
      </c>
      <c r="P25">
        <v>0.676114873553365</v>
      </c>
      <c r="Q25">
        <v>0.678096013716245</v>
      </c>
      <c r="R25">
        <v>0.673274753536219</v>
      </c>
      <c r="S25">
        <v>0.648815687955422</v>
      </c>
      <c r="T25">
        <v>0.651529361337334</v>
      </c>
      <c r="U25">
        <v>0.63134590655808</v>
      </c>
      <c r="V25">
        <v>0.630617659665667</v>
      </c>
      <c r="W25">
        <v>0.614924560651522</v>
      </c>
      <c r="X25">
        <v>0.611035147878268</v>
      </c>
      <c r="Y25">
        <v>0.632092584654951</v>
      </c>
      <c r="Z25">
        <v>0.678802400342906</v>
      </c>
      <c r="AA25">
        <v>0.662148735533648</v>
      </c>
      <c r="AB25">
        <v>0.680771538791256</v>
      </c>
      <c r="AC25">
        <v>0.688875267895414</v>
      </c>
      <c r="AD25">
        <v>0.675114873553365</v>
      </c>
      <c r="AE25">
        <v>0.692309472781826</v>
      </c>
      <c r="AF25">
        <v>0.692882126018003</v>
      </c>
      <c r="AG25">
        <v>0.696252893270467</v>
      </c>
      <c r="AH25">
        <v>0.68917531075868</v>
      </c>
      <c r="AI25">
        <v>0.703836086956522</v>
      </c>
      <c r="AJ25">
        <v>0.6948</v>
      </c>
      <c r="AK25">
        <v>0.696023913043478</v>
      </c>
      <c r="AL25">
        <v>0.671585217391304</v>
      </c>
      <c r="AM25">
        <v>0.668358260869565</v>
      </c>
      <c r="AN25">
        <v>0.635403913043478</v>
      </c>
      <c r="AO25">
        <v>0.613154347826087</v>
      </c>
      <c r="AP25">
        <v>0.586167391304348</v>
      </c>
      <c r="AQ25">
        <v>0.585753043478261</v>
      </c>
      <c r="AR25">
        <v>0.584576956521739</v>
      </c>
      <c r="AS25">
        <v>0.571791739130435</v>
      </c>
      <c r="AT25">
        <v>0.561890434782609</v>
      </c>
      <c r="AU25">
        <v>0.55795652173913</v>
      </c>
      <c r="AV25">
        <v>0.532909565217391</v>
      </c>
      <c r="AW25">
        <v>0.545861739130435</v>
      </c>
      <c r="AX25">
        <v>0.528551739130435</v>
      </c>
      <c r="AY25">
        <v>0.498409130434783</v>
      </c>
      <c r="AZ25">
        <v>0.47654</v>
      </c>
      <c r="BA25">
        <v>0.46140347826087</v>
      </c>
      <c r="BB25">
        <v>0.451510050251256</v>
      </c>
      <c r="BC25">
        <v>0.448522613065327</v>
      </c>
      <c r="BD25">
        <v>0.442649078726968</v>
      </c>
      <c r="BE25">
        <v>0.464574539363484</v>
      </c>
      <c r="BF25">
        <v>0.492431323283082</v>
      </c>
      <c r="BG25">
        <v>0.492461474036851</v>
      </c>
      <c r="BH25">
        <v>0.489657453936348</v>
      </c>
      <c r="BI25">
        <v>0.481240787269682</v>
      </c>
      <c r="BJ25">
        <v>0.452453936348409</v>
      </c>
      <c r="BK25">
        <v>0.476969400764981</v>
      </c>
      <c r="BL25">
        <v>0.487266043348916</v>
      </c>
      <c r="BM25">
        <v>0.461529961750956</v>
      </c>
      <c r="BN25">
        <v>0.472793455163621</v>
      </c>
      <c r="BO25">
        <v>0.48741563960901</v>
      </c>
      <c r="BP25">
        <v>0.513025924351891</v>
      </c>
      <c r="BQ25">
        <v>0.493618784530387</v>
      </c>
      <c r="BR25">
        <v>0.52736804079898</v>
      </c>
      <c r="BS25">
        <v>0.549510837229069</v>
      </c>
      <c r="BT25">
        <v>0.567687207819805</v>
      </c>
      <c r="BU25">
        <v>0.577152146196345</v>
      </c>
      <c r="BV25">
        <v>0.593932426689333</v>
      </c>
      <c r="BW25">
        <v>0.587433914152146</v>
      </c>
      <c r="BX25">
        <v>0.613364640883978</v>
      </c>
      <c r="BY25">
        <v>0.604946026349341</v>
      </c>
      <c r="BZ25">
        <v>0.624545261368466</v>
      </c>
      <c r="CA25">
        <v>0.623271143221419</v>
      </c>
      <c r="CB25">
        <v>0.617522736931577</v>
      </c>
      <c r="CC25">
        <v>0.594748831279218</v>
      </c>
      <c r="CD25">
        <v>0.60968763280918</v>
      </c>
      <c r="CE25">
        <v>0.602674033149171</v>
      </c>
      <c r="CF25">
        <v>0.608864829961257</v>
      </c>
      <c r="CG25">
        <v>0.579178648299613</v>
      </c>
      <c r="CH25">
        <v>0.625723202755058</v>
      </c>
      <c r="CI25">
        <v>0.590064571674559</v>
      </c>
      <c r="CJ25">
        <v>0.561027550581145</v>
      </c>
      <c r="CK25">
        <v>0.510255273353422</v>
      </c>
      <c r="CL25">
        <v>0.50897847610848</v>
      </c>
      <c r="CM25">
        <v>0.495964270340078</v>
      </c>
      <c r="CN25">
        <v>0.501742574257426</v>
      </c>
      <c r="CO25">
        <v>0.491850624192854</v>
      </c>
      <c r="CP25">
        <v>0.462049933716306</v>
      </c>
      <c r="CQ25">
        <v>0.461699955810871</v>
      </c>
      <c r="CR25">
        <v>0.427748121961997</v>
      </c>
      <c r="CS25">
        <v>0.436652673442333</v>
      </c>
    </row>
    <row r="26" spans="1:97">
      <c r="A26" s="2">
        <v>46259</v>
      </c>
      <c r="B26" cm="1">
        <f t="array" ref="B26:CS26">_xlfn._xlws.FILTER(_xlfn.TRIMRANGE(竞价空间!$B$2:$CS$1047693),_xlfn.TRIMRANGE(竞价空间!$A$2:$A$1047693)=A26)/_xlfn._xlws.FILTER(_xlfn.TRIMRANGE(实时开机!$B$2:$CS$32),_xlfn.TRIMRANGE(实时开机!$A$2:$A$32)=A26)</f>
        <v>0.41025629695095</v>
      </c>
      <c r="C26">
        <v>0.412095890410959</v>
      </c>
      <c r="D26">
        <v>0.421306672558551</v>
      </c>
      <c r="E26">
        <v>0.409139637649138</v>
      </c>
      <c r="F26">
        <v>0.414960229783473</v>
      </c>
      <c r="G26">
        <v>0.414927529827662</v>
      </c>
      <c r="H26">
        <v>0.432373398144057</v>
      </c>
      <c r="I26">
        <v>0.439312417145382</v>
      </c>
      <c r="J26">
        <v>0.437207247017234</v>
      </c>
      <c r="K26">
        <v>0.439956252761821</v>
      </c>
      <c r="L26">
        <v>0.473799823243482</v>
      </c>
      <c r="M26">
        <v>0.481353513035793</v>
      </c>
      <c r="N26">
        <v>0.489439681838268</v>
      </c>
      <c r="O26">
        <v>0.486484312859037</v>
      </c>
      <c r="P26">
        <v>0.494121961997349</v>
      </c>
      <c r="Q26">
        <v>0.489296067167477</v>
      </c>
      <c r="R26">
        <v>0.484536456031816</v>
      </c>
      <c r="S26">
        <v>0.473038002651348</v>
      </c>
      <c r="T26">
        <v>0.479856385329209</v>
      </c>
      <c r="U26">
        <v>0.474620415377817</v>
      </c>
      <c r="V26">
        <v>0.481001767565179</v>
      </c>
      <c r="W26">
        <v>0.483021210782148</v>
      </c>
      <c r="X26">
        <v>0.492846663720725</v>
      </c>
      <c r="Y26">
        <v>0.485191780821918</v>
      </c>
      <c r="Z26">
        <v>0.518337604949182</v>
      </c>
      <c r="AA26">
        <v>0.512567388422448</v>
      </c>
      <c r="AB26">
        <v>0.522895271763146</v>
      </c>
      <c r="AC26">
        <v>0.512685373398144</v>
      </c>
      <c r="AD26">
        <v>0.483219619973487</v>
      </c>
      <c r="AE26">
        <v>0.474115333627928</v>
      </c>
      <c r="AF26">
        <v>0.464653115333628</v>
      </c>
      <c r="AG26">
        <v>0.485285019885108</v>
      </c>
      <c r="AH26">
        <v>0.50979496243924</v>
      </c>
      <c r="AI26">
        <v>0.501067167476801</v>
      </c>
      <c r="AJ26">
        <v>0.490504790940767</v>
      </c>
      <c r="AK26">
        <v>0.492149825783972</v>
      </c>
      <c r="AL26">
        <v>0.478745209059233</v>
      </c>
      <c r="AM26">
        <v>0.459905487804878</v>
      </c>
      <c r="AN26">
        <v>0.441613769214116</v>
      </c>
      <c r="AO26">
        <v>0.454724399220611</v>
      </c>
      <c r="AP26">
        <v>0.440458107815544</v>
      </c>
      <c r="AQ26">
        <v>0.445669625460056</v>
      </c>
      <c r="AR26">
        <v>0.462103485602944</v>
      </c>
      <c r="AS26">
        <v>0.47754232517861</v>
      </c>
      <c r="AT26">
        <v>0.474816193981381</v>
      </c>
      <c r="AU26">
        <v>0.444670274951288</v>
      </c>
      <c r="AV26">
        <v>0.455969257415025</v>
      </c>
      <c r="AW26">
        <v>0.488887205022732</v>
      </c>
      <c r="AX26">
        <v>0.497625460056289</v>
      </c>
      <c r="AY26">
        <v>0.498372807967092</v>
      </c>
      <c r="AZ26">
        <v>0.531101104135094</v>
      </c>
      <c r="BA26">
        <v>0.536876380168868</v>
      </c>
      <c r="BB26">
        <v>0.572542108681533</v>
      </c>
      <c r="BC26">
        <v>0.586777657501624</v>
      </c>
      <c r="BD26">
        <v>0.601273868802771</v>
      </c>
      <c r="BE26">
        <v>0.599453561376921</v>
      </c>
      <c r="BF26">
        <v>0.609596882442087</v>
      </c>
      <c r="BG26">
        <v>0.618749945875731</v>
      </c>
      <c r="BH26">
        <v>0.620702296630178</v>
      </c>
      <c r="BI26">
        <v>0.629448379480575</v>
      </c>
      <c r="BJ26">
        <v>0.584108268132798</v>
      </c>
      <c r="BK26">
        <v>0.584881370268556</v>
      </c>
      <c r="BL26">
        <v>0.600419961936985</v>
      </c>
      <c r="BM26">
        <v>0.587498414041023</v>
      </c>
      <c r="BN26">
        <v>0.6097026855572</v>
      </c>
      <c r="BO26">
        <v>0.600967223514485</v>
      </c>
      <c r="BP26">
        <v>0.603070839500952</v>
      </c>
      <c r="BQ26">
        <v>0.6037365193487</v>
      </c>
      <c r="BR26">
        <v>0.591083527172764</v>
      </c>
      <c r="BS26">
        <v>0.615629097060689</v>
      </c>
      <c r="BT26">
        <v>0.618279128779869</v>
      </c>
      <c r="BU26">
        <v>0.634806935927257</v>
      </c>
      <c r="BV26">
        <v>0.6434392049059</v>
      </c>
      <c r="BW26">
        <v>0.655484880524424</v>
      </c>
      <c r="BX26">
        <v>0.689646013956439</v>
      </c>
      <c r="BY26">
        <v>0.715090293931064</v>
      </c>
      <c r="BZ26">
        <v>0.741524212307042</v>
      </c>
      <c r="CA26">
        <v>0.754250370057094</v>
      </c>
      <c r="CB26">
        <v>0.739512370480017</v>
      </c>
      <c r="CC26">
        <v>0.743544512581941</v>
      </c>
      <c r="CD26">
        <v>0.734897864241912</v>
      </c>
      <c r="CE26">
        <v>0.719921336434764</v>
      </c>
      <c r="CF26">
        <v>0.707870162825122</v>
      </c>
      <c r="CG26">
        <v>0.687150348910975</v>
      </c>
      <c r="CH26">
        <v>0.698180587862127</v>
      </c>
      <c r="CI26">
        <v>0.69106957073377</v>
      </c>
      <c r="CJ26">
        <v>0.704028758722774</v>
      </c>
      <c r="CK26">
        <v>0.659173609642631</v>
      </c>
      <c r="CL26">
        <v>0.623882004652146</v>
      </c>
      <c r="CM26">
        <v>0.600025375343624</v>
      </c>
      <c r="CN26">
        <v>0.596244026221188</v>
      </c>
      <c r="CO26">
        <v>0.590217805032777</v>
      </c>
      <c r="CP26">
        <v>0.58452569253542</v>
      </c>
      <c r="CQ26">
        <v>0.57255064495665</v>
      </c>
      <c r="CR26">
        <v>0.552979488263904</v>
      </c>
      <c r="CS26">
        <v>0.56063988158173</v>
      </c>
    </row>
    <row r="27" spans="1:97">
      <c r="A27" s="2">
        <v>46260</v>
      </c>
      <c r="B27" cm="1">
        <f t="array" ref="B27:CS27">_xlfn._xlws.FILTER(_xlfn.TRIMRANGE(竞价空间!$B$2:$CS$1047693),_xlfn.TRIMRANGE(竞价空间!$A$2:$A$1047693)=A27)/_xlfn._xlws.FILTER(_xlfn.TRIMRANGE(实时开机!$B$2:$CS$32),_xlfn.TRIMRANGE(实时开机!$A$2:$A$32)=A27)</f>
        <v>0.603092831465426</v>
      </c>
      <c r="C27">
        <v>0.596427151617678</v>
      </c>
      <c r="D27">
        <v>0.560638189892155</v>
      </c>
      <c r="E27">
        <v>0.569093677310214</v>
      </c>
      <c r="F27">
        <v>0.566788750264327</v>
      </c>
      <c r="G27">
        <v>0.566684288433073</v>
      </c>
      <c r="H27">
        <v>0.579308944808628</v>
      </c>
      <c r="I27">
        <v>0.574684288433073</v>
      </c>
      <c r="J27">
        <v>0.55371960245295</v>
      </c>
      <c r="K27">
        <v>0.545932332417001</v>
      </c>
      <c r="L27">
        <v>0.549383379149926</v>
      </c>
      <c r="M27">
        <v>0.543045464157327</v>
      </c>
      <c r="N27">
        <v>0.552018608585325</v>
      </c>
      <c r="O27">
        <v>0.554441953901459</v>
      </c>
      <c r="P27">
        <v>0.55086149291605</v>
      </c>
      <c r="Q27">
        <v>0.547600338337915</v>
      </c>
      <c r="R27">
        <v>0.539187566081624</v>
      </c>
      <c r="S27">
        <v>0.547821103827448</v>
      </c>
      <c r="T27">
        <v>0.527440473673081</v>
      </c>
      <c r="U27">
        <v>0.515022626348065</v>
      </c>
      <c r="V27">
        <v>0.516590399661662</v>
      </c>
      <c r="W27">
        <v>0.498241488686826</v>
      </c>
      <c r="X27">
        <v>0.505673926834426</v>
      </c>
      <c r="Y27">
        <v>0.497828293508141</v>
      </c>
      <c r="Z27">
        <v>0.497789384647917</v>
      </c>
      <c r="AA27">
        <v>0.50546415732713</v>
      </c>
      <c r="AB27">
        <v>0.523528441530979</v>
      </c>
      <c r="AC27">
        <v>0.533285261154578</v>
      </c>
      <c r="AD27">
        <v>0.531701839712413</v>
      </c>
      <c r="AE27">
        <v>0.532113343201522</v>
      </c>
      <c r="AF27">
        <v>0.534208923662508</v>
      </c>
      <c r="AG27">
        <v>0.523728906745612</v>
      </c>
      <c r="AH27">
        <v>0.541936561640939</v>
      </c>
      <c r="AI27">
        <v>0.534243180376401</v>
      </c>
      <c r="AJ27">
        <v>0.566051173609643</v>
      </c>
      <c r="AK27">
        <v>0.574129414252485</v>
      </c>
      <c r="AL27">
        <v>0.553756396701205</v>
      </c>
      <c r="AM27">
        <v>0.5562973144428</v>
      </c>
      <c r="AN27">
        <v>0.553929794882639</v>
      </c>
      <c r="AO27">
        <v>0.542334954535843</v>
      </c>
      <c r="AP27">
        <v>0.511899767392684</v>
      </c>
      <c r="AQ27">
        <v>0.499071685345739</v>
      </c>
      <c r="AR27">
        <v>0.499683231127088</v>
      </c>
      <c r="AS27">
        <v>0.461456121801649</v>
      </c>
      <c r="AT27">
        <v>0.461338972298583</v>
      </c>
      <c r="AU27">
        <v>0.43042165362656</v>
      </c>
      <c r="AV27">
        <v>0.434058363290336</v>
      </c>
      <c r="AW27">
        <v>0.429571579615141</v>
      </c>
      <c r="AX27">
        <v>0.426745189257771</v>
      </c>
      <c r="AY27">
        <v>0.395846479171072</v>
      </c>
      <c r="AZ27">
        <v>0.383001903150772</v>
      </c>
      <c r="BA27">
        <v>0.396109536899979</v>
      </c>
      <c r="BB27">
        <v>0.37558172975259</v>
      </c>
      <c r="BC27">
        <v>0.34392091351237</v>
      </c>
      <c r="BD27">
        <v>0.389206597589342</v>
      </c>
      <c r="BE27">
        <v>0.398916472827236</v>
      </c>
      <c r="BF27">
        <v>0.432484669063227</v>
      </c>
      <c r="BG27">
        <v>0.416188623387608</v>
      </c>
      <c r="BH27">
        <v>0.432327764855149</v>
      </c>
      <c r="BI27">
        <v>0.434796362867414</v>
      </c>
      <c r="BJ27">
        <v>0.482698244872066</v>
      </c>
      <c r="BK27">
        <v>0.518669063226898</v>
      </c>
      <c r="BL27">
        <v>0.545699725100444</v>
      </c>
      <c r="BM27">
        <v>0.580142524846691</v>
      </c>
      <c r="BN27">
        <v>0.573602452949884</v>
      </c>
      <c r="BO27">
        <v>0.57561556354409</v>
      </c>
      <c r="BP27">
        <v>0.615832945654472</v>
      </c>
      <c r="BQ27">
        <v>0.612289278917319</v>
      </c>
      <c r="BR27">
        <v>0.644249524212307</v>
      </c>
      <c r="BS27">
        <v>0.64819327553394</v>
      </c>
      <c r="BT27">
        <v>0.67290674561218</v>
      </c>
      <c r="BU27">
        <v>0.667793190949461</v>
      </c>
      <c r="BV27">
        <v>0.673124550644957</v>
      </c>
      <c r="BW27">
        <v>0.671205328822161</v>
      </c>
      <c r="BX27">
        <v>0.710565447240431</v>
      </c>
      <c r="BY27">
        <v>0.741944704381114</v>
      </c>
      <c r="BZ27">
        <v>0.738715014887282</v>
      </c>
      <c r="CA27">
        <v>0.733878774989366</v>
      </c>
      <c r="CB27">
        <v>0.709057422373458</v>
      </c>
      <c r="CC27">
        <v>0.692373287671233</v>
      </c>
      <c r="CD27">
        <v>0.72398920552677</v>
      </c>
      <c r="CE27">
        <v>0.734443005181347</v>
      </c>
      <c r="CF27">
        <v>0.72192530224525</v>
      </c>
      <c r="CG27">
        <v>0.689501295336788</v>
      </c>
      <c r="CH27">
        <v>0.668038860103627</v>
      </c>
      <c r="CI27">
        <v>0.672843696027634</v>
      </c>
      <c r="CJ27">
        <v>0.691540587219344</v>
      </c>
      <c r="CK27">
        <v>0.677072107081174</v>
      </c>
      <c r="CL27">
        <v>0.642512953367876</v>
      </c>
      <c r="CM27">
        <v>0.632734455958549</v>
      </c>
      <c r="CN27">
        <v>0.657150259067358</v>
      </c>
      <c r="CO27">
        <v>0.64415414507772</v>
      </c>
      <c r="CP27">
        <v>0.599034110535406</v>
      </c>
      <c r="CQ27">
        <v>0.572311744386874</v>
      </c>
      <c r="CR27">
        <v>0.535177461139896</v>
      </c>
      <c r="CS27">
        <v>0.515551813471503</v>
      </c>
    </row>
    <row r="28" spans="1:97">
      <c r="A28" s="2">
        <v>46261</v>
      </c>
      <c r="B28" cm="1">
        <f t="array" ref="B28:CS28">_xlfn._xlws.FILTER(_xlfn.TRIMRANGE(竞价空间!$B$2:$CS$1047693),_xlfn.TRIMRANGE(竞价空间!$A$2:$A$1047693)=A28)/_xlfn._xlws.FILTER(_xlfn.TRIMRANGE(实时开机!$B$2:$CS$32),_xlfn.TRIMRANGE(实时开机!$A$2:$A$32)=A28)</f>
        <v>0.523668393782383</v>
      </c>
      <c r="C28">
        <v>0.49974481865285</v>
      </c>
      <c r="D28">
        <v>0.508256044905009</v>
      </c>
      <c r="E28">
        <v>0.485588946459413</v>
      </c>
      <c r="F28">
        <v>0.48088816925734</v>
      </c>
      <c r="G28">
        <v>0.491631740464708</v>
      </c>
      <c r="H28">
        <v>0.49146514686541</v>
      </c>
      <c r="I28">
        <v>0.490510740903113</v>
      </c>
      <c r="J28">
        <v>0.513990355107409</v>
      </c>
      <c r="K28">
        <v>0.514267426567295</v>
      </c>
      <c r="L28">
        <v>0.501777729066199</v>
      </c>
      <c r="M28">
        <v>0.49545857080228</v>
      </c>
      <c r="N28">
        <v>0.508344147303814</v>
      </c>
      <c r="O28">
        <v>0.502459886014906</v>
      </c>
      <c r="P28">
        <v>0.512748794388426</v>
      </c>
      <c r="Q28">
        <v>0.507921525646646</v>
      </c>
      <c r="R28">
        <v>0.49406313020605</v>
      </c>
      <c r="S28">
        <v>0.498011836913634</v>
      </c>
      <c r="T28">
        <v>0.507131082858395</v>
      </c>
      <c r="U28">
        <v>0.506356861025866</v>
      </c>
      <c r="V28">
        <v>0.519226654975888</v>
      </c>
      <c r="W28">
        <v>0.520598421744849</v>
      </c>
      <c r="X28">
        <v>0.518720736519071</v>
      </c>
      <c r="Y28">
        <v>0.49794695309075</v>
      </c>
      <c r="Z28">
        <v>0.492634370889961</v>
      </c>
      <c r="AA28">
        <v>0.490173608066637</v>
      </c>
      <c r="AB28">
        <v>0.487315212626041</v>
      </c>
      <c r="AC28">
        <v>0.463789127575625</v>
      </c>
      <c r="AD28">
        <v>0.464148619026743</v>
      </c>
      <c r="AE28">
        <v>0.455191144234985</v>
      </c>
      <c r="AF28">
        <v>0.460903989478299</v>
      </c>
      <c r="AG28">
        <v>0.441631740464708</v>
      </c>
      <c r="AH28">
        <v>0.501820254274441</v>
      </c>
      <c r="AI28">
        <v>0.469049539675581</v>
      </c>
      <c r="AJ28">
        <v>0.453758877685226</v>
      </c>
      <c r="AK28">
        <v>0.404740026304253</v>
      </c>
      <c r="AL28">
        <v>0.416193798449612</v>
      </c>
      <c r="AM28">
        <v>0.40703830369357</v>
      </c>
      <c r="AN28">
        <v>0.413746922024624</v>
      </c>
      <c r="AO28">
        <v>0.401591427268582</v>
      </c>
      <c r="AP28">
        <v>0.405735066119471</v>
      </c>
      <c r="AQ28">
        <v>0.421161422708619</v>
      </c>
      <c r="AR28">
        <v>0.417238942088463</v>
      </c>
      <c r="AS28">
        <v>0.421107159142727</v>
      </c>
      <c r="AT28">
        <v>0.4346292749658</v>
      </c>
      <c r="AU28">
        <v>0.441548107615139</v>
      </c>
      <c r="AV28">
        <v>0.462758321933425</v>
      </c>
      <c r="AW28">
        <v>0.46425626994984</v>
      </c>
      <c r="AX28">
        <v>0.492442316461468</v>
      </c>
      <c r="AY28">
        <v>0.508444140446876</v>
      </c>
      <c r="AZ28">
        <v>0.550367989056088</v>
      </c>
      <c r="BA28">
        <v>0.511338349293206</v>
      </c>
      <c r="BB28">
        <v>0.499406292749658</v>
      </c>
      <c r="BC28">
        <v>0.499132238942088</v>
      </c>
      <c r="BD28">
        <v>0.507336069311445</v>
      </c>
      <c r="BE28">
        <v>0.512647514819881</v>
      </c>
      <c r="BF28">
        <v>0.501619699042408</v>
      </c>
      <c r="BG28">
        <v>0.516668034655723</v>
      </c>
      <c r="BH28">
        <v>0.500488828089375</v>
      </c>
      <c r="BI28">
        <v>0.510382580939353</v>
      </c>
      <c r="BJ28">
        <v>0.553739626082991</v>
      </c>
      <c r="BK28">
        <v>0.577787505699954</v>
      </c>
      <c r="BL28">
        <v>0.593760145918833</v>
      </c>
      <c r="BM28">
        <v>0.607949840401277</v>
      </c>
      <c r="BN28">
        <v>0.632119471044232</v>
      </c>
      <c r="BO28">
        <v>0.6617528499772</v>
      </c>
      <c r="BP28">
        <v>0.685832193342453</v>
      </c>
      <c r="BQ28">
        <v>0.672673506611947</v>
      </c>
      <c r="BR28">
        <v>0.697423620611035</v>
      </c>
      <c r="BS28">
        <v>0.698648882808938</v>
      </c>
      <c r="BT28">
        <v>0.678238486092111</v>
      </c>
      <c r="BU28">
        <v>0.662974008207934</v>
      </c>
      <c r="BV28">
        <v>0.651476060191518</v>
      </c>
      <c r="BW28">
        <v>0.622431828545372</v>
      </c>
      <c r="BX28">
        <v>0.632590059279526</v>
      </c>
      <c r="BY28">
        <v>0.620982672138623</v>
      </c>
      <c r="BZ28">
        <v>0.579409940720474</v>
      </c>
      <c r="CA28">
        <v>0.576206110351117</v>
      </c>
      <c r="CB28">
        <v>0.559001367989056</v>
      </c>
      <c r="CC28">
        <v>0.537569083447332</v>
      </c>
      <c r="CD28">
        <v>0.546311901504788</v>
      </c>
      <c r="CE28">
        <v>0.550209302325581</v>
      </c>
      <c r="CF28">
        <v>0.529112175102599</v>
      </c>
      <c r="CG28">
        <v>0.508364797081623</v>
      </c>
      <c r="CH28">
        <v>0.493414044687642</v>
      </c>
      <c r="CI28">
        <v>0.463198814409485</v>
      </c>
      <c r="CJ28">
        <v>0.442180574555404</v>
      </c>
      <c r="CK28">
        <v>0.407019607843137</v>
      </c>
      <c r="CL28">
        <v>0.405481532147743</v>
      </c>
      <c r="CM28">
        <v>0.389478340173279</v>
      </c>
      <c r="CN28">
        <v>0.414412220702234</v>
      </c>
      <c r="CO28">
        <v>0.425398084815321</v>
      </c>
      <c r="CP28">
        <v>0.42784952120383</v>
      </c>
      <c r="CQ28">
        <v>0.449832649338805</v>
      </c>
      <c r="CR28">
        <v>0.477492932056544</v>
      </c>
      <c r="CS28">
        <v>0.507822161422709</v>
      </c>
    </row>
    <row r="29" spans="1:97">
      <c r="A29" s="2">
        <v>46262</v>
      </c>
      <c r="B29" cm="1">
        <f t="array" ref="B29:CS29">_xlfn._xlws.FILTER(_xlfn.TRIMRANGE(竞价空间!$B$2:$CS$1047693),_xlfn.TRIMRANGE(竞价空间!$A$2:$A$1047693)=A29)/_xlfn._xlws.FILTER(_xlfn.TRIMRANGE(实时开机!$B$2:$CS$32),_xlfn.TRIMRANGE(实时开机!$A$2:$A$32)=A29)</f>
        <v>0.532057911536708</v>
      </c>
      <c r="C29">
        <v>0.543573187414501</v>
      </c>
      <c r="D29">
        <v>0.551361149110807</v>
      </c>
      <c r="E29">
        <v>0.552664386684907</v>
      </c>
      <c r="F29">
        <v>0.566924304605563</v>
      </c>
      <c r="G29">
        <v>0.566525307797538</v>
      </c>
      <c r="H29">
        <v>0.563395348837209</v>
      </c>
      <c r="I29">
        <v>0.554985864113087</v>
      </c>
      <c r="J29">
        <v>0.544453260373917</v>
      </c>
      <c r="K29">
        <v>0.551042863657091</v>
      </c>
      <c r="L29">
        <v>0.553274965800274</v>
      </c>
      <c r="M29">
        <v>0.554718194254446</v>
      </c>
      <c r="N29">
        <v>0.550676242590059</v>
      </c>
      <c r="O29">
        <v>0.548708618331053</v>
      </c>
      <c r="P29">
        <v>0.556398540811674</v>
      </c>
      <c r="Q29">
        <v>0.553226630186959</v>
      </c>
      <c r="R29">
        <v>0.553324213406293</v>
      </c>
      <c r="S29">
        <v>0.564388052895577</v>
      </c>
      <c r="T29">
        <v>0.566284997720018</v>
      </c>
      <c r="U29">
        <v>0.57153488372093</v>
      </c>
      <c r="V29">
        <v>0.574633834929321</v>
      </c>
      <c r="W29">
        <v>0.603696306429549</v>
      </c>
      <c r="X29">
        <v>0.644002735978112</v>
      </c>
      <c r="Y29">
        <v>0.641958960328317</v>
      </c>
      <c r="Z29">
        <v>0.652852713178295</v>
      </c>
      <c r="AA29">
        <v>0.641669402644779</v>
      </c>
      <c r="AB29">
        <v>0.627557683538532</v>
      </c>
      <c r="AC29">
        <v>0.618499316005472</v>
      </c>
      <c r="AD29">
        <v>0.6165617875057</v>
      </c>
      <c r="AE29">
        <v>0.614781577747378</v>
      </c>
      <c r="AF29">
        <v>0.616783857729138</v>
      </c>
      <c r="AG29">
        <v>0.635720474236206</v>
      </c>
      <c r="AH29">
        <v>0.637967624259006</v>
      </c>
      <c r="AI29">
        <v>0.628116279069767</v>
      </c>
      <c r="AJ29">
        <v>0.599515275877793</v>
      </c>
      <c r="AK29">
        <v>0.60615047879617</v>
      </c>
      <c r="AL29">
        <v>0.576603739170087</v>
      </c>
      <c r="AM29">
        <v>0.576112175102599</v>
      </c>
      <c r="AN29">
        <v>0.566041495668035</v>
      </c>
      <c r="AO29">
        <v>0.572095759233926</v>
      </c>
      <c r="AP29">
        <v>0.54444049247606</v>
      </c>
      <c r="AQ29">
        <v>0.579497948016416</v>
      </c>
      <c r="AR29">
        <v>0.578954400364797</v>
      </c>
      <c r="AS29">
        <v>0.594393524851801</v>
      </c>
      <c r="AT29">
        <v>0.608126310989512</v>
      </c>
      <c r="AU29">
        <v>0.632746922024624</v>
      </c>
      <c r="AV29">
        <v>0.649756953944368</v>
      </c>
      <c r="AW29">
        <v>0.656459188326493</v>
      </c>
      <c r="AX29">
        <v>0.672752393980848</v>
      </c>
      <c r="AY29">
        <v>0.669482900136799</v>
      </c>
      <c r="AZ29">
        <v>0.713163246694026</v>
      </c>
      <c r="BA29">
        <v>0.731715914272686</v>
      </c>
      <c r="BB29">
        <v>0.760309621523028</v>
      </c>
      <c r="BC29">
        <v>0.796802553579571</v>
      </c>
      <c r="BD29">
        <v>0.81665014911677</v>
      </c>
      <c r="BE29">
        <v>0.810862124340445</v>
      </c>
      <c r="BF29">
        <v>0.807165863730213</v>
      </c>
      <c r="BG29">
        <v>0.822537279192475</v>
      </c>
      <c r="BH29">
        <v>0.828050470291351</v>
      </c>
      <c r="BI29">
        <v>0.819526038082129</v>
      </c>
      <c r="BJ29">
        <v>0.815489332415692</v>
      </c>
      <c r="BK29">
        <v>0.798116081670108</v>
      </c>
      <c r="BL29">
        <v>0.766469373709566</v>
      </c>
      <c r="BM29">
        <v>0.758204175269557</v>
      </c>
      <c r="BN29">
        <v>0.739956870841936</v>
      </c>
      <c r="BO29">
        <v>0.739580178940124</v>
      </c>
      <c r="BP29">
        <v>0.733509979353063</v>
      </c>
      <c r="BQ29">
        <v>0.725426015141087</v>
      </c>
      <c r="BR29">
        <v>0.71458086717137</v>
      </c>
      <c r="BS29">
        <v>0.70276852489103</v>
      </c>
      <c r="BT29">
        <v>0.688687313604038</v>
      </c>
      <c r="BU29">
        <v>0.68485707731131</v>
      </c>
      <c r="BV29">
        <v>0.685213581096582</v>
      </c>
      <c r="BW29">
        <v>0.694695113558155</v>
      </c>
      <c r="BX29">
        <v>0.726596467079605</v>
      </c>
      <c r="BY29">
        <v>0.73498554714384</v>
      </c>
      <c r="BZ29">
        <v>0.745178251892636</v>
      </c>
      <c r="CA29">
        <v>0.734287680660702</v>
      </c>
      <c r="CB29">
        <v>0.715525579261298</v>
      </c>
      <c r="CC29">
        <v>0.719404450562055</v>
      </c>
      <c r="CD29">
        <v>0.700274833677449</v>
      </c>
      <c r="CE29">
        <v>0.707029135122735</v>
      </c>
      <c r="CF29">
        <v>0.689676990135352</v>
      </c>
      <c r="CG29">
        <v>0.656132140399174</v>
      </c>
      <c r="CH29">
        <v>0.643090158293186</v>
      </c>
      <c r="CI29">
        <v>0.639721954576738</v>
      </c>
      <c r="CJ29">
        <v>0.61741913282863</v>
      </c>
      <c r="CK29">
        <v>0.622445056205552</v>
      </c>
      <c r="CL29">
        <v>0.598627208075247</v>
      </c>
      <c r="CM29">
        <v>0.624013305804084</v>
      </c>
      <c r="CN29">
        <v>0.621080244016893</v>
      </c>
      <c r="CO29">
        <v>0.630458055290753</v>
      </c>
      <c r="CP29">
        <v>0.650352998065764</v>
      </c>
      <c r="CQ29">
        <v>0.639824951644101</v>
      </c>
      <c r="CR29">
        <v>0.640733075435203</v>
      </c>
      <c r="CS29">
        <v>0.62766586073501</v>
      </c>
    </row>
    <row r="30" spans="1:97">
      <c r="A30" s="2">
        <v>46263</v>
      </c>
      <c r="B30" cm="1">
        <f t="array" ref="B30:CS30">_xlfn._xlws.FILTER(_xlfn.TRIMRANGE(竞价空间!$B$2:$CS$1047693),_xlfn.TRIMRANGE(竞价空间!$A$2:$A$1047693)=A30)/_xlfn._xlws.FILTER(_xlfn.TRIMRANGE(实时开机!$B$2:$CS$32),_xlfn.TRIMRANGE(实时开机!$A$2:$A$32)=A30)</f>
        <v>0.590733075435203</v>
      </c>
      <c r="C30">
        <v>0.577459864603482</v>
      </c>
      <c r="D30">
        <v>0.547710348162476</v>
      </c>
      <c r="E30">
        <v>0.548038201160542</v>
      </c>
      <c r="F30">
        <v>0.562968085106383</v>
      </c>
      <c r="G30">
        <v>0.566823984526112</v>
      </c>
      <c r="H30">
        <v>0.592704183266932</v>
      </c>
      <c r="I30">
        <v>0.577753984063745</v>
      </c>
      <c r="J30">
        <v>0.547768426294821</v>
      </c>
      <c r="K30">
        <v>0.547933096806893</v>
      </c>
      <c r="L30">
        <v>0.536876330461227</v>
      </c>
      <c r="M30">
        <v>0.533742524075013</v>
      </c>
      <c r="N30">
        <v>0.539971109984795</v>
      </c>
      <c r="O30">
        <v>0.53436340598074</v>
      </c>
      <c r="P30">
        <v>0.55457944415312</v>
      </c>
      <c r="Q30">
        <v>0.52931777661248</v>
      </c>
      <c r="R30">
        <v>0.566623492396434</v>
      </c>
      <c r="S30">
        <v>0.550306764551652</v>
      </c>
      <c r="T30">
        <v>0.532309386470897</v>
      </c>
      <c r="U30">
        <v>0.513708442579969</v>
      </c>
      <c r="V30">
        <v>0.516503932878867</v>
      </c>
      <c r="W30">
        <v>0.507844257996854</v>
      </c>
      <c r="X30">
        <v>0.498515993707394</v>
      </c>
      <c r="Y30">
        <v>0.473108023072889</v>
      </c>
      <c r="Z30">
        <v>0.520712113266911</v>
      </c>
      <c r="AA30">
        <v>0.503895123230205</v>
      </c>
      <c r="AB30">
        <v>0.489722600943891</v>
      </c>
      <c r="AC30">
        <v>0.502135815416885</v>
      </c>
      <c r="AD30">
        <v>0.547447299423178</v>
      </c>
      <c r="AE30">
        <v>0.560768222338752</v>
      </c>
      <c r="AF30">
        <v>0.575613529103304</v>
      </c>
      <c r="AG30">
        <v>0.578439433665443</v>
      </c>
      <c r="AH30">
        <v>0.597083377031987</v>
      </c>
      <c r="AI30">
        <v>0.567776088096487</v>
      </c>
      <c r="AJ30">
        <v>0.555786051389617</v>
      </c>
      <c r="AK30">
        <v>0.524749868904038</v>
      </c>
      <c r="AL30">
        <v>0.469535395909806</v>
      </c>
      <c r="AM30">
        <v>0.464243838489774</v>
      </c>
      <c r="AN30">
        <v>0.461038804404824</v>
      </c>
      <c r="AO30">
        <v>0.44230781331935</v>
      </c>
      <c r="AP30">
        <v>0.461140534871526</v>
      </c>
      <c r="AQ30">
        <v>0.508957000524384</v>
      </c>
      <c r="AR30">
        <v>0.507449921342423</v>
      </c>
      <c r="AS30">
        <v>0.483436811746198</v>
      </c>
      <c r="AT30">
        <v>0.505223387519664</v>
      </c>
      <c r="AU30">
        <v>0.506600943890928</v>
      </c>
      <c r="AV30">
        <v>0.521097011012061</v>
      </c>
      <c r="AW30">
        <v>0.519959622443629</v>
      </c>
      <c r="AX30">
        <v>0.551356056633456</v>
      </c>
      <c r="AY30">
        <v>0.599170424750918</v>
      </c>
      <c r="AZ30">
        <v>0.593057682223388</v>
      </c>
      <c r="BA30">
        <v>0.5721027792344</v>
      </c>
      <c r="BB30">
        <v>0.567930781331935</v>
      </c>
      <c r="BC30">
        <v>0.535503932878867</v>
      </c>
      <c r="BD30">
        <v>0.525893550078658</v>
      </c>
      <c r="BE30">
        <v>0.535393287886733</v>
      </c>
      <c r="BF30">
        <v>0.524328788673309</v>
      </c>
      <c r="BG30">
        <v>0.533150498164657</v>
      </c>
      <c r="BH30">
        <v>0.533105925537493</v>
      </c>
      <c r="BI30">
        <v>0.509972207656004</v>
      </c>
      <c r="BJ30">
        <v>0.507159937073938</v>
      </c>
      <c r="BK30">
        <v>0.498033036182486</v>
      </c>
      <c r="BL30">
        <v>0.489085998951232</v>
      </c>
      <c r="BM30">
        <v>0.485310959622444</v>
      </c>
      <c r="BN30">
        <v>0.455259045621395</v>
      </c>
      <c r="BO30">
        <v>0.455669113791295</v>
      </c>
      <c r="BP30">
        <v>0.441452543261668</v>
      </c>
      <c r="BQ30">
        <v>0.458085474567383</v>
      </c>
      <c r="BR30">
        <v>0.425521237545884</v>
      </c>
      <c r="BS30">
        <v>0.43934871525957</v>
      </c>
      <c r="BT30">
        <v>0.479200314630309</v>
      </c>
      <c r="BU30">
        <v>0.495450970110121</v>
      </c>
      <c r="BV30">
        <v>0.537930781331935</v>
      </c>
      <c r="BW30">
        <v>0.557775563712638</v>
      </c>
      <c r="BX30">
        <v>0.589525957000524</v>
      </c>
      <c r="BY30">
        <v>0.57761038280021</v>
      </c>
      <c r="BZ30">
        <v>0.58763083377032</v>
      </c>
      <c r="CA30">
        <v>0.592815941269009</v>
      </c>
      <c r="CB30">
        <v>0.588088620870477</v>
      </c>
      <c r="CC30">
        <v>0.566475616151023</v>
      </c>
      <c r="CD30">
        <v>0.568678028316728</v>
      </c>
      <c r="CE30">
        <v>0.582853172522286</v>
      </c>
      <c r="CF30">
        <v>0.621041950707918</v>
      </c>
      <c r="CG30">
        <v>0.652362873623492</v>
      </c>
      <c r="CH30">
        <v>0.66493340325118</v>
      </c>
      <c r="CI30">
        <v>0.63167173571054</v>
      </c>
      <c r="CJ30">
        <v>0.616606187729418</v>
      </c>
      <c r="CK30">
        <v>0.584482957524908</v>
      </c>
      <c r="CL30">
        <v>0.57398951232302</v>
      </c>
      <c r="CM30">
        <v>0.591592853275582</v>
      </c>
      <c r="CN30">
        <v>0.589726042230644</v>
      </c>
      <c r="CO30">
        <v>0.57445804006497</v>
      </c>
      <c r="CP30">
        <v>0.557844071467244</v>
      </c>
      <c r="CQ30">
        <v>0.529615051434759</v>
      </c>
      <c r="CR30">
        <v>0.518428262046562</v>
      </c>
      <c r="CS30">
        <v>0.496093665403357</v>
      </c>
    </row>
    <row r="31" spans="1:97">
      <c r="A31" s="2">
        <v>46264</v>
      </c>
      <c r="B31" cm="1">
        <f t="array" ref="B31:CS31">_xlfn._xlws.FILTER(_xlfn.TRIMRANGE(竞价空间!$B$2:$CS$1047693),_xlfn.TRIMRANGE(竞价空间!$A$2:$A$1047693)=A31)/_xlfn._xlws.FILTER(_xlfn.TRIMRANGE(实时开机!$B$2:$CS$32),_xlfn.TRIMRANGE(实时开机!$A$2:$A$32)=A31)</f>
        <v>0.478010286951814</v>
      </c>
      <c r="C31">
        <v>0.4529409853817</v>
      </c>
      <c r="D31">
        <v>0.471622089875474</v>
      </c>
      <c r="E31">
        <v>0.487068218733081</v>
      </c>
      <c r="F31">
        <v>0.488430427720628</v>
      </c>
      <c r="G31">
        <v>0.509709258256632</v>
      </c>
      <c r="H31">
        <v>0.512769897130482</v>
      </c>
      <c r="I31">
        <v>0.49106984298863</v>
      </c>
      <c r="J31">
        <v>0.49655116404981</v>
      </c>
      <c r="K31">
        <v>0.487286410395236</v>
      </c>
      <c r="L31">
        <v>0.512929074174337</v>
      </c>
      <c r="M31">
        <v>0.506323226854358</v>
      </c>
      <c r="N31">
        <v>0.521014618299946</v>
      </c>
      <c r="O31">
        <v>0.529271250676773</v>
      </c>
      <c r="P31">
        <v>0.546657282079047</v>
      </c>
      <c r="Q31">
        <v>0.573214943151056</v>
      </c>
      <c r="R31">
        <v>0.570638332430969</v>
      </c>
      <c r="S31">
        <v>0.573090416892258</v>
      </c>
      <c r="T31">
        <v>0.592304277206281</v>
      </c>
      <c r="U31">
        <v>0.577331889550623</v>
      </c>
      <c r="V31">
        <v>0.605305360043313</v>
      </c>
      <c r="W31">
        <v>0.634199783432593</v>
      </c>
      <c r="X31">
        <v>0.631890633459664</v>
      </c>
      <c r="Y31">
        <v>0.608880346507851</v>
      </c>
      <c r="Z31">
        <v>0.618430427720628</v>
      </c>
      <c r="AA31">
        <v>0.589159718462371</v>
      </c>
      <c r="AB31">
        <v>0.559476448294532</v>
      </c>
      <c r="AC31">
        <v>0.53897671900379</v>
      </c>
      <c r="AD31">
        <v>0.578131023280996</v>
      </c>
      <c r="AE31">
        <v>0.567396859772604</v>
      </c>
      <c r="AF31">
        <v>0.573544125609096</v>
      </c>
      <c r="AG31">
        <v>0.544182458040065</v>
      </c>
      <c r="AH31">
        <v>0.549981050351922</v>
      </c>
      <c r="AI31">
        <v>0.508301570113698</v>
      </c>
      <c r="AJ31">
        <v>0.484443963183541</v>
      </c>
      <c r="AK31">
        <v>0.477669193286411</v>
      </c>
      <c r="AL31">
        <v>0.476711423930698</v>
      </c>
      <c r="AM31">
        <v>0.511140227395777</v>
      </c>
      <c r="AN31">
        <v>0.51694260963725</v>
      </c>
      <c r="AO31">
        <v>0.491922035733622</v>
      </c>
      <c r="AP31">
        <v>0.491363833243097</v>
      </c>
      <c r="AQ31">
        <v>0.501403898213319</v>
      </c>
      <c r="AR31">
        <v>0.489932322685436</v>
      </c>
      <c r="AS31">
        <v>0.482798592311857</v>
      </c>
      <c r="AT31">
        <v>0.460074715755279</v>
      </c>
      <c r="AU31">
        <v>0.467461829994586</v>
      </c>
      <c r="AV31">
        <v>0.452547374120195</v>
      </c>
      <c r="AW31">
        <v>0.440652950730915</v>
      </c>
      <c r="AX31">
        <v>0.463094206821873</v>
      </c>
      <c r="AY31">
        <v>0.429098538170005</v>
      </c>
      <c r="AZ31">
        <v>0.448626962642122</v>
      </c>
      <c r="BA31">
        <v>0.449365457498646</v>
      </c>
      <c r="BB31">
        <v>0.423274499187872</v>
      </c>
      <c r="BC31">
        <v>0.419429344883595</v>
      </c>
      <c r="BD31">
        <v>0.433169463995669</v>
      </c>
      <c r="BE31">
        <v>0.403286951813752</v>
      </c>
      <c r="BF31">
        <v>0.409595560368165</v>
      </c>
      <c r="BG31">
        <v>0.423321602598809</v>
      </c>
      <c r="BH31">
        <v>0.430392528424472</v>
      </c>
      <c r="BI31">
        <v>0.449769355711965</v>
      </c>
      <c r="BJ31">
        <v>0.459105035192204</v>
      </c>
      <c r="BK31">
        <v>0.484918245804006</v>
      </c>
      <c r="BL31">
        <v>0.521009204114781</v>
      </c>
      <c r="BM31">
        <v>0.558286410395236</v>
      </c>
      <c r="BN31">
        <v>0.634207363291825</v>
      </c>
      <c r="BO31">
        <v>0.626815917704385</v>
      </c>
      <c r="BP31">
        <v>0.651418516513265</v>
      </c>
      <c r="BQ31">
        <v>0.659252842447212</v>
      </c>
      <c r="BR31">
        <v>0.675706009745533</v>
      </c>
      <c r="BS31">
        <v>0.716567406605306</v>
      </c>
      <c r="BT31">
        <v>0.70508391987006</v>
      </c>
      <c r="BU31">
        <v>0.706593936112615</v>
      </c>
      <c r="BV31">
        <v>0.689139144558744</v>
      </c>
      <c r="BW31">
        <v>0.700358960476448</v>
      </c>
      <c r="BX31">
        <v>0.743643746616134</v>
      </c>
      <c r="BY31">
        <v>0.741434217650244</v>
      </c>
      <c r="BZ31">
        <v>0.740215484569572</v>
      </c>
      <c r="CA31">
        <v>0.723643746616134</v>
      </c>
      <c r="CB31">
        <v>0.727268002165674</v>
      </c>
      <c r="CC31">
        <v>0.714455332972388</v>
      </c>
      <c r="CD31">
        <v>0.685172712506768</v>
      </c>
      <c r="CE31">
        <v>0.708054141851651</v>
      </c>
      <c r="CF31">
        <v>0.706499187872225</v>
      </c>
      <c r="CG31">
        <v>0.718033026529507</v>
      </c>
      <c r="CH31">
        <v>0.735564699512723</v>
      </c>
      <c r="CI31">
        <v>0.733752030319437</v>
      </c>
      <c r="CJ31">
        <v>0.686948023822415</v>
      </c>
      <c r="CK31">
        <v>0.682296155928533</v>
      </c>
      <c r="CL31">
        <v>0.64889442338928</v>
      </c>
      <c r="CM31">
        <v>0.650287493232269</v>
      </c>
      <c r="CN31">
        <v>0.647510016242556</v>
      </c>
      <c r="CO31">
        <v>0.675807477678571</v>
      </c>
      <c r="CP31">
        <v>0.674083705357143</v>
      </c>
      <c r="CQ31">
        <v>0.673829241071429</v>
      </c>
      <c r="CR31">
        <v>0.616671875</v>
      </c>
      <c r="CS31">
        <v>0.608823102678571</v>
      </c>
    </row>
    <row r="32" spans="1:97">
      <c r="A32" s="2">
        <v>46265</v>
      </c>
      <c r="B32" cm="1">
        <f t="array" ref="B32:CS32">_xlfn._xlws.FILTER(_xlfn.TRIMRANGE(竞价空间!$B$2:$CS$1047693),_xlfn.TRIMRANGE(竞价空间!$A$2:$A$1047693)=A32)/_xlfn._xlws.FILTER(_xlfn.TRIMRANGE(实时开机!$B$2:$CS$32),_xlfn.TRIMRANGE(实时开机!$A$2:$A$32)=A32)</f>
        <v>0.560253779697624</v>
      </c>
      <c r="C32">
        <v>0.564437904967603</v>
      </c>
      <c r="D32">
        <v>0.56610151187905</v>
      </c>
      <c r="E32">
        <v>0.603513950892857</v>
      </c>
      <c r="F32">
        <v>0.578692764578834</v>
      </c>
      <c r="G32">
        <v>0.593700863930886</v>
      </c>
      <c r="H32">
        <v>0.589717062634989</v>
      </c>
      <c r="I32">
        <v>0.568390388768898</v>
      </c>
      <c r="J32">
        <v>0.595156587473002</v>
      </c>
      <c r="K32">
        <v>0.585377429805616</v>
      </c>
      <c r="L32">
        <v>0.581287796976242</v>
      </c>
      <c r="M32">
        <v>0.56195788336933</v>
      </c>
      <c r="N32">
        <v>0.563407667386609</v>
      </c>
      <c r="O32">
        <v>0.547244600431965</v>
      </c>
      <c r="P32">
        <v>0.533266198704104</v>
      </c>
      <c r="Q32">
        <v>0.528012958963283</v>
      </c>
      <c r="R32">
        <v>0.528752699784017</v>
      </c>
      <c r="S32">
        <v>0.510309935205184</v>
      </c>
      <c r="T32">
        <v>0.504002699784017</v>
      </c>
      <c r="U32">
        <v>0.49645788336933</v>
      </c>
      <c r="V32">
        <v>0.510891468682505</v>
      </c>
      <c r="W32">
        <v>0.515970842332613</v>
      </c>
      <c r="X32">
        <v>0.530616630669546</v>
      </c>
      <c r="Y32">
        <v>0.538477861771058</v>
      </c>
      <c r="Z32">
        <v>0.577241900647948</v>
      </c>
      <c r="AA32">
        <v>0.564163606911447</v>
      </c>
      <c r="AB32">
        <v>0.55423758099352</v>
      </c>
      <c r="AC32">
        <v>0.531449244060475</v>
      </c>
      <c r="AD32">
        <v>0.567872030237581</v>
      </c>
      <c r="AE32">
        <v>0.539922246220302</v>
      </c>
      <c r="AF32">
        <v>0.5062813174946</v>
      </c>
      <c r="AG32">
        <v>0.501315334773218</v>
      </c>
      <c r="AH32">
        <v>0.485977321814255</v>
      </c>
      <c r="AI32">
        <v>0.490021598272138</v>
      </c>
      <c r="AJ32">
        <v>0.439159827213823</v>
      </c>
      <c r="AK32">
        <v>0.433212742980562</v>
      </c>
      <c r="AL32">
        <v>0.407421166306695</v>
      </c>
      <c r="AM32">
        <v>0.408650647948164</v>
      </c>
      <c r="AN32">
        <v>0.385358531317495</v>
      </c>
      <c r="AO32">
        <v>0.348022138228942</v>
      </c>
      <c r="AP32">
        <v>0.344606371490281</v>
      </c>
      <c r="AQ32">
        <v>0.340292656587473</v>
      </c>
      <c r="AR32">
        <v>0.329485421166307</v>
      </c>
      <c r="AS32">
        <v>0.333491900647948</v>
      </c>
      <c r="AT32">
        <v>0.335068574514039</v>
      </c>
      <c r="AU32">
        <v>0.326334773218143</v>
      </c>
      <c r="AV32">
        <v>0.341008099352052</v>
      </c>
      <c r="AW32">
        <v>0.347237041036717</v>
      </c>
      <c r="AX32">
        <v>0.332138228941685</v>
      </c>
      <c r="AY32">
        <v>0.360769438444924</v>
      </c>
      <c r="AZ32">
        <v>0.391089632829374</v>
      </c>
      <c r="BA32">
        <v>0.370375269978402</v>
      </c>
      <c r="BB32">
        <v>0.401108531317495</v>
      </c>
      <c r="BC32">
        <v>0.401244600431965</v>
      </c>
      <c r="BD32">
        <v>0.415496220302376</v>
      </c>
      <c r="BE32">
        <v>0.413296436285097</v>
      </c>
      <c r="BF32">
        <v>0.407328833693305</v>
      </c>
      <c r="BG32">
        <v>0.405902267818575</v>
      </c>
      <c r="BH32">
        <v>0.417175485961123</v>
      </c>
      <c r="BI32">
        <v>0.436312095032397</v>
      </c>
      <c r="BJ32">
        <v>0.411744060475163</v>
      </c>
      <c r="BK32">
        <v>0.418246220302376</v>
      </c>
      <c r="BL32">
        <v>0.45394222462203</v>
      </c>
      <c r="BM32">
        <v>0.496268898488121</v>
      </c>
      <c r="BN32">
        <v>0.562375269978402</v>
      </c>
      <c r="BO32">
        <v>0.62941252699784</v>
      </c>
      <c r="BP32">
        <v>0.635732181425486</v>
      </c>
      <c r="BQ32">
        <v>0.631234881209503</v>
      </c>
      <c r="BR32">
        <v>0.636168466522678</v>
      </c>
      <c r="BS32">
        <v>0.6457813174946</v>
      </c>
      <c r="BT32">
        <v>0.669433585313175</v>
      </c>
      <c r="BU32">
        <v>0.683859611231102</v>
      </c>
      <c r="BV32">
        <v>0.683143628509719</v>
      </c>
      <c r="BW32">
        <v>0.708002699784017</v>
      </c>
      <c r="BX32">
        <v>0.703320734341253</v>
      </c>
      <c r="BY32">
        <v>0.689254859611231</v>
      </c>
      <c r="BZ32">
        <v>0.664527537796976</v>
      </c>
      <c r="CA32">
        <v>0.651032397408207</v>
      </c>
      <c r="CB32">
        <v>0.655960043196544</v>
      </c>
      <c r="CC32">
        <v>0.663831533477322</v>
      </c>
      <c r="CD32">
        <v>0.644058855291577</v>
      </c>
      <c r="CE32">
        <v>0.64748758099352</v>
      </c>
      <c r="CF32">
        <v>0.649471382289417</v>
      </c>
      <c r="CG32">
        <v>0.671519438444924</v>
      </c>
      <c r="CH32">
        <v>0.667644708423326</v>
      </c>
      <c r="CI32">
        <v>0.627072354211663</v>
      </c>
      <c r="CJ32">
        <v>0.596315334773218</v>
      </c>
      <c r="CK32">
        <v>0.566311555075594</v>
      </c>
      <c r="CL32">
        <v>0.603541036717063</v>
      </c>
      <c r="CM32">
        <v>0.602553995680346</v>
      </c>
      <c r="CN32">
        <v>0.626929265658747</v>
      </c>
      <c r="CO32">
        <v>0.613364470842333</v>
      </c>
      <c r="CP32">
        <v>0.615798056155508</v>
      </c>
      <c r="CQ32">
        <v>0.608780237580994</v>
      </c>
      <c r="CR32">
        <v>0.566656587473002</v>
      </c>
      <c r="CS32">
        <v>0.561116630669546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CS32"/>
  <sheetViews>
    <sheetView tabSelected="1" workbookViewId="0">
      <selection activeCell="A1" sqref="A1:Y32"/>
    </sheetView>
  </sheetViews>
  <sheetFormatPr defaultColWidth="9" defaultRowHeight="13.5"/>
  <cols>
    <col min="2" max="25" width="12.625"/>
  </cols>
  <sheetData>
    <row r="1" spans="1:97">
      <c r="A1" t="s">
        <v>0</v>
      </c>
      <c r="B1" s="3">
        <v>0</v>
      </c>
      <c r="C1" s="3">
        <v>0.0416666666666667</v>
      </c>
      <c r="D1" s="3">
        <v>0.0833333333333333</v>
      </c>
      <c r="E1" s="3">
        <v>0.125</v>
      </c>
      <c r="F1" s="3">
        <v>0.166666666666667</v>
      </c>
      <c r="G1" s="3">
        <v>0.208333333333333</v>
      </c>
      <c r="H1" s="3">
        <v>0.25</v>
      </c>
      <c r="I1" s="3">
        <v>0.291666666666667</v>
      </c>
      <c r="J1" s="3">
        <v>0.333333333333333</v>
      </c>
      <c r="K1" s="3">
        <v>0.375</v>
      </c>
      <c r="L1" s="3">
        <v>0.416666666666667</v>
      </c>
      <c r="M1" s="3">
        <v>0.458333333333333</v>
      </c>
      <c r="N1" s="3">
        <v>0.5</v>
      </c>
      <c r="O1" s="3">
        <v>0.541666666666667</v>
      </c>
      <c r="P1" s="3">
        <v>0.583333333333333</v>
      </c>
      <c r="Q1" s="3">
        <v>0.625</v>
      </c>
      <c r="R1" s="3">
        <v>0.666666666666667</v>
      </c>
      <c r="S1" s="3">
        <v>0.708333333333333</v>
      </c>
      <c r="T1" s="3">
        <v>0.75</v>
      </c>
      <c r="U1" s="3">
        <v>0.791666666666667</v>
      </c>
      <c r="V1" s="3">
        <v>0.833333333333333</v>
      </c>
      <c r="W1" s="3">
        <v>0.875</v>
      </c>
      <c r="X1" s="3">
        <v>0.916666666666667</v>
      </c>
      <c r="Y1" s="3">
        <v>0.958333333333333</v>
      </c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</row>
    <row r="2" spans="1:97">
      <c r="A2" s="2">
        <v>46235</v>
      </c>
      <c r="B2">
        <f ca="1">AVERAGE(OFFSET(实时负荷率!$B2,,(COLUMN(T7)-20)*4,,4))</f>
        <v>0.586886736775756</v>
      </c>
      <c r="C2">
        <f ca="1">AVERAGE(OFFSET(实时负荷率!$B$2,,(COLUMN(U7)-20)*4,,4))</f>
        <v>0.583955362003266</v>
      </c>
      <c r="D2">
        <f ca="1">AVERAGE(OFFSET(实时负荷率!$B$2,,(COLUMN(V7)-20)*4,,4))</f>
        <v>0.621131056069679</v>
      </c>
      <c r="E2">
        <f ca="1">AVERAGE(OFFSET(实时负荷率!$B$2,,(COLUMN(W7)-20)*4,,4))</f>
        <v>0.661307702776266</v>
      </c>
      <c r="F2">
        <f ca="1">AVERAGE(OFFSET(实时负荷率!$B$2,,(COLUMN(X7)-20)*4,,4))</f>
        <v>0.676856559608056</v>
      </c>
      <c r="G2">
        <f ca="1">AVERAGE(OFFSET(实时负荷率!$B$2,,(COLUMN(Y7)-20)*4,,4))</f>
        <v>0.693546951551443</v>
      </c>
      <c r="H2">
        <f ca="1">AVERAGE(OFFSET(实时负荷率!$B$2,,(COLUMN(Z7)-20)*4,,4))</f>
        <v>0.740273872264805</v>
      </c>
      <c r="I2">
        <f ca="1">AVERAGE(OFFSET(实时负荷率!$B$2,,(COLUMN(AA7)-20)*4,,4))</f>
        <v>0.727911375303972</v>
      </c>
      <c r="J2">
        <f ca="1">AVERAGE(OFFSET(实时负荷率!$B$2,,(COLUMN(AB7)-20)*4,,4))</f>
        <v>0.701119392395989</v>
      </c>
      <c r="K2">
        <f ca="1">AVERAGE(OFFSET(实时负荷率!$B$2,,(COLUMN(AC7)-20)*4,,4))</f>
        <v>0.614562768919261</v>
      </c>
      <c r="L2">
        <f ca="1">AVERAGE(OFFSET(实时负荷率!$B$2,,(COLUMN(AD7)-20)*4,,4))</f>
        <v>0.603553893690622</v>
      </c>
      <c r="M2">
        <f ca="1">AVERAGE(OFFSET(实时负荷率!$B$2,,(COLUMN(AE7)-20)*4,,4))</f>
        <v>0.55943782641134</v>
      </c>
      <c r="N2">
        <f ca="1">AVERAGE(OFFSET(实时负荷率!$B$2,,(COLUMN(AF7)-20)*4,,4))</f>
        <v>0.493263283243061</v>
      </c>
      <c r="O2">
        <f ca="1">AVERAGE(OFFSET(实时负荷率!$B$2,,(COLUMN(AG7)-20)*4,,4))</f>
        <v>0.479568862366553</v>
      </c>
      <c r="P2">
        <f ca="1">AVERAGE(OFFSET(实时负荷率!$B$2,,(COLUMN(AH7)-20)*4,,4))</f>
        <v>0.498085872778475</v>
      </c>
      <c r="Q2">
        <f ca="1">AVERAGE(OFFSET(实时负荷率!$B$2,,(COLUMN(AI7)-20)*4,,4))</f>
        <v>0.499244509192831</v>
      </c>
      <c r="R2">
        <f ca="1">AVERAGE(OFFSET(实时负荷率!$B$2,,(COLUMN(AJ7)-20)*4,,4))</f>
        <v>0.56127184930197</v>
      </c>
      <c r="S2">
        <f ca="1">AVERAGE(OFFSET(实时负荷率!$B$2,,(COLUMN(AK7)-20)*4,,4))</f>
        <v>0.636818550293804</v>
      </c>
      <c r="T2">
        <f ca="1">AVERAGE(OFFSET(实时负荷率!$B$2,,(COLUMN(AL7)-20)*4,,4))</f>
        <v>0.67169251976004</v>
      </c>
      <c r="U2">
        <f ca="1">AVERAGE(OFFSET(实时负荷率!$B$2,,(COLUMN(AM7)-20)*4,,4))</f>
        <v>0.740779889096265</v>
      </c>
      <c r="V2">
        <f ca="1">AVERAGE(OFFSET(实时负荷率!$B$2,,(COLUMN(AN7)-20)*4,,4))</f>
        <v>0.800879641603547</v>
      </c>
      <c r="W2">
        <f ca="1">AVERAGE(OFFSET(实时负荷率!$B$2,,(COLUMN(AO7)-20)*4,,4))</f>
        <v>0.771190559763532</v>
      </c>
      <c r="X2">
        <f ca="1">AVERAGE(OFFSET(实时负荷率!$B$2,,(COLUMN(AP7)-20)*4,,4))</f>
        <v>0.739605486791059</v>
      </c>
      <c r="Y2">
        <f ca="1">AVERAGE(OFFSET(实时负荷率!$B$2,,(COLUMN(AQ7)-20)*4,,4))</f>
        <v>0.663640402734158</v>
      </c>
    </row>
    <row r="3" spans="1:97">
      <c r="A3" s="2">
        <v>46236</v>
      </c>
      <c r="B3">
        <f ca="1">AVERAGE(OFFSET(实时负荷率!$B3,,(COLUMN(T8)-20)*4,,4))</f>
        <v>0.76053510068354</v>
      </c>
      <c r="C3">
        <f ca="1">AVERAGE(OFFSET(实时负荷率!$B3,,(COLUMN(U8)-20)*4,,4))</f>
        <v>0.77621655550112</v>
      </c>
      <c r="D3">
        <f ca="1">AVERAGE(OFFSET(实时负荷率!$B3,,(COLUMN(V8)-20)*4,,4))</f>
        <v>0.752943792407849</v>
      </c>
      <c r="E3">
        <f ca="1">AVERAGE(OFFSET(实时负荷率!$B3,,(COLUMN(W8)-20)*4,,4))</f>
        <v>0.752766092059417</v>
      </c>
      <c r="F3">
        <f ca="1">AVERAGE(OFFSET(实时负荷率!$B3,,(COLUMN(X8)-20)*4,,4))</f>
        <v>0.731926095727123</v>
      </c>
      <c r="G3">
        <f ca="1">AVERAGE(OFFSET(实时负荷率!$B3,,(COLUMN(Y8)-20)*4,,4))</f>
        <v>0.69493764900055</v>
      </c>
      <c r="H3">
        <f ca="1">AVERAGE(OFFSET(实时负荷率!$B3,,(COLUMN(Z8)-20)*4,,4))</f>
        <v>0.729372180451128</v>
      </c>
      <c r="I3">
        <f ca="1">AVERAGE(OFFSET(实时负荷率!$B3,,(COLUMN(AA8)-20)*4,,4))</f>
        <v>0.684656611039794</v>
      </c>
      <c r="J3">
        <f ca="1">AVERAGE(OFFSET(实时负荷率!$B3,,(COLUMN(AB8)-20)*4,,4))</f>
        <v>0.687905189803778</v>
      </c>
      <c r="K3">
        <f ca="1">AVERAGE(OFFSET(实时负荷率!$B3,,(COLUMN(AC8)-20)*4,,4))</f>
        <v>0.690055840821566</v>
      </c>
      <c r="L3">
        <f ca="1">AVERAGE(OFFSET(实时负荷率!$B3,,(COLUMN(AD8)-20)*4,,4))</f>
        <v>0.650306436823767</v>
      </c>
      <c r="M3">
        <f ca="1">AVERAGE(OFFSET(实时负荷率!$B3,,(COLUMN(AE8)-20)*4,,4))</f>
        <v>0.661291032459197</v>
      </c>
      <c r="N3">
        <f ca="1">AVERAGE(OFFSET(实时负荷率!$B3,,(COLUMN(AF8)-20)*4,,4))</f>
        <v>0.649211901705483</v>
      </c>
      <c r="O3">
        <f ca="1">AVERAGE(OFFSET(实时负荷率!$B3,,(COLUMN(AG8)-20)*4,,4))</f>
        <v>0.659240418118467</v>
      </c>
      <c r="P3">
        <f ca="1">AVERAGE(OFFSET(实时负荷率!$B3,,(COLUMN(AH8)-20)*4,,4))</f>
        <v>0.662904547955254</v>
      </c>
      <c r="Q3">
        <f ca="1">AVERAGE(OFFSET(实时负荷率!$B3,,(COLUMN(AI8)-20)*4,,4))</f>
        <v>0.649626077388593</v>
      </c>
      <c r="R3">
        <f ca="1">AVERAGE(OFFSET(实时负荷率!$B3,,(COLUMN(AJ8)-20)*4,,4))</f>
        <v>0.704159636897121</v>
      </c>
      <c r="S3">
        <f ca="1">AVERAGE(OFFSET(实时负荷率!$B3,,(COLUMN(AK8)-20)*4,,4))</f>
        <v>0.73947139189437</v>
      </c>
      <c r="T3">
        <f ca="1">AVERAGE(OFFSET(实时负荷率!$B3,,(COLUMN(AL8)-20)*4,,4))</f>
        <v>0.749323033192738</v>
      </c>
      <c r="U3">
        <f ca="1">AVERAGE(OFFSET(实时负荷率!$B3,,(COLUMN(AM8)-20)*4,,4))</f>
        <v>0.794294791857693</v>
      </c>
      <c r="V3">
        <f ca="1">AVERAGE(OFFSET(实时负荷率!$B3,,(COLUMN(AN8)-20)*4,,4))</f>
        <v>0.774739317806712</v>
      </c>
      <c r="W3">
        <f ca="1">AVERAGE(OFFSET(实时负荷率!$B3,,(COLUMN(AO8)-20)*4,,4))</f>
        <v>0.771073170731708</v>
      </c>
      <c r="X3">
        <f ca="1">AVERAGE(OFFSET(实时负荷率!$B3,,(COLUMN(AP8)-20)*4,,4))</f>
        <v>0.721242710434624</v>
      </c>
      <c r="Y3">
        <f ca="1">AVERAGE(OFFSET(实时负荷率!$B3,,(COLUMN(AQ8)-20)*4,,4))</f>
        <v>0.635996882450028</v>
      </c>
    </row>
    <row r="4" spans="1:97">
      <c r="A4" s="2">
        <v>46237</v>
      </c>
      <c r="B4">
        <f ca="1">AVERAGE(OFFSET(实时负荷率!$B4,,(COLUMN(T9)-20)*4,,4))</f>
        <v>0.590985054098661</v>
      </c>
      <c r="C4">
        <f ca="1">AVERAGE(OFFSET(实时负荷率!$B4,,(COLUMN(U9)-20)*4,,4))</f>
        <v>0.582347973592518</v>
      </c>
      <c r="D4">
        <f ca="1">AVERAGE(OFFSET(实时负荷率!$B4,,(COLUMN(V9)-20)*4,,4))</f>
        <v>0.52245452044746</v>
      </c>
      <c r="E4">
        <f ca="1">AVERAGE(OFFSET(实时负荷率!$B4,,(COLUMN(W9)-20)*4,,4))</f>
        <v>0.49556088391711</v>
      </c>
      <c r="F4">
        <f ca="1">AVERAGE(OFFSET(实时负荷率!$B4,,(COLUMN(X9)-20)*4,,4))</f>
        <v>0.500503851091142</v>
      </c>
      <c r="G4">
        <f ca="1">AVERAGE(OFFSET(实时负荷率!$B4,,(COLUMN(Y9)-20)*4,,4))</f>
        <v>0.46404034476435</v>
      </c>
      <c r="H4">
        <f ca="1">AVERAGE(OFFSET(实时负荷率!$B4,,(COLUMN(Z9)-20)*4,,4))</f>
        <v>0.524114799193105</v>
      </c>
      <c r="I4">
        <f ca="1">AVERAGE(OFFSET(实时负荷率!$B4,,(COLUMN(AA9)-20)*4,,4))</f>
        <v>0.527232715936182</v>
      </c>
      <c r="J4">
        <f ca="1">AVERAGE(OFFSET(实时负荷率!$B4,,(COLUMN(AB9)-20)*4,,4))</f>
        <v>0.546171648633779</v>
      </c>
      <c r="K4">
        <f ca="1">AVERAGE(OFFSET(实时负荷率!$B4,,(COLUMN(AC9)-20)*4,,4))</f>
        <v>0.549850174216028</v>
      </c>
      <c r="L4">
        <f ca="1">AVERAGE(OFFSET(实时负荷率!$B4,,(COLUMN(AD9)-20)*4,,4))</f>
        <v>0.567075279662571</v>
      </c>
      <c r="M4">
        <f ca="1">AVERAGE(OFFSET(实时负荷率!$B4,,(COLUMN(AE9)-20)*4,,4))</f>
        <v>0.542721070970108</v>
      </c>
      <c r="N4">
        <f ca="1">AVERAGE(OFFSET(实时负荷率!$B4,,(COLUMN(AF9)-20)*4,,4))</f>
        <v>0.549944342563726</v>
      </c>
      <c r="O4">
        <f ca="1">AVERAGE(OFFSET(实时负荷率!$B4,,(COLUMN(AG9)-20)*4,,4))</f>
        <v>0.540349715752797</v>
      </c>
      <c r="P4">
        <f ca="1">AVERAGE(OFFSET(实时负荷率!$B4,,(COLUMN(AH9)-20)*4,,4))</f>
        <v>0.554800385109114</v>
      </c>
      <c r="Q4">
        <f ca="1">AVERAGE(OFFSET(实时负荷率!$B4,,(COLUMN(AI9)-20)*4,,4))</f>
        <v>0.562752613240418</v>
      </c>
      <c r="R4">
        <f ca="1">AVERAGE(OFFSET(实时负荷率!$B4,,(COLUMN(AJ9)-20)*4,,4))</f>
        <v>0.570912158444893</v>
      </c>
      <c r="S4">
        <f ca="1">AVERAGE(OFFSET(实时负荷率!$B4,,(COLUMN(AK9)-20)*4,,4))</f>
        <v>0.629001742160279</v>
      </c>
      <c r="T4">
        <f ca="1">AVERAGE(OFFSET(实时负荷率!$B4,,(COLUMN(AL9)-20)*4,,4))</f>
        <v>0.668974050981112</v>
      </c>
      <c r="U4">
        <f ca="1">AVERAGE(OFFSET(实时负荷率!$B4,,(COLUMN(AM9)-20)*4,,4))</f>
        <v>0.683367320740877</v>
      </c>
      <c r="V4">
        <f ca="1">AVERAGE(OFFSET(实时负荷率!$B4,,(COLUMN(AN9)-20)*4,,4))</f>
        <v>0.66289143590684</v>
      </c>
      <c r="W4">
        <f ca="1">AVERAGE(OFFSET(实时负荷率!$B4,,(COLUMN(AO9)-20)*4,,4))</f>
        <v>0.608457913075371</v>
      </c>
      <c r="X4">
        <f ca="1">AVERAGE(OFFSET(实时负荷率!$B4,,(COLUMN(AP9)-20)*4,,4))</f>
        <v>0.555294333394462</v>
      </c>
      <c r="Y4">
        <f ca="1">AVERAGE(OFFSET(实时负荷率!$B4,,(COLUMN(AQ9)-20)*4,,4))</f>
        <v>0.474178984045479</v>
      </c>
    </row>
    <row r="5" spans="1:97">
      <c r="A5" s="2">
        <v>46238</v>
      </c>
      <c r="B5">
        <f ca="1">AVERAGE(OFFSET(实时负荷率!$B5,,(COLUMN(T10)-20)*4,,4))</f>
        <v>0.469837062167614</v>
      </c>
      <c r="C5">
        <f ca="1">AVERAGE(OFFSET(实时负荷率!$B5,,(COLUMN(U10)-20)*4,,4))</f>
        <v>0.482083256922795</v>
      </c>
      <c r="D5">
        <f ca="1">AVERAGE(OFFSET(实时负荷率!$B5,,(COLUMN(V10)-20)*4,,4))</f>
        <v>0.485765450210893</v>
      </c>
      <c r="E5">
        <f ca="1">AVERAGE(OFFSET(实时负荷率!$B5,,(COLUMN(W10)-20)*4,,4))</f>
        <v>0.474651843022189</v>
      </c>
      <c r="F5">
        <f ca="1">AVERAGE(OFFSET(实时负荷率!$B5,,(COLUMN(X10)-20)*4,,4))</f>
        <v>0.477037227214377</v>
      </c>
      <c r="G5">
        <f ca="1">AVERAGE(OFFSET(实时负荷率!$B5,,(COLUMN(Y10)-20)*4,,4))</f>
        <v>0.488355950852742</v>
      </c>
      <c r="H5">
        <f ca="1">AVERAGE(OFFSET(实时负荷率!$B5,,(COLUMN(Z10)-20)*4,,4))</f>
        <v>0.539498624610307</v>
      </c>
      <c r="I5">
        <f ca="1">AVERAGE(OFFSET(实时负荷率!$B5,,(COLUMN(AA10)-20)*4,,4))</f>
        <v>0.540160893384089</v>
      </c>
      <c r="J5">
        <f ca="1">AVERAGE(OFFSET(实时负荷率!$B5,,(COLUMN(AB10)-20)*4,,4))</f>
        <v>0.547080174133865</v>
      </c>
      <c r="K5">
        <f ca="1">AVERAGE(OFFSET(实时负荷率!$B5,,(COLUMN(AC10)-20)*4,,4))</f>
        <v>0.562668329403229</v>
      </c>
      <c r="L5">
        <f ca="1">AVERAGE(OFFSET(实时负荷率!$B5,,(COLUMN(AD10)-20)*4,,4))</f>
        <v>0.564517413386541</v>
      </c>
      <c r="M5">
        <f ca="1">AVERAGE(OFFSET(实时负荷率!$B5,,(COLUMN(AE10)-20)*4,,4))</f>
        <v>0.51972283693089</v>
      </c>
      <c r="N5">
        <f ca="1">AVERAGE(OFFSET(实时负荷率!$B5,,(COLUMN(AF10)-20)*4,,4))</f>
        <v>0.473614638128061</v>
      </c>
      <c r="O5">
        <f ca="1">AVERAGE(OFFSET(实时负荷率!$B5,,(COLUMN(AG10)-20)*4,,4))</f>
        <v>0.476989025938691</v>
      </c>
      <c r="P5">
        <f ca="1">AVERAGE(OFFSET(实时负荷率!$B5,,(COLUMN(AH10)-20)*4,,4))</f>
        <v>0.494105840740069</v>
      </c>
      <c r="Q5">
        <f ca="1">AVERAGE(OFFSET(实时负荷率!$B5,,(COLUMN(AI10)-20)*4,,4))</f>
        <v>0.525594866678759</v>
      </c>
      <c r="R5">
        <f ca="1">AVERAGE(OFFSET(实时负荷率!$B5,,(COLUMN(AJ10)-20)*4,,4))</f>
        <v>0.615135769998186</v>
      </c>
      <c r="S5">
        <f ca="1">AVERAGE(OFFSET(实时负荷率!$B5,,(COLUMN(AK10)-20)*4,,4))</f>
        <v>0.700649011427535</v>
      </c>
      <c r="T5">
        <f ca="1">AVERAGE(OFFSET(实时负荷率!$B5,,(COLUMN(AL10)-20)*4,,4))</f>
        <v>0.743978051877381</v>
      </c>
      <c r="U5">
        <f ca="1">AVERAGE(OFFSET(实时负荷率!$B5,,(COLUMN(AM10)-20)*4,,4))</f>
        <v>0.747891257028841</v>
      </c>
      <c r="V5">
        <f ca="1">AVERAGE(OFFSET(实时负荷率!$B5,,(COLUMN(AN10)-20)*4,,4))</f>
        <v>0.743984309813169</v>
      </c>
      <c r="W5">
        <f ca="1">AVERAGE(OFFSET(实时负荷率!$B5,,(COLUMN(AO10)-20)*4,,4))</f>
        <v>0.730313894431344</v>
      </c>
      <c r="X5">
        <f ca="1">AVERAGE(OFFSET(实时负荷率!$B5,,(COLUMN(AP10)-20)*4,,4))</f>
        <v>0.647353528024669</v>
      </c>
      <c r="Y5">
        <f ca="1">AVERAGE(OFFSET(实时负荷率!$B5,,(COLUMN(AQ10)-20)*4,,4))</f>
        <v>0.564188463631417</v>
      </c>
    </row>
    <row r="6" spans="1:97">
      <c r="A6" s="2">
        <v>46239</v>
      </c>
      <c r="B6">
        <f ca="1">AVERAGE(OFFSET(实时负荷率!$B6,,(COLUMN(T11)-20)*4,,4))</f>
        <v>0.617032559405043</v>
      </c>
      <c r="C6">
        <f ca="1">AVERAGE(OFFSET(实时负荷率!$B6,,(COLUMN(U11)-20)*4,,4))</f>
        <v>0.638767640123345</v>
      </c>
      <c r="D6">
        <f ca="1">AVERAGE(OFFSET(实时负荷率!$B6,,(COLUMN(V11)-20)*4,,4))</f>
        <v>0.627799473970615</v>
      </c>
      <c r="E6">
        <f ca="1">AVERAGE(OFFSET(实时负荷率!$B6,,(COLUMN(W11)-20)*4,,4))</f>
        <v>0.629246054779612</v>
      </c>
      <c r="F6">
        <f ca="1">AVERAGE(OFFSET(实时负荷率!$B6,,(COLUMN(X11)-20)*4,,4))</f>
        <v>0.603804643569744</v>
      </c>
      <c r="G6">
        <f ca="1">AVERAGE(OFFSET(实时负荷率!$B6,,(COLUMN(Y11)-20)*4,,4))</f>
        <v>0.580918011971703</v>
      </c>
      <c r="H6">
        <f ca="1">AVERAGE(OFFSET(实时负荷率!$B6,,(COLUMN(Z11)-20)*4,,4))</f>
        <v>0.594512878650463</v>
      </c>
      <c r="I6">
        <f ca="1">AVERAGE(OFFSET(实时负荷率!$B6,,(COLUMN(AA11)-20)*4,,4))</f>
        <v>0.597840921458371</v>
      </c>
      <c r="J6">
        <f ca="1">AVERAGE(OFFSET(实时负荷率!$B6,,(COLUMN(AB11)-20)*4,,4))</f>
        <v>0.576305278432795</v>
      </c>
      <c r="K6">
        <f ca="1">AVERAGE(OFFSET(实时负荷率!$B6,,(COLUMN(AC11)-20)*4,,4))</f>
        <v>0.626747052421549</v>
      </c>
      <c r="L6">
        <f ca="1">AVERAGE(OFFSET(实时负荷率!$B6,,(COLUMN(AD11)-20)*4,,4))</f>
        <v>0.668382187556684</v>
      </c>
      <c r="M6">
        <f ca="1">AVERAGE(OFFSET(实时负荷率!$B6,,(COLUMN(AE11)-20)*4,,4))</f>
        <v>0.653929167422456</v>
      </c>
      <c r="N6">
        <f ca="1">AVERAGE(OFFSET(实时负荷率!$B6,,(COLUMN(AF11)-20)*4,,4))</f>
        <v>0.657697623798295</v>
      </c>
      <c r="O6">
        <f ca="1">AVERAGE(OFFSET(实时负荷率!$B6,,(COLUMN(AG11)-20)*4,,4))</f>
        <v>0.673175857065119</v>
      </c>
      <c r="P6">
        <f ca="1">AVERAGE(OFFSET(实时负荷率!$B6,,(COLUMN(AH11)-20)*4,,4))</f>
        <v>0.708301832033375</v>
      </c>
      <c r="Q6">
        <f ca="1">AVERAGE(OFFSET(实时负荷率!$B6,,(COLUMN(AI11)-20)*4,,4))</f>
        <v>0.659262017050607</v>
      </c>
      <c r="R6">
        <f ca="1">AVERAGE(OFFSET(实时负荷率!$B6,,(COLUMN(AJ11)-20)*4,,4))</f>
        <v>0.746646290585888</v>
      </c>
      <c r="S6">
        <f ca="1">AVERAGE(OFFSET(实时负荷率!$B6,,(COLUMN(AK11)-20)*4,,4))</f>
        <v>0.83234436785779</v>
      </c>
      <c r="T6">
        <f ca="1">AVERAGE(OFFSET(实时负荷率!$B6,,(COLUMN(AL11)-20)*4,,4))</f>
        <v>0.830698893524397</v>
      </c>
      <c r="U6">
        <f ca="1">AVERAGE(OFFSET(实时负荷率!$B6,,(COLUMN(AM11)-20)*4,,4))</f>
        <v>0.848148557953927</v>
      </c>
      <c r="V6">
        <f ca="1">AVERAGE(OFFSET(实时负荷率!$B6,,(COLUMN(AN11)-20)*4,,4))</f>
        <v>0.848600943225104</v>
      </c>
      <c r="W6">
        <f ca="1">AVERAGE(OFFSET(实时负荷率!$B6,,(COLUMN(AO11)-20)*4,,4))</f>
        <v>0.821566388536187</v>
      </c>
      <c r="X6">
        <f ca="1">AVERAGE(OFFSET(实时负荷率!$B6,,(COLUMN(AP11)-20)*4,,4))</f>
        <v>0.751067567567568</v>
      </c>
      <c r="Y6">
        <f ca="1">AVERAGE(OFFSET(实时负荷率!$B6,,(COLUMN(AQ11)-20)*4,,4))</f>
        <v>0.72014121168148</v>
      </c>
    </row>
    <row r="7" spans="1:97">
      <c r="A7" s="2">
        <v>46240</v>
      </c>
      <c r="B7">
        <f ca="1">AVERAGE(OFFSET(实时负荷率!$B7,,(COLUMN(T12)-20)*4,,4))</f>
        <v>0.728739071286051</v>
      </c>
      <c r="C7">
        <f ca="1">AVERAGE(OFFSET(实时负荷率!$B7,,(COLUMN(U12)-20)*4,,4))</f>
        <v>0.724437874115727</v>
      </c>
      <c r="D7">
        <f ca="1">AVERAGE(OFFSET(实时负荷率!$B7,,(COLUMN(V12)-20)*4,,4))</f>
        <v>0.731763377471431</v>
      </c>
      <c r="E7">
        <f ca="1">AVERAGE(OFFSET(实时负荷率!$B7,,(COLUMN(W12)-20)*4,,4))</f>
        <v>0.712090513332124</v>
      </c>
      <c r="F7">
        <f ca="1">AVERAGE(OFFSET(实时负荷率!$B7,,(COLUMN(X12)-20)*4,,4))</f>
        <v>0.69486223471794</v>
      </c>
      <c r="G7">
        <f ca="1">AVERAGE(OFFSET(实时负荷率!$B7,,(COLUMN(Y12)-20)*4,,4))</f>
        <v>0.672959187375295</v>
      </c>
      <c r="H7">
        <f ca="1">AVERAGE(OFFSET(实时负荷率!$B7,,(COLUMN(Z12)-20)*4,,4))</f>
        <v>0.63046816615273</v>
      </c>
      <c r="I7">
        <f ca="1">AVERAGE(OFFSET(实时负荷率!$B7,,(COLUMN(AA12)-20)*4,,4))</f>
        <v>0.664653908942499</v>
      </c>
      <c r="J7">
        <f ca="1">AVERAGE(OFFSET(实时负荷率!$B7,,(COLUMN(AB12)-20)*4,,4))</f>
        <v>0.719326773081806</v>
      </c>
      <c r="K7">
        <f ca="1">AVERAGE(OFFSET(实时负荷率!$B7,,(COLUMN(AC12)-20)*4,,4))</f>
        <v>0.701088155269363</v>
      </c>
      <c r="L7">
        <f ca="1">AVERAGE(OFFSET(实时负荷率!$B7,,(COLUMN(AD12)-20)*4,,4))</f>
        <v>0.671699256303283</v>
      </c>
      <c r="M7">
        <f ca="1">AVERAGE(OFFSET(实时负荷率!$B7,,(COLUMN(AE12)-20)*4,,4))</f>
        <v>0.664017866860149</v>
      </c>
      <c r="N7">
        <f ca="1">AVERAGE(OFFSET(实时负荷率!$B7,,(COLUMN(AF12)-20)*4,,4))</f>
        <v>0.649057046979866</v>
      </c>
      <c r="O7">
        <f ca="1">AVERAGE(OFFSET(实时负荷率!$B7,,(COLUMN(AG12)-20)*4,,4))</f>
        <v>0.656864411391257</v>
      </c>
      <c r="P7">
        <f ca="1">AVERAGE(OFFSET(实时负荷率!$B7,,(COLUMN(AH12)-20)*4,,4))</f>
        <v>0.6806446580809</v>
      </c>
      <c r="Q7">
        <f ca="1">AVERAGE(OFFSET(实时负荷率!$B7,,(COLUMN(AI12)-20)*4,,4))</f>
        <v>0.714166515508797</v>
      </c>
      <c r="R7">
        <f ca="1">AVERAGE(OFFSET(实时负荷率!$B7,,(COLUMN(AJ12)-20)*4,,4))</f>
        <v>0.756782151278796</v>
      </c>
      <c r="S7">
        <f ca="1">AVERAGE(OFFSET(实时负荷率!$B7,,(COLUMN(AK12)-20)*4,,4))</f>
        <v>0.821239161980773</v>
      </c>
      <c r="T7">
        <f ca="1">AVERAGE(OFFSET(实时负荷率!$B7,,(COLUMN(AL12)-20)*4,,4))</f>
        <v>0.828605387266461</v>
      </c>
      <c r="U7">
        <f ca="1">AVERAGE(OFFSET(实时负荷率!$B7,,(COLUMN(AM12)-20)*4,,4))</f>
        <v>0.844983130781789</v>
      </c>
      <c r="V7">
        <f ca="1">AVERAGE(OFFSET(实时负荷率!$B7,,(COLUMN(AN12)-20)*4,,4))</f>
        <v>0.839430799927444</v>
      </c>
      <c r="W7">
        <f ca="1">AVERAGE(OFFSET(实时负荷率!$B7,,(COLUMN(AO12)-20)*4,,4))</f>
        <v>0.805108017413387</v>
      </c>
      <c r="X7">
        <f ca="1">AVERAGE(OFFSET(实时负荷率!$B7,,(COLUMN(AP12)-20)*4,,4))</f>
        <v>0.718239887538545</v>
      </c>
      <c r="Y7">
        <f ca="1">AVERAGE(OFFSET(实时负荷率!$B7,,(COLUMN(AQ12)-20)*4,,4))</f>
        <v>0.712621349537457</v>
      </c>
    </row>
    <row r="8" spans="1:97">
      <c r="A8" s="2">
        <v>46241</v>
      </c>
      <c r="B8">
        <f ca="1">AVERAGE(OFFSET(实时负荷率!$B8,,(COLUMN(T13)-20)*4,,4))</f>
        <v>0.57770182800644</v>
      </c>
      <c r="C8">
        <f ca="1">AVERAGE(OFFSET(实时负荷率!$B8,,(COLUMN(U13)-20)*4,,4))</f>
        <v>0.478029282809939</v>
      </c>
      <c r="D8">
        <f ca="1">AVERAGE(OFFSET(实时负荷率!$B8,,(COLUMN(V13)-20)*4,,4))</f>
        <v>0.467908041401274</v>
      </c>
      <c r="E8">
        <f ca="1">AVERAGE(OFFSET(实时负荷率!$B8,,(COLUMN(W13)-20)*4,,4))</f>
        <v>0.444704448034862</v>
      </c>
      <c r="F8">
        <f ca="1">AVERAGE(OFFSET(实时负荷率!$B8,,(COLUMN(X13)-20)*4,,4))</f>
        <v>0.357932437932438</v>
      </c>
      <c r="G8">
        <f ca="1">AVERAGE(OFFSET(实时负荷率!$B8,,(COLUMN(Y13)-20)*4,,4))</f>
        <v>0.326078245828246</v>
      </c>
      <c r="H8">
        <f ca="1">AVERAGE(OFFSET(实时负荷率!$B8,,(COLUMN(Z13)-20)*4,,4))</f>
        <v>0.3283256003256</v>
      </c>
      <c r="I8">
        <f ca="1">AVERAGE(OFFSET(实时负荷率!$B8,,(COLUMN(AA13)-20)*4,,4))</f>
        <v>0.333462962962963</v>
      </c>
      <c r="J8">
        <f ca="1">AVERAGE(OFFSET(实时负荷率!$B8,,(COLUMN(AB13)-20)*4,,4))</f>
        <v>0.355646214896215</v>
      </c>
      <c r="K8">
        <f ca="1">AVERAGE(OFFSET(实时负荷率!$B8,,(COLUMN(AC13)-20)*4,,4))</f>
        <v>0.367665445665446</v>
      </c>
      <c r="L8">
        <f ca="1">AVERAGE(OFFSET(实时负荷率!$B8,,(COLUMN(AD13)-20)*4,,4))</f>
        <v>0.369355921855922</v>
      </c>
      <c r="M8">
        <f ca="1">AVERAGE(OFFSET(实时负荷率!$B8,,(COLUMN(AE13)-20)*4,,4))</f>
        <v>0.377105006105006</v>
      </c>
      <c r="N8">
        <f ca="1">AVERAGE(OFFSET(实时负荷率!$B8,,(COLUMN(AF13)-20)*4,,4))</f>
        <v>0.377053724053724</v>
      </c>
      <c r="O8">
        <f ca="1">AVERAGE(OFFSET(实时负荷率!$B8,,(COLUMN(AG13)-20)*4,,4))</f>
        <v>0.374978327228327</v>
      </c>
      <c r="P8">
        <f ca="1">AVERAGE(OFFSET(实时负荷率!$B8,,(COLUMN(AH13)-20)*4,,4))</f>
        <v>0.365915445665446</v>
      </c>
      <c r="Q8">
        <f ca="1">AVERAGE(OFFSET(实时负荷率!$B8,,(COLUMN(AI13)-20)*4,,4))</f>
        <v>0.363541717541717</v>
      </c>
      <c r="R8">
        <f ca="1">AVERAGE(OFFSET(实时负荷率!$B8,,(COLUMN(AJ13)-20)*4,,4))</f>
        <v>0.368474358974359</v>
      </c>
      <c r="S8">
        <f ca="1">AVERAGE(OFFSET(实时负荷率!$B8,,(COLUMN(AK13)-20)*4,,4))</f>
        <v>0.386438644688645</v>
      </c>
      <c r="T8">
        <f ca="1">AVERAGE(OFFSET(实时负荷率!$B8,,(COLUMN(AL13)-20)*4,,4))</f>
        <v>0.379269739519739</v>
      </c>
      <c r="U8">
        <f ca="1">AVERAGE(OFFSET(实时负荷率!$B8,,(COLUMN(AM13)-20)*4,,4))</f>
        <v>0.368771469271469</v>
      </c>
      <c r="V8">
        <f ca="1">AVERAGE(OFFSET(实时负荷率!$B8,,(COLUMN(AN13)-20)*4,,4))</f>
        <v>0.380043549043549</v>
      </c>
      <c r="W8">
        <f ca="1">AVERAGE(OFFSET(实时负荷率!$B8,,(COLUMN(AO13)-20)*4,,4))</f>
        <v>0.373004639436049</v>
      </c>
      <c r="X8">
        <f ca="1">AVERAGE(OFFSET(实时负荷率!$B8,,(COLUMN(AP13)-20)*4,,4))</f>
        <v>0.371527582822518</v>
      </c>
      <c r="Y8">
        <f ca="1">AVERAGE(OFFSET(实时负荷率!$B8,,(COLUMN(AQ13)-20)*4,,4))</f>
        <v>0.328827858081472</v>
      </c>
    </row>
    <row r="9" spans="1:97">
      <c r="A9" s="2">
        <v>46242</v>
      </c>
      <c r="B9">
        <f ca="1">AVERAGE(OFFSET(实时负荷率!$B9,,(COLUMN(T14)-20)*4,,4))</f>
        <v>0.385030137900356</v>
      </c>
      <c r="C9">
        <f ca="1">AVERAGE(OFFSET(实时负荷率!$B9,,(COLUMN(U14)-20)*4,,4))</f>
        <v>0.386494550711744</v>
      </c>
      <c r="D9">
        <f ca="1">AVERAGE(OFFSET(实时负荷率!$B9,,(COLUMN(V14)-20)*4,,4))</f>
        <v>0.369747775800711</v>
      </c>
      <c r="E9">
        <f ca="1">AVERAGE(OFFSET(实时负荷率!$B9,,(COLUMN(W14)-20)*4,,4))</f>
        <v>0.397886232206406</v>
      </c>
      <c r="F9">
        <f ca="1">AVERAGE(OFFSET(实时负荷率!$B9,,(COLUMN(X14)-20)*4,,4))</f>
        <v>0.385962299822064</v>
      </c>
      <c r="G9">
        <f ca="1">AVERAGE(OFFSET(实时负荷率!$B9,,(COLUMN(Y14)-20)*4,,4))</f>
        <v>0.398337744661922</v>
      </c>
      <c r="H9">
        <f ca="1">AVERAGE(OFFSET(实时负荷率!$B9,,(COLUMN(Z14)-20)*4,,4))</f>
        <v>0.407771018683274</v>
      </c>
      <c r="I9">
        <f ca="1">AVERAGE(OFFSET(实时负荷率!$B9,,(COLUMN(AA14)-20)*4,,4))</f>
        <v>0.326354203736655</v>
      </c>
      <c r="J9">
        <f ca="1">AVERAGE(OFFSET(实时负荷率!$B9,,(COLUMN(AB14)-20)*4,,4))</f>
        <v>0.317376334519573</v>
      </c>
      <c r="K9">
        <f ca="1">AVERAGE(OFFSET(实时负荷率!$B9,,(COLUMN(AC14)-20)*4,,4))</f>
        <v>0.315858096085409</v>
      </c>
      <c r="L9">
        <f ca="1">AVERAGE(OFFSET(实时负荷率!$B9,,(COLUMN(AD14)-20)*4,,4))</f>
        <v>0.315100645017793</v>
      </c>
      <c r="M9">
        <f ca="1">AVERAGE(OFFSET(实时负荷率!$B9,,(COLUMN(AE14)-20)*4,,4))</f>
        <v>0.31348865658363</v>
      </c>
      <c r="N9">
        <f ca="1">AVERAGE(OFFSET(实时负荷率!$B9,,(COLUMN(AF14)-20)*4,,4))</f>
        <v>0.309801935053381</v>
      </c>
      <c r="O9">
        <f ca="1">AVERAGE(OFFSET(实时负荷率!$B9,,(COLUMN(AG14)-20)*4,,4))</f>
        <v>0.30876990658363</v>
      </c>
      <c r="P9">
        <f ca="1">AVERAGE(OFFSET(实时负荷率!$B9,,(COLUMN(AH14)-20)*4,,4))</f>
        <v>0.31833996886121</v>
      </c>
      <c r="Q9">
        <f ca="1">AVERAGE(OFFSET(实时负荷率!$B9,,(COLUMN(AI14)-20)*4,,4))</f>
        <v>0.318234986654804</v>
      </c>
      <c r="R9">
        <f ca="1">AVERAGE(OFFSET(实时负荷率!$B9,,(COLUMN(AJ14)-20)*4,,4))</f>
        <v>0.367456628113879</v>
      </c>
      <c r="S9">
        <f ca="1">AVERAGE(OFFSET(实时负荷率!$B9,,(COLUMN(AK14)-20)*4,,4))</f>
        <v>0.500720974199288</v>
      </c>
      <c r="T9">
        <f ca="1">AVERAGE(OFFSET(实时负荷率!$B9,,(COLUMN(AL14)-20)*4,,4))</f>
        <v>0.476195507117438</v>
      </c>
      <c r="U9">
        <f ca="1">AVERAGE(OFFSET(实时负荷率!$B9,,(COLUMN(AM14)-20)*4,,4))</f>
        <v>0.397094973309609</v>
      </c>
      <c r="V9">
        <f ca="1">AVERAGE(OFFSET(实时负荷率!$B9,,(COLUMN(AN14)-20)*4,,4))</f>
        <v>0.377285920818506</v>
      </c>
      <c r="W9">
        <f ca="1">AVERAGE(OFFSET(实时负荷率!$B9,,(COLUMN(AO14)-20)*4,,4))</f>
        <v>0.352354648576512</v>
      </c>
      <c r="X9">
        <f ca="1">AVERAGE(OFFSET(实时负荷率!$B9,,(COLUMN(AP14)-20)*4,,4))</f>
        <v>0.382483207295374</v>
      </c>
      <c r="Y9">
        <f ca="1">AVERAGE(OFFSET(实时负荷率!$B9,,(COLUMN(AQ14)-20)*4,,4))</f>
        <v>0.422005338078292</v>
      </c>
    </row>
    <row r="10" spans="1:97">
      <c r="A10" s="2">
        <v>46243</v>
      </c>
      <c r="B10">
        <f ca="1">AVERAGE(OFFSET(实时负荷率!$B10,,(COLUMN(T15)-20)*4,,4))</f>
        <v>0.425746663701068</v>
      </c>
      <c r="C10">
        <f ca="1">AVERAGE(OFFSET(实时负荷率!$B10,,(COLUMN(U15)-20)*4,,4))</f>
        <v>0.46747075177936</v>
      </c>
      <c r="D10">
        <f ca="1">AVERAGE(OFFSET(实时负荷率!$B10,,(COLUMN(V15)-20)*4,,4))</f>
        <v>0.446856650355872</v>
      </c>
      <c r="E10">
        <f ca="1">AVERAGE(OFFSET(实时负荷率!$B10,,(COLUMN(W15)-20)*4,,4))</f>
        <v>0.468106094306049</v>
      </c>
      <c r="F10">
        <f ca="1">AVERAGE(OFFSET(实时负荷率!$B10,,(COLUMN(X15)-20)*4,,4))</f>
        <v>0.429203291814947</v>
      </c>
      <c r="G10">
        <f ca="1">AVERAGE(OFFSET(实时负荷率!$B10,,(COLUMN(Y15)-20)*4,,4))</f>
        <v>0.388354426156584</v>
      </c>
      <c r="H10">
        <f ca="1">AVERAGE(OFFSET(实时负荷率!$B10,,(COLUMN(Z15)-20)*4,,4))</f>
        <v>0.490135008896797</v>
      </c>
      <c r="I10">
        <f ca="1">AVERAGE(OFFSET(实时负荷率!$B10,,(COLUMN(AA15)-20)*4,,4))</f>
        <v>0.443734319395018</v>
      </c>
      <c r="J10">
        <f ca="1">AVERAGE(OFFSET(实时负荷率!$B10,,(COLUMN(AB15)-20)*4,,4))</f>
        <v>0.384615769572954</v>
      </c>
      <c r="K10">
        <f ca="1">AVERAGE(OFFSET(实时负荷率!$B10,,(COLUMN(AC15)-20)*4,,4))</f>
        <v>0.351635676156584</v>
      </c>
      <c r="L10">
        <f ca="1">AVERAGE(OFFSET(实时负荷率!$B10,,(COLUMN(AD15)-20)*4,,4))</f>
        <v>0.349184386120996</v>
      </c>
      <c r="M10">
        <f ca="1">AVERAGE(OFFSET(实时负荷率!$B10,,(COLUMN(AE15)-20)*4,,4))</f>
        <v>0.340768572064057</v>
      </c>
      <c r="N10">
        <f ca="1">AVERAGE(OFFSET(实时负荷率!$B10,,(COLUMN(AF15)-20)*4,,4))</f>
        <v>0.37842693505338</v>
      </c>
      <c r="O10">
        <f ca="1">AVERAGE(OFFSET(实时负荷率!$B10,,(COLUMN(AG15)-20)*4,,4))</f>
        <v>0.382650689501779</v>
      </c>
      <c r="P10">
        <f ca="1">AVERAGE(OFFSET(实时负荷率!$B10,,(COLUMN(AH15)-20)*4,,4))</f>
        <v>0.423203403024911</v>
      </c>
      <c r="Q10">
        <f ca="1">AVERAGE(OFFSET(实时负荷率!$B10,,(COLUMN(AI15)-20)*4,,4))</f>
        <v>0.45492337633452</v>
      </c>
      <c r="R10">
        <f ca="1">AVERAGE(OFFSET(实时负荷率!$B10,,(COLUMN(AJ15)-20)*4,,4))</f>
        <v>0.589940057829181</v>
      </c>
      <c r="S10">
        <f ca="1">AVERAGE(OFFSET(实时负荷率!$B10,,(COLUMN(AK15)-20)*4,,4))</f>
        <v>0.706477090747331</v>
      </c>
      <c r="T10">
        <f ca="1">AVERAGE(OFFSET(实时负荷率!$B10,,(COLUMN(AL15)-20)*4,,4))</f>
        <v>0.699441058718861</v>
      </c>
      <c r="U10">
        <f ca="1">AVERAGE(OFFSET(实时负荷率!$B10,,(COLUMN(AM15)-20)*4,,4))</f>
        <v>0.688675600533808</v>
      </c>
      <c r="V10">
        <f ca="1">AVERAGE(OFFSET(实时负荷率!$B10,,(COLUMN(AN15)-20)*4,,4))</f>
        <v>0.663067504448398</v>
      </c>
      <c r="W10">
        <f ca="1">AVERAGE(OFFSET(实时负荷率!$B10,,(COLUMN(AO15)-20)*4,,4))</f>
        <v>0.600617104092527</v>
      </c>
      <c r="X10">
        <f ca="1">AVERAGE(OFFSET(实时负荷率!$B10,,(COLUMN(AP15)-20)*4,,4))</f>
        <v>0.586254782028469</v>
      </c>
      <c r="Y10">
        <f ca="1">AVERAGE(OFFSET(实时负荷率!$B10,,(COLUMN(AQ15)-20)*4,,4))</f>
        <v>0.579676379003559</v>
      </c>
    </row>
    <row r="11" spans="1:97">
      <c r="A11" s="2">
        <v>46244</v>
      </c>
      <c r="B11">
        <f ca="1">AVERAGE(OFFSET(实时负荷率!$B11,,(COLUMN(T16)-20)*4,,4))</f>
        <v>0.554775800711744</v>
      </c>
      <c r="C11">
        <f ca="1">AVERAGE(OFFSET(实时负荷率!$B11,,(COLUMN(U16)-20)*4,,4))</f>
        <v>0.549870329181495</v>
      </c>
      <c r="D11">
        <f ca="1">AVERAGE(OFFSET(实时负荷率!$B11,,(COLUMN(V16)-20)*4,,4))</f>
        <v>0.511427545793295</v>
      </c>
      <c r="E11">
        <f ca="1">AVERAGE(OFFSET(实时负荷率!$B11,,(COLUMN(W16)-20)*4,,4))</f>
        <v>0.497851234003656</v>
      </c>
      <c r="F11">
        <f ca="1">AVERAGE(OFFSET(实时负荷率!$B11,,(COLUMN(X16)-20)*4,,4))</f>
        <v>0.4848125</v>
      </c>
      <c r="G11">
        <f ca="1">AVERAGE(OFFSET(实时负荷率!$B11,,(COLUMN(Y16)-20)*4,,4))</f>
        <v>0.493242483126792</v>
      </c>
      <c r="H11">
        <f ca="1">AVERAGE(OFFSET(实时负荷率!$B11,,(COLUMN(Z16)-20)*4,,4))</f>
        <v>0.482302181736392</v>
      </c>
      <c r="I11">
        <f ca="1">AVERAGE(OFFSET(实时负荷率!$B11,,(COLUMN(AA16)-20)*4,,4))</f>
        <v>0.457212550607287</v>
      </c>
      <c r="J11">
        <f ca="1">AVERAGE(OFFSET(实时负荷率!$B11,,(COLUMN(AB16)-20)*4,,4))</f>
        <v>0.467326360773729</v>
      </c>
      <c r="K11">
        <f ca="1">AVERAGE(OFFSET(实时负荷率!$B11,,(COLUMN(AC16)-20)*4,,4))</f>
        <v>0.406540710751237</v>
      </c>
      <c r="L11">
        <f ca="1">AVERAGE(OFFSET(实时负荷率!$B11,,(COLUMN(AD16)-20)*4,,4))</f>
        <v>0.360949730094467</v>
      </c>
      <c r="M11">
        <f ca="1">AVERAGE(OFFSET(实时负荷率!$B11,,(COLUMN(AE16)-20)*4,,4))</f>
        <v>0.34780240665767</v>
      </c>
      <c r="N11">
        <f ca="1">AVERAGE(OFFSET(实时负荷率!$B11,,(COLUMN(AF16)-20)*4,,4))</f>
        <v>0.333102947897624</v>
      </c>
      <c r="O11">
        <f ca="1">AVERAGE(OFFSET(实时负荷率!$B11,,(COLUMN(AG16)-20)*4,,4))</f>
        <v>0.332644652650823</v>
      </c>
      <c r="P11">
        <f ca="1">AVERAGE(OFFSET(实时负荷率!$B11,,(COLUMN(AH16)-20)*4,,4))</f>
        <v>0.347314556672761</v>
      </c>
      <c r="Q11">
        <f ca="1">AVERAGE(OFFSET(实时负荷率!$B11,,(COLUMN(AI16)-20)*4,,4))</f>
        <v>0.360717207495429</v>
      </c>
      <c r="R11">
        <f ca="1">AVERAGE(OFFSET(实时负荷率!$B11,,(COLUMN(AJ16)-20)*4,,4))</f>
        <v>0.418409620658135</v>
      </c>
      <c r="S11">
        <f ca="1">AVERAGE(OFFSET(实时负荷率!$B11,,(COLUMN(AK16)-20)*4,,4))</f>
        <v>0.479870886654479</v>
      </c>
      <c r="T11">
        <f ca="1">AVERAGE(OFFSET(实时负荷率!$B11,,(COLUMN(AL16)-20)*4,,4))</f>
        <v>0.506235717550274</v>
      </c>
      <c r="U11">
        <f ca="1">AVERAGE(OFFSET(实时负荷率!$B11,,(COLUMN(AM16)-20)*4,,4))</f>
        <v>0.508115973491773</v>
      </c>
      <c r="V11">
        <f ca="1">AVERAGE(OFFSET(实时负荷率!$B11,,(COLUMN(AN16)-20)*4,,4))</f>
        <v>0.483587751371115</v>
      </c>
      <c r="W11">
        <f ca="1">AVERAGE(OFFSET(实时负荷率!$B11,,(COLUMN(AO16)-20)*4,,4))</f>
        <v>0.463858889396709</v>
      </c>
      <c r="X11">
        <f ca="1">AVERAGE(OFFSET(实时负荷率!$B11,,(COLUMN(AP16)-20)*4,,4))</f>
        <v>0.492926074040219</v>
      </c>
      <c r="Y11">
        <f ca="1">AVERAGE(OFFSET(实时负荷率!$B11,,(COLUMN(AQ16)-20)*4,,4))</f>
        <v>0.455987774223035</v>
      </c>
    </row>
    <row r="12" spans="1:97">
      <c r="A12" s="2">
        <v>46245</v>
      </c>
      <c r="B12">
        <f ca="1">AVERAGE(OFFSET(实时负荷率!$B12,,(COLUMN(T17)-20)*4,,4))</f>
        <v>0.431401622486289</v>
      </c>
      <c r="C12">
        <f ca="1">AVERAGE(OFFSET(实时负荷率!$B12,,(COLUMN(U17)-20)*4,,4))</f>
        <v>0.408834095063985</v>
      </c>
      <c r="D12">
        <f ca="1">AVERAGE(OFFSET(实时负荷率!$B12,,(COLUMN(V17)-20)*4,,4))</f>
        <v>0.450913391224863</v>
      </c>
      <c r="E12">
        <f ca="1">AVERAGE(OFFSET(实时负荷率!$B12,,(COLUMN(W17)-20)*4,,4))</f>
        <v>0.437101119744059</v>
      </c>
      <c r="F12">
        <f ca="1">AVERAGE(OFFSET(实时负荷率!$B12,,(COLUMN(X17)-20)*4,,4))</f>
        <v>0.423791361974406</v>
      </c>
      <c r="G12">
        <f ca="1">AVERAGE(OFFSET(实时负荷率!$B12,,(COLUMN(Y17)-20)*4,,4))</f>
        <v>0.444055758683729</v>
      </c>
      <c r="H12">
        <f ca="1">AVERAGE(OFFSET(实时负荷率!$B12,,(COLUMN(Z17)-20)*4,,4))</f>
        <v>0.447281421389397</v>
      </c>
      <c r="I12">
        <f ca="1">AVERAGE(OFFSET(实时负荷率!$B12,,(COLUMN(AA17)-20)*4,,4))</f>
        <v>0.397603519195613</v>
      </c>
      <c r="J12">
        <f ca="1">AVERAGE(OFFSET(实时负荷率!$B12,,(COLUMN(AB17)-20)*4,,4))</f>
        <v>0.391938071297989</v>
      </c>
      <c r="K12">
        <f ca="1">AVERAGE(OFFSET(实时负荷率!$B12,,(COLUMN(AC17)-20)*4,,4))</f>
        <v>0.38458021023766</v>
      </c>
      <c r="L12">
        <f ca="1">AVERAGE(OFFSET(实时负荷率!$B12,,(COLUMN(AD17)-20)*4,,4))</f>
        <v>0.394057586837294</v>
      </c>
      <c r="M12">
        <f ca="1">AVERAGE(OFFSET(实时负荷率!$B12,,(COLUMN(AE17)-20)*4,,4))</f>
        <v>0.372746115173674</v>
      </c>
      <c r="N12">
        <f ca="1">AVERAGE(OFFSET(实时负荷率!$B12,,(COLUMN(AF17)-20)*4,,4))</f>
        <v>0.401649680073126</v>
      </c>
      <c r="O12">
        <f ca="1">AVERAGE(OFFSET(实时负荷率!$B12,,(COLUMN(AG17)-20)*4,,4))</f>
        <v>0.428725548446069</v>
      </c>
      <c r="P12">
        <f ca="1">AVERAGE(OFFSET(实时负荷率!$B12,,(COLUMN(AH17)-20)*4,,4))</f>
        <v>0.416596401766466</v>
      </c>
      <c r="Q12">
        <f ca="1">AVERAGE(OFFSET(实时负荷率!$B12,,(COLUMN(AI17)-20)*4,,4))</f>
        <v>0.441328207381371</v>
      </c>
      <c r="R12">
        <f ca="1">AVERAGE(OFFSET(实时负荷率!$B12,,(COLUMN(AJ17)-20)*4,,4))</f>
        <v>0.566382469244288</v>
      </c>
      <c r="S12">
        <f ca="1">AVERAGE(OFFSET(实时负荷率!$B12,,(COLUMN(AK17)-20)*4,,4))</f>
        <v>0.655666983686318</v>
      </c>
      <c r="T12">
        <f ca="1">AVERAGE(OFFSET(实时负荷率!$B12,,(COLUMN(AL17)-20)*4,,4))</f>
        <v>0.725106027516925</v>
      </c>
      <c r="U12">
        <f ca="1">AVERAGE(OFFSET(实时负荷率!$B12,,(COLUMN(AM17)-20)*4,,4))</f>
        <v>0.710493409560059</v>
      </c>
      <c r="V12">
        <f ca="1">AVERAGE(OFFSET(实时负荷率!$B12,,(COLUMN(AN17)-20)*4,,4))</f>
        <v>0.687980887661924</v>
      </c>
      <c r="W12">
        <f ca="1">AVERAGE(OFFSET(实时负荷率!$B12,,(COLUMN(AO17)-20)*4,,4))</f>
        <v>0.627484073051603</v>
      </c>
      <c r="X12">
        <f ca="1">AVERAGE(OFFSET(实时负荷率!$B12,,(COLUMN(AP17)-20)*4,,4))</f>
        <v>0.579544730732366</v>
      </c>
      <c r="Y12">
        <f ca="1">AVERAGE(OFFSET(实时负荷率!$B12,,(COLUMN(AQ17)-20)*4,,4))</f>
        <v>0.558475478597548</v>
      </c>
    </row>
    <row r="13" spans="1:97">
      <c r="A13" s="2">
        <v>46246</v>
      </c>
      <c r="B13">
        <f ca="1">AVERAGE(OFFSET(实时负荷率!$B13,,(COLUMN(T18)-20)*4,,4))</f>
        <v>0.558087029017444</v>
      </c>
      <c r="C13">
        <f ca="1">AVERAGE(OFFSET(实时负荷率!$B13,,(COLUMN(U18)-20)*4,,4))</f>
        <v>0.553695910150456</v>
      </c>
      <c r="D13">
        <f ca="1">AVERAGE(OFFSET(实时负荷率!$B13,,(COLUMN(V18)-20)*4,,4))</f>
        <v>0.56673606696334</v>
      </c>
      <c r="E13">
        <f ca="1">AVERAGE(OFFSET(实时负荷率!$B13,,(COLUMN(W18)-20)*4,,4))</f>
        <v>0.56717217630854</v>
      </c>
      <c r="F13">
        <f ca="1">AVERAGE(OFFSET(实时负荷率!$B13,,(COLUMN(X18)-20)*4,,4))</f>
        <v>0.564391151629491</v>
      </c>
      <c r="G13">
        <f ca="1">AVERAGE(OFFSET(实时负荷率!$B13,,(COLUMN(Y18)-20)*4,,4))</f>
        <v>0.588501670494884</v>
      </c>
      <c r="H13">
        <f ca="1">AVERAGE(OFFSET(实时负荷率!$B13,,(COLUMN(Z18)-20)*4,,4))</f>
        <v>0.659157861766549</v>
      </c>
      <c r="I13">
        <f ca="1">AVERAGE(OFFSET(实时负荷率!$B13,,(COLUMN(AA18)-20)*4,,4))</f>
        <v>0.617609530730897</v>
      </c>
      <c r="J13">
        <f ca="1">AVERAGE(OFFSET(实时负荷率!$B13,,(COLUMN(AB18)-20)*4,,4))</f>
        <v>0.602657703488372</v>
      </c>
      <c r="K13">
        <f ca="1">AVERAGE(OFFSET(实时负荷率!$B13,,(COLUMN(AC18)-20)*4,,4))</f>
        <v>0.549918293189369</v>
      </c>
      <c r="L13">
        <f ca="1">AVERAGE(OFFSET(实时负荷率!$B13,,(COLUMN(AD18)-20)*4,,4))</f>
        <v>0.493708990863788</v>
      </c>
      <c r="M13">
        <f ca="1">AVERAGE(OFFSET(实时负荷率!$B13,,(COLUMN(AE18)-20)*4,,4))</f>
        <v>0.491110984219269</v>
      </c>
      <c r="N13">
        <f ca="1">AVERAGE(OFFSET(实时负荷率!$B13,,(COLUMN(AF18)-20)*4,,4))</f>
        <v>0.499380220638037</v>
      </c>
      <c r="O13">
        <f ca="1">AVERAGE(OFFSET(实时负荷率!$B13,,(COLUMN(AG18)-20)*4,,4))</f>
        <v>0.496779976693477</v>
      </c>
      <c r="P13">
        <f ca="1">AVERAGE(OFFSET(实时负荷率!$B13,,(COLUMN(AH18)-20)*4,,4))</f>
        <v>0.534938648295024</v>
      </c>
      <c r="Q13">
        <f ca="1">AVERAGE(OFFSET(实时负荷率!$B13,,(COLUMN(AI18)-20)*4,,4))</f>
        <v>0.567861754525605</v>
      </c>
      <c r="R13">
        <f ca="1">AVERAGE(OFFSET(实时负荷率!$B13,,(COLUMN(AJ18)-20)*4,,4))</f>
        <v>0.651138437091045</v>
      </c>
      <c r="S13">
        <f ca="1">AVERAGE(OFFSET(实时负荷率!$B13,,(COLUMN(AK18)-20)*4,,4))</f>
        <v>0.677037016264722</v>
      </c>
      <c r="T13">
        <f ca="1">AVERAGE(OFFSET(实时负荷率!$B13,,(COLUMN(AL18)-20)*4,,4))</f>
        <v>0.707082963229273</v>
      </c>
      <c r="U13">
        <f ca="1">AVERAGE(OFFSET(实时负荷率!$B13,,(COLUMN(AM18)-20)*4,,4))</f>
        <v>0.715382606301606</v>
      </c>
      <c r="V13">
        <f ca="1">AVERAGE(OFFSET(实时负荷率!$B13,,(COLUMN(AN18)-20)*4,,4))</f>
        <v>0.688519948042309</v>
      </c>
      <c r="W13">
        <f ca="1">AVERAGE(OFFSET(实时负荷率!$B13,,(COLUMN(AO18)-20)*4,,4))</f>
        <v>0.648215253293747</v>
      </c>
      <c r="X13">
        <f ca="1">AVERAGE(OFFSET(实时负荷率!$B13,,(COLUMN(AP18)-20)*4,,4))</f>
        <v>0.567121265540917</v>
      </c>
      <c r="Y13">
        <f ca="1">AVERAGE(OFFSET(实时负荷率!$B13,,(COLUMN(AQ18)-20)*4,,4))</f>
        <v>0.545638151790685</v>
      </c>
    </row>
    <row r="14" spans="1:97">
      <c r="A14" s="2">
        <v>46247</v>
      </c>
      <c r="B14">
        <f ca="1">AVERAGE(OFFSET(实时负荷率!$B14,,(COLUMN(T19)-20)*4,,4))</f>
        <v>0.531955650398961</v>
      </c>
      <c r="C14">
        <f ca="1">AVERAGE(OFFSET(实时负荷率!$B14,,(COLUMN(U19)-20)*4,,4))</f>
        <v>0.510629523102616</v>
      </c>
      <c r="D14">
        <f ca="1">AVERAGE(OFFSET(实时负荷率!$B14,,(COLUMN(V19)-20)*4,,4))</f>
        <v>0.555294859899796</v>
      </c>
      <c r="E14">
        <f ca="1">AVERAGE(OFFSET(实时负荷率!$B14,,(COLUMN(W19)-20)*4,,4))</f>
        <v>0.511756633883838</v>
      </c>
      <c r="F14">
        <f ca="1">AVERAGE(OFFSET(实时负荷率!$B14,,(COLUMN(X19)-20)*4,,4))</f>
        <v>0.51814575988124</v>
      </c>
      <c r="G14">
        <f ca="1">AVERAGE(OFFSET(实时负荷率!$B14,,(COLUMN(Y19)-20)*4,,4))</f>
        <v>0.543832343663017</v>
      </c>
      <c r="H14">
        <f ca="1">AVERAGE(OFFSET(实时负荷率!$B14,,(COLUMN(Z19)-20)*4,,4))</f>
        <v>0.59376025236593</v>
      </c>
      <c r="I14">
        <f ca="1">AVERAGE(OFFSET(实时负荷率!$B14,,(COLUMN(AA19)-20)*4,,4))</f>
        <v>0.560607997773242</v>
      </c>
      <c r="J14">
        <f ca="1">AVERAGE(OFFSET(实时负荷率!$B14,,(COLUMN(AB19)-20)*4,,4))</f>
        <v>0.565997587678605</v>
      </c>
      <c r="K14">
        <f ca="1">AVERAGE(OFFSET(实时负荷率!$B14,,(COLUMN(AC19)-20)*4,,4))</f>
        <v>0.522357394692893</v>
      </c>
      <c r="L14">
        <f ca="1">AVERAGE(OFFSET(实时负荷率!$B14,,(COLUMN(AD19)-20)*4,,4))</f>
        <v>0.498072926331416</v>
      </c>
      <c r="M14">
        <f ca="1">AVERAGE(OFFSET(实时负荷率!$B14,,(COLUMN(AE19)-20)*4,,4))</f>
        <v>0.445285303395806</v>
      </c>
      <c r="N14">
        <f ca="1">AVERAGE(OFFSET(实时负荷率!$B14,,(COLUMN(AF19)-20)*4,,4))</f>
        <v>0.409422156244201</v>
      </c>
      <c r="O14">
        <f ca="1">AVERAGE(OFFSET(实时负荷率!$B14,,(COLUMN(AG19)-20)*4,,4))</f>
        <v>0.416156708109111</v>
      </c>
      <c r="P14">
        <f ca="1">AVERAGE(OFFSET(实时负荷率!$B14,,(COLUMN(AH19)-20)*4,,4))</f>
        <v>0.469664130636482</v>
      </c>
      <c r="Q14">
        <f ca="1">AVERAGE(OFFSET(实时负荷率!$B14,,(COLUMN(AI19)-20)*4,,4))</f>
        <v>0.550962330673594</v>
      </c>
      <c r="R14">
        <f ca="1">AVERAGE(OFFSET(实时负荷率!$B14,,(COLUMN(AJ19)-20)*4,,4))</f>
        <v>0.682023752087586</v>
      </c>
      <c r="S14">
        <f ca="1">AVERAGE(OFFSET(实时负荷率!$B14,,(COLUMN(AK19)-20)*4,,4))</f>
        <v>0.717370384115791</v>
      </c>
      <c r="T14">
        <f ca="1">AVERAGE(OFFSET(实时负荷率!$B14,,(COLUMN(AL19)-20)*4,,4))</f>
        <v>0.769999072184079</v>
      </c>
      <c r="U14">
        <f ca="1">AVERAGE(OFFSET(实时负荷率!$B14,,(COLUMN(AM19)-20)*4,,4))</f>
        <v>0.763702171089256</v>
      </c>
      <c r="V14">
        <f ca="1">AVERAGE(OFFSET(实时负荷率!$B14,,(COLUMN(AN19)-20)*4,,4))</f>
        <v>0.746015401744294</v>
      </c>
      <c r="W14">
        <f ca="1">AVERAGE(OFFSET(实时负荷率!$B14,,(COLUMN(AO19)-20)*4,,4))</f>
        <v>0.709726268839324</v>
      </c>
      <c r="X14">
        <f ca="1">AVERAGE(OFFSET(实时负荷率!$B14,,(COLUMN(AP19)-20)*4,,4))</f>
        <v>0.684444188968521</v>
      </c>
      <c r="Y14">
        <f ca="1">AVERAGE(OFFSET(实时负荷率!$B14,,(COLUMN(AQ19)-20)*4,,4))</f>
        <v>0.65680314470262</v>
      </c>
    </row>
    <row r="15" spans="1:97">
      <c r="A15" s="2">
        <v>46248</v>
      </c>
      <c r="B15">
        <f ca="1">AVERAGE(OFFSET(实时负荷率!$B15,,(COLUMN(T20)-20)*4,,4))</f>
        <v>0.619529867617553</v>
      </c>
      <c r="C15">
        <f ca="1">AVERAGE(OFFSET(实时负荷率!$B15,,(COLUMN(U20)-20)*4,,4))</f>
        <v>0.600070332480818</v>
      </c>
      <c r="D15">
        <f ca="1">AVERAGE(OFFSET(实时负荷率!$B15,,(COLUMN(V20)-20)*4,,4))</f>
        <v>0.57183631713555</v>
      </c>
      <c r="E15">
        <f ca="1">AVERAGE(OFFSET(实时负荷率!$B15,,(COLUMN(W20)-20)*4,,4))</f>
        <v>0.579744565217391</v>
      </c>
      <c r="F15">
        <f ca="1">AVERAGE(OFFSET(实时负荷率!$B15,,(COLUMN(X20)-20)*4,,4))</f>
        <v>0.560878836317136</v>
      </c>
      <c r="G15">
        <f ca="1">AVERAGE(OFFSET(实时负荷率!$B15,,(COLUMN(Y20)-20)*4,,4))</f>
        <v>0.596653985507246</v>
      </c>
      <c r="H15">
        <f ca="1">AVERAGE(OFFSET(实时负荷率!$B15,,(COLUMN(Z20)-20)*4,,4))</f>
        <v>0.60702120630861</v>
      </c>
      <c r="I15">
        <f ca="1">AVERAGE(OFFSET(实时负荷率!$B15,,(COLUMN(AA20)-20)*4,,4))</f>
        <v>0.537099850809889</v>
      </c>
      <c r="J15">
        <f ca="1">AVERAGE(OFFSET(实时负荷率!$B15,,(COLUMN(AB20)-20)*4,,4))</f>
        <v>0.511019927536232</v>
      </c>
      <c r="K15">
        <f ca="1">AVERAGE(OFFSET(实时负荷率!$B15,,(COLUMN(AC20)-20)*4,,4))</f>
        <v>0.47753037084399</v>
      </c>
      <c r="L15">
        <f ca="1">AVERAGE(OFFSET(实时负荷率!$B15,,(COLUMN(AD20)-20)*4,,4))</f>
        <v>0.466751278772378</v>
      </c>
      <c r="M15">
        <f ca="1">AVERAGE(OFFSET(实时负荷率!$B15,,(COLUMN(AE20)-20)*4,,4))</f>
        <v>0.470359335038363</v>
      </c>
      <c r="N15">
        <f ca="1">AVERAGE(OFFSET(实时负荷率!$B15,,(COLUMN(AF20)-20)*4,,4))</f>
        <v>0.479513959931799</v>
      </c>
      <c r="O15">
        <f ca="1">AVERAGE(OFFSET(实时负荷率!$B15,,(COLUMN(AG20)-20)*4,,4))</f>
        <v>0.486234654731458</v>
      </c>
      <c r="P15">
        <f ca="1">AVERAGE(OFFSET(实时负荷率!$B15,,(COLUMN(AH20)-20)*4,,4))</f>
        <v>0.515521099744246</v>
      </c>
      <c r="Q15">
        <f ca="1">AVERAGE(OFFSET(实时负荷率!$B15,,(COLUMN(AI20)-20)*4,,4))</f>
        <v>0.583268009377664</v>
      </c>
      <c r="R15">
        <f ca="1">AVERAGE(OFFSET(实时负荷率!$B15,,(COLUMN(AJ20)-20)*4,,4))</f>
        <v>0.692684249786871</v>
      </c>
      <c r="S15">
        <f ca="1">AVERAGE(OFFSET(实时负荷率!$B15,,(COLUMN(AK20)-20)*4,,4))</f>
        <v>0.741647698209719</v>
      </c>
      <c r="T15">
        <f ca="1">AVERAGE(OFFSET(实时负荷率!$B15,,(COLUMN(AL20)-20)*4,,4))</f>
        <v>0.765678815004263</v>
      </c>
      <c r="U15">
        <f ca="1">AVERAGE(OFFSET(实时负荷率!$B15,,(COLUMN(AM20)-20)*4,,4))</f>
        <v>0.66479283887468</v>
      </c>
      <c r="V15">
        <f ca="1">AVERAGE(OFFSET(实时负荷率!$B15,,(COLUMN(AN20)-20)*4,,4))</f>
        <v>0.632849317988065</v>
      </c>
      <c r="W15">
        <f ca="1">AVERAGE(OFFSET(实时负荷率!$B15,,(COLUMN(AO20)-20)*4,,4))</f>
        <v>0.541823103154305</v>
      </c>
      <c r="X15">
        <f ca="1">AVERAGE(OFFSET(实时负荷率!$B15,,(COLUMN(AP20)-20)*4,,4))</f>
        <v>0.482444799658994</v>
      </c>
      <c r="Y15">
        <f ca="1">AVERAGE(OFFSET(实时负荷率!$B15,,(COLUMN(AQ20)-20)*4,,4))</f>
        <v>0.50028611349957</v>
      </c>
    </row>
    <row r="16" spans="1:97">
      <c r="A16" s="2">
        <v>46249</v>
      </c>
      <c r="B16">
        <f ca="1">AVERAGE(OFFSET(实时负荷率!$B16,,(COLUMN(T21)-20)*4,,4))</f>
        <v>0.539952386070507</v>
      </c>
      <c r="C16">
        <f ca="1">AVERAGE(OFFSET(实时负荷率!$B16,,(COLUMN(U21)-20)*4,,4))</f>
        <v>0.522373280309544</v>
      </c>
      <c r="D16">
        <f ca="1">AVERAGE(OFFSET(实时负荷率!$B16,,(COLUMN(V21)-20)*4,,4))</f>
        <v>0.504924548581255</v>
      </c>
      <c r="E16">
        <f ca="1">AVERAGE(OFFSET(实时负荷率!$B16,,(COLUMN(W21)-20)*4,,4))</f>
        <v>0.512203460877042</v>
      </c>
      <c r="F16">
        <f ca="1">AVERAGE(OFFSET(实时负荷率!$B16,,(COLUMN(X21)-20)*4,,4))</f>
        <v>0.535150257953568</v>
      </c>
      <c r="G16">
        <f ca="1">AVERAGE(OFFSET(实时负荷率!$B16,,(COLUMN(Y21)-20)*4,,4))</f>
        <v>0.580019776440241</v>
      </c>
      <c r="H16">
        <f ca="1">AVERAGE(OFFSET(实时负荷率!$B16,,(COLUMN(Z21)-20)*4,,4))</f>
        <v>0.588452815993121</v>
      </c>
      <c r="I16">
        <f ca="1">AVERAGE(OFFSET(实时负荷率!$B16,,(COLUMN(AA21)-20)*4,,4))</f>
        <v>0.542751612209802</v>
      </c>
      <c r="J16">
        <f ca="1">AVERAGE(OFFSET(实时负荷率!$B16,,(COLUMN(AB21)-20)*4,,4))</f>
        <v>0.550480438521066</v>
      </c>
      <c r="K16">
        <f ca="1">AVERAGE(OFFSET(实时负荷率!$B16,,(COLUMN(AC21)-20)*4,,4))</f>
        <v>0.57944475494411</v>
      </c>
      <c r="L16">
        <f ca="1">AVERAGE(OFFSET(实时负荷率!$B16,,(COLUMN(AD21)-20)*4,,4))</f>
        <v>0.578091573516767</v>
      </c>
      <c r="M16">
        <f ca="1">AVERAGE(OFFSET(实时负荷率!$B16,,(COLUMN(AE21)-20)*4,,4))</f>
        <v>0.57017315133276</v>
      </c>
      <c r="N16">
        <f ca="1">AVERAGE(OFFSET(实时负荷率!$B16,,(COLUMN(AF21)-20)*4,,4))</f>
        <v>0.567182072226999</v>
      </c>
      <c r="O16">
        <f ca="1">AVERAGE(OFFSET(实时负荷率!$B16,,(COLUMN(AG21)-20)*4,,4))</f>
        <v>0.578063628546862</v>
      </c>
      <c r="P16">
        <f ca="1">AVERAGE(OFFSET(实时负荷率!$B16,,(COLUMN(AH21)-20)*4,,4))</f>
        <v>0.62703643594153</v>
      </c>
      <c r="Q16">
        <f ca="1">AVERAGE(OFFSET(实时负荷率!$B16,,(COLUMN(AI21)-20)*4,,4))</f>
        <v>0.698411328460877</v>
      </c>
      <c r="R16">
        <f ca="1">AVERAGE(OFFSET(实时负荷率!$B16,,(COLUMN(AJ21)-20)*4,,4))</f>
        <v>0.769647893379192</v>
      </c>
      <c r="S16">
        <f ca="1">AVERAGE(OFFSET(实时负荷率!$B16,,(COLUMN(AK21)-20)*4,,4))</f>
        <v>0.746307287188306</v>
      </c>
      <c r="T16">
        <f ca="1">AVERAGE(OFFSET(实时负荷率!$B16,,(COLUMN(AL21)-20)*4,,4))</f>
        <v>0.725183254514187</v>
      </c>
      <c r="U16">
        <f ca="1">AVERAGE(OFFSET(实时负荷率!$B16,,(COLUMN(AM21)-20)*4,,4))</f>
        <v>0.704159738557521</v>
      </c>
      <c r="V16">
        <f ca="1">AVERAGE(OFFSET(实时负荷率!$B16,,(COLUMN(AN21)-20)*4,,4))</f>
        <v>0.674611817026683</v>
      </c>
      <c r="W16">
        <f ca="1">AVERAGE(OFFSET(实时负荷率!$B16,,(COLUMN(AO21)-20)*4,,4))</f>
        <v>0.654227022448115</v>
      </c>
      <c r="X16">
        <f ca="1">AVERAGE(OFFSET(实时负荷率!$B16,,(COLUMN(AP21)-20)*4,,4))</f>
        <v>0.619135853451927</v>
      </c>
      <c r="Y16">
        <f ca="1">AVERAGE(OFFSET(实时负荷率!$B16,,(COLUMN(AQ21)-20)*4,,4))</f>
        <v>0.622875582380348</v>
      </c>
    </row>
    <row r="17" spans="1:25">
      <c r="A17" s="2">
        <v>46250</v>
      </c>
      <c r="B17">
        <f ca="1">AVERAGE(OFFSET(实时负荷率!$B17,,(COLUMN(T22)-20)*4,,4))</f>
        <v>0.545785830951409</v>
      </c>
      <c r="C17">
        <f ca="1">AVERAGE(OFFSET(实时负荷率!$B17,,(COLUMN(U22)-20)*4,,4))</f>
        <v>0.561967639853001</v>
      </c>
      <c r="D17">
        <f ca="1">AVERAGE(OFFSET(实时负荷率!$B17,,(COLUMN(V22)-20)*4,,4))</f>
        <v>0.55981635361372</v>
      </c>
      <c r="E17">
        <f ca="1">AVERAGE(OFFSET(实时负荷率!$B17,,(COLUMN(W22)-20)*4,,4))</f>
        <v>0.564872090649245</v>
      </c>
      <c r="F17">
        <f ca="1">AVERAGE(OFFSET(实时负荷率!$B17,,(COLUMN(X22)-20)*4,,4))</f>
        <v>0.575280930992242</v>
      </c>
      <c r="G17">
        <f ca="1">AVERAGE(OFFSET(实时负荷率!$B17,,(COLUMN(Y22)-20)*4,,4))</f>
        <v>0.579002449979583</v>
      </c>
      <c r="H17">
        <f ca="1">AVERAGE(OFFSET(实时负荷率!$B17,,(COLUMN(Z22)-20)*4,,4))</f>
        <v>0.569313699469171</v>
      </c>
      <c r="I17">
        <f ca="1">AVERAGE(OFFSET(实时负荷率!$B17,,(COLUMN(AA22)-20)*4,,4))</f>
        <v>0.524345855451205</v>
      </c>
      <c r="J17">
        <f ca="1">AVERAGE(OFFSET(实时负荷率!$B17,,(COLUMN(AB22)-20)*4,,4))</f>
        <v>0.49227817476521</v>
      </c>
      <c r="K17">
        <f ca="1">AVERAGE(OFFSET(实时负荷率!$B17,,(COLUMN(AC22)-20)*4,,4))</f>
        <v>0.502232952225398</v>
      </c>
      <c r="L17">
        <f ca="1">AVERAGE(OFFSET(实时负荷率!$B17,,(COLUMN(AD22)-20)*4,,4))</f>
        <v>0.532262862392813</v>
      </c>
      <c r="M17">
        <f ca="1">AVERAGE(OFFSET(实时负荷率!$B17,,(COLUMN(AE22)-20)*4,,4))</f>
        <v>0.580965904450796</v>
      </c>
      <c r="N17">
        <f ca="1">AVERAGE(OFFSET(实时负荷率!$B17,,(COLUMN(AF22)-20)*4,,4))</f>
        <v>0.574988260514496</v>
      </c>
      <c r="O17">
        <f ca="1">AVERAGE(OFFSET(实时负荷率!$B17,,(COLUMN(AG22)-20)*4,,4))</f>
        <v>0.59611035116374</v>
      </c>
      <c r="P17">
        <f ca="1">AVERAGE(OFFSET(实时负荷率!$B17,,(COLUMN(AH22)-20)*4,,4))</f>
        <v>0.589163434054716</v>
      </c>
      <c r="Q17">
        <f ca="1">AVERAGE(OFFSET(实时负荷率!$B17,,(COLUMN(AI22)-20)*4,,4))</f>
        <v>0.671587688852593</v>
      </c>
      <c r="R17">
        <f ca="1">AVERAGE(OFFSET(实时负荷率!$B17,,(COLUMN(AJ22)-20)*4,,4))</f>
        <v>0.739498264597795</v>
      </c>
      <c r="S17">
        <f ca="1">AVERAGE(OFFSET(实时负荷率!$B17,,(COLUMN(AK22)-20)*4,,4))</f>
        <v>0.749950387913434</v>
      </c>
      <c r="T17">
        <f ca="1">AVERAGE(OFFSET(实时负荷率!$B17,,(COLUMN(AL22)-20)*4,,4))</f>
        <v>0.761079828501429</v>
      </c>
      <c r="U17">
        <f ca="1">AVERAGE(OFFSET(实时负荷率!$B17,,(COLUMN(AM22)-20)*4,,4))</f>
        <v>0.753811759902</v>
      </c>
      <c r="V17">
        <f ca="1">AVERAGE(OFFSET(实时负荷率!$B17,,(COLUMN(AN22)-20)*4,,4))</f>
        <v>0.732904144548795</v>
      </c>
      <c r="W17">
        <f ca="1">AVERAGE(OFFSET(实时负荷率!$B17,,(COLUMN(AO22)-20)*4,,4))</f>
        <v>0.684465700285831</v>
      </c>
      <c r="X17">
        <f ca="1">AVERAGE(OFFSET(实时负荷率!$B17,,(COLUMN(AP22)-20)*4,,4))</f>
        <v>0.616016741527154</v>
      </c>
      <c r="Y17">
        <f ca="1">AVERAGE(OFFSET(实时负荷率!$B17,,(COLUMN(AQ22)-20)*4,,4))</f>
        <v>0.567002858309514</v>
      </c>
    </row>
    <row r="18" spans="1:25">
      <c r="A18" s="2">
        <v>46251</v>
      </c>
      <c r="B18">
        <f ca="1">AVERAGE(OFFSET(实时负荷率!$B18,,(COLUMN(T23)-20)*4,,4))</f>
        <v>0.538639955083708</v>
      </c>
      <c r="C18">
        <f ca="1">AVERAGE(OFFSET(实时负荷率!$B18,,(COLUMN(U23)-20)*4,,4))</f>
        <v>0.596591670069416</v>
      </c>
      <c r="D18">
        <f ca="1">AVERAGE(OFFSET(实时负荷率!$B18,,(COLUMN(V23)-20)*4,,4))</f>
        <v>0.561109840751327</v>
      </c>
      <c r="E18">
        <f ca="1">AVERAGE(OFFSET(实时负荷率!$B18,,(COLUMN(W23)-20)*4,,4))</f>
        <v>0.535464577378522</v>
      </c>
      <c r="F18">
        <f ca="1">AVERAGE(OFFSET(实时负荷率!$B18,,(COLUMN(X23)-20)*4,,4))</f>
        <v>0.547846570028583</v>
      </c>
      <c r="G18">
        <f ca="1">AVERAGE(OFFSET(实时负荷率!$B18,,(COLUMN(Y23)-20)*4,,4))</f>
        <v>0.518938444262965</v>
      </c>
      <c r="H18">
        <f ca="1">AVERAGE(OFFSET(实时负荷率!$B18,,(COLUMN(Z23)-20)*4,,4))</f>
        <v>0.540625357288689</v>
      </c>
      <c r="I18">
        <f ca="1">AVERAGE(OFFSET(实时负荷率!$B18,,(COLUMN(AA23)-20)*4,,4))</f>
        <v>0.557983360555329</v>
      </c>
      <c r="J18">
        <f ca="1">AVERAGE(OFFSET(实时负荷率!$B18,,(COLUMN(AB23)-20)*4,,4))</f>
        <v>0.56908717844018</v>
      </c>
      <c r="K18">
        <f ca="1">AVERAGE(OFFSET(实时负荷率!$B18,,(COLUMN(AC23)-20)*4,,4))</f>
        <v>0.570213046141282</v>
      </c>
      <c r="L18">
        <f ca="1">AVERAGE(OFFSET(实时负荷率!$B18,,(COLUMN(AD23)-20)*4,,4))</f>
        <v>0.547391384238465</v>
      </c>
      <c r="M18">
        <f ca="1">AVERAGE(OFFSET(实时负荷率!$B18,,(COLUMN(AE23)-20)*4,,4))</f>
        <v>0.548389546753777</v>
      </c>
      <c r="N18">
        <f ca="1">AVERAGE(OFFSET(实时负荷率!$B18,,(COLUMN(AF23)-20)*4,,4))</f>
        <v>0.558046345447122</v>
      </c>
      <c r="O18">
        <f ca="1">AVERAGE(OFFSET(实时负荷率!$B18,,(COLUMN(AG23)-20)*4,,4))</f>
        <v>0.534316659861167</v>
      </c>
      <c r="P18">
        <f ca="1">AVERAGE(OFFSET(实时负荷率!$B18,,(COLUMN(AH23)-20)*4,,4))</f>
        <v>0.528674050632912</v>
      </c>
      <c r="Q18">
        <f ca="1">AVERAGE(OFFSET(实时负荷率!$B18,,(COLUMN(AI23)-20)*4,,4))</f>
        <v>0.561054818293181</v>
      </c>
      <c r="R18">
        <f ca="1">AVERAGE(OFFSET(实时负荷率!$B18,,(COLUMN(AJ23)-20)*4,,4))</f>
        <v>0.595805634953042</v>
      </c>
      <c r="S18">
        <f ca="1">AVERAGE(OFFSET(实时负荷率!$B18,,(COLUMN(AK23)-20)*4,,4))</f>
        <v>0.614269741279721</v>
      </c>
      <c r="T18">
        <f ca="1">AVERAGE(OFFSET(实时负荷率!$B18,,(COLUMN(AL23)-20)*4,,4))</f>
        <v>0.598591051757702</v>
      </c>
      <c r="U18">
        <f ca="1">AVERAGE(OFFSET(实时负荷率!$B18,,(COLUMN(AM23)-20)*4,,4))</f>
        <v>0.624095144129297</v>
      </c>
      <c r="V18">
        <f ca="1">AVERAGE(OFFSET(实时负荷率!$B18,,(COLUMN(AN23)-20)*4,,4))</f>
        <v>0.615525295171384</v>
      </c>
      <c r="W18">
        <f ca="1">AVERAGE(OFFSET(实时负荷率!$B18,,(COLUMN(AO23)-20)*4,,4))</f>
        <v>0.579657240985769</v>
      </c>
      <c r="X18">
        <f ca="1">AVERAGE(OFFSET(实时负荷率!$B18,,(COLUMN(AP23)-20)*4,,4))</f>
        <v>0.532071662828286</v>
      </c>
      <c r="Y18">
        <f ca="1">AVERAGE(OFFSET(实时负荷率!$B18,,(COLUMN(AQ23)-20)*4,,4))</f>
        <v>0.47845386676876</v>
      </c>
    </row>
    <row r="19" spans="1:25">
      <c r="A19" s="2">
        <v>46252</v>
      </c>
      <c r="B19">
        <f ca="1">AVERAGE(OFFSET(实时负荷率!$B19,,(COLUMN(T24)-20)*4,,4))</f>
        <v>0.488883901225115</v>
      </c>
      <c r="C19">
        <f ca="1">AVERAGE(OFFSET(实时负荷率!$B19,,(COLUMN(U24)-20)*4,,4))</f>
        <v>0.557008135528331</v>
      </c>
      <c r="D19">
        <f ca="1">AVERAGE(OFFSET(实时负荷率!$B19,,(COLUMN(V24)-20)*4,,4))</f>
        <v>0.538216883614089</v>
      </c>
      <c r="E19">
        <f ca="1">AVERAGE(OFFSET(实时负荷率!$B19,,(COLUMN(W24)-20)*4,,4))</f>
        <v>0.565585853751914</v>
      </c>
      <c r="F19">
        <f ca="1">AVERAGE(OFFSET(实时负荷率!$B19,,(COLUMN(X24)-20)*4,,4))</f>
        <v>0.609282159264931</v>
      </c>
      <c r="G19">
        <f ca="1">AVERAGE(OFFSET(实时负荷率!$B19,,(COLUMN(Y24)-20)*4,,4))</f>
        <v>0.645281680704441</v>
      </c>
      <c r="H19">
        <f ca="1">AVERAGE(OFFSET(实时负荷率!$B19,,(COLUMN(Z24)-20)*4,,4))</f>
        <v>0.716199751148545</v>
      </c>
      <c r="I19">
        <f ca="1">AVERAGE(OFFSET(实时负荷率!$B19,,(COLUMN(AA24)-20)*4,,4))</f>
        <v>0.687844946401225</v>
      </c>
      <c r="J19">
        <f ca="1">AVERAGE(OFFSET(实时负荷率!$B19,,(COLUMN(AB24)-20)*4,,4))</f>
        <v>0.597241290199081</v>
      </c>
      <c r="K19">
        <f ca="1">AVERAGE(OFFSET(实时负荷率!$B19,,(COLUMN(AC24)-20)*4,,4))</f>
        <v>0.541039050535988</v>
      </c>
      <c r="L19">
        <f ca="1">AVERAGE(OFFSET(实时负荷率!$B19,,(COLUMN(AD24)-20)*4,,4))</f>
        <v>0.540106910413476</v>
      </c>
      <c r="M19">
        <f ca="1">AVERAGE(OFFSET(实时负荷率!$B19,,(COLUMN(AE24)-20)*4,,4))</f>
        <v>0.54924952143951</v>
      </c>
      <c r="N19">
        <f ca="1">AVERAGE(OFFSET(实时负荷率!$B19,,(COLUMN(AF24)-20)*4,,4))</f>
        <v>0.51806106431853</v>
      </c>
      <c r="O19">
        <f ca="1">AVERAGE(OFFSET(实时负荷率!$B19,,(COLUMN(AG24)-20)*4,,4))</f>
        <v>0.523803215926493</v>
      </c>
      <c r="P19">
        <f ca="1">AVERAGE(OFFSET(实时负荷率!$B19,,(COLUMN(AH24)-20)*4,,4))</f>
        <v>0.546543549004594</v>
      </c>
      <c r="Q19">
        <f ca="1">AVERAGE(OFFSET(实时负荷率!$B19,,(COLUMN(AI24)-20)*4,,4))</f>
        <v>0.613800057427259</v>
      </c>
      <c r="R19">
        <f ca="1">AVERAGE(OFFSET(实时负荷率!$B19,,(COLUMN(AJ24)-20)*4,,4))</f>
        <v>0.712116098774885</v>
      </c>
      <c r="S19">
        <f ca="1">AVERAGE(OFFSET(实时负荷率!$B19,,(COLUMN(AK24)-20)*4,,4))</f>
        <v>0.744050057427259</v>
      </c>
      <c r="T19">
        <f ca="1">AVERAGE(OFFSET(实时负荷率!$B19,,(COLUMN(AL24)-20)*4,,4))</f>
        <v>0.75871008805513</v>
      </c>
      <c r="U19">
        <f ca="1">AVERAGE(OFFSET(实时负荷率!$B19,,(COLUMN(AM24)-20)*4,,4))</f>
        <v>0.751296707503829</v>
      </c>
      <c r="V19">
        <f ca="1">AVERAGE(OFFSET(实时负荷率!$B19,,(COLUMN(AN24)-20)*4,,4))</f>
        <v>0.746384379785605</v>
      </c>
      <c r="W19">
        <f ca="1">AVERAGE(OFFSET(实时负荷率!$B19,,(COLUMN(AO24)-20)*4,,4))</f>
        <v>0.772255551301685</v>
      </c>
      <c r="X19">
        <f ca="1">AVERAGE(OFFSET(实时负荷率!$B19,,(COLUMN(AP24)-20)*4,,4))</f>
        <v>0.748187308575804</v>
      </c>
      <c r="Y19">
        <f ca="1">AVERAGE(OFFSET(实时负荷率!$B19,,(COLUMN(AQ24)-20)*4,,4))</f>
        <v>0.654687403549383</v>
      </c>
    </row>
    <row r="20" spans="1:25">
      <c r="A20" s="2">
        <v>46253</v>
      </c>
      <c r="B20">
        <f ca="1">AVERAGE(OFFSET(实时负荷率!$B20,,(COLUMN(T25)-20)*4,,4))</f>
        <v>0.621839268898158</v>
      </c>
      <c r="C20">
        <f ca="1">AVERAGE(OFFSET(实时负荷率!$B20,,(COLUMN(U25)-20)*4,,4))</f>
        <v>0.666964856230032</v>
      </c>
      <c r="D20">
        <f ca="1">AVERAGE(OFFSET(实时负荷率!$B20,,(COLUMN(V25)-20)*4,,4))</f>
        <v>0.661696485623003</v>
      </c>
      <c r="E20">
        <f ca="1">AVERAGE(OFFSET(实时负荷率!$B20,,(COLUMN(W25)-20)*4,,4))</f>
        <v>0.634955970447284</v>
      </c>
      <c r="F20">
        <f ca="1">AVERAGE(OFFSET(实时负荷率!$B20,,(COLUMN(X25)-20)*4,,4))</f>
        <v>0.633225439297125</v>
      </c>
      <c r="G20">
        <f ca="1">AVERAGE(OFFSET(实时负荷率!$B20,,(COLUMN(Y25)-20)*4,,4))</f>
        <v>0.643502296325879</v>
      </c>
      <c r="H20">
        <f ca="1">AVERAGE(OFFSET(实时负荷率!$B20,,(COLUMN(Z25)-20)*4,,4))</f>
        <v>0.637005391373802</v>
      </c>
      <c r="I20">
        <f ca="1">AVERAGE(OFFSET(实时负荷率!$B20,,(COLUMN(AA25)-20)*4,,4))</f>
        <v>0.558126597444089</v>
      </c>
      <c r="J20">
        <f ca="1">AVERAGE(OFFSET(实时负荷率!$B20,,(COLUMN(AB25)-20)*4,,4))</f>
        <v>0.538087060702875</v>
      </c>
      <c r="K20">
        <f ca="1">AVERAGE(OFFSET(实时负荷率!$B20,,(COLUMN(AC25)-20)*4,,4))</f>
        <v>0.530339656549521</v>
      </c>
      <c r="L20">
        <f ca="1">AVERAGE(OFFSET(实时负荷率!$B20,,(COLUMN(AD25)-20)*4,,4))</f>
        <v>0.606759684504793</v>
      </c>
      <c r="M20">
        <f ca="1">AVERAGE(OFFSET(实时负荷率!$B20,,(COLUMN(AE25)-20)*4,,4))</f>
        <v>0.633344948083067</v>
      </c>
      <c r="N20">
        <f ca="1">AVERAGE(OFFSET(实时负荷率!$B20,,(COLUMN(AF25)-20)*4,,4))</f>
        <v>0.616736022364217</v>
      </c>
      <c r="O20">
        <f ca="1">AVERAGE(OFFSET(实时负荷率!$B20,,(COLUMN(AG25)-20)*4,,4))</f>
        <v>0.620750299520767</v>
      </c>
      <c r="P20">
        <f ca="1">AVERAGE(OFFSET(实时负荷率!$B20,,(COLUMN(AH25)-20)*4,,4))</f>
        <v>0.644758686102237</v>
      </c>
      <c r="Q20">
        <f ca="1">AVERAGE(OFFSET(实时负荷率!$B20,,(COLUMN(AI25)-20)*4,,4))</f>
        <v>0.689266473642173</v>
      </c>
      <c r="R20">
        <f ca="1">AVERAGE(OFFSET(实时负荷率!$B20,,(COLUMN(AJ25)-20)*4,,4))</f>
        <v>0.732720646964856</v>
      </c>
      <c r="S20">
        <f ca="1">AVERAGE(OFFSET(实时负荷率!$B20,,(COLUMN(AK25)-20)*4,,4))</f>
        <v>0.707600638977636</v>
      </c>
      <c r="T20">
        <f ca="1">AVERAGE(OFFSET(实时负荷率!$B20,,(COLUMN(AL25)-20)*4,,4))</f>
        <v>0.706260383386582</v>
      </c>
      <c r="U20">
        <f ca="1">AVERAGE(OFFSET(实时负荷率!$B20,,(COLUMN(AM25)-20)*4,,4))</f>
        <v>0.707348642172524</v>
      </c>
      <c r="V20">
        <f ca="1">AVERAGE(OFFSET(实时负荷率!$B20,,(COLUMN(AN25)-20)*4,,4))</f>
        <v>0.659399560702875</v>
      </c>
      <c r="W20">
        <f ca="1">AVERAGE(OFFSET(实时负荷率!$B20,,(COLUMN(AO25)-20)*4,,4))</f>
        <v>0.572284145367412</v>
      </c>
      <c r="X20">
        <f ca="1">AVERAGE(OFFSET(实时负荷率!$B20,,(COLUMN(AP25)-20)*4,,4))</f>
        <v>0.505664237220447</v>
      </c>
      <c r="Y20">
        <f ca="1">AVERAGE(OFFSET(实时负荷率!$B20,,(COLUMN(AQ25)-20)*4,,4))</f>
        <v>0.519305790202128</v>
      </c>
    </row>
    <row r="21" spans="1:25">
      <c r="A21" s="2">
        <v>46254</v>
      </c>
      <c r="B21">
        <f ca="1">AVERAGE(OFFSET(实时负荷率!$B21,,(COLUMN(T26)-20)*4,,4))</f>
        <v>0.47679587712207</v>
      </c>
      <c r="C21">
        <f ca="1">AVERAGE(OFFSET(实时负荷率!$B21,,(COLUMN(U26)-20)*4,,4))</f>
        <v>0.438832154405821</v>
      </c>
      <c r="D21">
        <f ca="1">AVERAGE(OFFSET(实时负荷率!$B21,,(COLUMN(V26)-20)*4,,4))</f>
        <v>0.40267360549717</v>
      </c>
      <c r="E21">
        <f ca="1">AVERAGE(OFFSET(实时负荷率!$B21,,(COLUMN(W26)-20)*4,,4))</f>
        <v>0.402641067097817</v>
      </c>
      <c r="F21">
        <f ca="1">AVERAGE(OFFSET(实时负荷率!$B21,,(COLUMN(X26)-20)*4,,4))</f>
        <v>0.446638540824576</v>
      </c>
      <c r="G21">
        <f ca="1">AVERAGE(OFFSET(实时负荷率!$B21,,(COLUMN(Y26)-20)*4,,4))</f>
        <v>0.475007581386361</v>
      </c>
      <c r="H21">
        <f ca="1">AVERAGE(OFFSET(实时负荷率!$B21,,(COLUMN(Z26)-20)*4,,4))</f>
        <v>0.489145329782876</v>
      </c>
      <c r="I21">
        <f ca="1">AVERAGE(OFFSET(实时负荷率!$B21,,(COLUMN(AA26)-20)*4,,4))</f>
        <v>0.479206472757067</v>
      </c>
      <c r="J21">
        <f ca="1">AVERAGE(OFFSET(实时负荷率!$B21,,(COLUMN(AB26)-20)*4,,4))</f>
        <v>0.485104772634166</v>
      </c>
      <c r="K21">
        <f ca="1">AVERAGE(OFFSET(实时负荷率!$B21,,(COLUMN(AC26)-20)*4,,4))</f>
        <v>0.463257783695207</v>
      </c>
      <c r="L21">
        <f ca="1">AVERAGE(OFFSET(实时负荷率!$B21,,(COLUMN(AD26)-20)*4,,4))</f>
        <v>0.473835859196157</v>
      </c>
      <c r="M21">
        <f ca="1">AVERAGE(OFFSET(实时负荷率!$B21,,(COLUMN(AE26)-20)*4,,4))</f>
        <v>0.448323080057038</v>
      </c>
      <c r="N21">
        <f ca="1">AVERAGE(OFFSET(实时负荷率!$B21,,(COLUMN(AF26)-20)*4,,4))</f>
        <v>0.393643308209411</v>
      </c>
      <c r="O21">
        <f ca="1">AVERAGE(OFFSET(实时负荷率!$B21,,(COLUMN(AG26)-20)*4,,4))</f>
        <v>0.431114076186596</v>
      </c>
      <c r="P21">
        <f ca="1">AVERAGE(OFFSET(实时负荷率!$B21,,(COLUMN(AH26)-20)*4,,4))</f>
        <v>0.418366364800471</v>
      </c>
      <c r="Q21">
        <f ca="1">AVERAGE(OFFSET(实时负荷率!$B21,,(COLUMN(AI26)-20)*4,,4))</f>
        <v>0.446347508332324</v>
      </c>
      <c r="R21">
        <f ca="1">AVERAGE(OFFSET(实时负荷率!$B21,,(COLUMN(AJ26)-20)*4,,4))</f>
        <v>0.473870642756397</v>
      </c>
      <c r="S21">
        <f ca="1">AVERAGE(OFFSET(实时负荷率!$B21,,(COLUMN(AK26)-20)*4,,4))</f>
        <v>0.520662702378573</v>
      </c>
      <c r="T21">
        <f ca="1">AVERAGE(OFFSET(实时负荷率!$B21,,(COLUMN(AL26)-20)*4,,4))</f>
        <v>0.513378742811818</v>
      </c>
      <c r="U21">
        <f ca="1">AVERAGE(OFFSET(实时负荷率!$B21,,(COLUMN(AM26)-20)*4,,4))</f>
        <v>0.574635137814793</v>
      </c>
      <c r="V21">
        <f ca="1">AVERAGE(OFFSET(实时负荷率!$B21,,(COLUMN(AN26)-20)*4,,4))</f>
        <v>0.54219006543724</v>
      </c>
      <c r="W21">
        <f ca="1">AVERAGE(OFFSET(实时负荷率!$B21,,(COLUMN(AO26)-20)*4,,4))</f>
        <v>0.469286932381519</v>
      </c>
      <c r="X21">
        <f ca="1">AVERAGE(OFFSET(实时负荷率!$B21,,(COLUMN(AP26)-20)*4,,4))</f>
        <v>0.447343942097957</v>
      </c>
      <c r="Y21">
        <f ca="1">AVERAGE(OFFSET(实时负荷率!$B21,,(COLUMN(AQ26)-20)*4,,4))</f>
        <v>0.469376859012493</v>
      </c>
    </row>
    <row r="22" spans="1:25">
      <c r="A22" s="2">
        <v>46255</v>
      </c>
      <c r="B22">
        <f ca="1">AVERAGE(OFFSET(实时负荷率!$B22,,(COLUMN(T27)-20)*4,,4))</f>
        <v>0.441864691651794</v>
      </c>
      <c r="C22">
        <f ca="1">AVERAGE(OFFSET(实时负荷率!$B22,,(COLUMN(U27)-20)*4,,4))</f>
        <v>0.465896061867935</v>
      </c>
      <c r="D22">
        <f ca="1">AVERAGE(OFFSET(实时负荷率!$B22,,(COLUMN(V27)-20)*4,,4))</f>
        <v>0.458839087844537</v>
      </c>
      <c r="E22">
        <f ca="1">AVERAGE(OFFSET(实时负荷率!$B22,,(COLUMN(W27)-20)*4,,4))</f>
        <v>0.466961364267301</v>
      </c>
      <c r="F22">
        <f ca="1">AVERAGE(OFFSET(实时负荷率!$B22,,(COLUMN(X27)-20)*4,,4))</f>
        <v>0.44317004164188</v>
      </c>
      <c r="G22">
        <f ca="1">AVERAGE(OFFSET(实时负荷率!$B22,,(COLUMN(Y27)-20)*4,,4))</f>
        <v>0.461328514772953</v>
      </c>
      <c r="H22">
        <f ca="1">AVERAGE(OFFSET(实时负荷率!$B22,,(COLUMN(Z27)-20)*4,,4))</f>
        <v>0.484117406305771</v>
      </c>
      <c r="I22">
        <f ca="1">AVERAGE(OFFSET(实时负荷率!$B22,,(COLUMN(AA27)-20)*4,,4))</f>
        <v>0.464298108268888</v>
      </c>
      <c r="J22">
        <f ca="1">AVERAGE(OFFSET(实时负荷率!$B22,,(COLUMN(AB27)-20)*4,,4))</f>
        <v>0.472306004362482</v>
      </c>
      <c r="K22">
        <f ca="1">AVERAGE(OFFSET(实时负荷率!$B22,,(COLUMN(AC27)-20)*4,,4))</f>
        <v>0.451587777116795</v>
      </c>
      <c r="L22">
        <f ca="1">AVERAGE(OFFSET(实时负荷率!$B22,,(COLUMN(AD27)-20)*4,,4))</f>
        <v>0.482359619274242</v>
      </c>
      <c r="M22">
        <f ca="1">AVERAGE(OFFSET(实时负荷率!$B22,,(COLUMN(AE27)-20)*4,,4))</f>
        <v>0.500816720206226</v>
      </c>
      <c r="N22">
        <f ca="1">AVERAGE(OFFSET(实时负荷率!$B22,,(COLUMN(AF27)-20)*4,,4))</f>
        <v>0.492753690263732</v>
      </c>
      <c r="O22">
        <f ca="1">AVERAGE(OFFSET(实时负荷率!$B22,,(COLUMN(AG27)-20)*4,,4))</f>
        <v>0.495533902469728</v>
      </c>
      <c r="P22">
        <f ca="1">AVERAGE(OFFSET(实时负荷率!$B22,,(COLUMN(AH27)-20)*4,,4))</f>
        <v>0.555014196661975</v>
      </c>
      <c r="Q22">
        <f ca="1">AVERAGE(OFFSET(实时负荷率!$B22,,(COLUMN(AI27)-20)*4,,4))</f>
        <v>0.577579670219184</v>
      </c>
      <c r="R22">
        <f ca="1">AVERAGE(OFFSET(实时负荷率!$B22,,(COLUMN(AJ27)-20)*4,,4))</f>
        <v>0.640177639251961</v>
      </c>
      <c r="S22">
        <f ca="1">AVERAGE(OFFSET(实时负荷率!$B22,,(COLUMN(AK27)-20)*4,,4))</f>
        <v>0.67644989744621</v>
      </c>
      <c r="T22">
        <f ca="1">AVERAGE(OFFSET(实时负荷率!$B22,,(COLUMN(AL27)-20)*4,,4))</f>
        <v>0.712243567263221</v>
      </c>
      <c r="U22">
        <f ca="1">AVERAGE(OFFSET(实时负荷率!$B22,,(COLUMN(AM27)-20)*4,,4))</f>
        <v>0.733544042165011</v>
      </c>
      <c r="V22">
        <f ca="1">AVERAGE(OFFSET(实时负荷率!$B22,,(COLUMN(AN27)-20)*4,,4))</f>
        <v>0.685809127505384</v>
      </c>
      <c r="W22">
        <f ca="1">AVERAGE(OFFSET(实时负荷率!$B22,,(COLUMN(AO27)-20)*4,,4))</f>
        <v>0.62790538795779</v>
      </c>
      <c r="X22">
        <f ca="1">AVERAGE(OFFSET(实时负荷率!$B22,,(COLUMN(AP27)-20)*4,,4))</f>
        <v>0.623825261464913</v>
      </c>
      <c r="Y22">
        <f ca="1">AVERAGE(OFFSET(实时负荷率!$B22,,(COLUMN(AQ27)-20)*4,,4))</f>
        <v>0.624206346804254</v>
      </c>
    </row>
    <row r="23" spans="1:25">
      <c r="A23" s="2">
        <v>46256</v>
      </c>
      <c r="B23">
        <f ca="1">AVERAGE(OFFSET(实时负荷率!$B23,,(COLUMN(T28)-20)*4,,4))</f>
        <v>0.602253865979381</v>
      </c>
      <c r="C23">
        <f ca="1">AVERAGE(OFFSET(实时负荷率!$B23,,(COLUMN(U28)-20)*4,,4))</f>
        <v>0.624071091065292</v>
      </c>
      <c r="D23">
        <f ca="1">AVERAGE(OFFSET(实时负荷率!$B23,,(COLUMN(V28)-20)*4,,4))</f>
        <v>0.604350434676806</v>
      </c>
      <c r="E23">
        <f ca="1">AVERAGE(OFFSET(实时负荷率!$B23,,(COLUMN(W28)-20)*4,,4))</f>
        <v>0.602421064108155</v>
      </c>
      <c r="F23">
        <f ca="1">AVERAGE(OFFSET(实时负荷率!$B23,,(COLUMN(X28)-20)*4,,4))</f>
        <v>0.617381051024859</v>
      </c>
      <c r="G23">
        <f ca="1">AVERAGE(OFFSET(实时负荷率!$B23,,(COLUMN(Y28)-20)*4,,4))</f>
        <v>0.626570867858701</v>
      </c>
      <c r="H23">
        <f ca="1">AVERAGE(OFFSET(实时负荷率!$B23,,(COLUMN(Z28)-20)*4,,4))</f>
        <v>0.646350741386829</v>
      </c>
      <c r="I23">
        <f ca="1">AVERAGE(OFFSET(实时负荷率!$B23,,(COLUMN(AA28)-20)*4,,4))</f>
        <v>0.617771151330135</v>
      </c>
      <c r="J23">
        <f ca="1">AVERAGE(OFFSET(实时负荷率!$B23,,(COLUMN(AB28)-20)*4,,4))</f>
        <v>0.616756432621021</v>
      </c>
      <c r="K23">
        <f ca="1">AVERAGE(OFFSET(实时负荷率!$B23,,(COLUMN(AC28)-20)*4,,4))</f>
        <v>0.600187309201919</v>
      </c>
      <c r="L23">
        <f ca="1">AVERAGE(OFFSET(实时负荷率!$B23,,(COLUMN(AD28)-20)*4,,4))</f>
        <v>0.549801242913214</v>
      </c>
      <c r="M23">
        <f ca="1">AVERAGE(OFFSET(实时负荷率!$B23,,(COLUMN(AE28)-20)*4,,4))</f>
        <v>0.514529873528129</v>
      </c>
      <c r="N23">
        <f ca="1">AVERAGE(OFFSET(实时负荷率!$B23,,(COLUMN(AF28)-20)*4,,4))</f>
        <v>0.530724814653292</v>
      </c>
      <c r="O23">
        <f ca="1">AVERAGE(OFFSET(实时负荷率!$B23,,(COLUMN(AG28)-20)*4,,4))</f>
        <v>0.527018207588312</v>
      </c>
      <c r="P23">
        <f ca="1">AVERAGE(OFFSET(实时负荷率!$B23,,(COLUMN(AH28)-20)*4,,4))</f>
        <v>0.470541975577846</v>
      </c>
      <c r="Q23">
        <f ca="1">AVERAGE(OFFSET(实时负荷率!$B23,,(COLUMN(AI28)-20)*4,,4))</f>
        <v>0.522748146532926</v>
      </c>
      <c r="R23">
        <f ca="1">AVERAGE(OFFSET(实时负荷率!$B23,,(COLUMN(AJ28)-20)*4,,4))</f>
        <v>0.631258286088094</v>
      </c>
      <c r="S23">
        <f ca="1">AVERAGE(OFFSET(实时负荷率!$B23,,(COLUMN(AK28)-20)*4,,4))</f>
        <v>0.687433057130397</v>
      </c>
      <c r="T23">
        <f ca="1">AVERAGE(OFFSET(实时负荷率!$B23,,(COLUMN(AL28)-20)*4,,4))</f>
        <v>0.628280527692978</v>
      </c>
      <c r="U23">
        <f ca="1">AVERAGE(OFFSET(实时负荷率!$B23,,(COLUMN(AM28)-20)*4,,4))</f>
        <v>0.567591801133886</v>
      </c>
      <c r="V23">
        <f ca="1">AVERAGE(OFFSET(实时负荷率!$B23,,(COLUMN(AN28)-20)*4,,4))</f>
        <v>0.57065612734409</v>
      </c>
      <c r="W23">
        <f ca="1">AVERAGE(OFFSET(实时负荷率!$B23,,(COLUMN(AO28)-20)*4,,4))</f>
        <v>0.52954719557611</v>
      </c>
      <c r="X23">
        <f ca="1">AVERAGE(OFFSET(实时负荷率!$B23,,(COLUMN(AP28)-20)*4,,4))</f>
        <v>0.522646304014038</v>
      </c>
      <c r="Y23">
        <f ca="1">AVERAGE(OFFSET(实时负荷率!$B23,,(COLUMN(AQ28)-20)*4,,4))</f>
        <v>0.501365431015574</v>
      </c>
    </row>
    <row r="24" spans="1:25">
      <c r="A24" s="2">
        <v>46257</v>
      </c>
      <c r="B24">
        <f ca="1">AVERAGE(OFFSET(实时负荷率!$B24,,(COLUMN(T29)-20)*4,,4))</f>
        <v>0.49911713094977</v>
      </c>
      <c r="C24">
        <f ca="1">AVERAGE(OFFSET(实时负荷率!$B24,,(COLUMN(U29)-20)*4,,4))</f>
        <v>0.470504606273305</v>
      </c>
      <c r="D24">
        <f ca="1">AVERAGE(OFFSET(实时负荷率!$B24,,(COLUMN(V29)-20)*4,,4))</f>
        <v>0.460204759815749</v>
      </c>
      <c r="E24">
        <f ca="1">AVERAGE(OFFSET(实时负荷率!$B24,,(COLUMN(W29)-20)*4,,4))</f>
        <v>0.475163522702347</v>
      </c>
      <c r="F24">
        <f ca="1">AVERAGE(OFFSET(实时负荷率!$B24,,(COLUMN(X29)-20)*4,,4))</f>
        <v>0.45560265409081</v>
      </c>
      <c r="G24">
        <f ca="1">AVERAGE(OFFSET(实时负荷率!$B24,,(COLUMN(Y29)-20)*4,,4))</f>
        <v>0.447808181618776</v>
      </c>
      <c r="H24">
        <f ca="1">AVERAGE(OFFSET(实时负荷率!$B24,,(COLUMN(Z29)-20)*4,,4))</f>
        <v>0.44363577538934</v>
      </c>
      <c r="I24">
        <f ca="1">AVERAGE(OFFSET(实时负荷率!$B24,,(COLUMN(AA29)-20)*4,,4))</f>
        <v>0.430240074577758</v>
      </c>
      <c r="J24">
        <f ca="1">AVERAGE(OFFSET(实时负荷率!$B24,,(COLUMN(AB29)-20)*4,,4))</f>
        <v>0.40750307084887</v>
      </c>
      <c r="K24">
        <f ca="1">AVERAGE(OFFSET(实时负荷率!$B24,,(COLUMN(AC29)-20)*4,,4))</f>
        <v>0.389596841412591</v>
      </c>
      <c r="L24">
        <f ca="1">AVERAGE(OFFSET(实时负荷率!$B24,,(COLUMN(AD29)-20)*4,,4))</f>
        <v>0.442345360824743</v>
      </c>
      <c r="M24">
        <f ca="1">AVERAGE(OFFSET(实时负荷率!$B24,,(COLUMN(AE29)-20)*4,,4))</f>
        <v>0.515798859398991</v>
      </c>
      <c r="N24">
        <f ca="1">AVERAGE(OFFSET(实时负荷率!$B24,,(COLUMN(AF29)-20)*4,,4))</f>
        <v>0.510384843167362</v>
      </c>
      <c r="O24">
        <f ca="1">AVERAGE(OFFSET(实时负荷率!$B24,,(COLUMN(AG29)-20)*4,,4))</f>
        <v>0.5434688528186</v>
      </c>
      <c r="P24">
        <f ca="1">AVERAGE(OFFSET(实时负荷率!$B24,,(COLUMN(AH29)-20)*4,,4))</f>
        <v>0.635091686773415</v>
      </c>
      <c r="Q24">
        <f ca="1">AVERAGE(OFFSET(实时负荷率!$B24,,(COLUMN(AI29)-20)*4,,4))</f>
        <v>0.710376508006141</v>
      </c>
      <c r="R24">
        <f ca="1">AVERAGE(OFFSET(实时负荷率!$B24,,(COLUMN(AJ29)-20)*4,,4))</f>
        <v>0.790635885062514</v>
      </c>
      <c r="S24">
        <f ca="1">AVERAGE(OFFSET(实时负荷率!$B24,,(COLUMN(AK29)-20)*4,,4))</f>
        <v>0.830392762148879</v>
      </c>
      <c r="T24">
        <f ca="1">AVERAGE(OFFSET(实时负荷率!$B24,,(COLUMN(AL29)-20)*4,,4))</f>
        <v>0.807941385244138</v>
      </c>
      <c r="U24">
        <f ca="1">AVERAGE(OFFSET(实时负荷率!$B24,,(COLUMN(AM29)-20)*4,,4))</f>
        <v>0.800239621423962</v>
      </c>
      <c r="V24">
        <f ca="1">AVERAGE(OFFSET(实时负荷率!$B24,,(COLUMN(AN29)-20)*4,,4))</f>
        <v>0.781248225424823</v>
      </c>
      <c r="W24">
        <f ca="1">AVERAGE(OFFSET(实时负荷率!$B24,,(COLUMN(AO29)-20)*4,,4))</f>
        <v>0.763597978059798</v>
      </c>
      <c r="X24">
        <f ca="1">AVERAGE(OFFSET(实时负荷率!$B24,,(COLUMN(AP29)-20)*4,,4))</f>
        <v>0.71067687139427</v>
      </c>
      <c r="Y24">
        <f ca="1">AVERAGE(OFFSET(实时负荷率!$B24,,(COLUMN(AQ29)-20)*4,,4))</f>
        <v>0.663487623271457</v>
      </c>
    </row>
    <row r="25" spans="1:25">
      <c r="A25" s="2">
        <v>46258</v>
      </c>
      <c r="B25">
        <f ca="1">AVERAGE(OFFSET(实时负荷率!$B25,,(COLUMN(T30)-20)*4,,4))</f>
        <v>0.683950336198061</v>
      </c>
      <c r="C25">
        <f ca="1">AVERAGE(OFFSET(实时负荷率!$B25,,(COLUMN(U30)-20)*4,,4))</f>
        <v>0.708948028289756</v>
      </c>
      <c r="D25">
        <f ca="1">AVERAGE(OFFSET(实时负荷率!$B25,,(COLUMN(V30)-20)*4,,4))</f>
        <v>0.691995820831548</v>
      </c>
      <c r="E25">
        <f ca="1">AVERAGE(OFFSET(实时负荷率!$B25,,(COLUMN(W30)-20)*4,,4))</f>
        <v>0.689255357908273</v>
      </c>
      <c r="F25">
        <f ca="1">AVERAGE(OFFSET(实时负荷率!$B25,,(COLUMN(X30)-20)*4,,4))</f>
        <v>0.651241427346764</v>
      </c>
      <c r="G25">
        <f ca="1">AVERAGE(OFFSET(实时负荷率!$B25,,(COLUMN(Y30)-20)*4,,4))</f>
        <v>0.622167488212602</v>
      </c>
      <c r="H25">
        <f ca="1">AVERAGE(OFFSET(实时负荷率!$B25,,(COLUMN(Z30)-20)*4,,4))</f>
        <v>0.677649485640806</v>
      </c>
      <c r="I25">
        <f ca="1">AVERAGE(OFFSET(实时负荷率!$B25,,(COLUMN(AA30)-20)*4,,4))</f>
        <v>0.689139841405915</v>
      </c>
      <c r="J25">
        <f ca="1">AVERAGE(OFFSET(实时负荷率!$B25,,(COLUMN(AB30)-20)*4,,4))</f>
        <v>0.69595882768967</v>
      </c>
      <c r="K25">
        <f ca="1">AVERAGE(OFFSET(实时负荷率!$B25,,(COLUMN(AC30)-20)*4,,4))</f>
        <v>0.647125434782609</v>
      </c>
      <c r="L25">
        <f ca="1">AVERAGE(OFFSET(实时负荷率!$B25,,(COLUMN(AD30)-20)*4,,4))</f>
        <v>0.582072282608696</v>
      </c>
      <c r="M25">
        <f ca="1">AVERAGE(OFFSET(实时负荷率!$B25,,(COLUMN(AE30)-20)*4,,4))</f>
        <v>0.549654565217391</v>
      </c>
      <c r="N25">
        <f ca="1">AVERAGE(OFFSET(实时负荷率!$B25,,(COLUMN(AF30)-20)*4,,4))</f>
        <v>0.491226086956522</v>
      </c>
      <c r="O25">
        <f ca="1">AVERAGE(OFFSET(实时负荷率!$B25,,(COLUMN(AG30)-20)*4,,4))</f>
        <v>0.451814070351759</v>
      </c>
      <c r="P25">
        <f ca="1">AVERAGE(OFFSET(实时负荷率!$B25,,(COLUMN(AH30)-20)*4,,4))</f>
        <v>0.488947759631491</v>
      </c>
      <c r="Q25">
        <f ca="1">AVERAGE(OFFSET(实时负荷率!$B25,,(COLUMN(AI30)-20)*4,,4))</f>
        <v>0.469554835553316</v>
      </c>
      <c r="R25">
        <f ca="1">AVERAGE(OFFSET(实时负荷率!$B25,,(COLUMN(AJ30)-20)*4,,4))</f>
        <v>0.491713450913727</v>
      </c>
      <c r="S25">
        <f ca="1">AVERAGE(OFFSET(实时负荷率!$B25,,(COLUMN(AK30)-20)*4,,4))</f>
        <v>0.55542955801105</v>
      </c>
      <c r="T25">
        <f ca="1">AVERAGE(OFFSET(实时负荷率!$B25,,(COLUMN(AL30)-20)*4,,4))</f>
        <v>0.599919252018699</v>
      </c>
      <c r="U25">
        <f ca="1">AVERAGE(OFFSET(实时负荷率!$B25,,(COLUMN(AM30)-20)*4,,4))</f>
        <v>0.61502199320017</v>
      </c>
      <c r="V25">
        <f ca="1">AVERAGE(OFFSET(实时负荷率!$B25,,(COLUMN(AN30)-20)*4,,4))</f>
        <v>0.600101286054805</v>
      </c>
      <c r="W25">
        <f ca="1">AVERAGE(OFFSET(实时负荷率!$B25,,(COLUMN(AO30)-20)*4,,4))</f>
        <v>0.571767649591046</v>
      </c>
      <c r="X25">
        <f ca="1">AVERAGE(OFFSET(实时负荷率!$B25,,(COLUMN(AP30)-20)*4,,4))</f>
        <v>0.49963398622471</v>
      </c>
      <c r="Y25">
        <f ca="1">AVERAGE(OFFSET(实时负荷率!$B25,,(COLUMN(AQ30)-20)*4,,4))</f>
        <v>0.447037671232877</v>
      </c>
    </row>
    <row r="26" spans="1:25">
      <c r="A26" s="2">
        <v>46259</v>
      </c>
      <c r="B26">
        <f ca="1">AVERAGE(OFFSET(实时负荷率!$B26,,(COLUMN(T31)-20)*4,,4))</f>
        <v>0.4131996243924</v>
      </c>
      <c r="C26">
        <f ca="1">AVERAGE(OFFSET(实时负荷率!$B26,,(COLUMN(U31)-20)*4,,4))</f>
        <v>0.425393393725144</v>
      </c>
      <c r="D26">
        <f ca="1">AVERAGE(OFFSET(实时负荷率!$B26,,(COLUMN(V31)-20)*4,,4))</f>
        <v>0.458079209014582</v>
      </c>
      <c r="E26">
        <f ca="1">AVERAGE(OFFSET(实时负荷率!$B26,,(COLUMN(W31)-20)*4,,4))</f>
        <v>0.489835505965533</v>
      </c>
      <c r="F26">
        <f ca="1">AVERAGE(OFFSET(实时负荷率!$B26,,(COLUMN(X31)-20)*4,,4))</f>
        <v>0.478012814847548</v>
      </c>
      <c r="G26">
        <f ca="1">AVERAGE(OFFSET(实时负荷率!$B26,,(COLUMN(Y31)-20)*4,,4))</f>
        <v>0.485515355722492</v>
      </c>
      <c r="H26">
        <f ca="1">AVERAGE(OFFSET(实时负荷率!$B26,,(COLUMN(Z31)-20)*4,,4))</f>
        <v>0.51662140963323</v>
      </c>
      <c r="I26">
        <f ca="1">AVERAGE(OFFSET(实时负荷率!$B26,,(COLUMN(AA31)-20)*4,,4))</f>
        <v>0.476818272205038</v>
      </c>
      <c r="J26">
        <f ca="1">AVERAGE(OFFSET(实时负荷率!$B26,,(COLUMN(AB31)-20)*4,,4))</f>
        <v>0.498379186660195</v>
      </c>
      <c r="K26">
        <f ca="1">AVERAGE(OFFSET(实时负荷率!$B26,,(COLUMN(AC31)-20)*4,,4))</f>
        <v>0.458747216324709</v>
      </c>
      <c r="L26">
        <f ca="1">AVERAGE(OFFSET(实时负荷率!$B26,,(COLUMN(AD31)-20)*4,,4))</f>
        <v>0.456443386014288</v>
      </c>
      <c r="M26">
        <f ca="1">AVERAGE(OFFSET(实时负荷率!$B26,,(COLUMN(AE31)-20)*4,,4))</f>
        <v>0.466085732842606</v>
      </c>
      <c r="N26">
        <f ca="1">AVERAGE(OFFSET(实时负荷率!$B26,,(COLUMN(AF31)-20)*4,,4))</f>
        <v>0.515993938081836</v>
      </c>
      <c r="O26">
        <f ca="1">AVERAGE(OFFSET(实时负荷率!$B26,,(COLUMN(AG31)-20)*4,,4))</f>
        <v>0.590011799090712</v>
      </c>
      <c r="P26">
        <f ca="1">AVERAGE(OFFSET(实时负荷率!$B26,,(COLUMN(AH31)-20)*4,,4))</f>
        <v>0.619624376107143</v>
      </c>
      <c r="Q26">
        <f ca="1">AVERAGE(OFFSET(实时负荷率!$B26,,(COLUMN(AI31)-20)*4,,4))</f>
        <v>0.58922700359484</v>
      </c>
      <c r="R26">
        <f ca="1">AVERAGE(OFFSET(实时负荷率!$B26,,(COLUMN(AJ31)-20)*4,,4))</f>
        <v>0.604369316980334</v>
      </c>
      <c r="S26">
        <f ca="1">AVERAGE(OFFSET(实时负荷率!$B26,,(COLUMN(AK31)-20)*4,,4))</f>
        <v>0.614949672235145</v>
      </c>
      <c r="T26">
        <f ca="1">AVERAGE(OFFSET(实时负荷率!$B26,,(COLUMN(AL31)-20)*4,,4))</f>
        <v>0.675915098329457</v>
      </c>
      <c r="U26">
        <f ca="1">AVERAGE(OFFSET(实时负荷率!$B26,,(COLUMN(AM31)-20)*4,,4))</f>
        <v>0.744707866356523</v>
      </c>
      <c r="V26">
        <f ca="1">AVERAGE(OFFSET(实时负荷率!$B26,,(COLUMN(AN31)-20)*4,,4))</f>
        <v>0.712459928103193</v>
      </c>
      <c r="W26">
        <f ca="1">AVERAGE(OFFSET(实时负荷率!$B26,,(COLUMN(AO31)-20)*4,,4))</f>
        <v>0.688113131740326</v>
      </c>
      <c r="X26">
        <f ca="1">AVERAGE(OFFSET(实时负荷率!$B26,,(COLUMN(AP31)-20)*4,,4))</f>
        <v>0.602592302812434</v>
      </c>
      <c r="Y26">
        <f ca="1">AVERAGE(OFFSET(实时负荷率!$B26,,(COLUMN(AQ31)-20)*4,,4))</f>
        <v>0.567673926834426</v>
      </c>
    </row>
    <row r="27" spans="1:25">
      <c r="A27" s="2">
        <v>46260</v>
      </c>
      <c r="B27">
        <f ca="1">AVERAGE(OFFSET(实时负荷率!$B27,,(COLUMN(T32)-20)*4,,4))</f>
        <v>0.582312962571368</v>
      </c>
      <c r="C27">
        <f ca="1">AVERAGE(OFFSET(实时负荷率!$B27,,(COLUMN(U32)-20)*4,,4))</f>
        <v>0.571866567984775</v>
      </c>
      <c r="D27">
        <f ca="1">AVERAGE(OFFSET(实时负荷率!$B27,,(COLUMN(V32)-20)*4,,4))</f>
        <v>0.548020194544301</v>
      </c>
      <c r="E27">
        <f ca="1">AVERAGE(OFFSET(实时负荷率!$B27,,(COLUMN(W32)-20)*4,,4))</f>
        <v>0.551230598435187</v>
      </c>
      <c r="F27">
        <f ca="1">AVERAGE(OFFSET(实时负荷率!$B27,,(COLUMN(X32)-20)*4,,4))</f>
        <v>0.532367942482554</v>
      </c>
      <c r="G27">
        <f ca="1">AVERAGE(OFFSET(实时负荷率!$B27,,(COLUMN(Y32)-20)*4,,4))</f>
        <v>0.504583527172764</v>
      </c>
      <c r="H27">
        <f ca="1">AVERAGE(OFFSET(实时负荷率!$B27,,(COLUMN(Z32)-20)*4,,4))</f>
        <v>0.515016811165151</v>
      </c>
      <c r="I27">
        <f ca="1">AVERAGE(OFFSET(实时负荷率!$B27,,(COLUMN(AA32)-20)*4,,4))</f>
        <v>0.530438253330514</v>
      </c>
      <c r="J27">
        <f ca="1">AVERAGE(OFFSET(实时负荷率!$B27,,(COLUMN(AB32)-20)*4,,4))</f>
        <v>0.554090082469867</v>
      </c>
      <c r="K27">
        <f ca="1">AVERAGE(OFFSET(实时负荷率!$B27,,(COLUMN(AC32)-20)*4,,4))</f>
        <v>0.551579615140622</v>
      </c>
      <c r="L27">
        <f ca="1">AVERAGE(OFFSET(实时负荷率!$B27,,(COLUMN(AD32)-20)*4,,4))</f>
        <v>0.49302770141679</v>
      </c>
      <c r="M27">
        <f ca="1">AVERAGE(OFFSET(实时负荷率!$B27,,(COLUMN(AE32)-20)*4,,4))</f>
        <v>0.438847642207655</v>
      </c>
      <c r="N27">
        <f ca="1">AVERAGE(OFFSET(实时负荷率!$B27,,(COLUMN(AF32)-20)*4,,4))</f>
        <v>0.400425777119899</v>
      </c>
      <c r="O27">
        <f ca="1">AVERAGE(OFFSET(实时负荷率!$B27,,(COLUMN(AG32)-20)*4,,4))</f>
        <v>0.376906428420385</v>
      </c>
      <c r="P27">
        <f ca="1">AVERAGE(OFFSET(实时负荷率!$B27,,(COLUMN(AH32)-20)*4,,4))</f>
        <v>0.42894935504335</v>
      </c>
      <c r="Q27">
        <f ca="1">AVERAGE(OFFSET(实时负荷率!$B27,,(COLUMN(AI32)-20)*4,,4))</f>
        <v>0.531802389511525</v>
      </c>
      <c r="R27">
        <f ca="1">AVERAGE(OFFSET(实时负荷率!$B27,,(COLUMN(AJ32)-20)*4,,4))</f>
        <v>0.594335060266441</v>
      </c>
      <c r="S27">
        <f ca="1">AVERAGE(OFFSET(实时负荷率!$B27,,(COLUMN(AK32)-20)*4,,4))</f>
        <v>0.658285684076972</v>
      </c>
      <c r="T27">
        <f ca="1">AVERAGE(OFFSET(实时负荷率!$B27,,(COLUMN(AL32)-20)*4,,4))</f>
        <v>0.699210007772166</v>
      </c>
      <c r="U27">
        <f ca="1">AVERAGE(OFFSET(实时负荷率!$B27,,(COLUMN(AM32)-20)*4,,4))</f>
        <v>0.718506124980335</v>
      </c>
      <c r="V27">
        <f ca="1">AVERAGE(OFFSET(实时负荷率!$B27,,(COLUMN(AN32)-20)*4,,4))</f>
        <v>0.717464702072539</v>
      </c>
      <c r="W27">
        <f ca="1">AVERAGE(OFFSET(实时负荷率!$B27,,(COLUMN(AO32)-20)*4,,4))</f>
        <v>0.677373812607945</v>
      </c>
      <c r="X27">
        <f ca="1">AVERAGE(OFFSET(实时负荷率!$B27,,(COLUMN(AP32)-20)*4,,4))</f>
        <v>0.644137953367876</v>
      </c>
      <c r="Y27">
        <f ca="1">AVERAGE(OFFSET(实时负荷率!$B27,,(COLUMN(AQ32)-20)*4,,4))</f>
        <v>0.55551878238342</v>
      </c>
    </row>
    <row r="28" spans="1:25">
      <c r="A28" s="2">
        <v>46261</v>
      </c>
      <c r="B28">
        <f ca="1">AVERAGE(OFFSET(实时负荷率!$B28,,(COLUMN(T33)-20)*4,,4))</f>
        <v>0.504314550949914</v>
      </c>
      <c r="C28">
        <f ca="1">AVERAGE(OFFSET(实时负荷率!$B28,,(COLUMN(U33)-20)*4,,4))</f>
        <v>0.488623949372643</v>
      </c>
      <c r="D28">
        <f ca="1">AVERAGE(OFFSET(实时负荷率!$B28,,(COLUMN(V33)-20)*4,,4))</f>
        <v>0.506373520385796</v>
      </c>
      <c r="E28">
        <f ca="1">AVERAGE(OFFSET(实时负荷率!$B28,,(COLUMN(W33)-20)*4,,4))</f>
        <v>0.507868588338448</v>
      </c>
      <c r="F28">
        <f ca="1">AVERAGE(OFFSET(实时负荷率!$B28,,(COLUMN(X33)-20)*4,,4))</f>
        <v>0.501390727750986</v>
      </c>
      <c r="G28">
        <f ca="1">AVERAGE(OFFSET(实时负荷率!$B28,,(COLUMN(Y33)-20)*4,,4))</f>
        <v>0.51412319158264</v>
      </c>
      <c r="H28">
        <f ca="1">AVERAGE(OFFSET(实时负荷率!$B28,,(COLUMN(Z33)-20)*4,,4))</f>
        <v>0.483478079789566</v>
      </c>
      <c r="I28">
        <f ca="1">AVERAGE(OFFSET(实时负荷率!$B28,,(COLUMN(AA33)-20)*4,,4))</f>
        <v>0.455468873301184</v>
      </c>
      <c r="J28">
        <f ca="1">AVERAGE(OFFSET(实时负荷率!$B28,,(COLUMN(AB33)-20)*4,,4))</f>
        <v>0.457342174484875</v>
      </c>
      <c r="K28">
        <f ca="1">AVERAGE(OFFSET(实时负荷率!$B28,,(COLUMN(AC33)-20)*4,,4))</f>
        <v>0.409642612859097</v>
      </c>
      <c r="L28">
        <f ca="1">AVERAGE(OFFSET(实时负荷率!$B28,,(COLUMN(AD33)-20)*4,,4))</f>
        <v>0.41631064751482</v>
      </c>
      <c r="M28">
        <f ca="1">AVERAGE(OFFSET(实时负荷率!$B28,,(COLUMN(AE33)-20)*4,,4))</f>
        <v>0.450797993616051</v>
      </c>
      <c r="N28">
        <f ca="1">AVERAGE(OFFSET(实时负荷率!$B28,,(COLUMN(AF33)-20)*4,,4))</f>
        <v>0.515648198814409</v>
      </c>
      <c r="O28">
        <f ca="1">AVERAGE(OFFSET(实时负荷率!$B28,,(COLUMN(AG33)-20)*4,,4))</f>
        <v>0.504630528955768</v>
      </c>
      <c r="P28">
        <f ca="1">AVERAGE(OFFSET(实时负荷率!$B28,,(COLUMN(AH33)-20)*4,,4))</f>
        <v>0.507289785681715</v>
      </c>
      <c r="Q28">
        <f ca="1">AVERAGE(OFFSET(实时负荷率!$B28,,(COLUMN(AI33)-20)*4,,4))</f>
        <v>0.583309279525764</v>
      </c>
      <c r="R28">
        <f ca="1">AVERAGE(OFFSET(实时负荷率!$B28,,(COLUMN(AJ33)-20)*4,,4))</f>
        <v>0.663094505243958</v>
      </c>
      <c r="S28">
        <f ca="1">AVERAGE(OFFSET(实时负荷率!$B28,,(COLUMN(AK33)-20)*4,,4))</f>
        <v>0.684321249430004</v>
      </c>
      <c r="T28">
        <f ca="1">AVERAGE(OFFSET(实时负荷率!$B28,,(COLUMN(AL33)-20)*4,,4))</f>
        <v>0.63187015503876</v>
      </c>
      <c r="U28">
        <f ca="1">AVERAGE(OFFSET(实时负荷率!$B28,,(COLUMN(AM33)-20)*4,,4))</f>
        <v>0.563046625626995</v>
      </c>
      <c r="V28">
        <f ca="1">AVERAGE(OFFSET(实时负荷率!$B28,,(COLUMN(AN33)-20)*4,,4))</f>
        <v>0.533499544003648</v>
      </c>
      <c r="W28">
        <f ca="1">AVERAGE(OFFSET(实时负荷率!$B28,,(COLUMN(AO33)-20)*4,,4))</f>
        <v>0.451453260373917</v>
      </c>
      <c r="X28">
        <f ca="1">AVERAGE(OFFSET(实时负荷率!$B28,,(COLUMN(AP33)-20)*4,,4))</f>
        <v>0.408692544459644</v>
      </c>
      <c r="Y28">
        <f ca="1">AVERAGE(OFFSET(实时负荷率!$B28,,(COLUMN(AQ33)-20)*4,,4))</f>
        <v>0.465749316005472</v>
      </c>
    </row>
    <row r="29" spans="1:25">
      <c r="A29" s="2">
        <v>46262</v>
      </c>
      <c r="B29">
        <f ca="1">AVERAGE(OFFSET(实时负荷率!$B29,,(COLUMN(T34)-20)*4,,4))</f>
        <v>0.544914158686731</v>
      </c>
      <c r="C29">
        <f ca="1">AVERAGE(OFFSET(实时负荷率!$B29,,(COLUMN(U34)-20)*4,,4))</f>
        <v>0.562957706338349</v>
      </c>
      <c r="D29">
        <f ca="1">AVERAGE(OFFSET(实时负荷率!$B29,,(COLUMN(V34)-20)*4,,4))</f>
        <v>0.550872321021432</v>
      </c>
      <c r="E29">
        <f ca="1">AVERAGE(OFFSET(实时负荷率!$B29,,(COLUMN(W34)-20)*4,,4))</f>
        <v>0.552252507979936</v>
      </c>
      <c r="F29">
        <f ca="1">AVERAGE(OFFSET(实时负荷率!$B29,,(COLUMN(X34)-20)*4,,4))</f>
        <v>0.563883036935704</v>
      </c>
      <c r="G29">
        <f ca="1">AVERAGE(OFFSET(实时负荷率!$B29,,(COLUMN(Y34)-20)*4,,4))</f>
        <v>0.616072959416325</v>
      </c>
      <c r="H29">
        <f ca="1">AVERAGE(OFFSET(实时负荷率!$B29,,(COLUMN(Z34)-20)*4,,4))</f>
        <v>0.635144778841769</v>
      </c>
      <c r="I29">
        <f ca="1">AVERAGE(OFFSET(实时负荷率!$B29,,(COLUMN(AA34)-20)*4,,4))</f>
        <v>0.620961924304606</v>
      </c>
      <c r="J29">
        <f ca="1">AVERAGE(OFFSET(实时负荷率!$B29,,(COLUMN(AB34)-20)*4,,4))</f>
        <v>0.617937414500684</v>
      </c>
      <c r="K29">
        <f ca="1">AVERAGE(OFFSET(实时负荷率!$B29,,(COLUMN(AC34)-20)*4,,4))</f>
        <v>0.572713292293662</v>
      </c>
      <c r="L29">
        <f ca="1">AVERAGE(OFFSET(实时负荷率!$B29,,(COLUMN(AD34)-20)*4,,4))</f>
        <v>0.574321591427268</v>
      </c>
      <c r="M29">
        <f ca="1">AVERAGE(OFFSET(实时负荷率!$B29,,(COLUMN(AE34)-20)*4,,4))</f>
        <v>0.636772343821249</v>
      </c>
      <c r="N29">
        <f ca="1">AVERAGE(OFFSET(实时负荷率!$B29,,(COLUMN(AF34)-20)*4,,4))</f>
        <v>0.69677861377109</v>
      </c>
      <c r="O29">
        <f ca="1">AVERAGE(OFFSET(实时负荷率!$B29,,(COLUMN(AG34)-20)*4,,4))</f>
        <v>0.796156112139953</v>
      </c>
      <c r="P29">
        <f ca="1">AVERAGE(OFFSET(实时负荷率!$B29,,(COLUMN(AH34)-20)*4,,4))</f>
        <v>0.819319912824042</v>
      </c>
      <c r="Q29">
        <f ca="1">AVERAGE(OFFSET(实时负荷率!$B29,,(COLUMN(AI34)-20)*4,,4))</f>
        <v>0.784569740766231</v>
      </c>
      <c r="R29">
        <f ca="1">AVERAGE(OFFSET(实时负荷率!$B29,,(COLUMN(AJ34)-20)*4,,4))</f>
        <v>0.734618261069052</v>
      </c>
      <c r="S29">
        <f ca="1">AVERAGE(OFFSET(实时负荷率!$B29,,(COLUMN(AK34)-20)*4,,4))</f>
        <v>0.697723445744437</v>
      </c>
      <c r="T29">
        <f ca="1">AVERAGE(OFFSET(实时负荷率!$B29,,(COLUMN(AL34)-20)*4,,4))</f>
        <v>0.710372677219546</v>
      </c>
      <c r="U29">
        <f ca="1">AVERAGE(OFFSET(实时负荷率!$B29,,(COLUMN(AM34)-20)*4,,4))</f>
        <v>0.728598990594173</v>
      </c>
      <c r="V29">
        <f ca="1">AVERAGE(OFFSET(实时负荷率!$B29,,(COLUMN(AN34)-20)*4,,4))</f>
        <v>0.688278274833678</v>
      </c>
      <c r="W29">
        <f ca="1">AVERAGE(OFFSET(实时负荷率!$B29,,(COLUMN(AO34)-20)*4,,4))</f>
        <v>0.630669075476026</v>
      </c>
      <c r="X29">
        <f ca="1">AVERAGE(OFFSET(实时负荷率!$B29,,(COLUMN(AP34)-20)*4,,4))</f>
        <v>0.618544703296744</v>
      </c>
      <c r="Y29">
        <f ca="1">AVERAGE(OFFSET(实时负荷率!$B29,,(COLUMN(AQ34)-20)*4,,4))</f>
        <v>0.639644221470019</v>
      </c>
    </row>
    <row r="30" spans="1:25">
      <c r="A30" s="2">
        <v>46263</v>
      </c>
      <c r="B30">
        <f ca="1">AVERAGE(OFFSET(实时负荷率!$B30,,(COLUMN(T35)-20)*4,,4))</f>
        <v>0.565985372340426</v>
      </c>
      <c r="C30">
        <f ca="1">AVERAGE(OFFSET(实时负荷率!$B30,,(COLUMN(U35)-20)*4,,4))</f>
        <v>0.575062559240793</v>
      </c>
      <c r="D30">
        <f ca="1">AVERAGE(OFFSET(实时负荷率!$B30,,(COLUMN(V35)-20)*4,,4))</f>
        <v>0.541580094409489</v>
      </c>
      <c r="E30">
        <f ca="1">AVERAGE(OFFSET(实时负荷率!$B30,,(COLUMN(W35)-20)*4,,4))</f>
        <v>0.539557934182784</v>
      </c>
      <c r="F30">
        <f ca="1">AVERAGE(OFFSET(实时负荷率!$B30,,(COLUMN(X35)-20)*4,,4))</f>
        <v>0.540737021499738</v>
      </c>
      <c r="G30">
        <f ca="1">AVERAGE(OFFSET(实时负荷率!$B30,,(COLUMN(Y35)-20)*4,,4))</f>
        <v>0.498993051914001</v>
      </c>
      <c r="H30">
        <f ca="1">AVERAGE(OFFSET(实时负荷率!$B30,,(COLUMN(Z35)-20)*4,,4))</f>
        <v>0.504116413214473</v>
      </c>
      <c r="I30">
        <f ca="1">AVERAGE(OFFSET(实时负荷率!$B30,,(COLUMN(AA35)-20)*4,,4))</f>
        <v>0.565567121132669</v>
      </c>
      <c r="J30">
        <f ca="1">AVERAGE(OFFSET(实时负荷率!$B30,,(COLUMN(AB35)-20)*4,,4))</f>
        <v>0.561348846355532</v>
      </c>
      <c r="K30">
        <f ca="1">AVERAGE(OFFSET(实时负荷率!$B30,,(COLUMN(AC35)-20)*4,,4))</f>
        <v>0.459281463030939</v>
      </c>
      <c r="L30">
        <f ca="1">AVERAGE(OFFSET(实时负荷率!$B30,,(COLUMN(AD35)-20)*4,,4))</f>
        <v>0.490246067121133</v>
      </c>
      <c r="M30">
        <f ca="1">AVERAGE(OFFSET(实时负荷率!$B30,,(COLUMN(AE35)-20)*4,,4))</f>
        <v>0.513220241216571</v>
      </c>
      <c r="N30">
        <f ca="1">AVERAGE(OFFSET(实时负荷率!$B30,,(COLUMN(AF35)-20)*4,,4))</f>
        <v>0.578921735710541</v>
      </c>
      <c r="O30">
        <f ca="1">AVERAGE(OFFSET(实时负荷率!$B30,,(COLUMN(AG35)-20)*4,,4))</f>
        <v>0.541180388044048</v>
      </c>
      <c r="P30">
        <f ca="1">AVERAGE(OFFSET(实时负荷率!$B30,,(COLUMN(AH35)-20)*4,,4))</f>
        <v>0.525139355007866</v>
      </c>
      <c r="Q30">
        <f ca="1">AVERAGE(OFFSET(实时负荷率!$B30,,(COLUMN(AI35)-20)*4,,4))</f>
        <v>0.494897482957525</v>
      </c>
      <c r="R30">
        <f ca="1">AVERAGE(OFFSET(实时负荷率!$B30,,(COLUMN(AJ35)-20)*4,,4))</f>
        <v>0.452616544310435</v>
      </c>
      <c r="S30">
        <f ca="1">AVERAGE(OFFSET(实时负荷率!$B30,,(COLUMN(AK35)-20)*4,,4))</f>
        <v>0.459880309386471</v>
      </c>
      <c r="T30">
        <f ca="1">AVERAGE(OFFSET(实时负荷率!$B30,,(COLUMN(AL35)-20)*4,,4))</f>
        <v>0.565710671211327</v>
      </c>
      <c r="U30">
        <f ca="1">AVERAGE(OFFSET(实时负荷率!$B30,,(COLUMN(AM35)-20)*4,,4))</f>
        <v>0.583752753015207</v>
      </c>
      <c r="V30">
        <f ca="1">AVERAGE(OFFSET(实时负荷率!$B30,,(COLUMN(AN35)-20)*4,,4))</f>
        <v>0.606234006292606</v>
      </c>
      <c r="W30">
        <f ca="1">AVERAGE(OFFSET(实时负荷率!$B30,,(COLUMN(AO35)-20)*4,,4))</f>
        <v>0.624423571054011</v>
      </c>
      <c r="X30">
        <f ca="1">AVERAGE(OFFSET(实时负荷率!$B30,,(COLUMN(AP35)-20)*4,,4))</f>
        <v>0.582441611973554</v>
      </c>
      <c r="Y30">
        <f ca="1">AVERAGE(OFFSET(实时负荷率!$B30,,(COLUMN(AQ35)-20)*4,,4))</f>
        <v>0.525495262587981</v>
      </c>
    </row>
    <row r="31" spans="1:25">
      <c r="A31" s="2">
        <v>46264</v>
      </c>
      <c r="B31">
        <f ca="1">AVERAGE(OFFSET(实时负荷率!$B31,,(COLUMN(T36)-20)*4,,4))</f>
        <v>0.472410395235517</v>
      </c>
      <c r="C31">
        <f ca="1">AVERAGE(OFFSET(实时负荷率!$B31,,(COLUMN(U36)-20)*4,,4))</f>
        <v>0.500494856524093</v>
      </c>
      <c r="D31">
        <f ca="1">AVERAGE(OFFSET(实时负荷率!$B31,,(COLUMN(V36)-20)*4,,4))</f>
        <v>0.500772468868435</v>
      </c>
      <c r="E31">
        <f ca="1">AVERAGE(OFFSET(实时负荷率!$B31,,(COLUMN(W36)-20)*4,,4))</f>
        <v>0.542539523551706</v>
      </c>
      <c r="F31">
        <f ca="1">AVERAGE(OFFSET(实时负荷率!$B31,,(COLUMN(X36)-20)*4,,4))</f>
        <v>0.578341229020033</v>
      </c>
      <c r="G31">
        <f ca="1">AVERAGE(OFFSET(实时负荷率!$B31,,(COLUMN(Y36)-20)*4,,4))</f>
        <v>0.620069030860855</v>
      </c>
      <c r="H31">
        <f ca="1">AVERAGE(OFFSET(实时负荷率!$B31,,(COLUMN(Z36)-20)*4,,4))</f>
        <v>0.57651082837033</v>
      </c>
      <c r="I31">
        <f ca="1">AVERAGE(OFFSET(实时负荷率!$B31,,(COLUMN(AA36)-20)*4,,4))</f>
        <v>0.56581361667569</v>
      </c>
      <c r="J31">
        <f ca="1">AVERAGE(OFFSET(实时负荷率!$B31,,(COLUMN(AB36)-20)*4,,4))</f>
        <v>0.505098944233893</v>
      </c>
      <c r="K31">
        <f ca="1">AVERAGE(OFFSET(实时负荷率!$B31,,(COLUMN(AC36)-20)*4,,4))</f>
        <v>0.499179074174337</v>
      </c>
      <c r="L31">
        <f ca="1">AVERAGE(OFFSET(实时负荷率!$B31,,(COLUMN(AD36)-20)*4,,4))</f>
        <v>0.491374661613427</v>
      </c>
      <c r="M31">
        <f ca="1">AVERAGE(OFFSET(实时负荷率!$B31,,(COLUMN(AE36)-20)*4,,4))</f>
        <v>0.455184217650244</v>
      </c>
      <c r="N31">
        <f ca="1">AVERAGE(OFFSET(实时负荷率!$B31,,(COLUMN(AF36)-20)*4,,4))</f>
        <v>0.447546291283161</v>
      </c>
      <c r="O31">
        <f ca="1">AVERAGE(OFFSET(实时负荷率!$B31,,(COLUMN(AG36)-20)*4,,4))</f>
        <v>0.419790064970222</v>
      </c>
      <c r="P31">
        <f ca="1">AVERAGE(OFFSET(实时负荷率!$B31,,(COLUMN(AH36)-20)*4,,4))</f>
        <v>0.428269761775853</v>
      </c>
      <c r="Q31">
        <f ca="1">AVERAGE(OFFSET(实时负荷率!$B31,,(COLUMN(AI36)-20)*4,,4))</f>
        <v>0.505829723876557</v>
      </c>
      <c r="R31">
        <f ca="1">AVERAGE(OFFSET(实时负荷率!$B31,,(COLUMN(AJ36)-20)*4,,4))</f>
        <v>0.642923659989172</v>
      </c>
      <c r="S31">
        <f ca="1">AVERAGE(OFFSET(实时负荷率!$B31,,(COLUMN(AK36)-20)*4,,4))</f>
        <v>0.700987818083378</v>
      </c>
      <c r="T31">
        <f ca="1">AVERAGE(OFFSET(实时负荷率!$B31,,(COLUMN(AL36)-20)*4,,4))</f>
        <v>0.718644017325393</v>
      </c>
      <c r="U31">
        <f ca="1">AVERAGE(OFFSET(实时负荷率!$B31,,(COLUMN(AM36)-20)*4,,4))</f>
        <v>0.726395641580942</v>
      </c>
      <c r="V31">
        <f ca="1">AVERAGE(OFFSET(实时负荷率!$B31,,(COLUMN(AN36)-20)*4,,4))</f>
        <v>0.704439767190038</v>
      </c>
      <c r="W31">
        <f ca="1">AVERAGE(OFFSET(实时负荷率!$B31,,(COLUMN(AO36)-20)*4,,4))</f>
        <v>0.709640227395777</v>
      </c>
      <c r="X31">
        <f ca="1">AVERAGE(OFFSET(实时负荷率!$B31,,(COLUMN(AP36)-20)*4,,4))</f>
        <v>0.655624852635669</v>
      </c>
      <c r="Y31">
        <f ca="1">AVERAGE(OFFSET(实时负荷率!$B31,,(COLUMN(AQ36)-20)*4,,4))</f>
        <v>0.643351981026786</v>
      </c>
    </row>
    <row r="32" spans="1:25">
      <c r="A32" s="2">
        <v>46265</v>
      </c>
      <c r="B32">
        <f ca="1">AVERAGE(OFFSET(实时负荷率!$B32,,(COLUMN(T37)-20)*4,,4))</f>
        <v>0.573576786859283</v>
      </c>
      <c r="C32">
        <f ca="1">AVERAGE(OFFSET(实时负荷率!$B32,,(COLUMN(U37)-20)*4,,4))</f>
        <v>0.582625269978402</v>
      </c>
      <c r="D32">
        <f ca="1">AVERAGE(OFFSET(实时负荷率!$B32,,(COLUMN(V37)-20)*4,,4))</f>
        <v>0.580944924406048</v>
      </c>
      <c r="E32">
        <f ca="1">AVERAGE(OFFSET(实时负荷率!$B32,,(COLUMN(W37)-20)*4,,4))</f>
        <v>0.54298285637149</v>
      </c>
      <c r="F32">
        <f ca="1">AVERAGE(OFFSET(实时负荷率!$B32,,(COLUMN(X37)-20)*4,,4))</f>
        <v>0.509880804535637</v>
      </c>
      <c r="G32">
        <f ca="1">AVERAGE(OFFSET(实时负荷率!$B32,,(COLUMN(Y37)-20)*4,,4))</f>
        <v>0.523989200863931</v>
      </c>
      <c r="H32">
        <f ca="1">AVERAGE(OFFSET(实时负荷率!$B32,,(COLUMN(Z37)-20)*4,,4))</f>
        <v>0.556773083153348</v>
      </c>
      <c r="I32">
        <f ca="1">AVERAGE(OFFSET(实时负荷率!$B32,,(COLUMN(AA37)-20)*4,,4))</f>
        <v>0.528847732181425</v>
      </c>
      <c r="J32">
        <f ca="1">AVERAGE(OFFSET(实时负荷率!$B32,,(COLUMN(AB37)-20)*4,,4))</f>
        <v>0.462092872570194</v>
      </c>
      <c r="K32">
        <f ca="1">AVERAGE(OFFSET(实时负荷率!$B32,,(COLUMN(AC37)-20)*4,,4))</f>
        <v>0.387363120950324</v>
      </c>
      <c r="L32">
        <f ca="1">AVERAGE(OFFSET(实时负荷率!$B32,,(COLUMN(AD37)-20)*4,,4))</f>
        <v>0.336969087473002</v>
      </c>
      <c r="M32">
        <f ca="1">AVERAGE(OFFSET(实时负荷率!$B32,,(COLUMN(AE37)-20)*4,,4))</f>
        <v>0.337412122030238</v>
      </c>
      <c r="N32">
        <f ca="1">AVERAGE(OFFSET(实时负荷率!$B32,,(COLUMN(AF37)-20)*4,,4))</f>
        <v>0.363593142548596</v>
      </c>
      <c r="O32">
        <f ca="1">AVERAGE(OFFSET(实时负荷率!$B32,,(COLUMN(AG37)-20)*4,,4))</f>
        <v>0.407786447084233</v>
      </c>
      <c r="P32">
        <f ca="1">AVERAGE(OFFSET(实时负荷率!$B32,,(COLUMN(AH37)-20)*4,,4))</f>
        <v>0.41667967062635</v>
      </c>
      <c r="Q32">
        <f ca="1">AVERAGE(OFFSET(实时负荷率!$B32,,(COLUMN(AI37)-20)*4,,4))</f>
        <v>0.445050350971922</v>
      </c>
      <c r="R32">
        <f ca="1">AVERAGE(OFFSET(实时负荷率!$B32,,(COLUMN(AJ37)-20)*4,,4))</f>
        <v>0.614688714902808</v>
      </c>
      <c r="S32">
        <f ca="1">AVERAGE(OFFSET(实时负荷率!$B32,,(COLUMN(AK37)-20)*4,,4))</f>
        <v>0.658810745140389</v>
      </c>
      <c r="T32">
        <f ca="1">AVERAGE(OFFSET(实时负荷率!$B32,,(COLUMN(AL37)-20)*4,,4))</f>
        <v>0.695930480561555</v>
      </c>
      <c r="U32">
        <f ca="1">AVERAGE(OFFSET(实时负荷率!$B32,,(COLUMN(AM37)-20)*4,,4))</f>
        <v>0.658837877969762</v>
      </c>
      <c r="V32">
        <f ca="1">AVERAGE(OFFSET(实时负荷率!$B32,,(COLUMN(AN37)-20)*4,,4))</f>
        <v>0.653134314254859</v>
      </c>
      <c r="W32">
        <f ca="1">AVERAGE(OFFSET(实时负荷率!$B32,,(COLUMN(AO37)-20)*4,,4))</f>
        <v>0.61433598812095</v>
      </c>
      <c r="X32">
        <f ca="1">AVERAGE(OFFSET(实时负荷率!$B32,,(COLUMN(AP37)-20)*4,,4))</f>
        <v>0.611597192224622</v>
      </c>
      <c r="Y32">
        <f ca="1">AVERAGE(OFFSET(实时负荷率!$B32,,(COLUMN(AQ37)-20)*4,,4))</f>
        <v>0.588087877969762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CS32"/>
  <sheetViews>
    <sheetView workbookViewId="0">
      <selection activeCell="J63" sqref="J63"/>
    </sheetView>
  </sheetViews>
  <sheetFormatPr defaultColWidth="9" defaultRowHeight="13.5"/>
  <sheetData>
    <row r="1" spans="1:97">
      <c r="A1" t="s">
        <v>0</v>
      </c>
      <c r="B1" s="1">
        <v>0.0104166666666667</v>
      </c>
      <c r="C1" s="1">
        <v>0.0208333333333333</v>
      </c>
      <c r="D1" s="1">
        <v>0.03125</v>
      </c>
      <c r="E1" s="1">
        <v>0.0416666666666667</v>
      </c>
      <c r="F1" s="1">
        <v>0.0520833333333333</v>
      </c>
      <c r="G1" s="1">
        <v>0.0625</v>
      </c>
      <c r="H1" s="1">
        <v>0.0729166666666667</v>
      </c>
      <c r="I1" s="1">
        <v>0.0833333333333333</v>
      </c>
      <c r="J1" s="1">
        <v>0.09375</v>
      </c>
      <c r="K1" s="1">
        <v>0.104166666666667</v>
      </c>
      <c r="L1" s="1">
        <v>0.114583333333333</v>
      </c>
      <c r="M1" s="1">
        <v>0.125</v>
      </c>
      <c r="N1" s="1">
        <v>0.135416666666667</v>
      </c>
      <c r="O1" s="1">
        <v>0.145833333333333</v>
      </c>
      <c r="P1" s="1">
        <v>0.15625</v>
      </c>
      <c r="Q1" s="1">
        <v>0.166666666666667</v>
      </c>
      <c r="R1" s="1">
        <v>0.177083333333333</v>
      </c>
      <c r="S1" s="1">
        <v>0.1875</v>
      </c>
      <c r="T1" s="1">
        <v>0.197916666666667</v>
      </c>
      <c r="U1" s="1">
        <v>0.208333333333333</v>
      </c>
      <c r="V1" s="1">
        <v>0.21875</v>
      </c>
      <c r="W1" s="1">
        <v>0.229166666666667</v>
      </c>
      <c r="X1" s="1">
        <v>0.239583333333333</v>
      </c>
      <c r="Y1" s="1">
        <v>0.25</v>
      </c>
      <c r="Z1" s="1">
        <v>0.260416666666667</v>
      </c>
      <c r="AA1" s="1">
        <v>0.270833333333333</v>
      </c>
      <c r="AB1" s="1">
        <v>0.28125</v>
      </c>
      <c r="AC1" s="1">
        <v>0.291666666666667</v>
      </c>
      <c r="AD1" s="1">
        <v>0.302083333333333</v>
      </c>
      <c r="AE1" s="1">
        <v>0.3125</v>
      </c>
      <c r="AF1" s="1">
        <v>0.322916666666667</v>
      </c>
      <c r="AG1" s="1">
        <v>0.333333333333333</v>
      </c>
      <c r="AH1" s="1">
        <v>0.34375</v>
      </c>
      <c r="AI1" s="1">
        <v>0.354166666666667</v>
      </c>
      <c r="AJ1" s="1">
        <v>0.364583333333333</v>
      </c>
      <c r="AK1" s="1">
        <v>0.375</v>
      </c>
      <c r="AL1" s="1">
        <v>0.385416666666667</v>
      </c>
      <c r="AM1" s="1">
        <v>0.395833333333333</v>
      </c>
      <c r="AN1" s="1">
        <v>0.40625</v>
      </c>
      <c r="AO1" s="1">
        <v>0.416666666666667</v>
      </c>
      <c r="AP1" s="1">
        <v>0.427083333333333</v>
      </c>
      <c r="AQ1" s="1">
        <v>0.4375</v>
      </c>
      <c r="AR1" s="1">
        <v>0.447916666666667</v>
      </c>
      <c r="AS1" s="1">
        <v>0.458333333333333</v>
      </c>
      <c r="AT1" s="1">
        <v>0.46875</v>
      </c>
      <c r="AU1" s="1">
        <v>0.479166666666667</v>
      </c>
      <c r="AV1" s="1">
        <v>0.489583333333333</v>
      </c>
      <c r="AW1" s="1">
        <v>0.5</v>
      </c>
      <c r="AX1" s="1">
        <v>0.510416666666667</v>
      </c>
      <c r="AY1" s="1">
        <v>0.520833333333333</v>
      </c>
      <c r="AZ1" s="1">
        <v>0.53125</v>
      </c>
      <c r="BA1" s="1">
        <v>0.541666666666667</v>
      </c>
      <c r="BB1" s="1">
        <v>0.552083333333333</v>
      </c>
      <c r="BC1" s="1">
        <v>0.5625</v>
      </c>
      <c r="BD1" s="1">
        <v>0.572916666666667</v>
      </c>
      <c r="BE1" s="1">
        <v>0.583333333333333</v>
      </c>
      <c r="BF1" s="1">
        <v>0.59375</v>
      </c>
      <c r="BG1" s="1">
        <v>0.604166666666667</v>
      </c>
      <c r="BH1" s="1">
        <v>0.614583333333333</v>
      </c>
      <c r="BI1" s="1">
        <v>0.625</v>
      </c>
      <c r="BJ1" s="1">
        <v>0.635416666666667</v>
      </c>
      <c r="BK1" s="1">
        <v>0.645833333333333</v>
      </c>
      <c r="BL1" s="1">
        <v>0.65625</v>
      </c>
      <c r="BM1" s="1">
        <v>0.666666666666667</v>
      </c>
      <c r="BN1" s="1">
        <v>0.677083333333333</v>
      </c>
      <c r="BO1" s="1">
        <v>0.6875</v>
      </c>
      <c r="BP1" s="1">
        <v>0.697916666666667</v>
      </c>
      <c r="BQ1" s="1">
        <v>0.708333333333333</v>
      </c>
      <c r="BR1" s="1">
        <v>0.71875</v>
      </c>
      <c r="BS1" s="1">
        <v>0.729166666666667</v>
      </c>
      <c r="BT1" s="1">
        <v>0.739583333333333</v>
      </c>
      <c r="BU1" s="1">
        <v>0.75</v>
      </c>
      <c r="BV1" s="1">
        <v>0.760416666666667</v>
      </c>
      <c r="BW1" s="1">
        <v>0.770833333333333</v>
      </c>
      <c r="BX1" s="1">
        <v>0.78125</v>
      </c>
      <c r="BY1" s="1">
        <v>0.791666666666667</v>
      </c>
      <c r="BZ1" s="1">
        <v>0.802083333333333</v>
      </c>
      <c r="CA1" s="1">
        <v>0.8125</v>
      </c>
      <c r="CB1" s="1">
        <v>0.822916666666667</v>
      </c>
      <c r="CC1" s="1">
        <v>0.833333333333333</v>
      </c>
      <c r="CD1" s="1">
        <v>0.84375</v>
      </c>
      <c r="CE1" s="1">
        <v>0.854166666666667</v>
      </c>
      <c r="CF1" s="1">
        <v>0.864583333333333</v>
      </c>
      <c r="CG1" s="1">
        <v>0.875</v>
      </c>
      <c r="CH1" s="1">
        <v>0.885416666666667</v>
      </c>
      <c r="CI1" s="1">
        <v>0.895833333333333</v>
      </c>
      <c r="CJ1" s="1">
        <v>0.90625</v>
      </c>
      <c r="CK1" s="1">
        <v>0.916666666666667</v>
      </c>
      <c r="CL1" s="1">
        <v>0.927083333333333</v>
      </c>
      <c r="CM1" s="1">
        <v>0.9375</v>
      </c>
      <c r="CN1" s="1">
        <v>0.947916666666667</v>
      </c>
      <c r="CO1" s="1">
        <v>0.958333333333333</v>
      </c>
      <c r="CP1" s="1">
        <v>0.96875</v>
      </c>
      <c r="CQ1" s="1">
        <v>0.979166666666667</v>
      </c>
      <c r="CR1" s="1">
        <v>0.989583333333333</v>
      </c>
      <c r="CS1" s="1">
        <v>1</v>
      </c>
    </row>
    <row r="2" spans="1:97">
      <c r="A2" s="2">
        <v>46235</v>
      </c>
      <c r="B2">
        <v>351</v>
      </c>
      <c r="C2">
        <v>321</v>
      </c>
      <c r="D2">
        <v>302</v>
      </c>
      <c r="E2">
        <v>0</v>
      </c>
      <c r="F2">
        <v>330</v>
      </c>
      <c r="G2">
        <v>270</v>
      </c>
      <c r="H2">
        <v>-90</v>
      </c>
      <c r="I2">
        <v>-100</v>
      </c>
      <c r="J2">
        <v>-100</v>
      </c>
      <c r="K2">
        <v>-100</v>
      </c>
      <c r="L2">
        <v>-100</v>
      </c>
      <c r="M2">
        <v>-100</v>
      </c>
      <c r="N2">
        <v>320</v>
      </c>
      <c r="O2">
        <v>320</v>
      </c>
      <c r="P2">
        <v>317</v>
      </c>
      <c r="Q2">
        <v>320</v>
      </c>
      <c r="R2">
        <v>340</v>
      </c>
      <c r="S2">
        <v>310</v>
      </c>
      <c r="T2">
        <v>330</v>
      </c>
      <c r="U2">
        <v>330</v>
      </c>
      <c r="V2">
        <v>320</v>
      </c>
      <c r="W2">
        <v>330</v>
      </c>
      <c r="X2">
        <v>340</v>
      </c>
      <c r="Y2">
        <v>340</v>
      </c>
      <c r="Z2">
        <v>360</v>
      </c>
      <c r="AA2">
        <v>340</v>
      </c>
      <c r="AB2">
        <v>-90</v>
      </c>
      <c r="AC2">
        <v>280</v>
      </c>
      <c r="AD2">
        <v>320</v>
      </c>
      <c r="AE2">
        <v>360</v>
      </c>
      <c r="AF2">
        <v>334</v>
      </c>
      <c r="AG2">
        <v>319</v>
      </c>
      <c r="AH2">
        <v>348</v>
      </c>
      <c r="AI2">
        <v>349</v>
      </c>
      <c r="AJ2">
        <v>398</v>
      </c>
      <c r="AK2">
        <v>381</v>
      </c>
      <c r="AL2">
        <v>376</v>
      </c>
      <c r="AM2">
        <v>388</v>
      </c>
      <c r="AN2">
        <v>388</v>
      </c>
      <c r="AO2">
        <v>372</v>
      </c>
      <c r="AP2">
        <v>378</v>
      </c>
      <c r="AQ2">
        <v>378</v>
      </c>
      <c r="AR2">
        <v>368</v>
      </c>
      <c r="AS2">
        <v>369</v>
      </c>
      <c r="AT2">
        <v>40</v>
      </c>
      <c r="AU2">
        <v>-50</v>
      </c>
      <c r="AV2">
        <v>-49</v>
      </c>
      <c r="AW2">
        <v>-50</v>
      </c>
      <c r="AX2">
        <v>-58</v>
      </c>
      <c r="AY2">
        <v>4</v>
      </c>
      <c r="AZ2">
        <v>-58</v>
      </c>
      <c r="BA2">
        <v>-57</v>
      </c>
      <c r="BB2">
        <v>-58</v>
      </c>
      <c r="BC2">
        <v>-57</v>
      </c>
      <c r="BD2">
        <v>6</v>
      </c>
      <c r="BE2">
        <v>5</v>
      </c>
      <c r="BF2">
        <v>4</v>
      </c>
      <c r="BG2">
        <v>3</v>
      </c>
      <c r="BH2">
        <v>4</v>
      </c>
      <c r="BI2">
        <v>0</v>
      </c>
      <c r="BJ2">
        <v>16</v>
      </c>
      <c r="BK2">
        <v>346</v>
      </c>
      <c r="BL2">
        <v>6</v>
      </c>
      <c r="BM2">
        <v>5</v>
      </c>
      <c r="BN2">
        <v>425</v>
      </c>
      <c r="BO2">
        <v>341</v>
      </c>
      <c r="BP2">
        <v>45</v>
      </c>
      <c r="BQ2">
        <v>-46</v>
      </c>
      <c r="BR2">
        <v>343</v>
      </c>
      <c r="BS2">
        <v>342</v>
      </c>
      <c r="BT2">
        <v>342</v>
      </c>
      <c r="BU2">
        <v>342</v>
      </c>
      <c r="BV2">
        <v>341</v>
      </c>
      <c r="BW2">
        <v>350</v>
      </c>
      <c r="BX2">
        <v>359</v>
      </c>
      <c r="BY2">
        <v>359</v>
      </c>
      <c r="BZ2">
        <v>368</v>
      </c>
      <c r="CA2">
        <v>376</v>
      </c>
      <c r="CB2">
        <v>402</v>
      </c>
      <c r="CC2">
        <v>434</v>
      </c>
      <c r="CD2">
        <v>419</v>
      </c>
      <c r="CE2">
        <v>520</v>
      </c>
      <c r="CF2">
        <v>472</v>
      </c>
      <c r="CG2">
        <v>471</v>
      </c>
      <c r="CH2">
        <v>431</v>
      </c>
      <c r="CI2">
        <v>387</v>
      </c>
      <c r="CJ2">
        <v>378</v>
      </c>
      <c r="CK2">
        <v>380</v>
      </c>
      <c r="CL2">
        <v>382</v>
      </c>
      <c r="CM2">
        <v>380</v>
      </c>
      <c r="CN2">
        <v>370</v>
      </c>
      <c r="CO2">
        <v>350</v>
      </c>
      <c r="CP2">
        <v>340</v>
      </c>
      <c r="CQ2">
        <v>330</v>
      </c>
      <c r="CR2">
        <v>330</v>
      </c>
      <c r="CS2">
        <v>340</v>
      </c>
    </row>
    <row r="3" spans="1:97">
      <c r="A3" s="2">
        <v>46236</v>
      </c>
      <c r="B3">
        <v>1083</v>
      </c>
      <c r="C3">
        <v>790</v>
      </c>
      <c r="D3">
        <v>468</v>
      </c>
      <c r="E3">
        <v>448</v>
      </c>
      <c r="F3">
        <v>439</v>
      </c>
      <c r="G3">
        <v>439</v>
      </c>
      <c r="H3">
        <v>439</v>
      </c>
      <c r="I3">
        <v>439</v>
      </c>
      <c r="J3">
        <v>429</v>
      </c>
      <c r="K3">
        <v>429</v>
      </c>
      <c r="L3">
        <v>429</v>
      </c>
      <c r="M3">
        <v>439</v>
      </c>
      <c r="N3">
        <v>439</v>
      </c>
      <c r="O3">
        <v>419</v>
      </c>
      <c r="P3">
        <v>410</v>
      </c>
      <c r="Q3">
        <v>419</v>
      </c>
      <c r="R3">
        <v>419</v>
      </c>
      <c r="S3">
        <v>380</v>
      </c>
      <c r="T3">
        <v>380</v>
      </c>
      <c r="U3">
        <v>380</v>
      </c>
      <c r="V3">
        <v>390</v>
      </c>
      <c r="W3">
        <v>370</v>
      </c>
      <c r="X3">
        <v>380</v>
      </c>
      <c r="Y3">
        <v>380</v>
      </c>
      <c r="Z3">
        <v>410</v>
      </c>
      <c r="AA3">
        <v>429</v>
      </c>
      <c r="AB3">
        <v>419</v>
      </c>
      <c r="AC3">
        <v>410</v>
      </c>
      <c r="AD3">
        <v>380</v>
      </c>
      <c r="AE3">
        <v>380</v>
      </c>
      <c r="AF3">
        <v>372</v>
      </c>
      <c r="AG3">
        <v>375</v>
      </c>
      <c r="AH3">
        <v>394</v>
      </c>
      <c r="AI3">
        <v>404</v>
      </c>
      <c r="AJ3">
        <v>368</v>
      </c>
      <c r="AK3">
        <v>369</v>
      </c>
      <c r="AL3">
        <v>379</v>
      </c>
      <c r="AM3">
        <v>437</v>
      </c>
      <c r="AN3">
        <v>434</v>
      </c>
      <c r="AO3">
        <v>399</v>
      </c>
      <c r="AP3">
        <v>410</v>
      </c>
      <c r="AQ3">
        <v>422</v>
      </c>
      <c r="AR3">
        <v>423</v>
      </c>
      <c r="AS3">
        <v>400</v>
      </c>
      <c r="AT3">
        <v>419</v>
      </c>
      <c r="AU3">
        <v>420</v>
      </c>
      <c r="AV3">
        <v>420</v>
      </c>
      <c r="AW3">
        <v>419</v>
      </c>
      <c r="AX3">
        <v>443</v>
      </c>
      <c r="AY3">
        <v>433</v>
      </c>
      <c r="AZ3">
        <v>435</v>
      </c>
      <c r="BA3">
        <v>379</v>
      </c>
      <c r="BB3">
        <v>378</v>
      </c>
      <c r="BC3">
        <v>383</v>
      </c>
      <c r="BD3">
        <v>392</v>
      </c>
      <c r="BE3">
        <v>379</v>
      </c>
      <c r="BF3">
        <v>362</v>
      </c>
      <c r="BG3">
        <v>385</v>
      </c>
      <c r="BH3">
        <v>385</v>
      </c>
      <c r="BI3">
        <v>384</v>
      </c>
      <c r="BJ3">
        <v>384</v>
      </c>
      <c r="BK3">
        <v>363</v>
      </c>
      <c r="BL3">
        <v>434</v>
      </c>
      <c r="BM3">
        <v>418</v>
      </c>
      <c r="BN3">
        <v>426</v>
      </c>
      <c r="BO3">
        <v>426</v>
      </c>
      <c r="BP3">
        <v>380</v>
      </c>
      <c r="BQ3">
        <v>391</v>
      </c>
      <c r="BR3">
        <v>380</v>
      </c>
      <c r="BS3">
        <v>401</v>
      </c>
      <c r="BT3">
        <v>407</v>
      </c>
      <c r="BU3">
        <v>397</v>
      </c>
      <c r="BV3">
        <v>414</v>
      </c>
      <c r="BW3">
        <v>416</v>
      </c>
      <c r="BX3">
        <v>416</v>
      </c>
      <c r="BY3">
        <v>397</v>
      </c>
      <c r="BZ3">
        <v>433</v>
      </c>
      <c r="CA3">
        <v>397</v>
      </c>
      <c r="CB3">
        <v>424</v>
      </c>
      <c r="CC3">
        <v>435</v>
      </c>
      <c r="CD3">
        <v>477</v>
      </c>
      <c r="CE3">
        <v>476</v>
      </c>
      <c r="CF3">
        <v>455</v>
      </c>
      <c r="CG3">
        <v>412</v>
      </c>
      <c r="CH3">
        <v>435</v>
      </c>
      <c r="CI3">
        <v>415</v>
      </c>
      <c r="CJ3">
        <v>405</v>
      </c>
      <c r="CK3">
        <v>395</v>
      </c>
      <c r="CL3">
        <v>376</v>
      </c>
      <c r="CM3">
        <v>376</v>
      </c>
      <c r="CN3">
        <v>375</v>
      </c>
      <c r="CO3">
        <v>374</v>
      </c>
      <c r="CP3">
        <v>362</v>
      </c>
      <c r="CQ3">
        <v>351</v>
      </c>
      <c r="CR3">
        <v>341</v>
      </c>
      <c r="CS3">
        <v>340</v>
      </c>
    </row>
    <row r="4" spans="1:97">
      <c r="A4" s="2">
        <v>46237</v>
      </c>
      <c r="B4">
        <v>350</v>
      </c>
      <c r="C4">
        <v>350</v>
      </c>
      <c r="D4">
        <v>350</v>
      </c>
      <c r="E4">
        <v>350</v>
      </c>
      <c r="F4">
        <v>350</v>
      </c>
      <c r="G4">
        <v>340</v>
      </c>
      <c r="H4">
        <v>340</v>
      </c>
      <c r="I4">
        <v>330</v>
      </c>
      <c r="J4">
        <v>330</v>
      </c>
      <c r="K4">
        <v>330</v>
      </c>
      <c r="L4">
        <v>300</v>
      </c>
      <c r="M4">
        <v>240</v>
      </c>
      <c r="N4">
        <v>290</v>
      </c>
      <c r="O4">
        <v>0</v>
      </c>
      <c r="P4">
        <v>-100</v>
      </c>
      <c r="Q4">
        <v>-100</v>
      </c>
      <c r="R4">
        <v>220</v>
      </c>
      <c r="S4">
        <v>220</v>
      </c>
      <c r="T4">
        <v>290</v>
      </c>
      <c r="U4">
        <v>320</v>
      </c>
      <c r="V4">
        <v>-100</v>
      </c>
      <c r="W4">
        <v>-100</v>
      </c>
      <c r="X4">
        <v>-100</v>
      </c>
      <c r="Y4">
        <v>-100</v>
      </c>
      <c r="Z4">
        <v>-100</v>
      </c>
      <c r="AA4">
        <v>-100</v>
      </c>
      <c r="AB4">
        <v>-100</v>
      </c>
      <c r="AC4">
        <v>-83</v>
      </c>
      <c r="AD4">
        <v>-78</v>
      </c>
      <c r="AE4">
        <v>-72</v>
      </c>
      <c r="AF4">
        <v>-69</v>
      </c>
      <c r="AG4">
        <v>301</v>
      </c>
      <c r="AH4">
        <v>340</v>
      </c>
      <c r="AI4">
        <v>341</v>
      </c>
      <c r="AJ4">
        <v>332</v>
      </c>
      <c r="AK4">
        <v>315</v>
      </c>
      <c r="AL4">
        <v>343</v>
      </c>
      <c r="AM4">
        <v>391</v>
      </c>
      <c r="AN4">
        <v>386</v>
      </c>
      <c r="AO4">
        <v>359</v>
      </c>
      <c r="AP4">
        <v>387</v>
      </c>
      <c r="AQ4">
        <v>395</v>
      </c>
      <c r="AR4">
        <v>396</v>
      </c>
      <c r="AS4">
        <v>396</v>
      </c>
      <c r="AT4">
        <v>6</v>
      </c>
      <c r="AU4">
        <v>3</v>
      </c>
      <c r="AV4">
        <v>1</v>
      </c>
      <c r="AW4">
        <v>0</v>
      </c>
      <c r="AX4">
        <v>0</v>
      </c>
      <c r="AY4">
        <v>0</v>
      </c>
      <c r="AZ4">
        <v>-3</v>
      </c>
      <c r="BA4">
        <v>-2</v>
      </c>
      <c r="BB4">
        <v>3</v>
      </c>
      <c r="BC4">
        <v>2</v>
      </c>
      <c r="BD4">
        <v>-2</v>
      </c>
      <c r="BE4">
        <v>-2</v>
      </c>
      <c r="BF4">
        <v>0</v>
      </c>
      <c r="BG4">
        <v>-2</v>
      </c>
      <c r="BH4">
        <v>382</v>
      </c>
      <c r="BI4">
        <v>281</v>
      </c>
      <c r="BJ4">
        <v>-4</v>
      </c>
      <c r="BK4">
        <v>-5</v>
      </c>
      <c r="BL4">
        <v>280</v>
      </c>
      <c r="BM4">
        <v>360</v>
      </c>
      <c r="BN4">
        <v>-6</v>
      </c>
      <c r="BO4">
        <v>340</v>
      </c>
      <c r="BP4">
        <v>-55</v>
      </c>
      <c r="BQ4">
        <v>-55</v>
      </c>
      <c r="BR4">
        <v>351</v>
      </c>
      <c r="BS4">
        <v>341</v>
      </c>
      <c r="BT4">
        <v>332</v>
      </c>
      <c r="BU4">
        <v>-59</v>
      </c>
      <c r="BV4">
        <v>359</v>
      </c>
      <c r="BW4">
        <v>350</v>
      </c>
      <c r="BX4">
        <v>350</v>
      </c>
      <c r="BY4">
        <v>341</v>
      </c>
      <c r="BZ4">
        <v>350</v>
      </c>
      <c r="CA4">
        <v>359</v>
      </c>
      <c r="CB4">
        <v>359</v>
      </c>
      <c r="CC4">
        <v>359</v>
      </c>
      <c r="CD4">
        <v>341</v>
      </c>
      <c r="CE4">
        <v>341</v>
      </c>
      <c r="CF4">
        <v>359</v>
      </c>
      <c r="CG4">
        <v>349</v>
      </c>
      <c r="CH4">
        <v>-62</v>
      </c>
      <c r="CI4">
        <v>-64</v>
      </c>
      <c r="CJ4">
        <v>339</v>
      </c>
      <c r="CK4">
        <v>310</v>
      </c>
      <c r="CL4">
        <v>282</v>
      </c>
      <c r="CM4">
        <v>299</v>
      </c>
      <c r="CN4">
        <v>-73</v>
      </c>
      <c r="CO4">
        <v>-76</v>
      </c>
      <c r="CP4">
        <v>-79</v>
      </c>
      <c r="CQ4">
        <v>-82</v>
      </c>
      <c r="CR4">
        <v>-84</v>
      </c>
      <c r="CS4">
        <v>-100</v>
      </c>
    </row>
    <row r="5" spans="1:97">
      <c r="A5" s="2">
        <v>46238</v>
      </c>
      <c r="B5">
        <v>-1</v>
      </c>
      <c r="C5">
        <v>-1</v>
      </c>
      <c r="D5">
        <v>-100</v>
      </c>
      <c r="E5">
        <v>-100</v>
      </c>
      <c r="F5">
        <v>238</v>
      </c>
      <c r="G5">
        <v>320</v>
      </c>
      <c r="H5">
        <v>0</v>
      </c>
      <c r="I5">
        <v>-100</v>
      </c>
      <c r="J5">
        <v>-100</v>
      </c>
      <c r="K5">
        <v>-100</v>
      </c>
      <c r="L5">
        <v>-100</v>
      </c>
      <c r="M5">
        <v>-100</v>
      </c>
      <c r="N5">
        <v>-100</v>
      </c>
      <c r="O5">
        <v>-100</v>
      </c>
      <c r="P5">
        <v>-100</v>
      </c>
      <c r="Q5">
        <v>-100</v>
      </c>
      <c r="R5">
        <v>-100</v>
      </c>
      <c r="S5">
        <v>-100</v>
      </c>
      <c r="T5">
        <v>-100</v>
      </c>
      <c r="U5">
        <v>290</v>
      </c>
      <c r="V5">
        <v>310</v>
      </c>
      <c r="W5">
        <v>240</v>
      </c>
      <c r="X5">
        <v>-100</v>
      </c>
      <c r="Y5">
        <v>0</v>
      </c>
      <c r="Z5">
        <v>320</v>
      </c>
      <c r="AA5">
        <v>330</v>
      </c>
      <c r="AB5">
        <v>330</v>
      </c>
      <c r="AC5">
        <v>331</v>
      </c>
      <c r="AD5">
        <v>325</v>
      </c>
      <c r="AE5">
        <v>337</v>
      </c>
      <c r="AF5">
        <v>338</v>
      </c>
      <c r="AG5">
        <v>340</v>
      </c>
      <c r="AH5">
        <v>340</v>
      </c>
      <c r="AI5">
        <v>341</v>
      </c>
      <c r="AJ5">
        <v>343</v>
      </c>
      <c r="AK5">
        <v>343</v>
      </c>
      <c r="AL5">
        <v>343</v>
      </c>
      <c r="AM5">
        <v>345</v>
      </c>
      <c r="AN5">
        <v>346</v>
      </c>
      <c r="AO5">
        <v>370</v>
      </c>
      <c r="AP5">
        <v>428</v>
      </c>
      <c r="AQ5">
        <v>373</v>
      </c>
      <c r="AR5">
        <v>427</v>
      </c>
      <c r="AS5">
        <v>427</v>
      </c>
      <c r="AT5">
        <v>429</v>
      </c>
      <c r="AU5">
        <v>388</v>
      </c>
      <c r="AV5">
        <v>387</v>
      </c>
      <c r="AW5">
        <v>336</v>
      </c>
      <c r="AX5">
        <v>307</v>
      </c>
      <c r="AY5">
        <v>317</v>
      </c>
      <c r="AZ5">
        <v>-48</v>
      </c>
      <c r="BA5">
        <v>-48</v>
      </c>
      <c r="BB5">
        <v>-48</v>
      </c>
      <c r="BC5">
        <v>40</v>
      </c>
      <c r="BD5">
        <v>-49</v>
      </c>
      <c r="BE5">
        <v>-48</v>
      </c>
      <c r="BF5">
        <v>40</v>
      </c>
      <c r="BG5">
        <v>251</v>
      </c>
      <c r="BH5">
        <v>322</v>
      </c>
      <c r="BI5">
        <v>322</v>
      </c>
      <c r="BJ5">
        <v>321</v>
      </c>
      <c r="BK5">
        <v>370</v>
      </c>
      <c r="BL5">
        <v>370</v>
      </c>
      <c r="BM5">
        <v>382</v>
      </c>
      <c r="BN5">
        <v>375</v>
      </c>
      <c r="BO5">
        <v>375</v>
      </c>
      <c r="BP5">
        <v>371</v>
      </c>
      <c r="BQ5">
        <v>342</v>
      </c>
      <c r="BR5">
        <v>360</v>
      </c>
      <c r="BS5">
        <v>359</v>
      </c>
      <c r="BT5">
        <v>368</v>
      </c>
      <c r="BU5">
        <v>369</v>
      </c>
      <c r="BV5">
        <v>378</v>
      </c>
      <c r="BW5">
        <v>378</v>
      </c>
      <c r="BX5">
        <v>378</v>
      </c>
      <c r="BY5">
        <v>378</v>
      </c>
      <c r="BZ5">
        <v>360</v>
      </c>
      <c r="CA5">
        <v>396</v>
      </c>
      <c r="CB5">
        <v>410</v>
      </c>
      <c r="CC5">
        <v>397</v>
      </c>
      <c r="CD5">
        <v>403</v>
      </c>
      <c r="CE5">
        <v>405</v>
      </c>
      <c r="CF5">
        <v>377</v>
      </c>
      <c r="CG5">
        <v>377</v>
      </c>
      <c r="CH5">
        <v>377</v>
      </c>
      <c r="CI5">
        <v>385</v>
      </c>
      <c r="CJ5">
        <v>385</v>
      </c>
      <c r="CK5">
        <v>383</v>
      </c>
      <c r="CL5">
        <v>373</v>
      </c>
      <c r="CM5">
        <v>360</v>
      </c>
      <c r="CN5">
        <v>361</v>
      </c>
      <c r="CO5">
        <v>350</v>
      </c>
      <c r="CP5">
        <v>340</v>
      </c>
      <c r="CQ5">
        <v>330</v>
      </c>
      <c r="CR5">
        <v>330</v>
      </c>
      <c r="CS5">
        <v>330</v>
      </c>
    </row>
    <row r="6" spans="1:97">
      <c r="A6" s="2">
        <v>46239</v>
      </c>
      <c r="B6">
        <v>350</v>
      </c>
      <c r="C6">
        <v>340</v>
      </c>
      <c r="D6">
        <v>340</v>
      </c>
      <c r="E6">
        <v>340</v>
      </c>
      <c r="F6">
        <v>350</v>
      </c>
      <c r="G6">
        <v>350</v>
      </c>
      <c r="H6">
        <v>350</v>
      </c>
      <c r="I6">
        <v>350</v>
      </c>
      <c r="J6">
        <v>340</v>
      </c>
      <c r="K6">
        <v>340</v>
      </c>
      <c r="L6">
        <v>350</v>
      </c>
      <c r="M6">
        <v>350</v>
      </c>
      <c r="N6">
        <v>350</v>
      </c>
      <c r="O6">
        <v>350</v>
      </c>
      <c r="P6">
        <v>350</v>
      </c>
      <c r="Q6">
        <v>350</v>
      </c>
      <c r="R6">
        <v>340</v>
      </c>
      <c r="S6">
        <v>340</v>
      </c>
      <c r="T6">
        <v>340</v>
      </c>
      <c r="U6">
        <v>340</v>
      </c>
      <c r="V6">
        <v>330</v>
      </c>
      <c r="W6">
        <v>330</v>
      </c>
      <c r="X6">
        <v>340</v>
      </c>
      <c r="Y6">
        <v>330</v>
      </c>
      <c r="Z6">
        <v>330</v>
      </c>
      <c r="AA6">
        <v>330</v>
      </c>
      <c r="AB6">
        <v>330</v>
      </c>
      <c r="AC6">
        <v>340</v>
      </c>
      <c r="AD6">
        <v>341</v>
      </c>
      <c r="AE6">
        <v>342</v>
      </c>
      <c r="AF6">
        <v>346</v>
      </c>
      <c r="AG6">
        <v>339</v>
      </c>
      <c r="AH6">
        <v>340</v>
      </c>
      <c r="AI6">
        <v>342</v>
      </c>
      <c r="AJ6">
        <v>334</v>
      </c>
      <c r="AK6">
        <v>354</v>
      </c>
      <c r="AL6">
        <v>378</v>
      </c>
      <c r="AM6">
        <v>385</v>
      </c>
      <c r="AN6">
        <v>379</v>
      </c>
      <c r="AO6">
        <v>392</v>
      </c>
      <c r="AP6">
        <v>392</v>
      </c>
      <c r="AQ6">
        <v>385</v>
      </c>
      <c r="AR6">
        <v>376</v>
      </c>
      <c r="AS6">
        <v>377</v>
      </c>
      <c r="AT6">
        <v>376</v>
      </c>
      <c r="AU6">
        <v>366</v>
      </c>
      <c r="AV6">
        <v>367</v>
      </c>
      <c r="AW6">
        <v>395</v>
      </c>
      <c r="AX6">
        <v>400</v>
      </c>
      <c r="AY6">
        <v>391</v>
      </c>
      <c r="AZ6">
        <v>392</v>
      </c>
      <c r="BA6">
        <v>366</v>
      </c>
      <c r="BB6">
        <v>375</v>
      </c>
      <c r="BC6">
        <v>375</v>
      </c>
      <c r="BD6">
        <v>375</v>
      </c>
      <c r="BE6">
        <v>375</v>
      </c>
      <c r="BF6">
        <v>383</v>
      </c>
      <c r="BG6">
        <v>383</v>
      </c>
      <c r="BH6">
        <v>374</v>
      </c>
      <c r="BI6">
        <v>349</v>
      </c>
      <c r="BJ6">
        <v>359</v>
      </c>
      <c r="BK6">
        <v>349</v>
      </c>
      <c r="BL6">
        <v>358</v>
      </c>
      <c r="BM6">
        <v>358</v>
      </c>
      <c r="BN6">
        <v>375</v>
      </c>
      <c r="BO6">
        <v>374</v>
      </c>
      <c r="BP6">
        <v>384</v>
      </c>
      <c r="BQ6">
        <v>392</v>
      </c>
      <c r="BR6">
        <v>398</v>
      </c>
      <c r="BS6">
        <v>434</v>
      </c>
      <c r="BT6">
        <v>452</v>
      </c>
      <c r="BU6">
        <v>457</v>
      </c>
      <c r="BV6">
        <v>457</v>
      </c>
      <c r="BW6">
        <v>522</v>
      </c>
      <c r="BX6">
        <v>544</v>
      </c>
      <c r="BY6">
        <v>531</v>
      </c>
      <c r="BZ6">
        <v>553</v>
      </c>
      <c r="CA6">
        <v>692</v>
      </c>
      <c r="CB6">
        <v>692</v>
      </c>
      <c r="CC6">
        <v>1035</v>
      </c>
      <c r="CD6">
        <v>553</v>
      </c>
      <c r="CE6">
        <v>575</v>
      </c>
      <c r="CF6">
        <v>546</v>
      </c>
      <c r="CG6">
        <v>570</v>
      </c>
      <c r="CH6">
        <v>559</v>
      </c>
      <c r="CI6">
        <v>450</v>
      </c>
      <c r="CJ6">
        <v>516</v>
      </c>
      <c r="CK6">
        <v>420</v>
      </c>
      <c r="CL6">
        <v>400</v>
      </c>
      <c r="CM6">
        <v>389</v>
      </c>
      <c r="CN6">
        <v>379</v>
      </c>
      <c r="CO6">
        <v>370</v>
      </c>
      <c r="CP6">
        <v>379</v>
      </c>
      <c r="CQ6">
        <v>379</v>
      </c>
      <c r="CR6">
        <v>389</v>
      </c>
      <c r="CS6">
        <v>369</v>
      </c>
    </row>
    <row r="7" spans="1:97">
      <c r="A7" s="2">
        <v>46240</v>
      </c>
      <c r="B7">
        <v>379</v>
      </c>
      <c r="C7">
        <v>399</v>
      </c>
      <c r="D7">
        <v>399</v>
      </c>
      <c r="E7">
        <v>389</v>
      </c>
      <c r="F7">
        <v>380</v>
      </c>
      <c r="G7">
        <v>380</v>
      </c>
      <c r="H7">
        <v>390</v>
      </c>
      <c r="I7">
        <v>390</v>
      </c>
      <c r="J7">
        <v>430</v>
      </c>
      <c r="K7">
        <v>420</v>
      </c>
      <c r="L7">
        <v>420</v>
      </c>
      <c r="M7">
        <v>390</v>
      </c>
      <c r="N7">
        <v>400</v>
      </c>
      <c r="O7">
        <v>380</v>
      </c>
      <c r="P7">
        <v>380</v>
      </c>
      <c r="Q7">
        <v>380</v>
      </c>
      <c r="R7">
        <v>380</v>
      </c>
      <c r="S7">
        <v>380</v>
      </c>
      <c r="T7">
        <v>380</v>
      </c>
      <c r="U7">
        <v>380</v>
      </c>
      <c r="V7">
        <v>380</v>
      </c>
      <c r="W7">
        <v>380</v>
      </c>
      <c r="X7">
        <v>380</v>
      </c>
      <c r="Y7">
        <v>360</v>
      </c>
      <c r="Z7">
        <v>350</v>
      </c>
      <c r="AA7">
        <v>350</v>
      </c>
      <c r="AB7">
        <v>350</v>
      </c>
      <c r="AC7">
        <v>370</v>
      </c>
      <c r="AD7">
        <v>361</v>
      </c>
      <c r="AE7">
        <v>363</v>
      </c>
      <c r="AF7">
        <v>376</v>
      </c>
      <c r="AG7">
        <v>388</v>
      </c>
      <c r="AH7">
        <v>418</v>
      </c>
      <c r="AI7">
        <v>409</v>
      </c>
      <c r="AJ7">
        <v>416</v>
      </c>
      <c r="AK7">
        <v>416</v>
      </c>
      <c r="AL7">
        <v>406</v>
      </c>
      <c r="AM7">
        <v>410</v>
      </c>
      <c r="AN7">
        <v>410</v>
      </c>
      <c r="AO7">
        <v>396</v>
      </c>
      <c r="AP7">
        <v>402</v>
      </c>
      <c r="AQ7">
        <v>389</v>
      </c>
      <c r="AR7">
        <v>389</v>
      </c>
      <c r="AS7">
        <v>404</v>
      </c>
      <c r="AT7">
        <v>404</v>
      </c>
      <c r="AU7">
        <v>380</v>
      </c>
      <c r="AV7">
        <v>403</v>
      </c>
      <c r="AW7">
        <v>396</v>
      </c>
      <c r="AX7">
        <v>402</v>
      </c>
      <c r="AY7">
        <v>402</v>
      </c>
      <c r="AZ7">
        <v>403</v>
      </c>
      <c r="BA7">
        <v>398</v>
      </c>
      <c r="BB7">
        <v>380</v>
      </c>
      <c r="BC7">
        <v>380</v>
      </c>
      <c r="BD7">
        <v>380</v>
      </c>
      <c r="BE7">
        <v>380</v>
      </c>
      <c r="BF7">
        <v>379</v>
      </c>
      <c r="BG7">
        <v>388</v>
      </c>
      <c r="BH7">
        <v>397</v>
      </c>
      <c r="BI7">
        <v>388</v>
      </c>
      <c r="BJ7">
        <v>380</v>
      </c>
      <c r="BK7">
        <v>380</v>
      </c>
      <c r="BL7">
        <v>380</v>
      </c>
      <c r="BM7">
        <v>389</v>
      </c>
      <c r="BN7">
        <v>380</v>
      </c>
      <c r="BO7">
        <v>399</v>
      </c>
      <c r="BP7">
        <v>396</v>
      </c>
      <c r="BQ7">
        <v>404</v>
      </c>
      <c r="BR7">
        <v>421</v>
      </c>
      <c r="BS7">
        <v>425</v>
      </c>
      <c r="BT7">
        <v>872</v>
      </c>
      <c r="BU7">
        <v>872</v>
      </c>
      <c r="BV7">
        <v>722</v>
      </c>
      <c r="BW7">
        <v>803</v>
      </c>
      <c r="BX7">
        <v>1036</v>
      </c>
      <c r="BY7">
        <v>571</v>
      </c>
      <c r="BZ7">
        <v>898</v>
      </c>
      <c r="CA7">
        <v>900</v>
      </c>
      <c r="CB7">
        <v>1061</v>
      </c>
      <c r="CC7">
        <v>1060</v>
      </c>
      <c r="CD7">
        <v>822</v>
      </c>
      <c r="CE7">
        <v>620</v>
      </c>
      <c r="CF7">
        <v>687</v>
      </c>
      <c r="CG7">
        <v>581</v>
      </c>
      <c r="CH7">
        <v>546</v>
      </c>
      <c r="CI7">
        <v>1001</v>
      </c>
      <c r="CJ7">
        <v>558</v>
      </c>
      <c r="CK7">
        <v>388</v>
      </c>
      <c r="CL7">
        <v>369</v>
      </c>
      <c r="CM7">
        <v>372</v>
      </c>
      <c r="CN7">
        <v>383</v>
      </c>
      <c r="CO7">
        <v>393</v>
      </c>
      <c r="CP7">
        <v>410</v>
      </c>
      <c r="CQ7">
        <v>430</v>
      </c>
      <c r="CR7">
        <v>380</v>
      </c>
      <c r="CS7">
        <v>380</v>
      </c>
    </row>
    <row r="8" spans="1:97">
      <c r="A8" s="2">
        <v>46241</v>
      </c>
      <c r="B8">
        <v>350</v>
      </c>
      <c r="C8">
        <v>350</v>
      </c>
      <c r="D8">
        <v>350</v>
      </c>
      <c r="E8">
        <v>340</v>
      </c>
      <c r="F8">
        <v>325</v>
      </c>
      <c r="G8">
        <v>-100</v>
      </c>
      <c r="H8">
        <v>-100</v>
      </c>
      <c r="I8">
        <v>-100</v>
      </c>
      <c r="J8">
        <v>290</v>
      </c>
      <c r="K8">
        <v>-100</v>
      </c>
      <c r="L8">
        <v>-100</v>
      </c>
      <c r="M8">
        <v>-100</v>
      </c>
      <c r="N8">
        <v>-100</v>
      </c>
      <c r="O8">
        <v>-100</v>
      </c>
      <c r="P8">
        <v>-100</v>
      </c>
      <c r="Q8">
        <v>-100</v>
      </c>
      <c r="R8">
        <v>-100</v>
      </c>
      <c r="S8">
        <v>-100</v>
      </c>
      <c r="T8">
        <v>-100</v>
      </c>
      <c r="U8">
        <v>-100</v>
      </c>
      <c r="V8">
        <v>-100</v>
      </c>
      <c r="W8">
        <v>-100</v>
      </c>
      <c r="X8">
        <v>-100</v>
      </c>
      <c r="Y8">
        <v>-100</v>
      </c>
      <c r="Z8">
        <v>-100</v>
      </c>
      <c r="AA8">
        <v>-100</v>
      </c>
      <c r="AB8">
        <v>-100</v>
      </c>
      <c r="AC8">
        <v>-75</v>
      </c>
      <c r="AD8">
        <v>-68</v>
      </c>
      <c r="AE8">
        <v>-59</v>
      </c>
      <c r="AF8">
        <v>-55</v>
      </c>
      <c r="AG8">
        <v>-48</v>
      </c>
      <c r="AH8">
        <v>-45</v>
      </c>
      <c r="AI8">
        <v>-40</v>
      </c>
      <c r="AJ8">
        <v>-1</v>
      </c>
      <c r="AK8">
        <v>-34</v>
      </c>
      <c r="AL8">
        <v>8</v>
      </c>
      <c r="AM8">
        <v>15</v>
      </c>
      <c r="AN8">
        <v>18</v>
      </c>
      <c r="AO8">
        <v>19</v>
      </c>
      <c r="AP8">
        <v>24</v>
      </c>
      <c r="AQ8">
        <v>24</v>
      </c>
      <c r="AR8">
        <v>24</v>
      </c>
      <c r="AS8">
        <v>26</v>
      </c>
      <c r="AT8">
        <v>20</v>
      </c>
      <c r="AU8">
        <v>23</v>
      </c>
      <c r="AV8">
        <v>21</v>
      </c>
      <c r="AW8">
        <v>20</v>
      </c>
      <c r="AX8">
        <v>18</v>
      </c>
      <c r="AY8">
        <v>20</v>
      </c>
      <c r="AZ8">
        <v>20</v>
      </c>
      <c r="BA8">
        <v>20</v>
      </c>
      <c r="BB8">
        <v>25</v>
      </c>
      <c r="BC8">
        <v>27</v>
      </c>
      <c r="BD8">
        <v>25</v>
      </c>
      <c r="BE8">
        <v>28</v>
      </c>
      <c r="BF8">
        <v>30</v>
      </c>
      <c r="BG8">
        <v>29</v>
      </c>
      <c r="BH8">
        <v>30</v>
      </c>
      <c r="BI8">
        <v>30</v>
      </c>
      <c r="BJ8">
        <v>27</v>
      </c>
      <c r="BK8">
        <v>25</v>
      </c>
      <c r="BL8">
        <v>20</v>
      </c>
      <c r="BM8">
        <v>17</v>
      </c>
      <c r="BN8">
        <v>16</v>
      </c>
      <c r="BO8">
        <v>-30</v>
      </c>
      <c r="BP8">
        <v>-33</v>
      </c>
      <c r="BQ8">
        <v>-35</v>
      </c>
      <c r="BR8">
        <v>-36</v>
      </c>
      <c r="BS8">
        <v>-37</v>
      </c>
      <c r="BT8">
        <v>-38</v>
      </c>
      <c r="BU8">
        <v>-40</v>
      </c>
      <c r="BV8">
        <v>-38</v>
      </c>
      <c r="BW8">
        <v>-40</v>
      </c>
      <c r="BX8">
        <v>-40</v>
      </c>
      <c r="BY8">
        <v>-40</v>
      </c>
      <c r="BZ8">
        <v>-40</v>
      </c>
      <c r="CA8">
        <v>-40</v>
      </c>
      <c r="CB8">
        <v>-40</v>
      </c>
      <c r="CC8">
        <v>-43</v>
      </c>
      <c r="CD8">
        <v>-45</v>
      </c>
      <c r="CE8">
        <v>-48</v>
      </c>
      <c r="CF8">
        <v>-50</v>
      </c>
      <c r="CG8">
        <v>-53</v>
      </c>
      <c r="CH8">
        <v>-54</v>
      </c>
      <c r="CI8">
        <v>-58</v>
      </c>
      <c r="CJ8">
        <v>-60</v>
      </c>
      <c r="CK8">
        <v>-75</v>
      </c>
      <c r="CL8">
        <v>-73</v>
      </c>
      <c r="CM8">
        <v>-76</v>
      </c>
      <c r="CN8">
        <v>-78</v>
      </c>
      <c r="CO8">
        <v>-83</v>
      </c>
      <c r="CP8">
        <v>-100</v>
      </c>
      <c r="CQ8">
        <v>-100</v>
      </c>
      <c r="CR8">
        <v>-100</v>
      </c>
      <c r="CS8">
        <v>-100</v>
      </c>
    </row>
    <row r="9" spans="1:97">
      <c r="A9" s="2">
        <v>46242</v>
      </c>
      <c r="B9">
        <v>-100</v>
      </c>
      <c r="C9">
        <v>-100</v>
      </c>
      <c r="D9">
        <v>-100</v>
      </c>
      <c r="E9">
        <v>-100</v>
      </c>
      <c r="F9">
        <v>-100</v>
      </c>
      <c r="G9">
        <v>-100</v>
      </c>
      <c r="H9">
        <v>-100</v>
      </c>
      <c r="I9">
        <v>-100</v>
      </c>
      <c r="J9">
        <v>-100</v>
      </c>
      <c r="K9">
        <v>-100</v>
      </c>
      <c r="L9">
        <v>-100</v>
      </c>
      <c r="M9">
        <v>-100</v>
      </c>
      <c r="N9">
        <v>-100</v>
      </c>
      <c r="O9">
        <v>-100</v>
      </c>
      <c r="P9">
        <v>-100</v>
      </c>
      <c r="Q9">
        <v>-100</v>
      </c>
      <c r="R9">
        <v>-100</v>
      </c>
      <c r="S9">
        <v>-100</v>
      </c>
      <c r="T9">
        <v>-100</v>
      </c>
      <c r="U9">
        <v>-100</v>
      </c>
      <c r="V9">
        <v>-100</v>
      </c>
      <c r="W9">
        <v>-100</v>
      </c>
      <c r="X9">
        <v>-100</v>
      </c>
      <c r="Y9">
        <v>-100</v>
      </c>
      <c r="Z9">
        <v>-100</v>
      </c>
      <c r="AA9">
        <v>-100</v>
      </c>
      <c r="AB9">
        <v>-100</v>
      </c>
      <c r="AC9">
        <v>-100</v>
      </c>
      <c r="AD9">
        <v>-100</v>
      </c>
      <c r="AE9">
        <v>-100</v>
      </c>
      <c r="AF9">
        <v>-100</v>
      </c>
      <c r="AG9">
        <v>-86</v>
      </c>
      <c r="AH9">
        <v>-82</v>
      </c>
      <c r="AI9">
        <v>-78</v>
      </c>
      <c r="AJ9">
        <v>-72</v>
      </c>
      <c r="AK9">
        <v>-72</v>
      </c>
      <c r="AL9">
        <v>-69</v>
      </c>
      <c r="AM9">
        <v>-69</v>
      </c>
      <c r="AN9">
        <v>-66</v>
      </c>
      <c r="AO9">
        <v>-65</v>
      </c>
      <c r="AP9">
        <v>-63</v>
      </c>
      <c r="AQ9">
        <v>-65</v>
      </c>
      <c r="AR9">
        <v>-64</v>
      </c>
      <c r="AS9">
        <v>-63</v>
      </c>
      <c r="AT9">
        <v>-63</v>
      </c>
      <c r="AU9">
        <v>-66</v>
      </c>
      <c r="AV9">
        <v>-66</v>
      </c>
      <c r="AW9">
        <v>-68</v>
      </c>
      <c r="AX9">
        <v>-70</v>
      </c>
      <c r="AY9">
        <v>-69</v>
      </c>
      <c r="AZ9">
        <v>-67</v>
      </c>
      <c r="BA9">
        <v>-67</v>
      </c>
      <c r="BB9">
        <v>-65</v>
      </c>
      <c r="BC9">
        <v>-65</v>
      </c>
      <c r="BD9">
        <v>-65</v>
      </c>
      <c r="BE9">
        <v>-63</v>
      </c>
      <c r="BF9">
        <v>-64</v>
      </c>
      <c r="BG9">
        <v>-64</v>
      </c>
      <c r="BH9">
        <v>-64</v>
      </c>
      <c r="BI9">
        <v>-65</v>
      </c>
      <c r="BJ9">
        <v>-66</v>
      </c>
      <c r="BK9">
        <v>-67</v>
      </c>
      <c r="BL9">
        <v>-67</v>
      </c>
      <c r="BM9">
        <v>-67</v>
      </c>
      <c r="BN9">
        <v>-68</v>
      </c>
      <c r="BO9">
        <v>-69</v>
      </c>
      <c r="BP9">
        <v>-70</v>
      </c>
      <c r="BQ9">
        <v>-70</v>
      </c>
      <c r="BR9">
        <v>-75</v>
      </c>
      <c r="BS9">
        <v>-76</v>
      </c>
      <c r="BT9">
        <v>-76</v>
      </c>
      <c r="BU9">
        <v>306</v>
      </c>
      <c r="BV9">
        <v>325</v>
      </c>
      <c r="BW9">
        <v>334</v>
      </c>
      <c r="BX9">
        <v>334</v>
      </c>
      <c r="BY9">
        <v>-75</v>
      </c>
      <c r="BZ9">
        <v>-70</v>
      </c>
      <c r="CA9">
        <v>-74</v>
      </c>
      <c r="CB9">
        <v>-78</v>
      </c>
      <c r="CC9">
        <v>-79</v>
      </c>
      <c r="CD9">
        <v>-76</v>
      </c>
      <c r="CE9">
        <v>-79</v>
      </c>
      <c r="CF9">
        <v>-80</v>
      </c>
      <c r="CG9">
        <v>-82</v>
      </c>
      <c r="CH9">
        <v>-84</v>
      </c>
      <c r="CI9">
        <v>-100</v>
      </c>
      <c r="CJ9">
        <v>-100</v>
      </c>
      <c r="CK9">
        <v>-100</v>
      </c>
      <c r="CL9">
        <v>-100</v>
      </c>
      <c r="CM9">
        <v>-100</v>
      </c>
      <c r="CN9">
        <v>-100</v>
      </c>
      <c r="CO9">
        <v>-100</v>
      </c>
      <c r="CP9">
        <v>-100</v>
      </c>
      <c r="CQ9">
        <v>-100</v>
      </c>
      <c r="CR9">
        <v>-100</v>
      </c>
      <c r="CS9">
        <v>-100</v>
      </c>
    </row>
    <row r="10" spans="1:97">
      <c r="A10" s="2">
        <v>46243</v>
      </c>
      <c r="B10">
        <v>-100</v>
      </c>
      <c r="C10">
        <v>-100</v>
      </c>
      <c r="D10">
        <v>-100</v>
      </c>
      <c r="E10">
        <v>-100</v>
      </c>
      <c r="F10">
        <v>-100</v>
      </c>
      <c r="G10">
        <v>-100</v>
      </c>
      <c r="H10">
        <v>320</v>
      </c>
      <c r="I10">
        <v>300</v>
      </c>
      <c r="J10">
        <v>60</v>
      </c>
      <c r="K10">
        <v>50</v>
      </c>
      <c r="L10">
        <v>60</v>
      </c>
      <c r="M10">
        <v>-100</v>
      </c>
      <c r="N10">
        <v>330</v>
      </c>
      <c r="O10">
        <v>320</v>
      </c>
      <c r="P10">
        <v>320</v>
      </c>
      <c r="Q10">
        <v>320</v>
      </c>
      <c r="R10">
        <v>300</v>
      </c>
      <c r="S10">
        <v>320</v>
      </c>
      <c r="T10">
        <v>320</v>
      </c>
      <c r="U10">
        <v>320</v>
      </c>
      <c r="V10">
        <v>-100</v>
      </c>
      <c r="W10">
        <v>-100</v>
      </c>
      <c r="X10">
        <v>-100</v>
      </c>
      <c r="Y10">
        <v>-100</v>
      </c>
      <c r="Z10">
        <v>330</v>
      </c>
      <c r="AA10">
        <v>320</v>
      </c>
      <c r="AB10">
        <v>320</v>
      </c>
      <c r="AC10">
        <v>330</v>
      </c>
      <c r="AD10">
        <v>-100</v>
      </c>
      <c r="AE10">
        <v>-100</v>
      </c>
      <c r="AF10">
        <v>280</v>
      </c>
      <c r="AG10">
        <v>50</v>
      </c>
      <c r="AH10">
        <v>290</v>
      </c>
      <c r="AI10">
        <v>-100</v>
      </c>
      <c r="AJ10">
        <v>-100</v>
      </c>
      <c r="AK10">
        <v>-79</v>
      </c>
      <c r="AL10">
        <v>-75</v>
      </c>
      <c r="AM10">
        <v>-74</v>
      </c>
      <c r="AN10">
        <v>-69</v>
      </c>
      <c r="AO10">
        <v>-65</v>
      </c>
      <c r="AP10">
        <v>-67</v>
      </c>
      <c r="AQ10">
        <v>-62</v>
      </c>
      <c r="AR10">
        <v>-61</v>
      </c>
      <c r="AS10">
        <v>-53</v>
      </c>
      <c r="AT10">
        <v>-58</v>
      </c>
      <c r="AU10">
        <v>-67</v>
      </c>
      <c r="AV10">
        <v>-59</v>
      </c>
      <c r="AW10">
        <v>-60</v>
      </c>
      <c r="AX10">
        <v>-60</v>
      </c>
      <c r="AY10">
        <v>-60</v>
      </c>
      <c r="AZ10">
        <v>-61</v>
      </c>
      <c r="BA10">
        <v>-60</v>
      </c>
      <c r="BB10">
        <v>-58</v>
      </c>
      <c r="BC10">
        <v>-49</v>
      </c>
      <c r="BD10">
        <v>-55</v>
      </c>
      <c r="BE10">
        <v>-56</v>
      </c>
      <c r="BF10">
        <v>-58</v>
      </c>
      <c r="BG10">
        <v>-59</v>
      </c>
      <c r="BH10">
        <v>-56</v>
      </c>
      <c r="BI10">
        <v>-57</v>
      </c>
      <c r="BJ10">
        <v>-58</v>
      </c>
      <c r="BK10">
        <v>-58</v>
      </c>
      <c r="BL10">
        <v>-59</v>
      </c>
      <c r="BM10">
        <v>-59</v>
      </c>
      <c r="BN10">
        <v>350</v>
      </c>
      <c r="BO10">
        <v>350</v>
      </c>
      <c r="BP10">
        <v>359</v>
      </c>
      <c r="BQ10">
        <v>368</v>
      </c>
      <c r="BR10">
        <v>377</v>
      </c>
      <c r="BS10">
        <v>377</v>
      </c>
      <c r="BT10">
        <v>412</v>
      </c>
      <c r="BU10">
        <v>448</v>
      </c>
      <c r="BV10">
        <v>390</v>
      </c>
      <c r="BW10">
        <v>409</v>
      </c>
      <c r="BX10">
        <v>510</v>
      </c>
      <c r="BY10">
        <v>449</v>
      </c>
      <c r="BZ10">
        <v>405</v>
      </c>
      <c r="CA10">
        <v>406</v>
      </c>
      <c r="CB10">
        <v>460</v>
      </c>
      <c r="CC10">
        <v>397</v>
      </c>
      <c r="CD10">
        <v>406</v>
      </c>
      <c r="CE10">
        <v>396</v>
      </c>
      <c r="CF10">
        <v>386</v>
      </c>
      <c r="CG10">
        <v>385</v>
      </c>
      <c r="CH10">
        <v>374</v>
      </c>
      <c r="CI10">
        <v>363</v>
      </c>
      <c r="CJ10">
        <v>360</v>
      </c>
      <c r="CK10">
        <v>350</v>
      </c>
      <c r="CL10">
        <v>350</v>
      </c>
      <c r="CM10">
        <v>350</v>
      </c>
      <c r="CN10">
        <v>350</v>
      </c>
      <c r="CO10">
        <v>360</v>
      </c>
      <c r="CP10">
        <v>350</v>
      </c>
      <c r="CQ10">
        <v>340</v>
      </c>
      <c r="CR10">
        <v>350</v>
      </c>
      <c r="CS10">
        <v>350</v>
      </c>
    </row>
    <row r="11" spans="1:97">
      <c r="A11" s="2">
        <v>46244</v>
      </c>
      <c r="B11">
        <v>350</v>
      </c>
      <c r="C11">
        <v>340</v>
      </c>
      <c r="D11">
        <v>340</v>
      </c>
      <c r="E11">
        <v>340</v>
      </c>
      <c r="F11">
        <v>340</v>
      </c>
      <c r="G11">
        <v>340</v>
      </c>
      <c r="H11">
        <v>340</v>
      </c>
      <c r="I11">
        <v>340</v>
      </c>
      <c r="J11">
        <v>330</v>
      </c>
      <c r="K11">
        <v>330</v>
      </c>
      <c r="L11">
        <v>330</v>
      </c>
      <c r="M11">
        <v>330</v>
      </c>
      <c r="N11">
        <v>330</v>
      </c>
      <c r="O11">
        <v>330</v>
      </c>
      <c r="P11">
        <v>320</v>
      </c>
      <c r="Q11">
        <v>330</v>
      </c>
      <c r="R11">
        <v>330</v>
      </c>
      <c r="S11">
        <v>330</v>
      </c>
      <c r="T11">
        <v>330</v>
      </c>
      <c r="U11">
        <v>330</v>
      </c>
      <c r="V11">
        <v>330</v>
      </c>
      <c r="W11">
        <v>330</v>
      </c>
      <c r="X11">
        <v>330</v>
      </c>
      <c r="Y11">
        <v>330</v>
      </c>
      <c r="Z11">
        <v>330</v>
      </c>
      <c r="AA11">
        <v>330</v>
      </c>
      <c r="AB11">
        <v>330</v>
      </c>
      <c r="AC11">
        <v>330</v>
      </c>
      <c r="AD11">
        <v>310</v>
      </c>
      <c r="AE11">
        <v>320</v>
      </c>
      <c r="AF11">
        <v>272</v>
      </c>
      <c r="AG11">
        <v>317</v>
      </c>
      <c r="AH11">
        <v>327</v>
      </c>
      <c r="AI11">
        <v>333</v>
      </c>
      <c r="AJ11">
        <v>316</v>
      </c>
      <c r="AK11">
        <v>319</v>
      </c>
      <c r="AL11">
        <v>-45</v>
      </c>
      <c r="AM11">
        <v>-44</v>
      </c>
      <c r="AN11">
        <v>-42</v>
      </c>
      <c r="AO11">
        <v>-40</v>
      </c>
      <c r="AP11">
        <v>-40</v>
      </c>
      <c r="AQ11">
        <v>-41</v>
      </c>
      <c r="AR11">
        <v>-41</v>
      </c>
      <c r="AS11">
        <v>-39</v>
      </c>
      <c r="AT11">
        <v>-38</v>
      </c>
      <c r="AU11">
        <v>-38</v>
      </c>
      <c r="AV11">
        <v>-40</v>
      </c>
      <c r="AW11">
        <v>-41</v>
      </c>
      <c r="AX11">
        <v>-43</v>
      </c>
      <c r="AY11">
        <v>-43</v>
      </c>
      <c r="AZ11">
        <v>-41</v>
      </c>
      <c r="BA11">
        <v>-41</v>
      </c>
      <c r="BB11">
        <v>-38</v>
      </c>
      <c r="BC11">
        <v>-37</v>
      </c>
      <c r="BD11">
        <v>-36</v>
      </c>
      <c r="BE11">
        <v>-35</v>
      </c>
      <c r="BF11">
        <v>-35</v>
      </c>
      <c r="BG11">
        <v>-37</v>
      </c>
      <c r="BH11">
        <v>-37</v>
      </c>
      <c r="BI11">
        <v>-37</v>
      </c>
      <c r="BJ11">
        <v>-38</v>
      </c>
      <c r="BK11">
        <v>-38</v>
      </c>
      <c r="BL11">
        <v>-43</v>
      </c>
      <c r="BM11">
        <v>-46</v>
      </c>
      <c r="BN11">
        <v>-44</v>
      </c>
      <c r="BO11">
        <v>-44</v>
      </c>
      <c r="BP11">
        <v>-46</v>
      </c>
      <c r="BQ11">
        <v>-46</v>
      </c>
      <c r="BR11">
        <v>-46</v>
      </c>
      <c r="BS11">
        <v>-47</v>
      </c>
      <c r="BT11">
        <v>-48</v>
      </c>
      <c r="BU11">
        <v>-51</v>
      </c>
      <c r="BV11">
        <v>-51</v>
      </c>
      <c r="BW11">
        <v>-48</v>
      </c>
      <c r="BX11">
        <v>-52</v>
      </c>
      <c r="BY11">
        <v>-53</v>
      </c>
      <c r="BZ11">
        <v>-51</v>
      </c>
      <c r="CA11">
        <v>88</v>
      </c>
      <c r="CB11">
        <v>229</v>
      </c>
      <c r="CC11">
        <v>348</v>
      </c>
      <c r="CD11">
        <v>322</v>
      </c>
      <c r="CE11">
        <v>317</v>
      </c>
      <c r="CF11">
        <v>317</v>
      </c>
      <c r="CG11">
        <v>-60</v>
      </c>
      <c r="CH11">
        <v>-62</v>
      </c>
      <c r="CI11">
        <v>-65</v>
      </c>
      <c r="CJ11">
        <v>-70</v>
      </c>
      <c r="CK11">
        <v>-72</v>
      </c>
      <c r="CL11">
        <v>307</v>
      </c>
      <c r="CM11">
        <v>325</v>
      </c>
      <c r="CN11">
        <v>322</v>
      </c>
      <c r="CO11">
        <v>322</v>
      </c>
      <c r="CP11">
        <v>300</v>
      </c>
      <c r="CQ11">
        <v>0</v>
      </c>
      <c r="CR11">
        <v>49</v>
      </c>
      <c r="CS11">
        <v>300</v>
      </c>
    </row>
    <row r="12" spans="1:97">
      <c r="A12" s="2">
        <v>46245</v>
      </c>
      <c r="B12">
        <v>0</v>
      </c>
      <c r="C12">
        <v>-100</v>
      </c>
      <c r="D12">
        <v>-100</v>
      </c>
      <c r="E12">
        <v>-100</v>
      </c>
      <c r="F12">
        <v>-100</v>
      </c>
      <c r="G12">
        <v>-100</v>
      </c>
      <c r="H12">
        <v>-100</v>
      </c>
      <c r="I12">
        <v>-100</v>
      </c>
      <c r="J12">
        <v>-100</v>
      </c>
      <c r="K12">
        <v>-100</v>
      </c>
      <c r="L12">
        <v>-100</v>
      </c>
      <c r="M12">
        <v>-100</v>
      </c>
      <c r="N12">
        <v>-100</v>
      </c>
      <c r="O12">
        <v>-100</v>
      </c>
      <c r="P12">
        <v>-100</v>
      </c>
      <c r="Q12">
        <v>-100</v>
      </c>
      <c r="R12">
        <v>-100</v>
      </c>
      <c r="S12">
        <v>-100</v>
      </c>
      <c r="T12">
        <v>-100</v>
      </c>
      <c r="U12">
        <v>-100</v>
      </c>
      <c r="V12">
        <v>-100</v>
      </c>
      <c r="W12">
        <v>-100</v>
      </c>
      <c r="X12">
        <v>-100</v>
      </c>
      <c r="Y12">
        <v>-100</v>
      </c>
      <c r="Z12">
        <v>-100</v>
      </c>
      <c r="AA12">
        <v>-100</v>
      </c>
      <c r="AB12">
        <v>10</v>
      </c>
      <c r="AC12">
        <v>160</v>
      </c>
      <c r="AD12">
        <v>-100</v>
      </c>
      <c r="AE12">
        <v>-82</v>
      </c>
      <c r="AF12">
        <v>-75</v>
      </c>
      <c r="AG12">
        <v>-69</v>
      </c>
      <c r="AH12">
        <v>-63</v>
      </c>
      <c r="AI12">
        <v>-56</v>
      </c>
      <c r="AJ12">
        <v>-54</v>
      </c>
      <c r="AK12">
        <v>-50</v>
      </c>
      <c r="AL12">
        <v>-48</v>
      </c>
      <c r="AM12">
        <v>-44</v>
      </c>
      <c r="AN12">
        <v>-44</v>
      </c>
      <c r="AO12">
        <v>-43</v>
      </c>
      <c r="AP12">
        <v>-42</v>
      </c>
      <c r="AQ12">
        <v>-42</v>
      </c>
      <c r="AR12">
        <v>-42</v>
      </c>
      <c r="AS12">
        <v>-41</v>
      </c>
      <c r="AT12">
        <v>-42</v>
      </c>
      <c r="AU12">
        <v>-44</v>
      </c>
      <c r="AV12">
        <v>-44</v>
      </c>
      <c r="AW12">
        <v>-43</v>
      </c>
      <c r="AX12">
        <v>-45</v>
      </c>
      <c r="AY12">
        <v>-44</v>
      </c>
      <c r="AZ12">
        <v>-45</v>
      </c>
      <c r="BA12">
        <v>-45</v>
      </c>
      <c r="BB12">
        <v>-45</v>
      </c>
      <c r="BC12">
        <v>-45</v>
      </c>
      <c r="BD12">
        <v>-44</v>
      </c>
      <c r="BE12">
        <v>-44</v>
      </c>
      <c r="BF12">
        <v>-45</v>
      </c>
      <c r="BG12">
        <v>-47</v>
      </c>
      <c r="BH12">
        <v>-44</v>
      </c>
      <c r="BI12">
        <v>-46</v>
      </c>
      <c r="BJ12">
        <v>-47</v>
      </c>
      <c r="BK12">
        <v>-45</v>
      </c>
      <c r="BL12">
        <v>-45</v>
      </c>
      <c r="BM12">
        <v>-47</v>
      </c>
      <c r="BN12">
        <v>294</v>
      </c>
      <c r="BO12">
        <v>331</v>
      </c>
      <c r="BP12">
        <v>349</v>
      </c>
      <c r="BQ12">
        <v>343</v>
      </c>
      <c r="BR12">
        <v>344</v>
      </c>
      <c r="BS12">
        <v>353</v>
      </c>
      <c r="BT12">
        <v>356</v>
      </c>
      <c r="BU12">
        <v>359</v>
      </c>
      <c r="BV12">
        <v>369</v>
      </c>
      <c r="BW12">
        <v>368</v>
      </c>
      <c r="BX12">
        <v>368</v>
      </c>
      <c r="BY12">
        <v>368</v>
      </c>
      <c r="BZ12">
        <v>368</v>
      </c>
      <c r="CA12">
        <v>368</v>
      </c>
      <c r="CB12">
        <v>377</v>
      </c>
      <c r="CC12">
        <v>370</v>
      </c>
      <c r="CD12">
        <v>368</v>
      </c>
      <c r="CE12">
        <v>368</v>
      </c>
      <c r="CF12">
        <v>362</v>
      </c>
      <c r="CG12">
        <v>360</v>
      </c>
      <c r="CH12">
        <v>360</v>
      </c>
      <c r="CI12">
        <v>350</v>
      </c>
      <c r="CJ12">
        <v>340</v>
      </c>
      <c r="CK12">
        <v>330</v>
      </c>
      <c r="CL12">
        <v>331</v>
      </c>
      <c r="CM12">
        <v>341</v>
      </c>
      <c r="CN12">
        <v>340</v>
      </c>
      <c r="CO12">
        <v>351</v>
      </c>
      <c r="CP12">
        <v>340</v>
      </c>
      <c r="CQ12">
        <v>340</v>
      </c>
      <c r="CR12">
        <v>330</v>
      </c>
      <c r="CS12">
        <v>330</v>
      </c>
    </row>
    <row r="13" spans="1:97">
      <c r="A13" s="2">
        <v>46246</v>
      </c>
      <c r="B13">
        <v>330</v>
      </c>
      <c r="C13">
        <v>330</v>
      </c>
      <c r="D13">
        <v>330</v>
      </c>
      <c r="E13">
        <v>330</v>
      </c>
      <c r="F13">
        <v>330</v>
      </c>
      <c r="G13">
        <v>330</v>
      </c>
      <c r="H13">
        <v>330</v>
      </c>
      <c r="I13">
        <v>330</v>
      </c>
      <c r="J13">
        <v>330</v>
      </c>
      <c r="K13">
        <v>340</v>
      </c>
      <c r="L13">
        <v>330</v>
      </c>
      <c r="M13">
        <v>330</v>
      </c>
      <c r="N13">
        <v>330</v>
      </c>
      <c r="O13">
        <v>330</v>
      </c>
      <c r="P13">
        <v>330</v>
      </c>
      <c r="Q13">
        <v>330</v>
      </c>
      <c r="R13">
        <v>330</v>
      </c>
      <c r="S13">
        <v>330</v>
      </c>
      <c r="T13">
        <v>330</v>
      </c>
      <c r="U13">
        <v>330</v>
      </c>
      <c r="V13">
        <v>340</v>
      </c>
      <c r="W13">
        <v>340</v>
      </c>
      <c r="X13">
        <v>340</v>
      </c>
      <c r="Y13">
        <v>350</v>
      </c>
      <c r="Z13">
        <v>360</v>
      </c>
      <c r="AA13">
        <v>360</v>
      </c>
      <c r="AB13">
        <v>360</v>
      </c>
      <c r="AC13">
        <v>360</v>
      </c>
      <c r="AD13">
        <v>360</v>
      </c>
      <c r="AE13">
        <v>351</v>
      </c>
      <c r="AF13">
        <v>354</v>
      </c>
      <c r="AG13">
        <v>369</v>
      </c>
      <c r="AH13">
        <v>370</v>
      </c>
      <c r="AI13">
        <v>375</v>
      </c>
      <c r="AJ13">
        <v>376</v>
      </c>
      <c r="AK13">
        <v>368</v>
      </c>
      <c r="AL13">
        <v>368</v>
      </c>
      <c r="AM13">
        <v>370</v>
      </c>
      <c r="AN13">
        <v>361</v>
      </c>
      <c r="AO13">
        <v>361</v>
      </c>
      <c r="AP13">
        <v>344</v>
      </c>
      <c r="AQ13">
        <v>344</v>
      </c>
      <c r="AR13">
        <v>345</v>
      </c>
      <c r="AS13">
        <v>345</v>
      </c>
      <c r="AT13">
        <v>345</v>
      </c>
      <c r="AU13">
        <v>353</v>
      </c>
      <c r="AV13">
        <v>343</v>
      </c>
      <c r="AW13">
        <v>343</v>
      </c>
      <c r="AX13">
        <v>384</v>
      </c>
      <c r="AY13">
        <v>351</v>
      </c>
      <c r="AZ13">
        <v>386</v>
      </c>
      <c r="BA13">
        <v>386</v>
      </c>
      <c r="BB13">
        <v>385</v>
      </c>
      <c r="BC13">
        <v>362</v>
      </c>
      <c r="BD13">
        <v>363</v>
      </c>
      <c r="BE13">
        <v>363</v>
      </c>
      <c r="BF13">
        <v>363</v>
      </c>
      <c r="BG13">
        <v>362</v>
      </c>
      <c r="BH13">
        <v>362</v>
      </c>
      <c r="BI13">
        <v>361</v>
      </c>
      <c r="BJ13">
        <v>370</v>
      </c>
      <c r="BK13">
        <v>370</v>
      </c>
      <c r="BL13">
        <v>361</v>
      </c>
      <c r="BM13">
        <v>351</v>
      </c>
      <c r="BN13">
        <v>370</v>
      </c>
      <c r="BO13">
        <v>389</v>
      </c>
      <c r="BP13">
        <v>417</v>
      </c>
      <c r="BQ13">
        <v>410</v>
      </c>
      <c r="BR13">
        <v>424</v>
      </c>
      <c r="BS13">
        <v>404</v>
      </c>
      <c r="BT13">
        <v>378</v>
      </c>
      <c r="BU13">
        <v>384</v>
      </c>
      <c r="BV13">
        <v>401</v>
      </c>
      <c r="BW13">
        <v>382</v>
      </c>
      <c r="BX13">
        <v>404</v>
      </c>
      <c r="BY13">
        <v>395</v>
      </c>
      <c r="BZ13">
        <v>433</v>
      </c>
      <c r="CA13">
        <v>468</v>
      </c>
      <c r="CB13">
        <v>495</v>
      </c>
      <c r="CC13">
        <v>485</v>
      </c>
      <c r="CD13">
        <v>517</v>
      </c>
      <c r="CE13">
        <v>465</v>
      </c>
      <c r="CF13">
        <v>453</v>
      </c>
      <c r="CG13">
        <v>389</v>
      </c>
      <c r="CH13">
        <v>369</v>
      </c>
      <c r="CI13">
        <v>359</v>
      </c>
      <c r="CJ13">
        <v>369</v>
      </c>
      <c r="CK13">
        <v>370</v>
      </c>
      <c r="CL13">
        <v>320</v>
      </c>
      <c r="CM13">
        <v>340</v>
      </c>
      <c r="CN13">
        <v>340</v>
      </c>
      <c r="CO13">
        <v>330</v>
      </c>
      <c r="CP13">
        <v>330</v>
      </c>
      <c r="CQ13">
        <v>330</v>
      </c>
      <c r="CR13">
        <v>330</v>
      </c>
      <c r="CS13">
        <v>330</v>
      </c>
    </row>
    <row r="14" spans="1:97">
      <c r="A14" s="2">
        <v>46247</v>
      </c>
      <c r="B14">
        <v>320</v>
      </c>
      <c r="C14">
        <v>330</v>
      </c>
      <c r="D14">
        <v>320</v>
      </c>
      <c r="E14">
        <v>330</v>
      </c>
      <c r="F14">
        <v>290</v>
      </c>
      <c r="G14">
        <v>320</v>
      </c>
      <c r="H14">
        <v>320</v>
      </c>
      <c r="I14">
        <v>320</v>
      </c>
      <c r="J14">
        <v>340</v>
      </c>
      <c r="K14">
        <v>330</v>
      </c>
      <c r="L14">
        <v>330</v>
      </c>
      <c r="M14">
        <v>330</v>
      </c>
      <c r="N14">
        <v>320</v>
      </c>
      <c r="O14">
        <v>320</v>
      </c>
      <c r="P14">
        <v>320</v>
      </c>
      <c r="Q14">
        <v>320</v>
      </c>
      <c r="R14">
        <v>320</v>
      </c>
      <c r="S14">
        <v>320</v>
      </c>
      <c r="T14">
        <v>330</v>
      </c>
      <c r="U14">
        <v>330</v>
      </c>
      <c r="V14">
        <v>330</v>
      </c>
      <c r="W14">
        <v>330</v>
      </c>
      <c r="X14">
        <v>330</v>
      </c>
      <c r="Y14">
        <v>330</v>
      </c>
      <c r="Z14">
        <v>350</v>
      </c>
      <c r="AA14">
        <v>350</v>
      </c>
      <c r="AB14">
        <v>350</v>
      </c>
      <c r="AC14">
        <v>340</v>
      </c>
      <c r="AD14">
        <v>350</v>
      </c>
      <c r="AE14">
        <v>340</v>
      </c>
      <c r="AF14">
        <v>341</v>
      </c>
      <c r="AG14">
        <v>345</v>
      </c>
      <c r="AH14">
        <v>349</v>
      </c>
      <c r="AI14">
        <v>350</v>
      </c>
      <c r="AJ14">
        <v>341</v>
      </c>
      <c r="AK14">
        <v>347</v>
      </c>
      <c r="AL14">
        <v>339</v>
      </c>
      <c r="AM14">
        <v>339</v>
      </c>
      <c r="AN14">
        <v>340</v>
      </c>
      <c r="AO14">
        <v>331</v>
      </c>
      <c r="AP14">
        <v>313</v>
      </c>
      <c r="AQ14">
        <v>323</v>
      </c>
      <c r="AR14">
        <v>341</v>
      </c>
      <c r="AS14">
        <v>-44</v>
      </c>
      <c r="AT14">
        <v>-47</v>
      </c>
      <c r="AU14">
        <v>-47</v>
      </c>
      <c r="AV14">
        <v>-47</v>
      </c>
      <c r="AW14">
        <v>-56</v>
      </c>
      <c r="AX14">
        <v>-58</v>
      </c>
      <c r="AY14">
        <v>-57</v>
      </c>
      <c r="AZ14">
        <v>-57</v>
      </c>
      <c r="BA14">
        <v>-57</v>
      </c>
      <c r="BB14">
        <v>-58</v>
      </c>
      <c r="BC14">
        <v>-57</v>
      </c>
      <c r="BD14">
        <v>-58</v>
      </c>
      <c r="BE14">
        <v>-58</v>
      </c>
      <c r="BF14">
        <v>-60</v>
      </c>
      <c r="BG14">
        <v>-60</v>
      </c>
      <c r="BH14">
        <v>-61</v>
      </c>
      <c r="BI14">
        <v>-63</v>
      </c>
      <c r="BJ14">
        <v>328</v>
      </c>
      <c r="BK14">
        <v>300</v>
      </c>
      <c r="BL14">
        <v>320</v>
      </c>
      <c r="BM14">
        <v>340</v>
      </c>
      <c r="BN14">
        <v>600</v>
      </c>
      <c r="BO14">
        <v>390</v>
      </c>
      <c r="BP14">
        <v>350</v>
      </c>
      <c r="BQ14">
        <v>340</v>
      </c>
      <c r="BR14">
        <v>360</v>
      </c>
      <c r="BS14">
        <v>370</v>
      </c>
      <c r="BT14">
        <v>380</v>
      </c>
      <c r="BU14">
        <v>370</v>
      </c>
      <c r="BV14">
        <v>390</v>
      </c>
      <c r="BW14">
        <v>450</v>
      </c>
      <c r="BX14">
        <v>420</v>
      </c>
      <c r="BY14">
        <v>440</v>
      </c>
      <c r="BZ14">
        <v>500</v>
      </c>
      <c r="CA14">
        <v>538</v>
      </c>
      <c r="CB14">
        <v>553</v>
      </c>
      <c r="CC14">
        <v>600</v>
      </c>
      <c r="CD14">
        <v>530</v>
      </c>
      <c r="CE14">
        <v>454</v>
      </c>
      <c r="CF14">
        <v>463</v>
      </c>
      <c r="CG14">
        <v>406</v>
      </c>
      <c r="CH14">
        <v>404</v>
      </c>
      <c r="CI14">
        <v>402</v>
      </c>
      <c r="CJ14">
        <v>382</v>
      </c>
      <c r="CK14">
        <v>371</v>
      </c>
      <c r="CL14">
        <v>372</v>
      </c>
      <c r="CM14">
        <v>360</v>
      </c>
      <c r="CN14">
        <v>370</v>
      </c>
      <c r="CO14">
        <v>370</v>
      </c>
      <c r="CP14">
        <v>360</v>
      </c>
      <c r="CQ14">
        <v>370</v>
      </c>
      <c r="CR14">
        <v>370</v>
      </c>
      <c r="CS14">
        <v>360</v>
      </c>
    </row>
    <row r="15" spans="1:97">
      <c r="A15" s="2">
        <v>46248</v>
      </c>
      <c r="B15">
        <v>370</v>
      </c>
      <c r="C15">
        <v>360</v>
      </c>
      <c r="D15">
        <v>360</v>
      </c>
      <c r="E15">
        <v>360</v>
      </c>
      <c r="F15">
        <v>350</v>
      </c>
      <c r="G15">
        <v>360</v>
      </c>
      <c r="H15">
        <v>350</v>
      </c>
      <c r="I15">
        <v>350</v>
      </c>
      <c r="J15">
        <v>350</v>
      </c>
      <c r="K15">
        <v>340</v>
      </c>
      <c r="L15">
        <v>340</v>
      </c>
      <c r="M15">
        <v>340</v>
      </c>
      <c r="N15">
        <v>350</v>
      </c>
      <c r="O15">
        <v>340</v>
      </c>
      <c r="P15">
        <v>340</v>
      </c>
      <c r="Q15">
        <v>340</v>
      </c>
      <c r="R15">
        <v>340</v>
      </c>
      <c r="S15">
        <v>340</v>
      </c>
      <c r="T15">
        <v>340</v>
      </c>
      <c r="U15">
        <v>340</v>
      </c>
      <c r="V15">
        <v>340</v>
      </c>
      <c r="W15">
        <v>350</v>
      </c>
      <c r="X15">
        <v>350</v>
      </c>
      <c r="Y15">
        <v>360</v>
      </c>
      <c r="Z15">
        <v>360</v>
      </c>
      <c r="AA15">
        <v>360</v>
      </c>
      <c r="AB15">
        <v>360</v>
      </c>
      <c r="AC15">
        <v>360</v>
      </c>
      <c r="AD15">
        <v>350</v>
      </c>
      <c r="AE15">
        <v>350</v>
      </c>
      <c r="AF15">
        <v>341</v>
      </c>
      <c r="AG15">
        <v>336</v>
      </c>
      <c r="AH15">
        <v>349</v>
      </c>
      <c r="AI15">
        <v>341</v>
      </c>
      <c r="AJ15">
        <v>342</v>
      </c>
      <c r="AK15">
        <v>342</v>
      </c>
      <c r="AL15">
        <v>348</v>
      </c>
      <c r="AM15">
        <v>348</v>
      </c>
      <c r="AN15">
        <v>348</v>
      </c>
      <c r="AO15">
        <v>294</v>
      </c>
      <c r="AP15">
        <v>341</v>
      </c>
      <c r="AQ15">
        <v>350</v>
      </c>
      <c r="AR15">
        <v>350</v>
      </c>
      <c r="AS15">
        <v>323</v>
      </c>
      <c r="AT15">
        <v>341</v>
      </c>
      <c r="AU15">
        <v>349</v>
      </c>
      <c r="AV15">
        <v>339</v>
      </c>
      <c r="AW15">
        <v>348</v>
      </c>
      <c r="AX15">
        <v>348</v>
      </c>
      <c r="AY15">
        <v>348</v>
      </c>
      <c r="AZ15">
        <v>349</v>
      </c>
      <c r="BA15">
        <v>340</v>
      </c>
      <c r="BB15">
        <v>340</v>
      </c>
      <c r="BC15">
        <v>-49</v>
      </c>
      <c r="BD15">
        <v>341</v>
      </c>
      <c r="BE15">
        <v>332</v>
      </c>
      <c r="BF15">
        <v>295</v>
      </c>
      <c r="BG15">
        <v>-50</v>
      </c>
      <c r="BH15">
        <v>-48</v>
      </c>
      <c r="BI15">
        <v>294</v>
      </c>
      <c r="BJ15">
        <v>340</v>
      </c>
      <c r="BK15">
        <v>331</v>
      </c>
      <c r="BL15">
        <v>349</v>
      </c>
      <c r="BM15">
        <v>349</v>
      </c>
      <c r="BN15">
        <v>357</v>
      </c>
      <c r="BO15">
        <v>366</v>
      </c>
      <c r="BP15">
        <v>375</v>
      </c>
      <c r="BQ15">
        <v>366</v>
      </c>
      <c r="BR15">
        <v>375</v>
      </c>
      <c r="BS15">
        <v>375</v>
      </c>
      <c r="BT15">
        <v>375</v>
      </c>
      <c r="BU15">
        <v>384</v>
      </c>
      <c r="BV15">
        <v>410</v>
      </c>
      <c r="BW15">
        <v>411</v>
      </c>
      <c r="BX15">
        <v>393</v>
      </c>
      <c r="BY15">
        <v>374</v>
      </c>
      <c r="BZ15">
        <v>375</v>
      </c>
      <c r="CA15">
        <v>375</v>
      </c>
      <c r="CB15">
        <v>375</v>
      </c>
      <c r="CC15">
        <v>375</v>
      </c>
      <c r="CD15">
        <v>384</v>
      </c>
      <c r="CE15">
        <v>383</v>
      </c>
      <c r="CF15">
        <v>350</v>
      </c>
      <c r="CG15">
        <v>350</v>
      </c>
      <c r="CH15">
        <v>340</v>
      </c>
      <c r="CI15">
        <v>339</v>
      </c>
      <c r="CJ15">
        <v>-71</v>
      </c>
      <c r="CK15">
        <v>-75</v>
      </c>
      <c r="CL15">
        <v>-77</v>
      </c>
      <c r="CM15">
        <v>-96</v>
      </c>
      <c r="CN15">
        <v>-100</v>
      </c>
      <c r="CO15">
        <v>-100</v>
      </c>
      <c r="CP15">
        <v>-100</v>
      </c>
      <c r="CQ15">
        <v>-100</v>
      </c>
      <c r="CR15">
        <v>-100</v>
      </c>
      <c r="CS15">
        <v>270</v>
      </c>
    </row>
    <row r="16" spans="1:97">
      <c r="A16" s="2">
        <v>46249</v>
      </c>
      <c r="B16">
        <v>350</v>
      </c>
      <c r="C16">
        <v>330</v>
      </c>
      <c r="D16">
        <v>330</v>
      </c>
      <c r="E16">
        <v>320</v>
      </c>
      <c r="F16">
        <v>330</v>
      </c>
      <c r="G16">
        <v>320</v>
      </c>
      <c r="H16">
        <v>330</v>
      </c>
      <c r="I16">
        <v>320</v>
      </c>
      <c r="J16">
        <v>320</v>
      </c>
      <c r="K16">
        <v>320</v>
      </c>
      <c r="L16">
        <v>320</v>
      </c>
      <c r="M16">
        <v>320</v>
      </c>
      <c r="N16">
        <v>320</v>
      </c>
      <c r="O16">
        <v>320</v>
      </c>
      <c r="P16">
        <v>320</v>
      </c>
      <c r="Q16">
        <v>320</v>
      </c>
      <c r="R16">
        <v>320</v>
      </c>
      <c r="S16">
        <v>320</v>
      </c>
      <c r="T16">
        <v>330</v>
      </c>
      <c r="U16">
        <v>340</v>
      </c>
      <c r="V16">
        <v>340</v>
      </c>
      <c r="W16">
        <v>340</v>
      </c>
      <c r="X16">
        <v>340</v>
      </c>
      <c r="Y16">
        <v>340</v>
      </c>
      <c r="Z16">
        <v>350</v>
      </c>
      <c r="AA16">
        <v>350</v>
      </c>
      <c r="AB16">
        <v>350</v>
      </c>
      <c r="AC16">
        <v>350</v>
      </c>
      <c r="AD16">
        <v>340</v>
      </c>
      <c r="AE16">
        <v>340</v>
      </c>
      <c r="AF16">
        <v>340</v>
      </c>
      <c r="AG16">
        <v>340</v>
      </c>
      <c r="AH16">
        <v>341</v>
      </c>
      <c r="AI16">
        <v>344</v>
      </c>
      <c r="AJ16">
        <v>349</v>
      </c>
      <c r="AK16">
        <v>340</v>
      </c>
      <c r="AL16">
        <v>351</v>
      </c>
      <c r="AM16">
        <v>351</v>
      </c>
      <c r="AN16">
        <v>351</v>
      </c>
      <c r="AO16">
        <v>356</v>
      </c>
      <c r="AP16">
        <v>356</v>
      </c>
      <c r="AQ16">
        <v>357</v>
      </c>
      <c r="AR16">
        <v>357</v>
      </c>
      <c r="AS16">
        <v>357</v>
      </c>
      <c r="AT16">
        <v>352</v>
      </c>
      <c r="AU16">
        <v>357</v>
      </c>
      <c r="AV16">
        <v>352</v>
      </c>
      <c r="AW16">
        <v>352</v>
      </c>
      <c r="AX16">
        <v>351</v>
      </c>
      <c r="AY16">
        <v>351</v>
      </c>
      <c r="AZ16">
        <v>361</v>
      </c>
      <c r="BA16">
        <v>351</v>
      </c>
      <c r="BB16">
        <v>348</v>
      </c>
      <c r="BC16">
        <v>348</v>
      </c>
      <c r="BD16">
        <v>348</v>
      </c>
      <c r="BE16">
        <v>350</v>
      </c>
      <c r="BF16">
        <v>379</v>
      </c>
      <c r="BG16">
        <v>376</v>
      </c>
      <c r="BH16">
        <v>376</v>
      </c>
      <c r="BI16">
        <v>357</v>
      </c>
      <c r="BJ16">
        <v>407</v>
      </c>
      <c r="BK16">
        <v>392</v>
      </c>
      <c r="BL16">
        <v>370</v>
      </c>
      <c r="BM16">
        <v>399</v>
      </c>
      <c r="BN16">
        <v>435</v>
      </c>
      <c r="BO16">
        <v>442</v>
      </c>
      <c r="BP16">
        <v>416</v>
      </c>
      <c r="BQ16">
        <v>416</v>
      </c>
      <c r="BR16">
        <v>415</v>
      </c>
      <c r="BS16">
        <v>415</v>
      </c>
      <c r="BT16">
        <v>406</v>
      </c>
      <c r="BU16">
        <v>415</v>
      </c>
      <c r="BV16">
        <v>404</v>
      </c>
      <c r="BW16">
        <v>405</v>
      </c>
      <c r="BX16">
        <v>394</v>
      </c>
      <c r="BY16">
        <v>403</v>
      </c>
      <c r="BZ16">
        <v>403</v>
      </c>
      <c r="CA16">
        <v>403</v>
      </c>
      <c r="CB16">
        <v>447</v>
      </c>
      <c r="CC16">
        <v>404</v>
      </c>
      <c r="CD16">
        <v>387</v>
      </c>
      <c r="CE16">
        <v>378</v>
      </c>
      <c r="CF16">
        <v>377</v>
      </c>
      <c r="CG16">
        <v>374</v>
      </c>
      <c r="CH16">
        <v>391</v>
      </c>
      <c r="CI16">
        <v>382</v>
      </c>
      <c r="CJ16">
        <v>352</v>
      </c>
      <c r="CK16">
        <v>361</v>
      </c>
      <c r="CL16">
        <v>351</v>
      </c>
      <c r="CM16">
        <v>350</v>
      </c>
      <c r="CN16">
        <v>350</v>
      </c>
      <c r="CO16">
        <v>350</v>
      </c>
      <c r="CP16">
        <v>360</v>
      </c>
      <c r="CQ16">
        <v>360</v>
      </c>
      <c r="CR16">
        <v>360</v>
      </c>
      <c r="CS16">
        <v>350</v>
      </c>
    </row>
    <row r="17" spans="1:97">
      <c r="A17" s="2">
        <v>46250</v>
      </c>
      <c r="B17">
        <v>270</v>
      </c>
      <c r="C17">
        <v>330</v>
      </c>
      <c r="D17">
        <v>330</v>
      </c>
      <c r="E17">
        <v>330</v>
      </c>
      <c r="F17">
        <v>330</v>
      </c>
      <c r="G17">
        <v>330</v>
      </c>
      <c r="H17">
        <v>330</v>
      </c>
      <c r="I17">
        <v>330</v>
      </c>
      <c r="J17">
        <v>330</v>
      </c>
      <c r="K17">
        <v>330</v>
      </c>
      <c r="L17">
        <v>330</v>
      </c>
      <c r="M17">
        <v>330</v>
      </c>
      <c r="N17">
        <v>330</v>
      </c>
      <c r="O17">
        <v>320</v>
      </c>
      <c r="P17">
        <v>330</v>
      </c>
      <c r="Q17">
        <v>330</v>
      </c>
      <c r="R17">
        <v>330</v>
      </c>
      <c r="S17">
        <v>330</v>
      </c>
      <c r="T17">
        <v>330</v>
      </c>
      <c r="U17">
        <v>320</v>
      </c>
      <c r="V17">
        <v>340</v>
      </c>
      <c r="W17">
        <v>340</v>
      </c>
      <c r="X17">
        <v>330</v>
      </c>
      <c r="Y17">
        <v>330</v>
      </c>
      <c r="Z17">
        <v>340</v>
      </c>
      <c r="AA17">
        <v>340</v>
      </c>
      <c r="AB17">
        <v>340</v>
      </c>
      <c r="AC17">
        <v>330</v>
      </c>
      <c r="AD17">
        <v>330</v>
      </c>
      <c r="AE17">
        <v>330</v>
      </c>
      <c r="AF17">
        <v>320</v>
      </c>
      <c r="AG17">
        <v>320</v>
      </c>
      <c r="AH17">
        <v>320</v>
      </c>
      <c r="AI17">
        <v>322</v>
      </c>
      <c r="AJ17">
        <v>316</v>
      </c>
      <c r="AK17">
        <v>329</v>
      </c>
      <c r="AL17">
        <v>330</v>
      </c>
      <c r="AM17">
        <v>332</v>
      </c>
      <c r="AN17">
        <v>332</v>
      </c>
      <c r="AO17">
        <v>342</v>
      </c>
      <c r="AP17">
        <v>324</v>
      </c>
      <c r="AQ17">
        <v>347</v>
      </c>
      <c r="AR17">
        <v>347</v>
      </c>
      <c r="AS17">
        <v>337</v>
      </c>
      <c r="AT17">
        <v>342</v>
      </c>
      <c r="AU17">
        <v>333</v>
      </c>
      <c r="AV17">
        <v>351</v>
      </c>
      <c r="AW17">
        <v>342</v>
      </c>
      <c r="AX17">
        <v>350</v>
      </c>
      <c r="AY17">
        <v>346</v>
      </c>
      <c r="AZ17">
        <v>342</v>
      </c>
      <c r="BA17">
        <v>333</v>
      </c>
      <c r="BB17">
        <v>351</v>
      </c>
      <c r="BC17">
        <v>341</v>
      </c>
      <c r="BD17">
        <v>370</v>
      </c>
      <c r="BE17">
        <v>349</v>
      </c>
      <c r="BF17">
        <v>349</v>
      </c>
      <c r="BG17">
        <v>341</v>
      </c>
      <c r="BH17">
        <v>354</v>
      </c>
      <c r="BI17">
        <v>348</v>
      </c>
      <c r="BJ17">
        <v>358</v>
      </c>
      <c r="BK17">
        <v>385</v>
      </c>
      <c r="BL17">
        <v>358</v>
      </c>
      <c r="BM17">
        <v>367</v>
      </c>
      <c r="BN17">
        <v>402</v>
      </c>
      <c r="BO17">
        <v>386</v>
      </c>
      <c r="BP17">
        <v>377</v>
      </c>
      <c r="BQ17">
        <v>377</v>
      </c>
      <c r="BR17">
        <v>386</v>
      </c>
      <c r="BS17">
        <v>396</v>
      </c>
      <c r="BT17">
        <v>396</v>
      </c>
      <c r="BU17">
        <v>385</v>
      </c>
      <c r="BV17">
        <v>405</v>
      </c>
      <c r="BW17">
        <v>404</v>
      </c>
      <c r="BX17">
        <v>402</v>
      </c>
      <c r="BY17">
        <v>402</v>
      </c>
      <c r="BZ17">
        <v>419</v>
      </c>
      <c r="CA17">
        <v>531</v>
      </c>
      <c r="CB17">
        <v>512</v>
      </c>
      <c r="CC17">
        <v>486</v>
      </c>
      <c r="CD17">
        <v>427</v>
      </c>
      <c r="CE17">
        <v>436</v>
      </c>
      <c r="CF17">
        <v>419</v>
      </c>
      <c r="CG17">
        <v>401</v>
      </c>
      <c r="CH17">
        <v>404</v>
      </c>
      <c r="CI17">
        <v>383</v>
      </c>
      <c r="CJ17">
        <v>353</v>
      </c>
      <c r="CK17">
        <v>351</v>
      </c>
      <c r="CL17">
        <v>350</v>
      </c>
      <c r="CM17">
        <v>340</v>
      </c>
      <c r="CN17">
        <v>350</v>
      </c>
      <c r="CO17">
        <v>350</v>
      </c>
      <c r="CP17">
        <v>340</v>
      </c>
      <c r="CQ17">
        <v>340</v>
      </c>
      <c r="CR17">
        <v>340</v>
      </c>
      <c r="CS17">
        <v>320</v>
      </c>
    </row>
    <row r="18" spans="1:97">
      <c r="A18" s="2">
        <v>46251</v>
      </c>
      <c r="B18">
        <v>330</v>
      </c>
      <c r="C18">
        <v>320</v>
      </c>
      <c r="D18">
        <v>330</v>
      </c>
      <c r="E18">
        <v>330</v>
      </c>
      <c r="F18">
        <v>340</v>
      </c>
      <c r="G18">
        <v>340</v>
      </c>
      <c r="H18">
        <v>330</v>
      </c>
      <c r="I18">
        <v>330</v>
      </c>
      <c r="J18">
        <v>330</v>
      </c>
      <c r="K18">
        <v>330</v>
      </c>
      <c r="L18">
        <v>330</v>
      </c>
      <c r="M18">
        <v>330</v>
      </c>
      <c r="N18">
        <v>330</v>
      </c>
      <c r="O18">
        <v>330</v>
      </c>
      <c r="P18">
        <v>330</v>
      </c>
      <c r="Q18">
        <v>310</v>
      </c>
      <c r="R18">
        <v>320</v>
      </c>
      <c r="S18">
        <v>320</v>
      </c>
      <c r="T18">
        <v>320</v>
      </c>
      <c r="U18">
        <v>320</v>
      </c>
      <c r="V18">
        <v>320</v>
      </c>
      <c r="W18">
        <v>310</v>
      </c>
      <c r="X18">
        <v>310</v>
      </c>
      <c r="Y18">
        <v>310</v>
      </c>
      <c r="Z18">
        <v>328</v>
      </c>
      <c r="AA18">
        <v>320</v>
      </c>
      <c r="AB18">
        <v>330</v>
      </c>
      <c r="AC18">
        <v>330</v>
      </c>
      <c r="AD18">
        <v>320</v>
      </c>
      <c r="AE18">
        <v>330</v>
      </c>
      <c r="AF18">
        <v>330</v>
      </c>
      <c r="AG18">
        <v>332</v>
      </c>
      <c r="AH18">
        <v>325</v>
      </c>
      <c r="AI18">
        <v>340</v>
      </c>
      <c r="AJ18">
        <v>341</v>
      </c>
      <c r="AK18">
        <v>341</v>
      </c>
      <c r="AL18">
        <v>342</v>
      </c>
      <c r="AM18">
        <v>338</v>
      </c>
      <c r="AN18">
        <v>347</v>
      </c>
      <c r="AO18">
        <v>347</v>
      </c>
      <c r="AP18">
        <v>349</v>
      </c>
      <c r="AQ18">
        <v>366</v>
      </c>
      <c r="AR18">
        <v>370</v>
      </c>
      <c r="AS18">
        <v>368</v>
      </c>
      <c r="AT18">
        <v>364</v>
      </c>
      <c r="AU18">
        <v>353</v>
      </c>
      <c r="AV18">
        <v>351</v>
      </c>
      <c r="AW18">
        <v>351</v>
      </c>
      <c r="AX18">
        <v>360</v>
      </c>
      <c r="AY18">
        <v>350</v>
      </c>
      <c r="AZ18">
        <v>350</v>
      </c>
      <c r="BA18">
        <v>350</v>
      </c>
      <c r="BB18">
        <v>355</v>
      </c>
      <c r="BC18">
        <v>343</v>
      </c>
      <c r="BD18">
        <v>356</v>
      </c>
      <c r="BE18">
        <v>362</v>
      </c>
      <c r="BF18">
        <v>340</v>
      </c>
      <c r="BG18">
        <v>337</v>
      </c>
      <c r="BH18">
        <v>327</v>
      </c>
      <c r="BI18">
        <v>334</v>
      </c>
      <c r="BJ18">
        <v>343</v>
      </c>
      <c r="BK18">
        <v>334</v>
      </c>
      <c r="BL18">
        <v>333</v>
      </c>
      <c r="BM18">
        <v>333</v>
      </c>
      <c r="BN18">
        <v>351</v>
      </c>
      <c r="BO18">
        <v>341</v>
      </c>
      <c r="BP18">
        <v>342</v>
      </c>
      <c r="BQ18">
        <v>342</v>
      </c>
      <c r="BR18">
        <v>350</v>
      </c>
      <c r="BS18">
        <v>340</v>
      </c>
      <c r="BT18">
        <v>340</v>
      </c>
      <c r="BU18">
        <v>349</v>
      </c>
      <c r="BV18">
        <v>349</v>
      </c>
      <c r="BW18">
        <v>340</v>
      </c>
      <c r="BX18">
        <v>340</v>
      </c>
      <c r="BY18">
        <v>340</v>
      </c>
      <c r="BZ18">
        <v>350</v>
      </c>
      <c r="CA18">
        <v>357</v>
      </c>
      <c r="CB18">
        <v>374</v>
      </c>
      <c r="CC18">
        <v>367</v>
      </c>
      <c r="CD18">
        <v>366</v>
      </c>
      <c r="CE18">
        <v>365</v>
      </c>
      <c r="CF18">
        <v>364</v>
      </c>
      <c r="CG18">
        <v>362</v>
      </c>
      <c r="CH18">
        <v>353</v>
      </c>
      <c r="CI18">
        <v>341</v>
      </c>
      <c r="CJ18">
        <v>330</v>
      </c>
      <c r="CK18">
        <v>320</v>
      </c>
      <c r="CL18">
        <v>320</v>
      </c>
      <c r="CM18">
        <v>320</v>
      </c>
      <c r="CN18">
        <v>320</v>
      </c>
      <c r="CO18">
        <v>320</v>
      </c>
      <c r="CP18">
        <v>310</v>
      </c>
      <c r="CQ18">
        <v>310</v>
      </c>
      <c r="CR18">
        <v>-100</v>
      </c>
      <c r="CS18">
        <v>-100</v>
      </c>
    </row>
    <row r="19" spans="1:97">
      <c r="A19" s="2">
        <v>46252</v>
      </c>
      <c r="B19">
        <v>310</v>
      </c>
      <c r="C19">
        <v>310</v>
      </c>
      <c r="D19">
        <v>310</v>
      </c>
      <c r="E19">
        <v>320</v>
      </c>
      <c r="F19">
        <v>340</v>
      </c>
      <c r="G19">
        <v>330</v>
      </c>
      <c r="H19">
        <v>330</v>
      </c>
      <c r="I19">
        <v>330</v>
      </c>
      <c r="J19">
        <v>330</v>
      </c>
      <c r="K19">
        <v>320</v>
      </c>
      <c r="L19">
        <v>310</v>
      </c>
      <c r="M19">
        <v>310</v>
      </c>
      <c r="N19">
        <v>330</v>
      </c>
      <c r="O19">
        <v>330</v>
      </c>
      <c r="P19">
        <v>330</v>
      </c>
      <c r="Q19">
        <v>330</v>
      </c>
      <c r="R19">
        <v>330</v>
      </c>
      <c r="S19">
        <v>340</v>
      </c>
      <c r="T19">
        <v>350</v>
      </c>
      <c r="U19">
        <v>350</v>
      </c>
      <c r="V19">
        <v>360</v>
      </c>
      <c r="W19">
        <v>360</v>
      </c>
      <c r="X19">
        <v>360</v>
      </c>
      <c r="Y19">
        <v>370</v>
      </c>
      <c r="Z19">
        <v>409</v>
      </c>
      <c r="AA19">
        <v>419</v>
      </c>
      <c r="AB19">
        <v>497</v>
      </c>
      <c r="AC19">
        <v>507</v>
      </c>
      <c r="AD19">
        <v>429</v>
      </c>
      <c r="AE19">
        <v>439</v>
      </c>
      <c r="AF19">
        <v>419</v>
      </c>
      <c r="AG19">
        <v>399</v>
      </c>
      <c r="AH19">
        <v>373</v>
      </c>
      <c r="AI19">
        <v>367</v>
      </c>
      <c r="AJ19">
        <v>359</v>
      </c>
      <c r="AK19">
        <v>340</v>
      </c>
      <c r="AL19">
        <v>342</v>
      </c>
      <c r="AM19">
        <v>346</v>
      </c>
      <c r="AN19">
        <v>338</v>
      </c>
      <c r="AO19">
        <v>348</v>
      </c>
      <c r="AP19">
        <v>348</v>
      </c>
      <c r="AQ19">
        <v>347</v>
      </c>
      <c r="AR19">
        <v>358</v>
      </c>
      <c r="AS19">
        <v>348</v>
      </c>
      <c r="AT19">
        <v>356</v>
      </c>
      <c r="AU19">
        <v>346</v>
      </c>
      <c r="AV19">
        <v>355</v>
      </c>
      <c r="AW19">
        <v>355</v>
      </c>
      <c r="AX19">
        <v>337</v>
      </c>
      <c r="AY19">
        <v>333</v>
      </c>
      <c r="AZ19">
        <v>337</v>
      </c>
      <c r="BA19">
        <v>337</v>
      </c>
      <c r="BB19">
        <v>338</v>
      </c>
      <c r="BC19">
        <v>338</v>
      </c>
      <c r="BD19">
        <v>338</v>
      </c>
      <c r="BE19">
        <v>347</v>
      </c>
      <c r="BF19">
        <v>346</v>
      </c>
      <c r="BG19">
        <v>337</v>
      </c>
      <c r="BH19">
        <v>339</v>
      </c>
      <c r="BI19">
        <v>328</v>
      </c>
      <c r="BJ19">
        <v>347</v>
      </c>
      <c r="BK19">
        <v>351</v>
      </c>
      <c r="BL19">
        <v>351</v>
      </c>
      <c r="BM19">
        <v>361</v>
      </c>
      <c r="BN19">
        <v>443</v>
      </c>
      <c r="BO19">
        <v>420</v>
      </c>
      <c r="BP19">
        <v>463</v>
      </c>
      <c r="BQ19">
        <v>454</v>
      </c>
      <c r="BR19">
        <v>472</v>
      </c>
      <c r="BS19">
        <v>448</v>
      </c>
      <c r="BT19">
        <v>455</v>
      </c>
      <c r="BU19">
        <v>442</v>
      </c>
      <c r="BV19">
        <v>471</v>
      </c>
      <c r="BW19">
        <v>507</v>
      </c>
      <c r="BX19">
        <v>485</v>
      </c>
      <c r="BY19">
        <v>494</v>
      </c>
      <c r="BZ19">
        <v>494</v>
      </c>
      <c r="CA19">
        <v>570</v>
      </c>
      <c r="CB19">
        <v>610</v>
      </c>
      <c r="CC19">
        <v>599</v>
      </c>
      <c r="CD19">
        <v>526</v>
      </c>
      <c r="CE19">
        <v>532</v>
      </c>
      <c r="CF19">
        <v>555</v>
      </c>
      <c r="CG19">
        <v>526</v>
      </c>
      <c r="CH19">
        <v>587</v>
      </c>
      <c r="CI19">
        <v>547</v>
      </c>
      <c r="CJ19">
        <v>537</v>
      </c>
      <c r="CK19">
        <v>448</v>
      </c>
      <c r="CL19">
        <v>458</v>
      </c>
      <c r="CM19">
        <v>478</v>
      </c>
      <c r="CN19">
        <v>448</v>
      </c>
      <c r="CO19">
        <v>419</v>
      </c>
      <c r="CP19">
        <v>370</v>
      </c>
      <c r="CQ19">
        <v>360</v>
      </c>
      <c r="CR19">
        <v>360</v>
      </c>
      <c r="CS19">
        <v>350</v>
      </c>
    </row>
    <row r="20" spans="1:97">
      <c r="A20" s="2">
        <v>46253</v>
      </c>
      <c r="B20">
        <v>360</v>
      </c>
      <c r="C20">
        <v>360</v>
      </c>
      <c r="D20">
        <v>360</v>
      </c>
      <c r="E20">
        <v>360</v>
      </c>
      <c r="F20">
        <v>398</v>
      </c>
      <c r="G20">
        <v>398</v>
      </c>
      <c r="H20">
        <v>392</v>
      </c>
      <c r="I20">
        <v>398</v>
      </c>
      <c r="J20">
        <v>398</v>
      </c>
      <c r="K20">
        <v>388</v>
      </c>
      <c r="L20">
        <v>388</v>
      </c>
      <c r="M20">
        <v>384</v>
      </c>
      <c r="N20">
        <v>369</v>
      </c>
      <c r="O20">
        <v>369</v>
      </c>
      <c r="P20">
        <v>370</v>
      </c>
      <c r="Q20">
        <v>360</v>
      </c>
      <c r="R20">
        <v>370</v>
      </c>
      <c r="S20">
        <v>370</v>
      </c>
      <c r="T20">
        <v>370</v>
      </c>
      <c r="U20">
        <v>388</v>
      </c>
      <c r="V20">
        <v>388</v>
      </c>
      <c r="W20">
        <v>388</v>
      </c>
      <c r="X20">
        <v>388</v>
      </c>
      <c r="Y20">
        <v>379</v>
      </c>
      <c r="Z20">
        <v>409</v>
      </c>
      <c r="AA20">
        <v>399</v>
      </c>
      <c r="AB20">
        <v>399</v>
      </c>
      <c r="AC20">
        <v>370</v>
      </c>
      <c r="AD20">
        <v>360</v>
      </c>
      <c r="AE20">
        <v>360</v>
      </c>
      <c r="AF20">
        <v>340</v>
      </c>
      <c r="AG20">
        <v>352</v>
      </c>
      <c r="AH20">
        <v>354</v>
      </c>
      <c r="AI20">
        <v>347</v>
      </c>
      <c r="AJ20">
        <v>339</v>
      </c>
      <c r="AK20">
        <v>341</v>
      </c>
      <c r="AL20">
        <v>342</v>
      </c>
      <c r="AM20">
        <v>346</v>
      </c>
      <c r="AN20">
        <v>370</v>
      </c>
      <c r="AO20">
        <v>355</v>
      </c>
      <c r="AP20">
        <v>360</v>
      </c>
      <c r="AQ20">
        <v>401</v>
      </c>
      <c r="AR20">
        <v>396</v>
      </c>
      <c r="AS20">
        <v>408</v>
      </c>
      <c r="AT20">
        <v>404</v>
      </c>
      <c r="AU20">
        <v>392</v>
      </c>
      <c r="AV20">
        <v>374</v>
      </c>
      <c r="AW20">
        <v>383</v>
      </c>
      <c r="AX20">
        <v>383</v>
      </c>
      <c r="AY20">
        <v>383</v>
      </c>
      <c r="AZ20">
        <v>374</v>
      </c>
      <c r="BA20">
        <v>389</v>
      </c>
      <c r="BB20">
        <v>390</v>
      </c>
      <c r="BC20">
        <v>392</v>
      </c>
      <c r="BD20">
        <v>398</v>
      </c>
      <c r="BE20">
        <v>391</v>
      </c>
      <c r="BF20">
        <v>366</v>
      </c>
      <c r="BG20">
        <v>390</v>
      </c>
      <c r="BH20">
        <v>399</v>
      </c>
      <c r="BI20">
        <v>403</v>
      </c>
      <c r="BJ20">
        <v>419</v>
      </c>
      <c r="BK20">
        <v>409</v>
      </c>
      <c r="BL20">
        <v>406</v>
      </c>
      <c r="BM20">
        <v>409</v>
      </c>
      <c r="BN20">
        <v>439</v>
      </c>
      <c r="BO20">
        <v>439</v>
      </c>
      <c r="BP20">
        <v>425</v>
      </c>
      <c r="BQ20">
        <v>419</v>
      </c>
      <c r="BR20">
        <v>417</v>
      </c>
      <c r="BS20">
        <v>446</v>
      </c>
      <c r="BT20">
        <v>424</v>
      </c>
      <c r="BU20">
        <v>430</v>
      </c>
      <c r="BV20">
        <v>459</v>
      </c>
      <c r="BW20">
        <v>433</v>
      </c>
      <c r="BX20">
        <v>461</v>
      </c>
      <c r="BY20">
        <v>441</v>
      </c>
      <c r="BZ20">
        <v>452</v>
      </c>
      <c r="CA20">
        <v>464</v>
      </c>
      <c r="CB20">
        <v>568</v>
      </c>
      <c r="CC20">
        <v>482</v>
      </c>
      <c r="CD20">
        <v>395</v>
      </c>
      <c r="CE20">
        <v>419</v>
      </c>
      <c r="CF20">
        <v>393</v>
      </c>
      <c r="CG20">
        <v>393</v>
      </c>
      <c r="CH20">
        <v>357</v>
      </c>
      <c r="CI20">
        <v>348</v>
      </c>
      <c r="CJ20">
        <v>335</v>
      </c>
      <c r="CK20">
        <v>325</v>
      </c>
      <c r="CL20">
        <v>323</v>
      </c>
      <c r="CM20">
        <v>312</v>
      </c>
      <c r="CN20">
        <v>320</v>
      </c>
      <c r="CO20">
        <v>320</v>
      </c>
      <c r="CP20">
        <v>320</v>
      </c>
      <c r="CQ20">
        <v>320</v>
      </c>
      <c r="CR20">
        <v>320</v>
      </c>
      <c r="CS20">
        <v>330</v>
      </c>
    </row>
    <row r="21" spans="1:97">
      <c r="A21" s="2">
        <v>46254</v>
      </c>
      <c r="B21">
        <v>320</v>
      </c>
      <c r="C21">
        <v>320</v>
      </c>
      <c r="D21">
        <v>-100</v>
      </c>
      <c r="E21">
        <v>310</v>
      </c>
      <c r="F21">
        <v>-100</v>
      </c>
      <c r="G21">
        <v>-100</v>
      </c>
      <c r="H21">
        <v>-100</v>
      </c>
      <c r="I21">
        <v>-100</v>
      </c>
      <c r="J21">
        <v>-100</v>
      </c>
      <c r="K21">
        <v>-100</v>
      </c>
      <c r="L21">
        <v>-100</v>
      </c>
      <c r="M21">
        <v>-100</v>
      </c>
      <c r="N21">
        <v>-100</v>
      </c>
      <c r="O21">
        <v>-100</v>
      </c>
      <c r="P21">
        <v>-100</v>
      </c>
      <c r="Q21">
        <v>-100</v>
      </c>
      <c r="R21">
        <v>-100</v>
      </c>
      <c r="S21">
        <v>-100</v>
      </c>
      <c r="T21">
        <v>-100</v>
      </c>
      <c r="U21">
        <v>-100</v>
      </c>
      <c r="V21">
        <v>320</v>
      </c>
      <c r="W21">
        <v>0</v>
      </c>
      <c r="X21">
        <v>320</v>
      </c>
      <c r="Y21">
        <v>310</v>
      </c>
      <c r="Z21">
        <v>320</v>
      </c>
      <c r="AA21">
        <v>320</v>
      </c>
      <c r="AB21">
        <v>320</v>
      </c>
      <c r="AC21">
        <v>320</v>
      </c>
      <c r="AD21">
        <v>320</v>
      </c>
      <c r="AE21">
        <v>320</v>
      </c>
      <c r="AF21">
        <v>320</v>
      </c>
      <c r="AG21">
        <v>322</v>
      </c>
      <c r="AH21">
        <v>345</v>
      </c>
      <c r="AI21">
        <v>336</v>
      </c>
      <c r="AJ21">
        <v>321</v>
      </c>
      <c r="AK21">
        <v>322</v>
      </c>
      <c r="AL21">
        <v>333</v>
      </c>
      <c r="AM21">
        <v>333</v>
      </c>
      <c r="AN21">
        <v>334</v>
      </c>
      <c r="AO21">
        <v>325</v>
      </c>
      <c r="AP21">
        <v>332</v>
      </c>
      <c r="AQ21">
        <v>347</v>
      </c>
      <c r="AR21">
        <v>348</v>
      </c>
      <c r="AS21">
        <v>-49</v>
      </c>
      <c r="AT21">
        <v>-43</v>
      </c>
      <c r="AU21">
        <v>-58</v>
      </c>
      <c r="AV21">
        <v>324</v>
      </c>
      <c r="AW21">
        <v>323</v>
      </c>
      <c r="AX21">
        <v>-61</v>
      </c>
      <c r="AY21">
        <v>-60</v>
      </c>
      <c r="AZ21">
        <v>-46</v>
      </c>
      <c r="BA21">
        <v>-49</v>
      </c>
      <c r="BB21">
        <v>-60</v>
      </c>
      <c r="BC21">
        <v>-60</v>
      </c>
      <c r="BD21">
        <v>-60</v>
      </c>
      <c r="BE21">
        <v>-60</v>
      </c>
      <c r="BF21">
        <v>-61</v>
      </c>
      <c r="BG21">
        <v>-50</v>
      </c>
      <c r="BH21">
        <v>-49</v>
      </c>
      <c r="BI21">
        <v>-49</v>
      </c>
      <c r="BJ21">
        <v>1</v>
      </c>
      <c r="BK21">
        <v>-1</v>
      </c>
      <c r="BL21">
        <v>-2</v>
      </c>
      <c r="BM21">
        <v>8</v>
      </c>
      <c r="BN21">
        <v>15</v>
      </c>
      <c r="BO21">
        <v>7</v>
      </c>
      <c r="BP21">
        <v>0</v>
      </c>
      <c r="BQ21">
        <v>-63</v>
      </c>
      <c r="BR21">
        <v>-63</v>
      </c>
      <c r="BS21">
        <v>-64</v>
      </c>
      <c r="BT21">
        <v>32</v>
      </c>
      <c r="BU21">
        <v>322</v>
      </c>
      <c r="BV21">
        <v>-62</v>
      </c>
      <c r="BW21">
        <v>-51</v>
      </c>
      <c r="BX21">
        <v>313</v>
      </c>
      <c r="BY21">
        <v>331</v>
      </c>
      <c r="BZ21">
        <v>363</v>
      </c>
      <c r="CA21">
        <v>363</v>
      </c>
      <c r="CB21">
        <v>363</v>
      </c>
      <c r="CC21">
        <v>359</v>
      </c>
      <c r="CD21">
        <v>340</v>
      </c>
      <c r="CE21">
        <v>340</v>
      </c>
      <c r="CF21">
        <v>339</v>
      </c>
      <c r="CG21">
        <v>336</v>
      </c>
      <c r="CH21">
        <v>-74</v>
      </c>
      <c r="CI21">
        <v>315</v>
      </c>
      <c r="CJ21">
        <v>-80</v>
      </c>
      <c r="CK21">
        <v>-81</v>
      </c>
      <c r="CL21">
        <v>-100</v>
      </c>
      <c r="CM21">
        <v>-100</v>
      </c>
      <c r="CN21">
        <v>-100</v>
      </c>
      <c r="CO21">
        <v>-100</v>
      </c>
      <c r="CP21">
        <v>-100</v>
      </c>
      <c r="CQ21">
        <v>-100</v>
      </c>
      <c r="CR21">
        <v>-100</v>
      </c>
      <c r="CS21">
        <v>-100</v>
      </c>
    </row>
    <row r="22" spans="1:97">
      <c r="A22" s="2">
        <v>46255</v>
      </c>
      <c r="B22">
        <v>320</v>
      </c>
      <c r="C22">
        <v>310</v>
      </c>
      <c r="D22">
        <v>-100</v>
      </c>
      <c r="E22">
        <v>-100</v>
      </c>
      <c r="F22">
        <v>-1</v>
      </c>
      <c r="G22">
        <v>320</v>
      </c>
      <c r="H22">
        <v>320</v>
      </c>
      <c r="I22">
        <v>320</v>
      </c>
      <c r="J22">
        <v>320</v>
      </c>
      <c r="K22">
        <v>310</v>
      </c>
      <c r="L22">
        <v>-100</v>
      </c>
      <c r="M22">
        <v>-100</v>
      </c>
      <c r="N22">
        <v>-100</v>
      </c>
      <c r="O22">
        <v>310</v>
      </c>
      <c r="P22">
        <v>-100</v>
      </c>
      <c r="Q22">
        <v>-100</v>
      </c>
      <c r="R22">
        <v>-100</v>
      </c>
      <c r="S22">
        <v>-100</v>
      </c>
      <c r="T22">
        <v>-100</v>
      </c>
      <c r="U22">
        <v>-100</v>
      </c>
      <c r="V22">
        <v>0</v>
      </c>
      <c r="W22">
        <v>310</v>
      </c>
      <c r="X22">
        <v>310</v>
      </c>
      <c r="Y22">
        <v>320</v>
      </c>
      <c r="Z22">
        <v>320</v>
      </c>
      <c r="AA22">
        <v>320</v>
      </c>
      <c r="AB22">
        <v>320</v>
      </c>
      <c r="AC22">
        <v>310</v>
      </c>
      <c r="AD22">
        <v>320</v>
      </c>
      <c r="AE22">
        <v>320</v>
      </c>
      <c r="AF22">
        <v>-100</v>
      </c>
      <c r="AG22">
        <v>-96</v>
      </c>
      <c r="AH22">
        <v>332</v>
      </c>
      <c r="AI22">
        <v>327</v>
      </c>
      <c r="AJ22">
        <v>329</v>
      </c>
      <c r="AK22">
        <v>330</v>
      </c>
      <c r="AL22">
        <v>333</v>
      </c>
      <c r="AM22">
        <v>324</v>
      </c>
      <c r="AN22">
        <v>-58</v>
      </c>
      <c r="AO22">
        <v>-56</v>
      </c>
      <c r="AP22">
        <v>334</v>
      </c>
      <c r="AQ22">
        <v>-55</v>
      </c>
      <c r="AR22">
        <v>335</v>
      </c>
      <c r="AS22">
        <v>335</v>
      </c>
      <c r="AT22">
        <v>353</v>
      </c>
      <c r="AU22">
        <v>352</v>
      </c>
      <c r="AV22">
        <v>343</v>
      </c>
      <c r="AW22">
        <v>334</v>
      </c>
      <c r="AX22">
        <v>343</v>
      </c>
      <c r="AY22">
        <v>352</v>
      </c>
      <c r="AZ22">
        <v>343</v>
      </c>
      <c r="BA22">
        <v>343</v>
      </c>
      <c r="BB22">
        <v>334</v>
      </c>
      <c r="BC22">
        <v>334</v>
      </c>
      <c r="BD22">
        <v>334</v>
      </c>
      <c r="BE22">
        <v>346</v>
      </c>
      <c r="BF22">
        <v>346</v>
      </c>
      <c r="BG22">
        <v>390</v>
      </c>
      <c r="BH22">
        <v>389</v>
      </c>
      <c r="BI22">
        <v>373</v>
      </c>
      <c r="BJ22">
        <v>399</v>
      </c>
      <c r="BK22">
        <v>394</v>
      </c>
      <c r="BL22">
        <v>352</v>
      </c>
      <c r="BM22">
        <v>383</v>
      </c>
      <c r="BN22">
        <v>414</v>
      </c>
      <c r="BO22">
        <v>401</v>
      </c>
      <c r="BP22">
        <v>417</v>
      </c>
      <c r="BQ22">
        <v>395</v>
      </c>
      <c r="BR22">
        <v>408</v>
      </c>
      <c r="BS22">
        <v>399</v>
      </c>
      <c r="BT22">
        <v>383</v>
      </c>
      <c r="BU22">
        <v>425</v>
      </c>
      <c r="BV22">
        <v>427</v>
      </c>
      <c r="BW22">
        <v>457</v>
      </c>
      <c r="BX22">
        <v>503</v>
      </c>
      <c r="BY22">
        <v>513</v>
      </c>
      <c r="BZ22">
        <v>527</v>
      </c>
      <c r="CA22">
        <v>559</v>
      </c>
      <c r="CB22">
        <v>573</v>
      </c>
      <c r="CC22">
        <v>550</v>
      </c>
      <c r="CD22">
        <v>431</v>
      </c>
      <c r="CE22">
        <v>472</v>
      </c>
      <c r="CF22">
        <v>433</v>
      </c>
      <c r="CG22">
        <v>383</v>
      </c>
      <c r="CH22">
        <v>392</v>
      </c>
      <c r="CI22">
        <v>383</v>
      </c>
      <c r="CJ22">
        <v>371</v>
      </c>
      <c r="CK22">
        <v>351</v>
      </c>
      <c r="CL22">
        <v>368</v>
      </c>
      <c r="CM22">
        <v>370</v>
      </c>
      <c r="CN22">
        <v>380</v>
      </c>
      <c r="CO22">
        <v>380</v>
      </c>
      <c r="CP22">
        <v>400</v>
      </c>
      <c r="CQ22">
        <v>380</v>
      </c>
      <c r="CR22">
        <v>370</v>
      </c>
      <c r="CS22">
        <v>360</v>
      </c>
    </row>
    <row r="23" spans="1:97">
      <c r="A23" s="2">
        <v>46256</v>
      </c>
      <c r="B23">
        <v>360</v>
      </c>
      <c r="C23">
        <v>360</v>
      </c>
      <c r="D23">
        <v>360</v>
      </c>
      <c r="E23">
        <v>370</v>
      </c>
      <c r="F23">
        <v>370</v>
      </c>
      <c r="G23">
        <v>370</v>
      </c>
      <c r="H23">
        <v>380</v>
      </c>
      <c r="I23">
        <v>380</v>
      </c>
      <c r="J23">
        <v>370</v>
      </c>
      <c r="K23">
        <v>370</v>
      </c>
      <c r="L23">
        <v>360</v>
      </c>
      <c r="M23">
        <v>360</v>
      </c>
      <c r="N23">
        <v>360</v>
      </c>
      <c r="O23">
        <v>360</v>
      </c>
      <c r="P23">
        <v>360</v>
      </c>
      <c r="Q23">
        <v>360</v>
      </c>
      <c r="R23">
        <v>360</v>
      </c>
      <c r="S23">
        <v>360</v>
      </c>
      <c r="T23">
        <v>360</v>
      </c>
      <c r="U23">
        <v>370</v>
      </c>
      <c r="V23">
        <v>370</v>
      </c>
      <c r="W23">
        <v>360</v>
      </c>
      <c r="X23">
        <v>370</v>
      </c>
      <c r="Y23">
        <v>370</v>
      </c>
      <c r="Z23">
        <v>400</v>
      </c>
      <c r="AA23">
        <v>400</v>
      </c>
      <c r="AB23">
        <v>380</v>
      </c>
      <c r="AC23">
        <v>380</v>
      </c>
      <c r="AD23">
        <v>380</v>
      </c>
      <c r="AE23">
        <v>370</v>
      </c>
      <c r="AF23">
        <v>380</v>
      </c>
      <c r="AG23">
        <v>380</v>
      </c>
      <c r="AH23">
        <v>390</v>
      </c>
      <c r="AI23">
        <v>381</v>
      </c>
      <c r="AJ23">
        <v>373</v>
      </c>
      <c r="AK23">
        <v>368</v>
      </c>
      <c r="AL23">
        <v>378</v>
      </c>
      <c r="AM23">
        <v>369</v>
      </c>
      <c r="AN23">
        <v>379</v>
      </c>
      <c r="AO23">
        <v>370</v>
      </c>
      <c r="AP23">
        <v>361</v>
      </c>
      <c r="AQ23">
        <v>361</v>
      </c>
      <c r="AR23">
        <v>374</v>
      </c>
      <c r="AS23">
        <v>352</v>
      </c>
      <c r="AT23">
        <v>343</v>
      </c>
      <c r="AU23">
        <v>342</v>
      </c>
      <c r="AV23">
        <v>333</v>
      </c>
      <c r="AW23">
        <v>332</v>
      </c>
      <c r="AX23">
        <v>331</v>
      </c>
      <c r="AY23">
        <v>332</v>
      </c>
      <c r="AZ23">
        <v>341</v>
      </c>
      <c r="BA23">
        <v>332</v>
      </c>
      <c r="BB23">
        <v>333</v>
      </c>
      <c r="BC23">
        <v>333</v>
      </c>
      <c r="BD23">
        <v>369</v>
      </c>
      <c r="BE23">
        <v>354</v>
      </c>
      <c r="BF23">
        <v>352</v>
      </c>
      <c r="BG23">
        <v>-8</v>
      </c>
      <c r="BH23">
        <v>-2</v>
      </c>
      <c r="BI23">
        <v>-1</v>
      </c>
      <c r="BJ23">
        <v>-10</v>
      </c>
      <c r="BK23">
        <v>352</v>
      </c>
      <c r="BL23">
        <v>333</v>
      </c>
      <c r="BM23">
        <v>369</v>
      </c>
      <c r="BN23">
        <v>379</v>
      </c>
      <c r="BO23">
        <v>412</v>
      </c>
      <c r="BP23">
        <v>403</v>
      </c>
      <c r="BQ23">
        <v>369</v>
      </c>
      <c r="BR23">
        <v>515</v>
      </c>
      <c r="BS23">
        <v>470</v>
      </c>
      <c r="BT23">
        <v>403</v>
      </c>
      <c r="BU23">
        <v>492</v>
      </c>
      <c r="BV23">
        <v>474</v>
      </c>
      <c r="BW23">
        <v>434</v>
      </c>
      <c r="BX23">
        <v>395</v>
      </c>
      <c r="BY23">
        <v>358</v>
      </c>
      <c r="BZ23">
        <v>355</v>
      </c>
      <c r="CA23">
        <v>359</v>
      </c>
      <c r="CB23">
        <v>359</v>
      </c>
      <c r="CC23">
        <v>357</v>
      </c>
      <c r="CD23">
        <v>356</v>
      </c>
      <c r="CE23">
        <v>347</v>
      </c>
      <c r="CF23">
        <v>334</v>
      </c>
      <c r="CG23">
        <v>335</v>
      </c>
      <c r="CH23">
        <v>335</v>
      </c>
      <c r="CI23">
        <v>324</v>
      </c>
      <c r="CJ23">
        <v>323</v>
      </c>
      <c r="CK23">
        <v>323</v>
      </c>
      <c r="CL23">
        <v>313</v>
      </c>
      <c r="CM23">
        <v>322</v>
      </c>
      <c r="CN23">
        <v>321</v>
      </c>
      <c r="CO23">
        <v>320</v>
      </c>
      <c r="CP23">
        <v>320</v>
      </c>
      <c r="CQ23">
        <v>320</v>
      </c>
      <c r="CR23">
        <v>320</v>
      </c>
      <c r="CS23">
        <v>320</v>
      </c>
    </row>
    <row r="24" spans="1:97">
      <c r="A24" s="2">
        <v>46257</v>
      </c>
      <c r="B24">
        <v>340</v>
      </c>
      <c r="C24">
        <v>330</v>
      </c>
      <c r="D24">
        <v>330</v>
      </c>
      <c r="E24">
        <v>330</v>
      </c>
      <c r="F24">
        <v>320</v>
      </c>
      <c r="G24">
        <v>320</v>
      </c>
      <c r="H24">
        <v>320</v>
      </c>
      <c r="I24">
        <v>317</v>
      </c>
      <c r="J24">
        <v>-1</v>
      </c>
      <c r="K24">
        <v>287</v>
      </c>
      <c r="L24">
        <v>285</v>
      </c>
      <c r="M24">
        <v>-100</v>
      </c>
      <c r="N24">
        <v>308</v>
      </c>
      <c r="O24">
        <v>308</v>
      </c>
      <c r="P24">
        <v>318</v>
      </c>
      <c r="Q24">
        <v>318</v>
      </c>
      <c r="R24">
        <v>320</v>
      </c>
      <c r="S24">
        <v>310</v>
      </c>
      <c r="T24">
        <v>310</v>
      </c>
      <c r="U24">
        <v>310</v>
      </c>
      <c r="V24">
        <v>320</v>
      </c>
      <c r="W24">
        <v>320</v>
      </c>
      <c r="X24">
        <v>310</v>
      </c>
      <c r="Y24">
        <v>-100</v>
      </c>
      <c r="Z24">
        <v>320</v>
      </c>
      <c r="AA24">
        <v>310</v>
      </c>
      <c r="AB24">
        <v>310</v>
      </c>
      <c r="AC24">
        <v>310</v>
      </c>
      <c r="AD24">
        <v>320</v>
      </c>
      <c r="AE24">
        <v>320</v>
      </c>
      <c r="AF24">
        <v>320</v>
      </c>
      <c r="AG24">
        <v>310</v>
      </c>
      <c r="AH24">
        <v>331</v>
      </c>
      <c r="AI24">
        <v>323</v>
      </c>
      <c r="AJ24">
        <v>-77</v>
      </c>
      <c r="AK24">
        <v>-75</v>
      </c>
      <c r="AL24">
        <v>-70</v>
      </c>
      <c r="AM24">
        <v>-68</v>
      </c>
      <c r="AN24">
        <v>-66</v>
      </c>
      <c r="AO24">
        <v>-65</v>
      </c>
      <c r="AP24">
        <v>-63</v>
      </c>
      <c r="AQ24">
        <v>-65</v>
      </c>
      <c r="AR24">
        <v>-65</v>
      </c>
      <c r="AS24">
        <v>-64</v>
      </c>
      <c r="AT24">
        <v>323</v>
      </c>
      <c r="AU24">
        <v>331</v>
      </c>
      <c r="AV24">
        <v>340</v>
      </c>
      <c r="AW24">
        <v>349</v>
      </c>
      <c r="AX24">
        <v>330</v>
      </c>
      <c r="AY24">
        <v>340</v>
      </c>
      <c r="AZ24">
        <v>332</v>
      </c>
      <c r="BA24">
        <v>342</v>
      </c>
      <c r="BB24">
        <v>333</v>
      </c>
      <c r="BC24">
        <v>333</v>
      </c>
      <c r="BD24">
        <v>352</v>
      </c>
      <c r="BE24">
        <v>352</v>
      </c>
      <c r="BF24">
        <v>352</v>
      </c>
      <c r="BG24">
        <v>361</v>
      </c>
      <c r="BH24">
        <v>380</v>
      </c>
      <c r="BI24">
        <v>389</v>
      </c>
      <c r="BJ24">
        <v>389</v>
      </c>
      <c r="BK24">
        <v>408</v>
      </c>
      <c r="BL24">
        <v>408</v>
      </c>
      <c r="BM24">
        <v>440</v>
      </c>
      <c r="BN24">
        <v>646</v>
      </c>
      <c r="BO24">
        <v>1010</v>
      </c>
      <c r="BP24">
        <v>849</v>
      </c>
      <c r="BQ24">
        <v>581</v>
      </c>
      <c r="BR24">
        <v>924</v>
      </c>
      <c r="BS24">
        <v>985</v>
      </c>
      <c r="BT24">
        <v>986</v>
      </c>
      <c r="BU24">
        <v>1002</v>
      </c>
      <c r="BV24">
        <v>992</v>
      </c>
      <c r="BW24">
        <v>990</v>
      </c>
      <c r="BX24">
        <v>985</v>
      </c>
      <c r="BY24">
        <v>634</v>
      </c>
      <c r="BZ24">
        <v>983</v>
      </c>
      <c r="CA24">
        <v>1005</v>
      </c>
      <c r="CB24">
        <v>1017</v>
      </c>
      <c r="CC24">
        <v>1018</v>
      </c>
      <c r="CD24">
        <v>996</v>
      </c>
      <c r="CE24">
        <v>986</v>
      </c>
      <c r="CF24">
        <v>986</v>
      </c>
      <c r="CG24">
        <v>968</v>
      </c>
      <c r="CH24">
        <v>979</v>
      </c>
      <c r="CI24">
        <v>936</v>
      </c>
      <c r="CJ24">
        <v>959</v>
      </c>
      <c r="CK24">
        <v>487</v>
      </c>
      <c r="CL24">
        <v>503</v>
      </c>
      <c r="CM24">
        <v>560</v>
      </c>
      <c r="CN24">
        <v>501</v>
      </c>
      <c r="CO24">
        <v>544</v>
      </c>
      <c r="CP24">
        <v>525</v>
      </c>
      <c r="CQ24">
        <v>505</v>
      </c>
      <c r="CR24">
        <v>496</v>
      </c>
      <c r="CS24">
        <v>380</v>
      </c>
    </row>
    <row r="25" spans="1:97">
      <c r="A25" s="2">
        <v>46258</v>
      </c>
      <c r="B25">
        <v>641</v>
      </c>
      <c r="C25">
        <v>496</v>
      </c>
      <c r="D25">
        <v>486</v>
      </c>
      <c r="E25">
        <v>447</v>
      </c>
      <c r="F25">
        <v>496</v>
      </c>
      <c r="G25">
        <v>505</v>
      </c>
      <c r="H25">
        <v>544</v>
      </c>
      <c r="I25">
        <v>615</v>
      </c>
      <c r="J25">
        <v>549</v>
      </c>
      <c r="K25">
        <v>492</v>
      </c>
      <c r="L25">
        <v>438</v>
      </c>
      <c r="M25">
        <v>438</v>
      </c>
      <c r="N25">
        <v>883</v>
      </c>
      <c r="O25">
        <v>596</v>
      </c>
      <c r="P25">
        <v>502</v>
      </c>
      <c r="Q25">
        <v>505</v>
      </c>
      <c r="R25">
        <v>486</v>
      </c>
      <c r="S25">
        <v>438</v>
      </c>
      <c r="T25">
        <v>418</v>
      </c>
      <c r="U25">
        <v>399</v>
      </c>
      <c r="V25">
        <v>410</v>
      </c>
      <c r="W25">
        <v>380</v>
      </c>
      <c r="X25">
        <v>370</v>
      </c>
      <c r="Y25">
        <v>370</v>
      </c>
      <c r="Z25">
        <v>400</v>
      </c>
      <c r="AA25">
        <v>399</v>
      </c>
      <c r="AB25">
        <v>428</v>
      </c>
      <c r="AC25">
        <v>420</v>
      </c>
      <c r="AD25">
        <v>420</v>
      </c>
      <c r="AE25">
        <v>490</v>
      </c>
      <c r="AF25">
        <v>550</v>
      </c>
      <c r="AG25">
        <v>500</v>
      </c>
      <c r="AH25">
        <v>500</v>
      </c>
      <c r="AI25">
        <v>506</v>
      </c>
      <c r="AJ25">
        <v>513</v>
      </c>
      <c r="AK25">
        <v>519</v>
      </c>
      <c r="AL25">
        <v>404</v>
      </c>
      <c r="AM25">
        <v>415</v>
      </c>
      <c r="AN25">
        <v>398</v>
      </c>
      <c r="AO25">
        <v>397</v>
      </c>
      <c r="AP25">
        <v>385</v>
      </c>
      <c r="AQ25">
        <v>388</v>
      </c>
      <c r="AR25">
        <v>393</v>
      </c>
      <c r="AS25">
        <v>392</v>
      </c>
      <c r="AT25">
        <v>371</v>
      </c>
      <c r="AU25">
        <v>358</v>
      </c>
      <c r="AV25">
        <v>358</v>
      </c>
      <c r="AW25">
        <v>357</v>
      </c>
      <c r="AX25">
        <v>348</v>
      </c>
      <c r="AY25">
        <v>348</v>
      </c>
      <c r="AZ25">
        <v>354</v>
      </c>
      <c r="BA25">
        <v>335</v>
      </c>
      <c r="BB25">
        <v>343</v>
      </c>
      <c r="BC25">
        <v>323</v>
      </c>
      <c r="BD25">
        <v>313</v>
      </c>
      <c r="BE25">
        <v>312</v>
      </c>
      <c r="BF25">
        <v>312</v>
      </c>
      <c r="BG25">
        <v>312</v>
      </c>
      <c r="BH25">
        <v>310</v>
      </c>
      <c r="BI25">
        <v>312</v>
      </c>
      <c r="BJ25">
        <v>312</v>
      </c>
      <c r="BK25">
        <v>312</v>
      </c>
      <c r="BL25">
        <v>312</v>
      </c>
      <c r="BM25">
        <v>312</v>
      </c>
      <c r="BN25">
        <v>312</v>
      </c>
      <c r="BO25">
        <v>321</v>
      </c>
      <c r="BP25">
        <v>321</v>
      </c>
      <c r="BQ25">
        <v>299</v>
      </c>
      <c r="BR25">
        <v>337</v>
      </c>
      <c r="BS25">
        <v>320</v>
      </c>
      <c r="BT25">
        <v>337</v>
      </c>
      <c r="BU25">
        <v>348</v>
      </c>
      <c r="BV25">
        <v>358</v>
      </c>
      <c r="BW25">
        <v>348</v>
      </c>
      <c r="BX25">
        <v>358</v>
      </c>
      <c r="BY25">
        <v>358</v>
      </c>
      <c r="BZ25">
        <v>375</v>
      </c>
      <c r="CA25">
        <v>448</v>
      </c>
      <c r="CB25">
        <v>422</v>
      </c>
      <c r="CC25">
        <v>367</v>
      </c>
      <c r="CD25">
        <v>358</v>
      </c>
      <c r="CE25">
        <v>357</v>
      </c>
      <c r="CF25">
        <v>364</v>
      </c>
      <c r="CG25">
        <v>363</v>
      </c>
      <c r="CH25">
        <v>362</v>
      </c>
      <c r="CI25">
        <v>361</v>
      </c>
      <c r="CJ25">
        <v>351</v>
      </c>
      <c r="CK25">
        <v>340</v>
      </c>
      <c r="CL25">
        <v>330</v>
      </c>
      <c r="CM25">
        <v>330</v>
      </c>
      <c r="CN25">
        <v>330</v>
      </c>
      <c r="CO25">
        <v>330</v>
      </c>
      <c r="CP25">
        <v>298</v>
      </c>
      <c r="CQ25">
        <v>308</v>
      </c>
      <c r="CR25">
        <v>298</v>
      </c>
      <c r="CS25">
        <v>310</v>
      </c>
    </row>
    <row r="26" spans="1:97">
      <c r="A26" s="2">
        <v>46259</v>
      </c>
      <c r="B26">
        <v>290</v>
      </c>
      <c r="C26">
        <v>300</v>
      </c>
      <c r="D26">
        <v>290</v>
      </c>
      <c r="E26">
        <v>290</v>
      </c>
      <c r="F26">
        <v>290</v>
      </c>
      <c r="G26">
        <v>290</v>
      </c>
      <c r="H26">
        <v>310</v>
      </c>
      <c r="I26">
        <v>310</v>
      </c>
      <c r="J26">
        <v>310</v>
      </c>
      <c r="K26">
        <v>310</v>
      </c>
      <c r="L26">
        <v>310</v>
      </c>
      <c r="M26">
        <v>310</v>
      </c>
      <c r="N26">
        <v>320</v>
      </c>
      <c r="O26">
        <v>320</v>
      </c>
      <c r="P26">
        <v>320</v>
      </c>
      <c r="Q26">
        <v>320</v>
      </c>
      <c r="R26">
        <v>320</v>
      </c>
      <c r="S26">
        <v>320</v>
      </c>
      <c r="T26">
        <v>320</v>
      </c>
      <c r="U26">
        <v>320</v>
      </c>
      <c r="V26">
        <v>320</v>
      </c>
      <c r="W26">
        <v>320</v>
      </c>
      <c r="X26">
        <v>320</v>
      </c>
      <c r="Y26">
        <v>310</v>
      </c>
      <c r="Z26">
        <v>330</v>
      </c>
      <c r="AA26">
        <v>330</v>
      </c>
      <c r="AB26">
        <v>330</v>
      </c>
      <c r="AC26">
        <v>330</v>
      </c>
      <c r="AD26">
        <v>320</v>
      </c>
      <c r="AE26">
        <v>321</v>
      </c>
      <c r="AF26">
        <v>323</v>
      </c>
      <c r="AG26">
        <v>325</v>
      </c>
      <c r="AH26">
        <v>337</v>
      </c>
      <c r="AI26">
        <v>342</v>
      </c>
      <c r="AJ26">
        <v>342</v>
      </c>
      <c r="AK26">
        <v>344</v>
      </c>
      <c r="AL26">
        <v>335</v>
      </c>
      <c r="AM26">
        <v>337</v>
      </c>
      <c r="AN26">
        <v>338</v>
      </c>
      <c r="AO26">
        <v>338</v>
      </c>
      <c r="AP26">
        <v>341</v>
      </c>
      <c r="AQ26">
        <v>350</v>
      </c>
      <c r="AR26">
        <v>350</v>
      </c>
      <c r="AS26">
        <v>350</v>
      </c>
      <c r="AT26">
        <v>349</v>
      </c>
      <c r="AU26">
        <v>340</v>
      </c>
      <c r="AV26">
        <v>340</v>
      </c>
      <c r="AW26">
        <v>340</v>
      </c>
      <c r="AX26">
        <v>340</v>
      </c>
      <c r="AY26">
        <v>339</v>
      </c>
      <c r="AZ26">
        <v>337</v>
      </c>
      <c r="BA26">
        <v>347</v>
      </c>
      <c r="BB26">
        <v>342</v>
      </c>
      <c r="BC26">
        <v>354</v>
      </c>
      <c r="BD26">
        <v>362</v>
      </c>
      <c r="BE26">
        <v>353</v>
      </c>
      <c r="BF26">
        <v>358</v>
      </c>
      <c r="BG26">
        <v>357</v>
      </c>
      <c r="BH26">
        <v>370</v>
      </c>
      <c r="BI26">
        <v>366</v>
      </c>
      <c r="BJ26">
        <v>370</v>
      </c>
      <c r="BK26">
        <v>373</v>
      </c>
      <c r="BL26">
        <v>359</v>
      </c>
      <c r="BM26">
        <v>362</v>
      </c>
      <c r="BN26">
        <v>377</v>
      </c>
      <c r="BO26">
        <v>368</v>
      </c>
      <c r="BP26">
        <v>358</v>
      </c>
      <c r="BQ26">
        <v>357</v>
      </c>
      <c r="BR26">
        <v>357</v>
      </c>
      <c r="BS26">
        <v>365</v>
      </c>
      <c r="BT26">
        <v>357</v>
      </c>
      <c r="BU26">
        <v>374</v>
      </c>
      <c r="BV26">
        <v>365</v>
      </c>
      <c r="BW26">
        <v>374</v>
      </c>
      <c r="BX26">
        <v>417</v>
      </c>
      <c r="BY26">
        <v>497</v>
      </c>
      <c r="BZ26">
        <v>638</v>
      </c>
      <c r="CA26">
        <v>679</v>
      </c>
      <c r="CB26">
        <v>702</v>
      </c>
      <c r="CC26">
        <v>693</v>
      </c>
      <c r="CD26">
        <v>591</v>
      </c>
      <c r="CE26">
        <v>497</v>
      </c>
      <c r="CF26">
        <v>503</v>
      </c>
      <c r="CG26">
        <v>414</v>
      </c>
      <c r="CH26">
        <v>431</v>
      </c>
      <c r="CI26">
        <v>378</v>
      </c>
      <c r="CJ26">
        <v>385</v>
      </c>
      <c r="CK26">
        <v>374</v>
      </c>
      <c r="CL26">
        <v>354</v>
      </c>
      <c r="CM26">
        <v>343</v>
      </c>
      <c r="CN26">
        <v>342</v>
      </c>
      <c r="CO26">
        <v>350</v>
      </c>
      <c r="CP26">
        <v>340</v>
      </c>
      <c r="CQ26">
        <v>330</v>
      </c>
      <c r="CR26">
        <v>330</v>
      </c>
      <c r="CS26">
        <v>340</v>
      </c>
    </row>
    <row r="27" spans="1:97">
      <c r="A27" s="2">
        <v>46260</v>
      </c>
      <c r="B27">
        <v>370</v>
      </c>
      <c r="C27">
        <v>350</v>
      </c>
      <c r="D27">
        <v>350</v>
      </c>
      <c r="E27">
        <v>340</v>
      </c>
      <c r="F27">
        <v>350</v>
      </c>
      <c r="G27">
        <v>350</v>
      </c>
      <c r="H27">
        <v>340</v>
      </c>
      <c r="I27">
        <v>340</v>
      </c>
      <c r="J27">
        <v>340</v>
      </c>
      <c r="K27">
        <v>340</v>
      </c>
      <c r="L27">
        <v>340</v>
      </c>
      <c r="M27">
        <v>330</v>
      </c>
      <c r="N27">
        <v>330</v>
      </c>
      <c r="O27">
        <v>330</v>
      </c>
      <c r="P27">
        <v>330</v>
      </c>
      <c r="Q27">
        <v>330</v>
      </c>
      <c r="R27">
        <v>330</v>
      </c>
      <c r="S27">
        <v>330</v>
      </c>
      <c r="T27">
        <v>330</v>
      </c>
      <c r="U27">
        <v>330</v>
      </c>
      <c r="V27">
        <v>330</v>
      </c>
      <c r="W27">
        <v>330</v>
      </c>
      <c r="X27">
        <v>320</v>
      </c>
      <c r="Y27">
        <v>320</v>
      </c>
      <c r="Z27">
        <v>320</v>
      </c>
      <c r="AA27">
        <v>320</v>
      </c>
      <c r="AB27">
        <v>330</v>
      </c>
      <c r="AC27">
        <v>320</v>
      </c>
      <c r="AD27">
        <v>320</v>
      </c>
      <c r="AE27">
        <v>320</v>
      </c>
      <c r="AF27">
        <v>320</v>
      </c>
      <c r="AG27">
        <v>322</v>
      </c>
      <c r="AH27">
        <v>324</v>
      </c>
      <c r="AI27">
        <v>324</v>
      </c>
      <c r="AJ27">
        <v>326</v>
      </c>
      <c r="AK27">
        <v>326</v>
      </c>
      <c r="AL27">
        <v>328</v>
      </c>
      <c r="AM27">
        <v>327</v>
      </c>
      <c r="AN27">
        <v>328</v>
      </c>
      <c r="AO27">
        <v>328</v>
      </c>
      <c r="AP27">
        <v>328</v>
      </c>
      <c r="AQ27">
        <v>328</v>
      </c>
      <c r="AR27">
        <v>328</v>
      </c>
      <c r="AS27">
        <v>328</v>
      </c>
      <c r="AT27">
        <v>318</v>
      </c>
      <c r="AU27">
        <v>-72</v>
      </c>
      <c r="AV27">
        <v>-71</v>
      </c>
      <c r="AW27">
        <v>-72</v>
      </c>
      <c r="AX27">
        <v>-75</v>
      </c>
      <c r="AY27">
        <v>-68</v>
      </c>
      <c r="AZ27">
        <v>-69</v>
      </c>
      <c r="BA27">
        <v>-67</v>
      </c>
      <c r="BB27">
        <v>-66</v>
      </c>
      <c r="BC27">
        <v>-65</v>
      </c>
      <c r="BD27">
        <v>-66</v>
      </c>
      <c r="BE27">
        <v>-66</v>
      </c>
      <c r="BF27">
        <v>-67</v>
      </c>
      <c r="BG27">
        <v>-66</v>
      </c>
      <c r="BH27">
        <v>-66</v>
      </c>
      <c r="BI27">
        <v>-66</v>
      </c>
      <c r="BJ27">
        <v>319</v>
      </c>
      <c r="BK27">
        <v>309</v>
      </c>
      <c r="BL27">
        <v>328</v>
      </c>
      <c r="BM27">
        <v>328</v>
      </c>
      <c r="BN27">
        <v>337</v>
      </c>
      <c r="BO27">
        <v>337</v>
      </c>
      <c r="BP27">
        <v>345</v>
      </c>
      <c r="BQ27">
        <v>345</v>
      </c>
      <c r="BR27">
        <v>361</v>
      </c>
      <c r="BS27">
        <v>368</v>
      </c>
      <c r="BT27">
        <v>385</v>
      </c>
      <c r="BU27">
        <v>376</v>
      </c>
      <c r="BV27">
        <v>365</v>
      </c>
      <c r="BW27">
        <v>423</v>
      </c>
      <c r="BX27">
        <v>462</v>
      </c>
      <c r="BY27">
        <v>490</v>
      </c>
      <c r="BZ27">
        <v>480</v>
      </c>
      <c r="CA27">
        <v>663</v>
      </c>
      <c r="CB27">
        <v>556</v>
      </c>
      <c r="CC27">
        <v>452</v>
      </c>
      <c r="CD27">
        <v>503</v>
      </c>
      <c r="CE27">
        <v>530</v>
      </c>
      <c r="CF27">
        <v>452</v>
      </c>
      <c r="CG27">
        <v>443</v>
      </c>
      <c r="CH27">
        <v>388</v>
      </c>
      <c r="CI27">
        <v>410</v>
      </c>
      <c r="CJ27">
        <v>427</v>
      </c>
      <c r="CK27">
        <v>390</v>
      </c>
      <c r="CL27">
        <v>370</v>
      </c>
      <c r="CM27">
        <v>380</v>
      </c>
      <c r="CN27">
        <v>418</v>
      </c>
      <c r="CO27">
        <v>380</v>
      </c>
      <c r="CP27">
        <v>360</v>
      </c>
      <c r="CQ27">
        <v>340</v>
      </c>
      <c r="CR27">
        <v>330</v>
      </c>
      <c r="CS27">
        <v>330</v>
      </c>
    </row>
    <row r="28" spans="1:97">
      <c r="A28" s="2">
        <v>46261</v>
      </c>
      <c r="B28">
        <v>320</v>
      </c>
      <c r="C28">
        <v>320</v>
      </c>
      <c r="D28">
        <v>320</v>
      </c>
      <c r="E28">
        <v>320</v>
      </c>
      <c r="F28">
        <v>320</v>
      </c>
      <c r="G28">
        <v>320</v>
      </c>
      <c r="H28">
        <v>310</v>
      </c>
      <c r="I28">
        <v>310</v>
      </c>
      <c r="J28">
        <v>320</v>
      </c>
      <c r="K28">
        <v>320</v>
      </c>
      <c r="L28">
        <v>320</v>
      </c>
      <c r="M28">
        <v>320</v>
      </c>
      <c r="N28">
        <v>320</v>
      </c>
      <c r="O28">
        <v>320</v>
      </c>
      <c r="P28">
        <v>320</v>
      </c>
      <c r="Q28">
        <v>320</v>
      </c>
      <c r="R28">
        <v>320</v>
      </c>
      <c r="S28">
        <v>320</v>
      </c>
      <c r="T28">
        <v>320</v>
      </c>
      <c r="U28">
        <v>320</v>
      </c>
      <c r="V28">
        <v>320</v>
      </c>
      <c r="W28">
        <v>320</v>
      </c>
      <c r="X28">
        <v>320</v>
      </c>
      <c r="Y28">
        <v>320</v>
      </c>
      <c r="Z28">
        <v>318</v>
      </c>
      <c r="AA28">
        <v>318</v>
      </c>
      <c r="AB28">
        <v>318</v>
      </c>
      <c r="AC28">
        <v>318</v>
      </c>
      <c r="AD28">
        <v>318</v>
      </c>
      <c r="AE28">
        <v>318</v>
      </c>
      <c r="AF28">
        <v>318</v>
      </c>
      <c r="AG28">
        <v>310</v>
      </c>
      <c r="AH28">
        <v>340</v>
      </c>
      <c r="AI28">
        <v>324</v>
      </c>
      <c r="AJ28">
        <v>317</v>
      </c>
      <c r="AK28">
        <v>310</v>
      </c>
      <c r="AL28">
        <v>31</v>
      </c>
      <c r="AM28">
        <v>313</v>
      </c>
      <c r="AN28">
        <v>32</v>
      </c>
      <c r="AO28">
        <v>-60</v>
      </c>
      <c r="AP28">
        <v>-58</v>
      </c>
      <c r="AQ28">
        <v>-58</v>
      </c>
      <c r="AR28">
        <v>-55</v>
      </c>
      <c r="AS28">
        <v>317</v>
      </c>
      <c r="AT28">
        <v>315</v>
      </c>
      <c r="AU28">
        <v>333</v>
      </c>
      <c r="AV28">
        <v>322</v>
      </c>
      <c r="AW28">
        <v>331</v>
      </c>
      <c r="AX28">
        <v>340</v>
      </c>
      <c r="AY28">
        <v>331</v>
      </c>
      <c r="AZ28">
        <v>351</v>
      </c>
      <c r="BA28">
        <v>332</v>
      </c>
      <c r="BB28">
        <v>314</v>
      </c>
      <c r="BC28">
        <v>-60</v>
      </c>
      <c r="BD28">
        <v>-61</v>
      </c>
      <c r="BE28">
        <v>32</v>
      </c>
      <c r="BF28">
        <v>313</v>
      </c>
      <c r="BG28">
        <v>332</v>
      </c>
      <c r="BH28">
        <v>313</v>
      </c>
      <c r="BI28">
        <v>333</v>
      </c>
      <c r="BJ28">
        <v>331</v>
      </c>
      <c r="BK28">
        <v>331</v>
      </c>
      <c r="BL28">
        <v>349</v>
      </c>
      <c r="BM28">
        <v>349</v>
      </c>
      <c r="BN28">
        <v>368</v>
      </c>
      <c r="BO28">
        <v>378</v>
      </c>
      <c r="BP28">
        <v>405</v>
      </c>
      <c r="BQ28">
        <v>394</v>
      </c>
      <c r="BR28">
        <v>422</v>
      </c>
      <c r="BS28">
        <v>402</v>
      </c>
      <c r="BT28">
        <v>392</v>
      </c>
      <c r="BU28">
        <v>402</v>
      </c>
      <c r="BV28">
        <v>403</v>
      </c>
      <c r="BW28">
        <v>402</v>
      </c>
      <c r="BX28">
        <v>402</v>
      </c>
      <c r="BY28">
        <v>393</v>
      </c>
      <c r="BZ28">
        <v>376</v>
      </c>
      <c r="CA28">
        <v>357</v>
      </c>
      <c r="CB28">
        <v>358</v>
      </c>
      <c r="CC28">
        <v>356</v>
      </c>
      <c r="CD28">
        <v>346</v>
      </c>
      <c r="CE28">
        <v>346</v>
      </c>
      <c r="CF28">
        <v>343</v>
      </c>
      <c r="CG28">
        <v>322</v>
      </c>
      <c r="CH28">
        <v>314</v>
      </c>
      <c r="CI28">
        <v>255</v>
      </c>
      <c r="CJ28">
        <v>-97</v>
      </c>
      <c r="CK28">
        <v>-100</v>
      </c>
      <c r="CL28">
        <v>-100</v>
      </c>
      <c r="CM28">
        <v>-100</v>
      </c>
      <c r="CN28">
        <v>-100</v>
      </c>
      <c r="CO28">
        <v>-100</v>
      </c>
      <c r="CP28">
        <v>-100</v>
      </c>
      <c r="CQ28">
        <v>-100</v>
      </c>
      <c r="CR28">
        <v>-100</v>
      </c>
      <c r="CS28">
        <v>-100</v>
      </c>
    </row>
    <row r="29" spans="1:97">
      <c r="A29" s="2">
        <v>46262</v>
      </c>
      <c r="B29">
        <v>318</v>
      </c>
      <c r="C29">
        <v>330</v>
      </c>
      <c r="D29">
        <v>330</v>
      </c>
      <c r="E29">
        <v>330</v>
      </c>
      <c r="F29">
        <v>340</v>
      </c>
      <c r="G29">
        <v>340</v>
      </c>
      <c r="H29">
        <v>340</v>
      </c>
      <c r="I29">
        <v>340</v>
      </c>
      <c r="J29">
        <v>330</v>
      </c>
      <c r="K29">
        <v>330</v>
      </c>
      <c r="L29">
        <v>330</v>
      </c>
      <c r="M29">
        <v>340</v>
      </c>
      <c r="N29">
        <v>340</v>
      </c>
      <c r="O29">
        <v>340</v>
      </c>
      <c r="P29">
        <v>340</v>
      </c>
      <c r="Q29">
        <v>340</v>
      </c>
      <c r="R29">
        <v>350</v>
      </c>
      <c r="S29">
        <v>340</v>
      </c>
      <c r="T29">
        <v>350</v>
      </c>
      <c r="U29">
        <v>360</v>
      </c>
      <c r="V29">
        <v>370</v>
      </c>
      <c r="W29">
        <v>381</v>
      </c>
      <c r="X29">
        <v>389</v>
      </c>
      <c r="Y29">
        <v>380</v>
      </c>
      <c r="Z29">
        <v>380</v>
      </c>
      <c r="AA29">
        <v>380</v>
      </c>
      <c r="AB29">
        <v>380</v>
      </c>
      <c r="AC29">
        <v>380</v>
      </c>
      <c r="AD29">
        <v>360</v>
      </c>
      <c r="AE29">
        <v>360</v>
      </c>
      <c r="AF29">
        <v>380</v>
      </c>
      <c r="AG29">
        <v>400</v>
      </c>
      <c r="AH29">
        <v>390</v>
      </c>
      <c r="AI29">
        <v>381</v>
      </c>
      <c r="AJ29">
        <v>372</v>
      </c>
      <c r="AK29">
        <v>383</v>
      </c>
      <c r="AL29">
        <v>374</v>
      </c>
      <c r="AM29">
        <v>366</v>
      </c>
      <c r="AN29">
        <v>366</v>
      </c>
      <c r="AO29">
        <v>366</v>
      </c>
      <c r="AP29">
        <v>366</v>
      </c>
      <c r="AQ29">
        <v>357</v>
      </c>
      <c r="AR29">
        <v>357</v>
      </c>
      <c r="AS29">
        <v>367</v>
      </c>
      <c r="AT29">
        <v>367</v>
      </c>
      <c r="AU29">
        <v>366</v>
      </c>
      <c r="AV29">
        <v>364</v>
      </c>
      <c r="AW29">
        <v>363</v>
      </c>
      <c r="AX29">
        <v>383</v>
      </c>
      <c r="AY29">
        <v>372</v>
      </c>
      <c r="AZ29">
        <v>393</v>
      </c>
      <c r="BA29">
        <v>392</v>
      </c>
      <c r="BB29">
        <v>431</v>
      </c>
      <c r="BC29">
        <v>480</v>
      </c>
      <c r="BD29">
        <v>480</v>
      </c>
      <c r="BE29">
        <v>450</v>
      </c>
      <c r="BF29">
        <v>490</v>
      </c>
      <c r="BG29">
        <v>540</v>
      </c>
      <c r="BH29">
        <v>580</v>
      </c>
      <c r="BI29">
        <v>580</v>
      </c>
      <c r="BJ29">
        <v>540</v>
      </c>
      <c r="BK29">
        <v>500</v>
      </c>
      <c r="BL29">
        <v>450</v>
      </c>
      <c r="BM29">
        <v>480</v>
      </c>
      <c r="BN29">
        <v>450</v>
      </c>
      <c r="BO29">
        <v>450</v>
      </c>
      <c r="BP29">
        <v>476</v>
      </c>
      <c r="BQ29">
        <v>450</v>
      </c>
      <c r="BR29">
        <v>400</v>
      </c>
      <c r="BS29">
        <v>420</v>
      </c>
      <c r="BT29">
        <v>431</v>
      </c>
      <c r="BU29">
        <v>400</v>
      </c>
      <c r="BV29">
        <v>399</v>
      </c>
      <c r="BW29">
        <v>426</v>
      </c>
      <c r="BX29">
        <v>491</v>
      </c>
      <c r="BY29">
        <v>493</v>
      </c>
      <c r="BZ29">
        <v>539</v>
      </c>
      <c r="CA29">
        <v>550</v>
      </c>
      <c r="CB29">
        <v>493</v>
      </c>
      <c r="CC29">
        <v>492</v>
      </c>
      <c r="CD29">
        <v>453</v>
      </c>
      <c r="CE29">
        <v>445</v>
      </c>
      <c r="CF29">
        <v>435</v>
      </c>
      <c r="CG29">
        <v>398</v>
      </c>
      <c r="CH29">
        <v>379</v>
      </c>
      <c r="CI29">
        <v>370</v>
      </c>
      <c r="CJ29">
        <v>350</v>
      </c>
      <c r="CK29">
        <v>370</v>
      </c>
      <c r="CL29">
        <v>360</v>
      </c>
      <c r="CM29">
        <v>360</v>
      </c>
      <c r="CN29">
        <v>370</v>
      </c>
      <c r="CO29">
        <v>390</v>
      </c>
      <c r="CP29">
        <v>380</v>
      </c>
      <c r="CQ29">
        <v>390</v>
      </c>
      <c r="CR29">
        <v>380</v>
      </c>
      <c r="CS29">
        <v>420</v>
      </c>
    </row>
    <row r="30" spans="1:97">
      <c r="A30" s="2">
        <v>46263</v>
      </c>
      <c r="B30">
        <v>360</v>
      </c>
      <c r="C30">
        <v>360</v>
      </c>
      <c r="D30">
        <v>330</v>
      </c>
      <c r="E30">
        <v>340</v>
      </c>
      <c r="F30">
        <v>340</v>
      </c>
      <c r="G30">
        <v>350</v>
      </c>
      <c r="H30">
        <v>360</v>
      </c>
      <c r="I30">
        <v>350</v>
      </c>
      <c r="J30">
        <v>340</v>
      </c>
      <c r="K30">
        <v>340</v>
      </c>
      <c r="L30">
        <v>330</v>
      </c>
      <c r="M30">
        <v>330</v>
      </c>
      <c r="N30">
        <v>330</v>
      </c>
      <c r="O30">
        <v>320</v>
      </c>
      <c r="P30">
        <v>330</v>
      </c>
      <c r="Q30">
        <v>320</v>
      </c>
      <c r="R30">
        <v>350</v>
      </c>
      <c r="S30">
        <v>320</v>
      </c>
      <c r="T30">
        <v>330</v>
      </c>
      <c r="U30">
        <v>0</v>
      </c>
      <c r="V30">
        <v>320</v>
      </c>
      <c r="W30">
        <v>290</v>
      </c>
      <c r="X30">
        <v>0</v>
      </c>
      <c r="Y30">
        <v>-80</v>
      </c>
      <c r="Z30">
        <v>320</v>
      </c>
      <c r="AA30">
        <v>320</v>
      </c>
      <c r="AB30">
        <v>320</v>
      </c>
      <c r="AC30">
        <v>310</v>
      </c>
      <c r="AD30">
        <v>330</v>
      </c>
      <c r="AE30">
        <v>340</v>
      </c>
      <c r="AF30">
        <v>350</v>
      </c>
      <c r="AG30">
        <v>340</v>
      </c>
      <c r="AH30">
        <v>350</v>
      </c>
      <c r="AI30">
        <v>350</v>
      </c>
      <c r="AJ30">
        <v>330</v>
      </c>
      <c r="AK30">
        <v>323</v>
      </c>
      <c r="AL30">
        <v>-41</v>
      </c>
      <c r="AM30">
        <v>-68</v>
      </c>
      <c r="AN30">
        <v>-79</v>
      </c>
      <c r="AO30">
        <v>-77</v>
      </c>
      <c r="AP30">
        <v>-75</v>
      </c>
      <c r="AQ30">
        <v>-76</v>
      </c>
      <c r="AR30">
        <v>-78</v>
      </c>
      <c r="AS30">
        <v>20</v>
      </c>
      <c r="AT30">
        <v>20</v>
      </c>
      <c r="AU30">
        <v>-78</v>
      </c>
      <c r="AV30">
        <v>306</v>
      </c>
      <c r="AW30">
        <v>286</v>
      </c>
      <c r="AX30">
        <v>342</v>
      </c>
      <c r="AY30">
        <v>343</v>
      </c>
      <c r="AZ30">
        <v>324</v>
      </c>
      <c r="BA30">
        <v>18</v>
      </c>
      <c r="BB30">
        <v>19</v>
      </c>
      <c r="BC30">
        <v>306</v>
      </c>
      <c r="BD30">
        <v>306</v>
      </c>
      <c r="BE30">
        <v>-77</v>
      </c>
      <c r="BF30">
        <v>-76</v>
      </c>
      <c r="BG30">
        <v>-75</v>
      </c>
      <c r="BH30">
        <v>-75</v>
      </c>
      <c r="BI30">
        <v>-77</v>
      </c>
      <c r="BJ30">
        <v>-77</v>
      </c>
      <c r="BK30">
        <v>-77</v>
      </c>
      <c r="BL30">
        <v>-77</v>
      </c>
      <c r="BM30">
        <v>-76</v>
      </c>
      <c r="BN30">
        <v>-77</v>
      </c>
      <c r="BO30">
        <v>-78</v>
      </c>
      <c r="BP30">
        <v>-78</v>
      </c>
      <c r="BQ30">
        <v>-76</v>
      </c>
      <c r="BR30">
        <v>-49</v>
      </c>
      <c r="BS30">
        <v>-76</v>
      </c>
      <c r="BT30">
        <v>-75</v>
      </c>
      <c r="BU30">
        <v>301</v>
      </c>
      <c r="BV30">
        <v>311</v>
      </c>
      <c r="BW30">
        <v>318</v>
      </c>
      <c r="BX30">
        <v>347</v>
      </c>
      <c r="BY30">
        <v>348</v>
      </c>
      <c r="BZ30">
        <v>357</v>
      </c>
      <c r="CA30">
        <v>357</v>
      </c>
      <c r="CB30">
        <v>349</v>
      </c>
      <c r="CC30">
        <v>339</v>
      </c>
      <c r="CD30">
        <v>314</v>
      </c>
      <c r="CE30">
        <v>348</v>
      </c>
      <c r="CF30">
        <v>323</v>
      </c>
      <c r="CG30">
        <v>407</v>
      </c>
      <c r="CH30">
        <v>360</v>
      </c>
      <c r="CI30">
        <v>360</v>
      </c>
      <c r="CJ30">
        <v>340</v>
      </c>
      <c r="CK30">
        <v>340</v>
      </c>
      <c r="CL30">
        <v>330</v>
      </c>
      <c r="CM30">
        <v>340</v>
      </c>
      <c r="CN30">
        <v>340</v>
      </c>
      <c r="CO30">
        <v>350</v>
      </c>
      <c r="CP30">
        <v>330</v>
      </c>
      <c r="CQ30">
        <v>300</v>
      </c>
      <c r="CR30">
        <v>300</v>
      </c>
      <c r="CS30">
        <v>300</v>
      </c>
    </row>
    <row r="31" spans="1:97">
      <c r="A31" s="2">
        <v>46264</v>
      </c>
      <c r="B31">
        <v>300</v>
      </c>
      <c r="C31">
        <v>0</v>
      </c>
      <c r="D31">
        <v>290</v>
      </c>
      <c r="E31">
        <v>0</v>
      </c>
      <c r="F31">
        <v>280</v>
      </c>
      <c r="G31">
        <v>320</v>
      </c>
      <c r="H31">
        <v>320</v>
      </c>
      <c r="I31">
        <v>320</v>
      </c>
      <c r="J31">
        <v>320</v>
      </c>
      <c r="K31">
        <v>300</v>
      </c>
      <c r="L31">
        <v>320</v>
      </c>
      <c r="M31">
        <v>300</v>
      </c>
      <c r="N31">
        <v>320</v>
      </c>
      <c r="O31">
        <v>320</v>
      </c>
      <c r="P31">
        <v>320</v>
      </c>
      <c r="Q31">
        <v>320</v>
      </c>
      <c r="R31">
        <v>330</v>
      </c>
      <c r="S31">
        <v>330</v>
      </c>
      <c r="T31">
        <v>350</v>
      </c>
      <c r="U31">
        <v>350</v>
      </c>
      <c r="V31">
        <v>350</v>
      </c>
      <c r="W31">
        <v>360</v>
      </c>
      <c r="X31">
        <v>380</v>
      </c>
      <c r="Y31">
        <v>360</v>
      </c>
      <c r="Z31">
        <v>360</v>
      </c>
      <c r="AA31">
        <v>360</v>
      </c>
      <c r="AB31">
        <v>360</v>
      </c>
      <c r="AC31">
        <v>350</v>
      </c>
      <c r="AD31">
        <v>350</v>
      </c>
      <c r="AE31">
        <v>340</v>
      </c>
      <c r="AF31">
        <v>350</v>
      </c>
      <c r="AG31">
        <v>350</v>
      </c>
      <c r="AH31">
        <v>350</v>
      </c>
      <c r="AI31">
        <v>320</v>
      </c>
      <c r="AJ31">
        <v>320</v>
      </c>
      <c r="AK31">
        <v>310</v>
      </c>
      <c r="AL31">
        <v>303.8305</v>
      </c>
      <c r="AM31">
        <v>304.4485</v>
      </c>
      <c r="AN31">
        <v>304.4998</v>
      </c>
      <c r="AO31">
        <v>325.5616</v>
      </c>
      <c r="AP31">
        <v>325.557</v>
      </c>
      <c r="AQ31">
        <v>325.6648</v>
      </c>
      <c r="AR31">
        <v>306.5903</v>
      </c>
      <c r="AS31">
        <v>336.2242</v>
      </c>
      <c r="AT31">
        <v>325.7775</v>
      </c>
      <c r="AU31">
        <v>305.4263</v>
      </c>
      <c r="AV31">
        <v>305.6027</v>
      </c>
      <c r="AW31">
        <v>286.4015</v>
      </c>
      <c r="AX31">
        <v>325.4351</v>
      </c>
      <c r="AY31">
        <v>306.6151</v>
      </c>
      <c r="AZ31">
        <v>19.0003</v>
      </c>
      <c r="BA31">
        <v>325.7773</v>
      </c>
      <c r="BB31">
        <v>307.1989</v>
      </c>
      <c r="BC31">
        <v>-72.3526</v>
      </c>
      <c r="BD31">
        <v>-70.0881</v>
      </c>
      <c r="BE31">
        <v>-70.6036</v>
      </c>
      <c r="BF31">
        <v>-73.0815</v>
      </c>
      <c r="BG31">
        <v>-73.6697</v>
      </c>
      <c r="BH31">
        <v>-73.6603</v>
      </c>
      <c r="BI31">
        <v>-73.7777</v>
      </c>
      <c r="BJ31">
        <v>-73.5185</v>
      </c>
      <c r="BK31">
        <v>-73.6757</v>
      </c>
      <c r="BL31">
        <v>20.7866</v>
      </c>
      <c r="BM31">
        <v>328.0181</v>
      </c>
      <c r="BN31">
        <v>326.758</v>
      </c>
      <c r="BO31">
        <v>355.2203</v>
      </c>
      <c r="BP31">
        <v>356.7944</v>
      </c>
      <c r="BQ31">
        <v>354.7274</v>
      </c>
      <c r="BR31">
        <v>402.2636</v>
      </c>
      <c r="BS31">
        <v>400</v>
      </c>
      <c r="BT31">
        <v>368.116</v>
      </c>
      <c r="BU31">
        <v>399.6954</v>
      </c>
      <c r="BV31">
        <v>358.9344</v>
      </c>
      <c r="BW31">
        <v>396.642</v>
      </c>
      <c r="BX31">
        <v>399.8978</v>
      </c>
      <c r="BY31">
        <v>435.8007</v>
      </c>
      <c r="BZ31">
        <v>490.896</v>
      </c>
      <c r="CA31">
        <v>443.0653</v>
      </c>
      <c r="CB31">
        <v>488.2195</v>
      </c>
      <c r="CC31">
        <v>431.6222</v>
      </c>
      <c r="CD31">
        <v>388.4688</v>
      </c>
      <c r="CE31">
        <v>450</v>
      </c>
      <c r="CF31">
        <v>490</v>
      </c>
      <c r="CG31">
        <v>480</v>
      </c>
      <c r="CH31">
        <v>560</v>
      </c>
      <c r="CI31">
        <v>540</v>
      </c>
      <c r="CJ31">
        <v>500</v>
      </c>
      <c r="CK31">
        <v>450</v>
      </c>
      <c r="CL31">
        <v>370</v>
      </c>
      <c r="CM31">
        <v>420</v>
      </c>
      <c r="CN31">
        <v>410</v>
      </c>
      <c r="CO31">
        <v>410</v>
      </c>
      <c r="CP31">
        <v>410</v>
      </c>
      <c r="CQ31">
        <v>400</v>
      </c>
      <c r="CR31">
        <v>370</v>
      </c>
      <c r="CS31">
        <v>360</v>
      </c>
    </row>
    <row r="32" spans="1:97">
      <c r="A32" s="2">
        <v>46265</v>
      </c>
      <c r="B32">
        <v>350</v>
      </c>
      <c r="C32">
        <v>350</v>
      </c>
      <c r="D32">
        <v>350</v>
      </c>
      <c r="E32">
        <v>350</v>
      </c>
      <c r="F32">
        <v>360</v>
      </c>
      <c r="G32">
        <v>360</v>
      </c>
      <c r="H32">
        <v>350</v>
      </c>
      <c r="I32">
        <v>350</v>
      </c>
      <c r="J32">
        <v>360</v>
      </c>
      <c r="K32">
        <v>350</v>
      </c>
      <c r="L32">
        <v>340</v>
      </c>
      <c r="M32">
        <v>320</v>
      </c>
      <c r="N32">
        <v>330</v>
      </c>
      <c r="O32">
        <v>330</v>
      </c>
      <c r="P32">
        <v>320</v>
      </c>
      <c r="Q32">
        <v>320</v>
      </c>
      <c r="R32">
        <v>320</v>
      </c>
      <c r="S32">
        <v>316</v>
      </c>
      <c r="T32">
        <v>316</v>
      </c>
      <c r="U32">
        <v>307</v>
      </c>
      <c r="V32">
        <v>307</v>
      </c>
      <c r="W32">
        <v>305</v>
      </c>
      <c r="X32">
        <v>318</v>
      </c>
      <c r="Y32">
        <v>318</v>
      </c>
      <c r="Z32">
        <v>328</v>
      </c>
      <c r="AA32">
        <v>320</v>
      </c>
      <c r="AB32">
        <v>320</v>
      </c>
      <c r="AC32">
        <v>310</v>
      </c>
      <c r="AD32">
        <v>320</v>
      </c>
      <c r="AE32">
        <v>320</v>
      </c>
      <c r="AF32">
        <v>320</v>
      </c>
      <c r="AG32">
        <v>320</v>
      </c>
      <c r="AH32">
        <v>323</v>
      </c>
      <c r="AI32">
        <v>316</v>
      </c>
      <c r="AJ32">
        <v>-76</v>
      </c>
      <c r="AK32">
        <v>-74</v>
      </c>
      <c r="AL32">
        <v>-72</v>
      </c>
      <c r="AM32">
        <v>-69</v>
      </c>
      <c r="AN32">
        <v>-65</v>
      </c>
      <c r="AO32">
        <v>-64</v>
      </c>
      <c r="AP32">
        <v>-62</v>
      </c>
      <c r="AQ32">
        <v>-64</v>
      </c>
      <c r="AR32">
        <v>-62</v>
      </c>
      <c r="AS32">
        <v>-61</v>
      </c>
      <c r="AT32">
        <v>-59</v>
      </c>
      <c r="AU32">
        <v>-62</v>
      </c>
      <c r="AV32">
        <v>-62</v>
      </c>
      <c r="AW32">
        <v>-63</v>
      </c>
      <c r="AX32">
        <v>-62</v>
      </c>
      <c r="AY32">
        <v>-62</v>
      </c>
      <c r="AZ32">
        <v>-60</v>
      </c>
      <c r="BA32">
        <v>-58</v>
      </c>
      <c r="BB32">
        <v>-57</v>
      </c>
      <c r="BC32">
        <v>-58</v>
      </c>
      <c r="BD32">
        <v>-59</v>
      </c>
      <c r="BE32">
        <v>-58</v>
      </c>
      <c r="BF32">
        <v>-56</v>
      </c>
      <c r="BG32">
        <v>-57</v>
      </c>
      <c r="BH32">
        <v>-59</v>
      </c>
      <c r="BI32">
        <v>-60</v>
      </c>
      <c r="BJ32">
        <v>-59</v>
      </c>
      <c r="BK32">
        <v>-63</v>
      </c>
      <c r="BL32">
        <v>-62</v>
      </c>
      <c r="BM32">
        <v>31</v>
      </c>
      <c r="BN32">
        <v>550</v>
      </c>
      <c r="BO32">
        <v>416</v>
      </c>
      <c r="BP32">
        <v>359</v>
      </c>
      <c r="BQ32">
        <v>350</v>
      </c>
      <c r="BR32">
        <v>359</v>
      </c>
      <c r="BS32">
        <v>367</v>
      </c>
      <c r="BT32">
        <v>368</v>
      </c>
      <c r="BU32">
        <v>403</v>
      </c>
      <c r="BV32">
        <v>403</v>
      </c>
      <c r="BW32">
        <v>403</v>
      </c>
      <c r="BX32">
        <v>442</v>
      </c>
      <c r="BY32">
        <v>449</v>
      </c>
      <c r="BZ32">
        <v>477</v>
      </c>
      <c r="CA32">
        <v>497</v>
      </c>
      <c r="CB32">
        <v>450</v>
      </c>
      <c r="CC32">
        <v>402</v>
      </c>
      <c r="CD32">
        <v>402</v>
      </c>
      <c r="CE32">
        <v>375</v>
      </c>
      <c r="CF32">
        <v>402</v>
      </c>
      <c r="CG32">
        <v>402</v>
      </c>
      <c r="CH32">
        <v>381</v>
      </c>
      <c r="CI32">
        <v>370</v>
      </c>
      <c r="CJ32">
        <v>320</v>
      </c>
      <c r="CK32">
        <v>330</v>
      </c>
      <c r="CL32">
        <v>340</v>
      </c>
      <c r="CM32">
        <v>330</v>
      </c>
      <c r="CN32">
        <v>340</v>
      </c>
      <c r="CO32">
        <v>330</v>
      </c>
      <c r="CP32">
        <v>340</v>
      </c>
      <c r="CQ32">
        <v>330</v>
      </c>
      <c r="CR32">
        <v>270</v>
      </c>
      <c r="CS32">
        <v>280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负荷</vt:lpstr>
      <vt:lpstr>水电</vt:lpstr>
      <vt:lpstr>核电</vt:lpstr>
      <vt:lpstr>地方燃煤</vt:lpstr>
      <vt:lpstr>风电</vt:lpstr>
      <vt:lpstr>光伏</vt:lpstr>
      <vt:lpstr>联络线</vt:lpstr>
      <vt:lpstr>非市场化</vt:lpstr>
      <vt:lpstr>开机容量</vt:lpstr>
      <vt:lpstr>竞价空间</vt:lpstr>
      <vt:lpstr>7日火电空间</vt:lpstr>
      <vt:lpstr>Sheet1</vt:lpstr>
      <vt:lpstr>实时开机</vt:lpstr>
      <vt:lpstr>实时负荷率</vt:lpstr>
      <vt:lpstr>24点平均日前负荷率</vt:lpstr>
      <vt:lpstr>实时电价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张家睿</dc:creator>
  <cp:lastModifiedBy>何金泽</cp:lastModifiedBy>
  <dcterms:created xsi:type="dcterms:W3CDTF">2023-05-12T11:15:00Z</dcterms:created>
  <dcterms:modified xsi:type="dcterms:W3CDTF">2026-09-01T02:57:31Z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CD9140BA2A75419A92D5A815F9E5A2B0_13</vt:lpwstr>
  </property>
  <property fmtid="{D5CDD505-2E9C-101B-9397-08002B2CF9AE}" pid="4" name="CalculationRule">
    <vt:i4>0</vt:i4>
  </property>
</Properties>
</file>