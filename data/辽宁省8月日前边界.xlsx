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firstSheet="4" activeTab="22"/>
  </bookViews>
  <sheets>
    <sheet name="负荷" sheetId="1" r:id="rId1"/>
    <sheet name="水电" sheetId="2" r:id="rId2"/>
    <sheet name="核电" sheetId="3" r:id="rId3"/>
    <sheet name="地方燃煤" sheetId="4" r:id="rId4"/>
    <sheet name="风电" sheetId="5" r:id="rId5"/>
    <sheet name="光伏" sheetId="6" r:id="rId6"/>
    <sheet name="联络线" sheetId="7" r:id="rId7"/>
    <sheet name="非市场化" sheetId="8" r:id="rId8"/>
    <sheet name="检修容量" sheetId="10" r:id="rId9"/>
    <sheet name="装机容量" sheetId="11" r:id="rId10"/>
    <sheet name="火电空间" sheetId="13" r:id="rId11"/>
    <sheet name="7日火电空间" sheetId="9" state="hidden" r:id="rId12"/>
    <sheet name="1日火电空间" sheetId="12" state="hidden" r:id="rId13"/>
    <sheet name="集中式风电" sheetId="15" r:id="rId14"/>
    <sheet name="集中式光伏" sheetId="16" r:id="rId15"/>
    <sheet name="分散式风电" sheetId="17" r:id="rId16"/>
    <sheet name="分布式光伏" sheetId="18" r:id="rId17"/>
    <sheet name="地方水电" sheetId="19" r:id="rId18"/>
    <sheet name="抽蓄水电" sheetId="20" r:id="rId19"/>
    <sheet name="日前负荷率" sheetId="21" r:id="rId20"/>
    <sheet name="24点平均日前负荷率" sheetId="24" r:id="rId21"/>
    <sheet name="日前电价" sheetId="23" r:id="rId22"/>
    <sheet name="日前开机" sheetId="22" r:id="rId23"/>
    <sheet name="Sheet1" sheetId="14" r:id="rId24"/>
  </sheets>
  <externalReferences>
    <externalReference r:id="rId25"/>
  </externalReferences>
  <definedNames>
    <definedName name="DATE1">OFFSET([1]日前信息!$B$89,,,COUNTA([1]日前信息!$B$89:$B$123))</definedName>
    <definedName name="NAME">OFFSET([1]日前信息!$A$89,,,COUNTA([1]日前信息!$A$89:$A$123))</definedName>
    <definedName name="REAL_1">_xlfn._xlws.FILTER('[1]收益测算-累计创值'!$AE$242:$AE$276,'[1]收益测算-累计创值'!$A$242:$A$276&lt;=[1]测算看板2.0!$C$2)</definedName>
    <definedName name="DATE7">OFFSET([1]日前信息!$P$89,,,COUNTA([1]日前信息!$P$89:$P$123))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<sst xmlns="http://schemas.openxmlformats.org/spreadsheetml/2006/main" count="45" uniqueCount="10">
  <si>
    <t>日期</t>
  </si>
  <si>
    <t>负荷</t>
  </si>
  <si>
    <t>水电</t>
  </si>
  <si>
    <t>核电</t>
  </si>
  <si>
    <t>地方燃煤</t>
  </si>
  <si>
    <t>风电</t>
  </si>
  <si>
    <t>光伏</t>
  </si>
  <si>
    <t>联络线</t>
  </si>
  <si>
    <t>非市场化</t>
  </si>
  <si>
    <t>火电空间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</si>
</sst>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yyyy\-m\-d"/>
    <numFmt numFmtId="178" formatCode="[$-409]yyyy/mm/dd;@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/>
    <xf numFmtId="0" fontId="21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20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9" fontId="0" fillId="0" borderId="0" xfId="3">
      <alignment vertical="center"/>
    </xf>
    <xf numFmtId="9" fontId="0" fillId="0" borderId="0" xfId="0" applyNumberFormat="1">
      <alignment vertical="center"/>
    </xf>
    <xf numFmtId="46" fontId="1" fillId="2" borderId="0" xfId="0" applyNumberFormat="1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eetMetadata" Target="metadata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616;&#36135;\2025.5.28&#26085;&#21069;&#30003;&#25253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动输入日前边界信息"/>
      <sheetName val="申报看板"/>
      <sheetName val="申报看板 2.0"/>
      <sheetName val="测算看板2.0"/>
      <sheetName val="边界详细对比"/>
      <sheetName val="日前信息"/>
      <sheetName val="实时信息"/>
      <sheetName val="实时-日前概率"/>
      <sheetName val="预测电量电价"/>
      <sheetName val="中长期"/>
      <sheetName val="申报页面"/>
      <sheetName val="收益测算-累计创值"/>
      <sheetName val="收益测算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S32"/>
  <sheetViews>
    <sheetView zoomScale="115" zoomScaleNormal="115" workbookViewId="0">
      <selection activeCell="A2" sqref="$A2:$XFD2"/>
    </sheetView>
  </sheetViews>
  <sheetFormatPr defaultColWidth="9" defaultRowHeight="13.5"/>
  <cols>
    <col min="1" max="1" width="11.8916666666667" style="9" customWidth="1"/>
    <col min="2" max="9" width="9.66666666666667"/>
    <col min="10" max="10" width="9.38333333333333"/>
    <col min="11" max="17" width="9.66666666666667"/>
    <col min="18" max="18" width="9.375"/>
    <col min="19" max="33" width="9.66666666666667"/>
    <col min="34" max="34" width="9.38333333333333"/>
    <col min="35" max="35" width="9.66666666666667"/>
    <col min="36" max="36" width="9.38333333333333"/>
    <col min="37" max="40" width="9.66666666666667"/>
    <col min="41" max="41" width="9.38333333333333"/>
    <col min="42" max="45" width="9.66666666666667"/>
    <col min="46" max="46" width="9.38333333333333"/>
    <col min="47" max="58" width="9.66666666666667"/>
    <col min="59" max="59" width="9.38333333333333"/>
    <col min="60" max="68" width="9.66666666666667"/>
    <col min="69" max="69" width="9.38333333333333"/>
    <col min="70" max="75" width="9.66666666666667"/>
    <col min="76" max="76" width="9.375"/>
    <col min="77" max="82" width="9.66666666666667"/>
    <col min="83" max="83" width="9.38333333333333"/>
    <col min="84" max="90" width="9.66666666666667"/>
    <col min="91" max="91" width="9.38333333333333"/>
    <col min="92" max="98" width="9.66666666666667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33749.1</v>
      </c>
      <c r="C2">
        <v>33229.73</v>
      </c>
      <c r="D2">
        <v>32912.51</v>
      </c>
      <c r="E2">
        <v>32638.83</v>
      </c>
      <c r="F2">
        <v>32276.52</v>
      </c>
      <c r="G2">
        <v>31931.31</v>
      </c>
      <c r="H2">
        <v>31638.97</v>
      </c>
      <c r="I2">
        <v>31438.37</v>
      </c>
      <c r="J2">
        <v>31327.97</v>
      </c>
      <c r="K2">
        <v>30976.54</v>
      </c>
      <c r="L2">
        <v>30858.36</v>
      </c>
      <c r="M2">
        <v>30534.92</v>
      </c>
      <c r="N2">
        <v>30334.32</v>
      </c>
      <c r="O2">
        <v>30307.89</v>
      </c>
      <c r="P2">
        <v>30301.67</v>
      </c>
      <c r="Q2">
        <v>30091.74</v>
      </c>
      <c r="R2">
        <v>30149.28</v>
      </c>
      <c r="S2">
        <v>30069.97</v>
      </c>
      <c r="T2">
        <v>30000</v>
      </c>
      <c r="U2">
        <v>30500.71</v>
      </c>
      <c r="V2">
        <v>30925.22</v>
      </c>
      <c r="W2">
        <v>31264.21</v>
      </c>
      <c r="X2">
        <v>31712.05</v>
      </c>
      <c r="Y2">
        <v>32002.84</v>
      </c>
      <c r="Z2">
        <v>32581.3</v>
      </c>
      <c r="AA2">
        <v>32937.39</v>
      </c>
      <c r="AB2">
        <v>33439.66</v>
      </c>
      <c r="AC2">
        <v>33949.7</v>
      </c>
      <c r="AD2">
        <v>34853.15</v>
      </c>
      <c r="AE2">
        <v>35590.22</v>
      </c>
      <c r="AF2">
        <v>36457.91</v>
      </c>
      <c r="AG2">
        <v>37336.49</v>
      </c>
      <c r="AH2">
        <v>38491.85</v>
      </c>
      <c r="AI2">
        <v>39465.28</v>
      </c>
      <c r="AJ2">
        <v>40280.1</v>
      </c>
      <c r="AK2">
        <v>40993.85</v>
      </c>
      <c r="AL2">
        <v>41693.6</v>
      </c>
      <c r="AM2">
        <v>42471.1</v>
      </c>
      <c r="AN2">
        <v>42796.09</v>
      </c>
      <c r="AO2">
        <v>43236.16</v>
      </c>
      <c r="AP2">
        <v>43808.4</v>
      </c>
      <c r="AQ2">
        <v>44494.15</v>
      </c>
      <c r="AR2">
        <v>44578.12</v>
      </c>
      <c r="AS2">
        <v>44766.28</v>
      </c>
      <c r="AT2">
        <v>44812.93</v>
      </c>
      <c r="AU2">
        <v>44347.98</v>
      </c>
      <c r="AV2">
        <v>44430.4</v>
      </c>
      <c r="AW2">
        <v>44542.36</v>
      </c>
      <c r="AX2">
        <v>44803.6</v>
      </c>
      <c r="AY2">
        <v>44837.81</v>
      </c>
      <c r="AZ2">
        <v>44872.02</v>
      </c>
      <c r="BA2">
        <v>45207.9</v>
      </c>
      <c r="BB2">
        <v>45430.26</v>
      </c>
      <c r="BC2">
        <v>45195.46</v>
      </c>
      <c r="BD2">
        <v>45315.19</v>
      </c>
      <c r="BE2">
        <v>45170.58</v>
      </c>
      <c r="BF2">
        <v>45284.09</v>
      </c>
      <c r="BG2">
        <v>45169.02</v>
      </c>
      <c r="BH2">
        <v>45150.36</v>
      </c>
      <c r="BI2">
        <v>45225</v>
      </c>
      <c r="BJ2">
        <v>45550</v>
      </c>
      <c r="BK2">
        <v>45438.04</v>
      </c>
      <c r="BL2">
        <v>45200.12</v>
      </c>
      <c r="BM2">
        <v>45364.95</v>
      </c>
      <c r="BN2">
        <v>45495.57</v>
      </c>
      <c r="BO2">
        <v>45459.81</v>
      </c>
      <c r="BP2">
        <v>45235.89</v>
      </c>
      <c r="BQ2">
        <v>44458.39</v>
      </c>
      <c r="BR2">
        <v>44068.08</v>
      </c>
      <c r="BS2">
        <v>43971.67</v>
      </c>
      <c r="BT2">
        <v>43786.63</v>
      </c>
      <c r="BU2">
        <v>43648.23</v>
      </c>
      <c r="BV2">
        <v>43329.46</v>
      </c>
      <c r="BW2">
        <v>43349.67</v>
      </c>
      <c r="BX2">
        <v>42978.03</v>
      </c>
      <c r="BY2">
        <v>42831.86</v>
      </c>
      <c r="BZ2">
        <v>42973.36</v>
      </c>
      <c r="CA2">
        <v>43124.2</v>
      </c>
      <c r="CB2">
        <v>43425.87</v>
      </c>
      <c r="CC2">
        <v>43303.02</v>
      </c>
      <c r="CD2">
        <v>43077.55</v>
      </c>
      <c r="CE2">
        <v>42813.2</v>
      </c>
      <c r="CF2">
        <v>42399.57</v>
      </c>
      <c r="CG2">
        <v>41776.01</v>
      </c>
      <c r="CH2">
        <v>41505.44</v>
      </c>
      <c r="CI2">
        <v>40746.6</v>
      </c>
      <c r="CJ2">
        <v>40188.36</v>
      </c>
      <c r="CK2">
        <v>39326.89</v>
      </c>
      <c r="CL2">
        <v>39155.84</v>
      </c>
      <c r="CM2">
        <v>38306.81</v>
      </c>
      <c r="CN2">
        <v>37532.42</v>
      </c>
      <c r="CO2">
        <v>36663.17</v>
      </c>
      <c r="CP2">
        <v>36151.58</v>
      </c>
      <c r="CQ2">
        <v>35593.33</v>
      </c>
      <c r="CR2">
        <v>34798.73</v>
      </c>
      <c r="CS2">
        <v>34136.3</v>
      </c>
    </row>
    <row r="3" spans="1:97">
      <c r="A3" s="9">
        <v>46236</v>
      </c>
      <c r="B3">
        <v>33523.48</v>
      </c>
      <c r="C3">
        <v>33056.3</v>
      </c>
      <c r="D3">
        <v>32590.54</v>
      </c>
      <c r="E3">
        <v>32474.1</v>
      </c>
      <c r="F3">
        <v>32241.22</v>
      </c>
      <c r="G3">
        <v>32123.36</v>
      </c>
      <c r="H3">
        <v>31890.48</v>
      </c>
      <c r="I3">
        <v>31657.6</v>
      </c>
      <c r="J3">
        <v>31541.16</v>
      </c>
      <c r="K3">
        <v>31308.28</v>
      </c>
      <c r="L3">
        <v>31191.84</v>
      </c>
      <c r="M3">
        <v>30841.1</v>
      </c>
      <c r="N3">
        <v>30724.66</v>
      </c>
      <c r="O3">
        <v>30724.66</v>
      </c>
      <c r="P3">
        <v>30724.66</v>
      </c>
      <c r="Q3">
        <v>30608.22</v>
      </c>
      <c r="R3">
        <v>30608.22</v>
      </c>
      <c r="S3">
        <v>30608.22</v>
      </c>
      <c r="T3">
        <v>30550</v>
      </c>
      <c r="U3">
        <v>30899.32</v>
      </c>
      <c r="V3">
        <v>31191.84</v>
      </c>
      <c r="W3">
        <v>31482.94</v>
      </c>
      <c r="X3">
        <v>32183</v>
      </c>
      <c r="Y3">
        <v>32735.38</v>
      </c>
      <c r="Z3">
        <v>33228.12</v>
      </c>
      <c r="AA3">
        <v>33539.1</v>
      </c>
      <c r="AB3">
        <v>33993.5</v>
      </c>
      <c r="AC3">
        <v>34442.22</v>
      </c>
      <c r="AD3">
        <v>35238.84</v>
      </c>
      <c r="AE3">
        <v>35879.26</v>
      </c>
      <c r="AF3">
        <v>36673.04</v>
      </c>
      <c r="AG3">
        <v>37446.94</v>
      </c>
      <c r="AH3">
        <v>38494.9</v>
      </c>
      <c r="AI3">
        <v>39345.48</v>
      </c>
      <c r="AJ3">
        <v>40086.72</v>
      </c>
      <c r="AK3">
        <v>40741.34</v>
      </c>
      <c r="AL3">
        <v>41391.7</v>
      </c>
      <c r="AM3">
        <v>42087.5</v>
      </c>
      <c r="AN3">
        <v>42401.32</v>
      </c>
      <c r="AO3">
        <v>42808.86</v>
      </c>
      <c r="AP3">
        <v>43317.22</v>
      </c>
      <c r="AQ3">
        <v>43923.56</v>
      </c>
      <c r="AR3">
        <v>44020.12</v>
      </c>
      <c r="AS3">
        <v>44191.94</v>
      </c>
      <c r="AT3">
        <v>44233.12</v>
      </c>
      <c r="AU3">
        <v>43804.28</v>
      </c>
      <c r="AV3">
        <v>43861.08</v>
      </c>
      <c r="AW3">
        <v>43940.6</v>
      </c>
      <c r="AX3">
        <v>44157.86</v>
      </c>
      <c r="AY3">
        <v>44216.08</v>
      </c>
      <c r="AZ3">
        <v>44244.48</v>
      </c>
      <c r="BA3">
        <v>44519.96</v>
      </c>
      <c r="BB3">
        <v>44713.08</v>
      </c>
      <c r="BC3">
        <v>44494.4</v>
      </c>
      <c r="BD3">
        <v>44619.36</v>
      </c>
      <c r="BE3">
        <v>44463.16</v>
      </c>
      <c r="BF3">
        <v>44552.62</v>
      </c>
      <c r="BG3">
        <v>44461.74</v>
      </c>
      <c r="BH3">
        <v>44414.88</v>
      </c>
      <c r="BI3">
        <v>44478.78</v>
      </c>
      <c r="BJ3">
        <v>44750</v>
      </c>
      <c r="BK3">
        <v>44676.16</v>
      </c>
      <c r="BL3">
        <v>44453.22</v>
      </c>
      <c r="BM3">
        <v>44583.86</v>
      </c>
      <c r="BN3">
        <v>44688.94</v>
      </c>
      <c r="BO3">
        <v>44652.02</v>
      </c>
      <c r="BP3">
        <v>44447.54</v>
      </c>
      <c r="BQ3">
        <v>43744.64</v>
      </c>
      <c r="BR3">
        <v>43408.1</v>
      </c>
      <c r="BS3">
        <v>43298.76</v>
      </c>
      <c r="BT3">
        <v>43122.68</v>
      </c>
      <c r="BU3">
        <v>42967.9</v>
      </c>
      <c r="BV3">
        <v>42693.84</v>
      </c>
      <c r="BW3">
        <v>42675.38</v>
      </c>
      <c r="BX3">
        <v>42358.72</v>
      </c>
      <c r="BY3">
        <v>42219.56</v>
      </c>
      <c r="BZ3">
        <v>42372.92</v>
      </c>
      <c r="CA3">
        <v>42527.7</v>
      </c>
      <c r="CB3">
        <v>42813.12</v>
      </c>
      <c r="CC3">
        <v>42735.02</v>
      </c>
      <c r="CD3">
        <v>42533.38</v>
      </c>
      <c r="CE3">
        <v>42306.18</v>
      </c>
      <c r="CF3">
        <v>41934.14</v>
      </c>
      <c r="CG3">
        <v>41359.04</v>
      </c>
      <c r="CH3">
        <v>41138.94</v>
      </c>
      <c r="CI3">
        <v>40461.6</v>
      </c>
      <c r="CJ3">
        <v>39964.6</v>
      </c>
      <c r="CK3">
        <v>39183.6</v>
      </c>
      <c r="CL3">
        <v>39075.68</v>
      </c>
      <c r="CM3">
        <v>38317.4</v>
      </c>
      <c r="CN3">
        <v>37590.36</v>
      </c>
      <c r="CO3">
        <v>36803.68</v>
      </c>
      <c r="CP3">
        <v>36316.62</v>
      </c>
      <c r="CQ3">
        <v>35788.38</v>
      </c>
      <c r="CR3">
        <v>35064.18</v>
      </c>
      <c r="CS3">
        <v>34460.68</v>
      </c>
    </row>
    <row r="4" spans="1:97">
      <c r="A4" s="9">
        <v>46237</v>
      </c>
      <c r="B4">
        <v>33620</v>
      </c>
      <c r="C4">
        <v>33270.5</v>
      </c>
      <c r="D4">
        <v>32954</v>
      </c>
      <c r="E4">
        <v>32615</v>
      </c>
      <c r="F4">
        <v>32307.5</v>
      </c>
      <c r="G4">
        <v>32013.5</v>
      </c>
      <c r="H4">
        <v>31811</v>
      </c>
      <c r="I4">
        <v>31635.5</v>
      </c>
      <c r="J4">
        <v>31565</v>
      </c>
      <c r="K4">
        <v>31286</v>
      </c>
      <c r="L4">
        <v>31154</v>
      </c>
      <c r="M4">
        <v>31008.5</v>
      </c>
      <c r="N4">
        <v>30839</v>
      </c>
      <c r="O4">
        <v>30822.5</v>
      </c>
      <c r="P4">
        <v>30815</v>
      </c>
      <c r="Q4">
        <v>30650</v>
      </c>
      <c r="R4">
        <v>30768.5</v>
      </c>
      <c r="S4">
        <v>30690.5</v>
      </c>
      <c r="T4">
        <v>30723.5</v>
      </c>
      <c r="U4">
        <v>31041.5</v>
      </c>
      <c r="V4">
        <v>31559</v>
      </c>
      <c r="W4">
        <v>31901</v>
      </c>
      <c r="X4">
        <v>32322.5</v>
      </c>
      <c r="Y4">
        <v>32792</v>
      </c>
      <c r="Z4">
        <v>33311</v>
      </c>
      <c r="AA4">
        <v>33903.5</v>
      </c>
      <c r="AB4">
        <v>34416.5</v>
      </c>
      <c r="AC4">
        <v>34851.5</v>
      </c>
      <c r="AD4">
        <v>35685.5</v>
      </c>
      <c r="AE4">
        <v>36431</v>
      </c>
      <c r="AF4">
        <v>37286</v>
      </c>
      <c r="AG4">
        <v>38216</v>
      </c>
      <c r="AH4">
        <v>39578</v>
      </c>
      <c r="AI4">
        <v>40434.5</v>
      </c>
      <c r="AJ4">
        <v>41250.5</v>
      </c>
      <c r="AK4">
        <v>41856.5</v>
      </c>
      <c r="AL4">
        <v>42534.5</v>
      </c>
      <c r="AM4">
        <v>43334</v>
      </c>
      <c r="AN4">
        <v>43623.5</v>
      </c>
      <c r="AO4">
        <v>43907</v>
      </c>
      <c r="AP4">
        <v>44462</v>
      </c>
      <c r="AQ4">
        <v>44960</v>
      </c>
      <c r="AR4">
        <v>45144.5</v>
      </c>
      <c r="AS4">
        <v>45116</v>
      </c>
      <c r="AT4">
        <v>45068</v>
      </c>
      <c r="AU4">
        <v>45027.5</v>
      </c>
      <c r="AV4">
        <v>44795.24</v>
      </c>
      <c r="AW4">
        <v>45147.5</v>
      </c>
      <c r="AX4">
        <v>45159.5</v>
      </c>
      <c r="AY4">
        <v>45291.5</v>
      </c>
      <c r="AZ4">
        <v>45479</v>
      </c>
      <c r="BA4">
        <v>45446</v>
      </c>
      <c r="BB4">
        <v>45650</v>
      </c>
      <c r="BC4">
        <v>45581</v>
      </c>
      <c r="BD4">
        <v>45591.5</v>
      </c>
      <c r="BE4">
        <v>45417.5</v>
      </c>
      <c r="BF4">
        <v>45495.5</v>
      </c>
      <c r="BG4">
        <v>45455</v>
      </c>
      <c r="BH4">
        <v>45449</v>
      </c>
      <c r="BI4">
        <v>45353</v>
      </c>
      <c r="BJ4">
        <v>45515</v>
      </c>
      <c r="BK4">
        <v>45491</v>
      </c>
      <c r="BL4">
        <v>45416</v>
      </c>
      <c r="BM4">
        <v>45344</v>
      </c>
      <c r="BN4">
        <v>45441.5</v>
      </c>
      <c r="BO4">
        <v>45201.5</v>
      </c>
      <c r="BP4">
        <v>44870</v>
      </c>
      <c r="BQ4">
        <v>44123</v>
      </c>
      <c r="BR4">
        <v>43724</v>
      </c>
      <c r="BS4">
        <v>43650.5</v>
      </c>
      <c r="BT4">
        <v>43337</v>
      </c>
      <c r="BU4">
        <v>43259</v>
      </c>
      <c r="BV4">
        <v>42915.5</v>
      </c>
      <c r="BW4">
        <v>42833</v>
      </c>
      <c r="BX4">
        <v>42758</v>
      </c>
      <c r="BY4">
        <v>42563</v>
      </c>
      <c r="BZ4">
        <v>42765.5</v>
      </c>
      <c r="CA4">
        <v>42849.5</v>
      </c>
      <c r="CB4">
        <v>43172</v>
      </c>
      <c r="CC4">
        <v>42999.5</v>
      </c>
      <c r="CD4">
        <v>42729.5</v>
      </c>
      <c r="CE4">
        <v>42588.5</v>
      </c>
      <c r="CF4">
        <v>42147.5</v>
      </c>
      <c r="CG4">
        <v>41699</v>
      </c>
      <c r="CH4">
        <v>41414</v>
      </c>
      <c r="CI4">
        <v>40692.5</v>
      </c>
      <c r="CJ4">
        <v>40160</v>
      </c>
      <c r="CK4">
        <v>39503</v>
      </c>
      <c r="CL4">
        <v>39407</v>
      </c>
      <c r="CM4">
        <v>38687</v>
      </c>
      <c r="CN4">
        <v>37980.5</v>
      </c>
      <c r="CO4">
        <v>37244</v>
      </c>
      <c r="CP4">
        <v>36654.5</v>
      </c>
      <c r="CQ4">
        <v>36068</v>
      </c>
      <c r="CR4">
        <v>35466.5</v>
      </c>
      <c r="CS4">
        <v>34788.5</v>
      </c>
    </row>
    <row r="5" spans="1:97">
      <c r="A5" s="9">
        <v>46238</v>
      </c>
      <c r="B5">
        <v>34222.79</v>
      </c>
      <c r="C5">
        <v>33893.84</v>
      </c>
      <c r="D5">
        <v>33587.84</v>
      </c>
      <c r="E5">
        <v>33179.33</v>
      </c>
      <c r="F5">
        <v>32966.66</v>
      </c>
      <c r="G5">
        <v>32570.39</v>
      </c>
      <c r="H5">
        <v>32538.26</v>
      </c>
      <c r="I5">
        <v>32360.78</v>
      </c>
      <c r="J5">
        <v>32175.65</v>
      </c>
      <c r="K5">
        <v>31857.41</v>
      </c>
      <c r="L5">
        <v>31568.24</v>
      </c>
      <c r="M5">
        <v>31588.13</v>
      </c>
      <c r="N5">
        <v>31410.65</v>
      </c>
      <c r="O5">
        <v>31448.9</v>
      </c>
      <c r="P5">
        <v>31412.18</v>
      </c>
      <c r="Q5">
        <v>31250</v>
      </c>
      <c r="R5">
        <v>31416.77</v>
      </c>
      <c r="S5">
        <v>31387.7</v>
      </c>
      <c r="T5">
        <v>31474.91</v>
      </c>
      <c r="U5">
        <v>31738.07</v>
      </c>
      <c r="V5">
        <v>32388.32</v>
      </c>
      <c r="W5">
        <v>32671.37</v>
      </c>
      <c r="X5">
        <v>33142.61</v>
      </c>
      <c r="Y5">
        <v>33877.01</v>
      </c>
      <c r="Z5">
        <v>34489.01</v>
      </c>
      <c r="AA5">
        <v>35110.19</v>
      </c>
      <c r="AB5">
        <v>35612.03</v>
      </c>
      <c r="AC5">
        <v>36015.95</v>
      </c>
      <c r="AD5">
        <v>36675.38</v>
      </c>
      <c r="AE5">
        <v>37513.82</v>
      </c>
      <c r="AF5">
        <v>38408.87</v>
      </c>
      <c r="AG5">
        <v>39433.97</v>
      </c>
      <c r="AH5">
        <v>40976.21</v>
      </c>
      <c r="AI5">
        <v>41794.76</v>
      </c>
      <c r="AJ5">
        <v>42784.67</v>
      </c>
      <c r="AK5">
        <v>43326.29</v>
      </c>
      <c r="AL5">
        <v>43575.68</v>
      </c>
      <c r="AM5">
        <v>44455.43</v>
      </c>
      <c r="AN5">
        <v>44732.36</v>
      </c>
      <c r="AO5">
        <v>45038.36</v>
      </c>
      <c r="AP5">
        <v>45635.06</v>
      </c>
      <c r="AQ5">
        <v>45849.26</v>
      </c>
      <c r="AR5">
        <v>46066.52</v>
      </c>
      <c r="AS5">
        <v>45942.59</v>
      </c>
      <c r="AT5">
        <v>46040.51</v>
      </c>
      <c r="AU5">
        <v>46011.44</v>
      </c>
      <c r="AV5">
        <v>45590.69</v>
      </c>
      <c r="AW5">
        <v>45957.89</v>
      </c>
      <c r="AX5">
        <v>45986.96</v>
      </c>
      <c r="AY5">
        <v>46344.98</v>
      </c>
      <c r="AZ5">
        <v>46550</v>
      </c>
      <c r="BA5">
        <v>46358.75</v>
      </c>
      <c r="BB5">
        <v>46040.51</v>
      </c>
      <c r="BC5">
        <v>46386.29</v>
      </c>
      <c r="BD5">
        <v>46305.2</v>
      </c>
      <c r="BE5">
        <v>46141.49</v>
      </c>
      <c r="BF5">
        <v>46404.65</v>
      </c>
      <c r="BG5">
        <v>46332.74</v>
      </c>
      <c r="BH5">
        <v>46449.02</v>
      </c>
      <c r="BI5">
        <v>46074.17</v>
      </c>
      <c r="BJ5">
        <v>46332.74</v>
      </c>
      <c r="BK5">
        <v>46398.53</v>
      </c>
      <c r="BL5">
        <v>46256.24</v>
      </c>
      <c r="BM5">
        <v>46228.7</v>
      </c>
      <c r="BN5">
        <v>46248.59</v>
      </c>
      <c r="BO5">
        <v>45934.94</v>
      </c>
      <c r="BP5">
        <v>45462.17</v>
      </c>
      <c r="BQ5">
        <v>44795.09</v>
      </c>
      <c r="BR5">
        <v>44432.48</v>
      </c>
      <c r="BS5">
        <v>44342.21</v>
      </c>
      <c r="BT5">
        <v>43964.3</v>
      </c>
      <c r="BU5">
        <v>43872.5</v>
      </c>
      <c r="BV5">
        <v>43566.5</v>
      </c>
      <c r="BW5">
        <v>43456.34</v>
      </c>
      <c r="BX5">
        <v>43411.97</v>
      </c>
      <c r="BY5">
        <v>43083.02</v>
      </c>
      <c r="BZ5">
        <v>43327.82</v>
      </c>
      <c r="CA5">
        <v>43407.38</v>
      </c>
      <c r="CB5">
        <v>43860.26</v>
      </c>
      <c r="CC5">
        <v>43659.83</v>
      </c>
      <c r="CD5">
        <v>43404.32</v>
      </c>
      <c r="CE5">
        <v>43335.47</v>
      </c>
      <c r="CF5">
        <v>42896.36</v>
      </c>
      <c r="CG5">
        <v>42648.5</v>
      </c>
      <c r="CH5">
        <v>42134.42</v>
      </c>
      <c r="CI5">
        <v>41234.78</v>
      </c>
      <c r="CJ5">
        <v>40687.04</v>
      </c>
      <c r="CK5">
        <v>40102.58</v>
      </c>
      <c r="CL5">
        <v>39914.39</v>
      </c>
      <c r="CM5">
        <v>39299.33</v>
      </c>
      <c r="CN5">
        <v>38727.11</v>
      </c>
      <c r="CO5">
        <v>38056.97</v>
      </c>
      <c r="CP5">
        <v>37298.09</v>
      </c>
      <c r="CQ5">
        <v>36661.61</v>
      </c>
      <c r="CR5">
        <v>36146</v>
      </c>
      <c r="CS5">
        <v>35433.02</v>
      </c>
    </row>
    <row r="6" spans="1:97">
      <c r="A6" s="9">
        <v>46239</v>
      </c>
      <c r="B6">
        <v>34820.96</v>
      </c>
      <c r="C6">
        <v>34458.08</v>
      </c>
      <c r="D6">
        <v>34122.08</v>
      </c>
      <c r="E6">
        <v>33671.84</v>
      </c>
      <c r="F6">
        <v>33440</v>
      </c>
      <c r="G6">
        <v>33003.2</v>
      </c>
      <c r="H6">
        <v>32966.24</v>
      </c>
      <c r="I6">
        <v>32771.36</v>
      </c>
      <c r="J6">
        <v>32568.08</v>
      </c>
      <c r="K6">
        <v>32216.96</v>
      </c>
      <c r="L6">
        <v>31899.44</v>
      </c>
      <c r="M6">
        <v>31921.28</v>
      </c>
      <c r="N6">
        <v>31726.4</v>
      </c>
      <c r="O6">
        <v>31768.4</v>
      </c>
      <c r="P6">
        <v>31728.08</v>
      </c>
      <c r="Q6">
        <v>31550</v>
      </c>
      <c r="R6">
        <v>31733.12</v>
      </c>
      <c r="S6">
        <v>31701.2</v>
      </c>
      <c r="T6">
        <v>31798.64</v>
      </c>
      <c r="U6">
        <v>32087.6</v>
      </c>
      <c r="V6">
        <v>32801.6</v>
      </c>
      <c r="W6">
        <v>33112.4</v>
      </c>
      <c r="X6">
        <v>33631.52</v>
      </c>
      <c r="Y6">
        <v>34439.6</v>
      </c>
      <c r="Z6">
        <v>35113.28</v>
      </c>
      <c r="AA6">
        <v>35797.04</v>
      </c>
      <c r="AB6">
        <v>36348.08</v>
      </c>
      <c r="AC6">
        <v>36793.28</v>
      </c>
      <c r="AD6">
        <v>37519.04</v>
      </c>
      <c r="AE6">
        <v>38441.36</v>
      </c>
      <c r="AF6">
        <v>39425.84</v>
      </c>
      <c r="AG6">
        <v>40553.12</v>
      </c>
      <c r="AH6">
        <v>42249.92</v>
      </c>
      <c r="AI6">
        <v>43150.4</v>
      </c>
      <c r="AJ6">
        <v>44240.72</v>
      </c>
      <c r="AK6">
        <v>44837.12</v>
      </c>
      <c r="AL6">
        <v>45109.28</v>
      </c>
      <c r="AM6">
        <v>46078.64</v>
      </c>
      <c r="AN6">
        <v>46382.72</v>
      </c>
      <c r="AO6">
        <v>46718.72</v>
      </c>
      <c r="AP6">
        <v>47375.6</v>
      </c>
      <c r="AQ6">
        <v>47610.8</v>
      </c>
      <c r="AR6">
        <v>47851.04</v>
      </c>
      <c r="AS6">
        <v>47714.96</v>
      </c>
      <c r="AT6">
        <v>47820.8</v>
      </c>
      <c r="AU6">
        <v>47788.88</v>
      </c>
      <c r="AV6">
        <v>47326.88</v>
      </c>
      <c r="AW6">
        <v>47731.76</v>
      </c>
      <c r="AX6">
        <v>47762</v>
      </c>
      <c r="AY6">
        <v>48195.44</v>
      </c>
      <c r="AZ6">
        <v>48350</v>
      </c>
      <c r="BA6">
        <v>47871.2</v>
      </c>
      <c r="BB6">
        <v>47520.08</v>
      </c>
      <c r="BC6">
        <v>47901.44</v>
      </c>
      <c r="BD6">
        <v>47810.72</v>
      </c>
      <c r="BE6">
        <v>47630.96</v>
      </c>
      <c r="BF6">
        <v>47919.92</v>
      </c>
      <c r="BG6">
        <v>47565.44</v>
      </c>
      <c r="BH6">
        <v>47767.04</v>
      </c>
      <c r="BI6">
        <v>47347.04</v>
      </c>
      <c r="BJ6">
        <v>47511.68</v>
      </c>
      <c r="BK6">
        <v>47439.44</v>
      </c>
      <c r="BL6">
        <v>47232.8</v>
      </c>
      <c r="BM6">
        <v>47026.16</v>
      </c>
      <c r="BN6">
        <v>46947.36</v>
      </c>
      <c r="BO6">
        <v>46535.76</v>
      </c>
      <c r="BP6">
        <v>45764.64</v>
      </c>
      <c r="BQ6">
        <v>45096</v>
      </c>
      <c r="BR6">
        <v>44733.12</v>
      </c>
      <c r="BS6">
        <v>44642.4</v>
      </c>
      <c r="BT6">
        <v>44262.72</v>
      </c>
      <c r="BU6">
        <v>44168.64</v>
      </c>
      <c r="BV6">
        <v>43862.88</v>
      </c>
      <c r="BW6">
        <v>43750.32</v>
      </c>
      <c r="BX6">
        <v>43704.96</v>
      </c>
      <c r="BY6">
        <v>43372.32</v>
      </c>
      <c r="BZ6">
        <v>43614.24</v>
      </c>
      <c r="CA6">
        <v>43691.52</v>
      </c>
      <c r="CB6">
        <v>44138.4</v>
      </c>
      <c r="CC6">
        <v>43936.8</v>
      </c>
      <c r="CD6">
        <v>43679.76</v>
      </c>
      <c r="CE6">
        <v>43609.2</v>
      </c>
      <c r="CF6">
        <v>43170.72</v>
      </c>
      <c r="CG6">
        <v>42920.4</v>
      </c>
      <c r="CH6">
        <v>42406.32</v>
      </c>
      <c r="CI6">
        <v>41510.88</v>
      </c>
      <c r="CJ6">
        <v>40961.52</v>
      </c>
      <c r="CK6">
        <v>40378.56</v>
      </c>
      <c r="CL6">
        <v>40187.04</v>
      </c>
      <c r="CM6">
        <v>39572.16</v>
      </c>
      <c r="CN6">
        <v>39000.96</v>
      </c>
      <c r="CO6">
        <v>38332.32</v>
      </c>
      <c r="CP6">
        <v>37572.96</v>
      </c>
      <c r="CQ6">
        <v>36939.6</v>
      </c>
      <c r="CR6">
        <v>36422.16</v>
      </c>
      <c r="CS6">
        <v>35713.2</v>
      </c>
    </row>
    <row r="7" spans="1:97">
      <c r="A7" s="9">
        <v>46240</v>
      </c>
      <c r="B7">
        <v>34857.27</v>
      </c>
      <c r="C7">
        <v>34506.82</v>
      </c>
      <c r="D7">
        <v>34065.09</v>
      </c>
      <c r="E7">
        <v>33755.39</v>
      </c>
      <c r="F7">
        <v>33489.7</v>
      </c>
      <c r="G7">
        <v>33147.4</v>
      </c>
      <c r="H7">
        <v>32925.72</v>
      </c>
      <c r="I7">
        <v>32756.2</v>
      </c>
      <c r="J7">
        <v>32550.82</v>
      </c>
      <c r="K7">
        <v>32338.92</v>
      </c>
      <c r="L7">
        <v>32169.4</v>
      </c>
      <c r="M7">
        <v>31985.21</v>
      </c>
      <c r="N7">
        <v>31830.36</v>
      </c>
      <c r="O7">
        <v>31753.75</v>
      </c>
      <c r="P7">
        <v>31690.18</v>
      </c>
      <c r="Q7">
        <v>31550</v>
      </c>
      <c r="R7">
        <v>31708.11</v>
      </c>
      <c r="S7">
        <v>31701.59</v>
      </c>
      <c r="T7">
        <v>31773.31</v>
      </c>
      <c r="U7">
        <v>32141.69</v>
      </c>
      <c r="V7">
        <v>32653.51</v>
      </c>
      <c r="W7">
        <v>33033.3</v>
      </c>
      <c r="X7">
        <v>33445.69</v>
      </c>
      <c r="Y7">
        <v>34083.02</v>
      </c>
      <c r="Z7">
        <v>34761.1</v>
      </c>
      <c r="AA7">
        <v>35393.54</v>
      </c>
      <c r="AB7">
        <v>36006.42</v>
      </c>
      <c r="AC7">
        <v>36547.58</v>
      </c>
      <c r="AD7">
        <v>37391.92</v>
      </c>
      <c r="AE7">
        <v>38317.76</v>
      </c>
      <c r="AF7">
        <v>39178.4</v>
      </c>
      <c r="AG7">
        <v>40265.61</v>
      </c>
      <c r="AH7">
        <v>41615.25</v>
      </c>
      <c r="AI7">
        <v>42550.87</v>
      </c>
      <c r="AJ7">
        <v>43398.47</v>
      </c>
      <c r="AK7">
        <v>44246.07</v>
      </c>
      <c r="AL7">
        <v>45017.06</v>
      </c>
      <c r="AM7">
        <v>45783.16</v>
      </c>
      <c r="AN7">
        <v>46234.67</v>
      </c>
      <c r="AO7">
        <v>46611.2</v>
      </c>
      <c r="AP7">
        <v>47101.83</v>
      </c>
      <c r="AQ7">
        <v>47543.56</v>
      </c>
      <c r="AR7">
        <v>47616.91</v>
      </c>
      <c r="AS7">
        <v>47568.01</v>
      </c>
      <c r="AT7">
        <v>47563.12</v>
      </c>
      <c r="AU7">
        <v>47479.99</v>
      </c>
      <c r="AV7">
        <v>47343.07</v>
      </c>
      <c r="AW7">
        <v>47405.01</v>
      </c>
      <c r="AX7">
        <v>47447.39</v>
      </c>
      <c r="AY7">
        <v>47726.12</v>
      </c>
      <c r="AZ7">
        <v>47781.54</v>
      </c>
      <c r="BA7">
        <v>47721.23</v>
      </c>
      <c r="BB7">
        <v>47850</v>
      </c>
      <c r="BC7">
        <v>47685.37</v>
      </c>
      <c r="BD7">
        <v>47745.68</v>
      </c>
      <c r="BE7">
        <v>47558.23</v>
      </c>
      <c r="BF7">
        <v>47744.05</v>
      </c>
      <c r="BG7">
        <v>47636.47</v>
      </c>
      <c r="BH7">
        <v>47524</v>
      </c>
      <c r="BI7">
        <v>47300.69</v>
      </c>
      <c r="BJ7">
        <v>47486.51</v>
      </c>
      <c r="BK7">
        <v>47458.8</v>
      </c>
      <c r="BL7">
        <v>47470.21</v>
      </c>
      <c r="BM7">
        <v>47194.74</v>
      </c>
      <c r="BN7">
        <v>47581.05</v>
      </c>
      <c r="BO7">
        <v>47052.93</v>
      </c>
      <c r="BP7">
        <v>46832.88</v>
      </c>
      <c r="BQ7">
        <v>46045.59</v>
      </c>
      <c r="BR7">
        <v>45660.91</v>
      </c>
      <c r="BS7">
        <v>45633.2</v>
      </c>
      <c r="BT7">
        <v>45274.6</v>
      </c>
      <c r="BU7">
        <v>45360.99</v>
      </c>
      <c r="BV7">
        <v>44964.9</v>
      </c>
      <c r="BW7">
        <v>44855.69</v>
      </c>
      <c r="BX7">
        <v>44777.45</v>
      </c>
      <c r="BY7">
        <v>44524.8</v>
      </c>
      <c r="BZ7">
        <v>44790.49</v>
      </c>
      <c r="CA7">
        <v>44938.82</v>
      </c>
      <c r="CB7">
        <v>44935.48</v>
      </c>
      <c r="CC7">
        <v>44756.18</v>
      </c>
      <c r="CD7">
        <v>44524.72</v>
      </c>
      <c r="CE7">
        <v>44332.38</v>
      </c>
      <c r="CF7">
        <v>43745.58</v>
      </c>
      <c r="CG7">
        <v>43372.31</v>
      </c>
      <c r="CH7">
        <v>42940.36</v>
      </c>
      <c r="CI7">
        <v>42099.28</v>
      </c>
      <c r="CJ7">
        <v>41448.91</v>
      </c>
      <c r="CK7">
        <v>40548.58</v>
      </c>
      <c r="CL7">
        <v>40279.63</v>
      </c>
      <c r="CM7">
        <v>39392.91</v>
      </c>
      <c r="CN7">
        <v>38670.82</v>
      </c>
      <c r="CO7">
        <v>37934.06</v>
      </c>
      <c r="CP7">
        <v>37203.82</v>
      </c>
      <c r="CQ7">
        <v>36599.09</v>
      </c>
      <c r="CR7">
        <v>35929.16</v>
      </c>
      <c r="CS7">
        <v>35151.65</v>
      </c>
    </row>
    <row r="8" spans="1:97">
      <c r="A8" s="9">
        <v>46241</v>
      </c>
      <c r="B8">
        <v>34633.81</v>
      </c>
      <c r="C8">
        <v>34204.64</v>
      </c>
      <c r="D8">
        <v>33762.11</v>
      </c>
      <c r="E8">
        <v>33475.51</v>
      </c>
      <c r="F8">
        <v>33205.24</v>
      </c>
      <c r="G8">
        <v>32838.44</v>
      </c>
      <c r="H8">
        <v>32535.5</v>
      </c>
      <c r="I8">
        <v>32366.21</v>
      </c>
      <c r="J8">
        <v>32254.84</v>
      </c>
      <c r="K8">
        <v>31953.38</v>
      </c>
      <c r="L8">
        <v>31816.76</v>
      </c>
      <c r="M8">
        <v>31536.1</v>
      </c>
      <c r="N8">
        <v>31455.91</v>
      </c>
      <c r="O8">
        <v>31409.87</v>
      </c>
      <c r="P8">
        <v>31320.77</v>
      </c>
      <c r="Q8">
        <v>31150</v>
      </c>
      <c r="R8">
        <v>31292.56</v>
      </c>
      <c r="S8">
        <v>31201.97</v>
      </c>
      <c r="T8">
        <v>31210.88</v>
      </c>
      <c r="U8">
        <v>31516.79</v>
      </c>
      <c r="V8">
        <v>32008.33</v>
      </c>
      <c r="W8">
        <v>32453.83</v>
      </c>
      <c r="X8">
        <v>32853.29</v>
      </c>
      <c r="Y8">
        <v>33346.31</v>
      </c>
      <c r="Z8">
        <v>33999.71</v>
      </c>
      <c r="AA8">
        <v>34760.03</v>
      </c>
      <c r="AB8">
        <v>35383.73</v>
      </c>
      <c r="AC8">
        <v>35916.85</v>
      </c>
      <c r="AD8">
        <v>36712.81</v>
      </c>
      <c r="AE8">
        <v>37701.82</v>
      </c>
      <c r="AF8">
        <v>38573.51</v>
      </c>
      <c r="AG8">
        <v>39552.13</v>
      </c>
      <c r="AH8">
        <v>40759.43</v>
      </c>
      <c r="AI8">
        <v>41656.37</v>
      </c>
      <c r="AJ8">
        <v>42373.63</v>
      </c>
      <c r="AK8">
        <v>43185.92</v>
      </c>
      <c r="AL8">
        <v>43796.26</v>
      </c>
      <c r="AM8">
        <v>44415.5</v>
      </c>
      <c r="AN8">
        <v>44786.75</v>
      </c>
      <c r="AO8">
        <v>44924.86</v>
      </c>
      <c r="AP8">
        <v>45336.2</v>
      </c>
      <c r="AQ8">
        <v>45830.71</v>
      </c>
      <c r="AR8">
        <v>45959.9</v>
      </c>
      <c r="AS8">
        <v>46000</v>
      </c>
      <c r="AT8">
        <v>45818.83</v>
      </c>
      <c r="AU8">
        <v>45659.93</v>
      </c>
      <c r="AV8">
        <v>45532.22</v>
      </c>
      <c r="AW8">
        <v>45523.31</v>
      </c>
      <c r="AX8">
        <v>45517.37</v>
      </c>
      <c r="AY8">
        <v>45585.68</v>
      </c>
      <c r="AZ8">
        <v>45811.4</v>
      </c>
      <c r="BA8">
        <v>45673.3</v>
      </c>
      <c r="BB8">
        <v>45835.16</v>
      </c>
      <c r="BC8">
        <v>45642.11</v>
      </c>
      <c r="BD8">
        <v>45806.95</v>
      </c>
      <c r="BE8">
        <v>45422.33</v>
      </c>
      <c r="BF8">
        <v>45459.46</v>
      </c>
      <c r="BG8">
        <v>45665.87</v>
      </c>
      <c r="BH8">
        <v>45509.95</v>
      </c>
      <c r="BI8">
        <v>45584.2</v>
      </c>
      <c r="BJ8">
        <v>45634.69</v>
      </c>
      <c r="BK8">
        <v>45478.76</v>
      </c>
      <c r="BL8">
        <v>45469.85</v>
      </c>
      <c r="BM8">
        <v>45328.78</v>
      </c>
      <c r="BN8">
        <v>45566.38</v>
      </c>
      <c r="BO8">
        <v>45302.05</v>
      </c>
      <c r="BP8">
        <v>45153.55</v>
      </c>
      <c r="BQ8">
        <v>44443.72</v>
      </c>
      <c r="BR8">
        <v>44252.15</v>
      </c>
      <c r="BS8">
        <v>43907.63</v>
      </c>
      <c r="BT8">
        <v>43686.37</v>
      </c>
      <c r="BU8">
        <v>43454.71</v>
      </c>
      <c r="BV8">
        <v>43027.03</v>
      </c>
      <c r="BW8">
        <v>43093.85</v>
      </c>
      <c r="BX8">
        <v>43073.06</v>
      </c>
      <c r="BY8">
        <v>42986.93</v>
      </c>
      <c r="BZ8">
        <v>43315.12</v>
      </c>
      <c r="CA8">
        <v>43315.12</v>
      </c>
      <c r="CB8">
        <v>43413.13</v>
      </c>
      <c r="CC8">
        <v>43145.83</v>
      </c>
      <c r="CD8">
        <v>42936.44</v>
      </c>
      <c r="CE8">
        <v>42658.75</v>
      </c>
      <c r="CF8">
        <v>42040.99</v>
      </c>
      <c r="CG8">
        <v>41395.01</v>
      </c>
      <c r="CH8">
        <v>41010.4</v>
      </c>
      <c r="CI8">
        <v>40432.73</v>
      </c>
      <c r="CJ8">
        <v>39546.19</v>
      </c>
      <c r="CK8">
        <v>38647.76</v>
      </c>
      <c r="CL8">
        <v>38334.43</v>
      </c>
      <c r="CM8">
        <v>37621.63</v>
      </c>
      <c r="CN8">
        <v>36891.01</v>
      </c>
      <c r="CO8">
        <v>36112.87</v>
      </c>
      <c r="CP8">
        <v>35408.98</v>
      </c>
      <c r="CQ8">
        <v>34760.03</v>
      </c>
      <c r="CR8">
        <v>34183.85</v>
      </c>
      <c r="CS8">
        <v>33441.35</v>
      </c>
    </row>
    <row r="9" spans="1:97">
      <c r="A9" s="9">
        <v>46242</v>
      </c>
      <c r="B9">
        <v>32574.37</v>
      </c>
      <c r="C9">
        <v>32236.94</v>
      </c>
      <c r="D9">
        <v>31760.5</v>
      </c>
      <c r="E9">
        <v>31624.54</v>
      </c>
      <c r="F9">
        <v>31215.6</v>
      </c>
      <c r="G9">
        <v>30672.7</v>
      </c>
      <c r="H9">
        <v>30401.25</v>
      </c>
      <c r="I9">
        <v>30196.9</v>
      </c>
      <c r="J9">
        <v>29992.55</v>
      </c>
      <c r="K9">
        <v>29721.58</v>
      </c>
      <c r="L9">
        <v>29585.62</v>
      </c>
      <c r="M9">
        <v>29314.65</v>
      </c>
      <c r="N9">
        <v>29043.68</v>
      </c>
      <c r="O9">
        <v>28905.22</v>
      </c>
      <c r="P9">
        <v>28905.22</v>
      </c>
      <c r="Q9">
        <v>28905.22</v>
      </c>
      <c r="R9">
        <v>28905.22</v>
      </c>
      <c r="S9">
        <v>28812.2</v>
      </c>
      <c r="T9">
        <v>28800</v>
      </c>
      <c r="U9">
        <v>28912.85</v>
      </c>
      <c r="V9">
        <v>29388.65</v>
      </c>
      <c r="W9">
        <v>29869.02</v>
      </c>
      <c r="X9">
        <v>30314.32</v>
      </c>
      <c r="Y9">
        <v>31035.65</v>
      </c>
      <c r="Z9">
        <v>31435.2</v>
      </c>
      <c r="AA9">
        <v>32174.82</v>
      </c>
      <c r="AB9">
        <v>32793.97</v>
      </c>
      <c r="AC9">
        <v>33253</v>
      </c>
      <c r="AD9">
        <v>34088.7</v>
      </c>
      <c r="AE9">
        <v>34861.87</v>
      </c>
      <c r="AF9">
        <v>35796.7</v>
      </c>
      <c r="AG9">
        <v>36742.2</v>
      </c>
      <c r="AH9">
        <v>38183.32</v>
      </c>
      <c r="AI9">
        <v>38982.42</v>
      </c>
      <c r="AJ9">
        <v>39816.6</v>
      </c>
      <c r="AK9">
        <v>40537.92</v>
      </c>
      <c r="AL9">
        <v>41486.47</v>
      </c>
      <c r="AM9">
        <v>42294.72</v>
      </c>
      <c r="AN9">
        <v>42740.02</v>
      </c>
      <c r="AO9">
        <v>43074</v>
      </c>
      <c r="AP9">
        <v>43459.82</v>
      </c>
      <c r="AQ9">
        <v>43828.87</v>
      </c>
      <c r="AR9">
        <v>44050</v>
      </c>
      <c r="AS9">
        <v>43998.15</v>
      </c>
      <c r="AT9">
        <v>43687.05</v>
      </c>
      <c r="AU9">
        <v>43616.9</v>
      </c>
      <c r="AV9">
        <v>43279.87</v>
      </c>
      <c r="AW9">
        <v>43159.4</v>
      </c>
      <c r="AX9">
        <v>43058.75</v>
      </c>
      <c r="AY9">
        <v>43130.42</v>
      </c>
      <c r="AZ9">
        <v>43374.42</v>
      </c>
      <c r="BA9">
        <v>43031.3</v>
      </c>
      <c r="BB9">
        <v>43468.97</v>
      </c>
      <c r="BC9">
        <v>43095.35</v>
      </c>
      <c r="BD9">
        <v>43176.17</v>
      </c>
      <c r="BE9">
        <v>42828.47</v>
      </c>
      <c r="BF9">
        <v>42796.45</v>
      </c>
      <c r="BG9">
        <v>42823.9</v>
      </c>
      <c r="BH9">
        <v>42611.92</v>
      </c>
      <c r="BI9">
        <v>42506.7</v>
      </c>
      <c r="BJ9">
        <v>42441.12</v>
      </c>
      <c r="BK9">
        <v>42608.87</v>
      </c>
      <c r="BL9">
        <v>42773.57</v>
      </c>
      <c r="BM9">
        <v>42355.72</v>
      </c>
      <c r="BN9">
        <v>42721.72</v>
      </c>
      <c r="BO9">
        <v>42497.55</v>
      </c>
      <c r="BP9">
        <v>42198.65</v>
      </c>
      <c r="BQ9">
        <v>41321.77</v>
      </c>
      <c r="BR9">
        <v>41137.25</v>
      </c>
      <c r="BS9">
        <v>41012.2</v>
      </c>
      <c r="BT9">
        <v>40662.97</v>
      </c>
      <c r="BU9">
        <v>40591.3</v>
      </c>
      <c r="BV9">
        <v>40306.12</v>
      </c>
      <c r="BW9">
        <v>40303.07</v>
      </c>
      <c r="BX9">
        <v>40624.85</v>
      </c>
      <c r="BY9">
        <v>40501.32</v>
      </c>
      <c r="BZ9">
        <v>40940.52</v>
      </c>
      <c r="CA9">
        <v>40984.75</v>
      </c>
      <c r="CB9">
        <v>41009.15</v>
      </c>
      <c r="CC9">
        <v>40664.5</v>
      </c>
      <c r="CD9">
        <v>40071.27</v>
      </c>
      <c r="CE9">
        <v>39850.15</v>
      </c>
      <c r="CF9">
        <v>39101.37</v>
      </c>
      <c r="CG9">
        <v>38450.2</v>
      </c>
      <c r="CH9">
        <v>38064.37</v>
      </c>
      <c r="CI9">
        <v>37358.3</v>
      </c>
      <c r="CJ9">
        <v>36682.72</v>
      </c>
      <c r="CK9">
        <v>35894.3</v>
      </c>
      <c r="CL9">
        <v>36182.52</v>
      </c>
      <c r="CM9">
        <v>35323.95</v>
      </c>
      <c r="CN9">
        <v>34459.27</v>
      </c>
      <c r="CO9">
        <v>33675.42</v>
      </c>
      <c r="CP9">
        <v>32963.25</v>
      </c>
      <c r="CQ9">
        <v>32304.45</v>
      </c>
      <c r="CR9">
        <v>31648.7</v>
      </c>
      <c r="CS9">
        <v>30893.82</v>
      </c>
    </row>
    <row r="10" spans="1:97">
      <c r="A10" s="9">
        <v>46243</v>
      </c>
      <c r="B10">
        <v>29525</v>
      </c>
      <c r="C10">
        <v>29087.5</v>
      </c>
      <c r="D10">
        <v>28878.75</v>
      </c>
      <c r="E10">
        <v>28747.5</v>
      </c>
      <c r="F10">
        <v>28415</v>
      </c>
      <c r="G10">
        <v>28112.5</v>
      </c>
      <c r="H10">
        <v>27858.75</v>
      </c>
      <c r="I10">
        <v>27720</v>
      </c>
      <c r="J10">
        <v>27516.25</v>
      </c>
      <c r="K10">
        <v>27360</v>
      </c>
      <c r="L10">
        <v>27046.25</v>
      </c>
      <c r="M10">
        <v>26860</v>
      </c>
      <c r="N10">
        <v>26971.25</v>
      </c>
      <c r="O10">
        <v>26661.25</v>
      </c>
      <c r="P10">
        <v>26635</v>
      </c>
      <c r="Q10">
        <v>26550</v>
      </c>
      <c r="R10">
        <v>26678.75</v>
      </c>
      <c r="S10">
        <v>26667.5</v>
      </c>
      <c r="T10">
        <v>26878.75</v>
      </c>
      <c r="U10">
        <v>27385</v>
      </c>
      <c r="V10">
        <v>27742.5</v>
      </c>
      <c r="W10">
        <v>28007.5</v>
      </c>
      <c r="X10">
        <v>28492.5</v>
      </c>
      <c r="Y10">
        <v>28747.5</v>
      </c>
      <c r="Z10">
        <v>29118.75</v>
      </c>
      <c r="AA10">
        <v>29683.75</v>
      </c>
      <c r="AB10">
        <v>29873.75</v>
      </c>
      <c r="AC10">
        <v>30151.25</v>
      </c>
      <c r="AD10">
        <v>30892.5</v>
      </c>
      <c r="AE10">
        <v>31425</v>
      </c>
      <c r="AF10">
        <v>32078.75</v>
      </c>
      <c r="AG10">
        <v>32671.25</v>
      </c>
      <c r="AH10">
        <v>33732.5</v>
      </c>
      <c r="AI10">
        <v>34276.25</v>
      </c>
      <c r="AJ10">
        <v>35123.75</v>
      </c>
      <c r="AK10">
        <v>35625</v>
      </c>
      <c r="AL10">
        <v>36268.75</v>
      </c>
      <c r="AM10">
        <v>36640</v>
      </c>
      <c r="AN10">
        <v>36896.25</v>
      </c>
      <c r="AO10">
        <v>37295</v>
      </c>
      <c r="AP10">
        <v>37436.25</v>
      </c>
      <c r="AQ10">
        <v>38183.75</v>
      </c>
      <c r="AR10">
        <v>38511.25</v>
      </c>
      <c r="AS10">
        <v>38368.75</v>
      </c>
      <c r="AT10">
        <v>38645</v>
      </c>
      <c r="AU10">
        <v>38127.5</v>
      </c>
      <c r="AV10">
        <v>38127.5</v>
      </c>
      <c r="AW10">
        <v>38127.5</v>
      </c>
      <c r="AX10">
        <v>38127.5</v>
      </c>
      <c r="AY10">
        <v>38257.5</v>
      </c>
      <c r="AZ10">
        <v>38257.5</v>
      </c>
      <c r="BA10">
        <v>38387.5</v>
      </c>
      <c r="BB10">
        <v>38387.5</v>
      </c>
      <c r="BC10">
        <v>38770</v>
      </c>
      <c r="BD10">
        <v>38751.25</v>
      </c>
      <c r="BE10">
        <v>38890</v>
      </c>
      <c r="BF10">
        <v>38753.75</v>
      </c>
      <c r="BG10">
        <v>38590</v>
      </c>
      <c r="BH10">
        <v>38690</v>
      </c>
      <c r="BI10">
        <v>38568.75</v>
      </c>
      <c r="BJ10">
        <v>39050</v>
      </c>
      <c r="BK10">
        <v>38933.75</v>
      </c>
      <c r="BL10">
        <v>38817.5</v>
      </c>
      <c r="BM10">
        <v>38546.25</v>
      </c>
      <c r="BN10">
        <v>38432.5</v>
      </c>
      <c r="BO10">
        <v>38380</v>
      </c>
      <c r="BP10">
        <v>38560</v>
      </c>
      <c r="BQ10">
        <v>37793.75</v>
      </c>
      <c r="BR10">
        <v>37616.25</v>
      </c>
      <c r="BS10">
        <v>37341.25</v>
      </c>
      <c r="BT10">
        <v>37013.75</v>
      </c>
      <c r="BU10">
        <v>36905</v>
      </c>
      <c r="BV10">
        <v>36698.75</v>
      </c>
      <c r="BW10">
        <v>36645</v>
      </c>
      <c r="BX10">
        <v>36575</v>
      </c>
      <c r="BY10">
        <v>36185</v>
      </c>
      <c r="BZ10">
        <v>36695</v>
      </c>
      <c r="CA10">
        <v>36777.5</v>
      </c>
      <c r="CB10">
        <v>37026.25</v>
      </c>
      <c r="CC10">
        <v>37166.25</v>
      </c>
      <c r="CD10">
        <v>37161.25</v>
      </c>
      <c r="CE10">
        <v>36936.25</v>
      </c>
      <c r="CF10">
        <v>36535</v>
      </c>
      <c r="CG10">
        <v>35930</v>
      </c>
      <c r="CH10">
        <v>35457.5</v>
      </c>
      <c r="CI10">
        <v>34727.5</v>
      </c>
      <c r="CJ10">
        <v>34196.25</v>
      </c>
      <c r="CK10">
        <v>33586.25</v>
      </c>
      <c r="CL10">
        <v>33611.25</v>
      </c>
      <c r="CM10">
        <v>32942.5</v>
      </c>
      <c r="CN10">
        <v>32112.5</v>
      </c>
      <c r="CO10">
        <v>31475</v>
      </c>
      <c r="CP10">
        <v>30677.5</v>
      </c>
      <c r="CQ10">
        <v>30111.25</v>
      </c>
      <c r="CR10">
        <v>29478.75</v>
      </c>
      <c r="CS10">
        <v>29030</v>
      </c>
    </row>
    <row r="11" spans="1:97">
      <c r="A11" s="9">
        <v>46244</v>
      </c>
      <c r="B11">
        <v>28665.25</v>
      </c>
      <c r="C11">
        <v>28325.35</v>
      </c>
      <c r="D11">
        <v>28087.75</v>
      </c>
      <c r="E11">
        <v>27724.75</v>
      </c>
      <c r="F11">
        <v>27586.15</v>
      </c>
      <c r="G11">
        <v>27277.6</v>
      </c>
      <c r="H11">
        <v>27153.85</v>
      </c>
      <c r="I11">
        <v>26866.75</v>
      </c>
      <c r="J11">
        <v>26785.9</v>
      </c>
      <c r="K11">
        <v>26592.85</v>
      </c>
      <c r="L11">
        <v>26465.8</v>
      </c>
      <c r="M11">
        <v>26213.35</v>
      </c>
      <c r="N11">
        <v>26256.25</v>
      </c>
      <c r="O11">
        <v>26051.65</v>
      </c>
      <c r="P11">
        <v>26050</v>
      </c>
      <c r="Q11">
        <v>26097.85</v>
      </c>
      <c r="R11">
        <v>26287.6</v>
      </c>
      <c r="S11">
        <v>26368.45</v>
      </c>
      <c r="T11">
        <v>26533.45</v>
      </c>
      <c r="U11">
        <v>26914.6</v>
      </c>
      <c r="V11">
        <v>27487.15</v>
      </c>
      <c r="W11">
        <v>27935.95</v>
      </c>
      <c r="X11">
        <v>28727.95</v>
      </c>
      <c r="Y11">
        <v>29048.05</v>
      </c>
      <c r="Z11">
        <v>30019.9</v>
      </c>
      <c r="AA11">
        <v>30452.2</v>
      </c>
      <c r="AB11">
        <v>31132</v>
      </c>
      <c r="AC11">
        <v>31526.35</v>
      </c>
      <c r="AD11">
        <v>32445.4</v>
      </c>
      <c r="AE11">
        <v>33158.2</v>
      </c>
      <c r="AF11">
        <v>33979.9</v>
      </c>
      <c r="AG11">
        <v>34837.9</v>
      </c>
      <c r="AH11">
        <v>36228.85</v>
      </c>
      <c r="AI11">
        <v>37243.6</v>
      </c>
      <c r="AJ11">
        <v>37931.65</v>
      </c>
      <c r="AK11">
        <v>38646.1</v>
      </c>
      <c r="AL11">
        <v>39472.75</v>
      </c>
      <c r="AM11">
        <v>39990.85</v>
      </c>
      <c r="AN11">
        <v>40495.75</v>
      </c>
      <c r="AO11">
        <v>40934.65</v>
      </c>
      <c r="AP11">
        <v>41236.6</v>
      </c>
      <c r="AQ11">
        <v>41795.95</v>
      </c>
      <c r="AR11">
        <v>42114.4</v>
      </c>
      <c r="AS11">
        <v>42046.75</v>
      </c>
      <c r="AT11">
        <v>42172.15</v>
      </c>
      <c r="AU11">
        <v>41706.85</v>
      </c>
      <c r="AV11">
        <v>41487.4</v>
      </c>
      <c r="AW11">
        <v>41446.15</v>
      </c>
      <c r="AX11">
        <v>41645.8</v>
      </c>
      <c r="AY11">
        <v>41540.2</v>
      </c>
      <c r="AZ11">
        <v>41832.25</v>
      </c>
      <c r="BA11">
        <v>41774.5</v>
      </c>
      <c r="BB11">
        <v>42224.95</v>
      </c>
      <c r="BC11">
        <v>42213.4</v>
      </c>
      <c r="BD11">
        <v>42488.95</v>
      </c>
      <c r="BE11">
        <v>42464.2</v>
      </c>
      <c r="BF11">
        <v>42172.15</v>
      </c>
      <c r="BG11">
        <v>42378.4</v>
      </c>
      <c r="BH11">
        <v>42550</v>
      </c>
      <c r="BI11">
        <v>42269.5</v>
      </c>
      <c r="BJ11">
        <v>42500.5</v>
      </c>
      <c r="BK11">
        <v>42355.3</v>
      </c>
      <c r="BL11">
        <v>42312.4</v>
      </c>
      <c r="BM11">
        <v>42122.65</v>
      </c>
      <c r="BN11">
        <v>41952.7</v>
      </c>
      <c r="BO11">
        <v>41692</v>
      </c>
      <c r="BP11">
        <v>41484.1</v>
      </c>
      <c r="BQ11">
        <v>40480.9</v>
      </c>
      <c r="BR11">
        <v>40238.35</v>
      </c>
      <c r="BS11">
        <v>39949.6</v>
      </c>
      <c r="BT11">
        <v>39839.05</v>
      </c>
      <c r="BU11">
        <v>39674.05</v>
      </c>
      <c r="BV11">
        <v>39438.1</v>
      </c>
      <c r="BW11">
        <v>39294.55</v>
      </c>
      <c r="BX11">
        <v>39258.25</v>
      </c>
      <c r="BY11">
        <v>39035.5</v>
      </c>
      <c r="BZ11">
        <v>39474.4</v>
      </c>
      <c r="CA11">
        <v>39596.5</v>
      </c>
      <c r="CB11">
        <v>39782.95</v>
      </c>
      <c r="CC11">
        <v>39599.8</v>
      </c>
      <c r="CD11">
        <v>39405.1</v>
      </c>
      <c r="CE11">
        <v>39094.9</v>
      </c>
      <c r="CF11">
        <v>38599.9</v>
      </c>
      <c r="CG11">
        <v>38052.1</v>
      </c>
      <c r="CH11">
        <v>37575.25</v>
      </c>
      <c r="CI11">
        <v>36829.45</v>
      </c>
      <c r="CJ11">
        <v>36172.75</v>
      </c>
      <c r="CK11">
        <v>35294.95</v>
      </c>
      <c r="CL11">
        <v>35435.2</v>
      </c>
      <c r="CM11">
        <v>34494.7</v>
      </c>
      <c r="CN11">
        <v>33752.2</v>
      </c>
      <c r="CO11">
        <v>32897.5</v>
      </c>
      <c r="CP11">
        <v>32313.4</v>
      </c>
      <c r="CQ11">
        <v>31618.75</v>
      </c>
      <c r="CR11">
        <v>31127.05</v>
      </c>
      <c r="CS11">
        <v>30467.05</v>
      </c>
    </row>
    <row r="12" spans="1:97">
      <c r="A12" s="9">
        <v>46245</v>
      </c>
      <c r="B12">
        <v>30787.98</v>
      </c>
      <c r="C12">
        <v>30328.47</v>
      </c>
      <c r="D12">
        <v>30085.2</v>
      </c>
      <c r="E12">
        <v>29678.16</v>
      </c>
      <c r="F12">
        <v>29568.45</v>
      </c>
      <c r="G12">
        <v>29172.54</v>
      </c>
      <c r="H12">
        <v>29002.41</v>
      </c>
      <c r="I12">
        <v>28776.63</v>
      </c>
      <c r="J12">
        <v>28542.9</v>
      </c>
      <c r="K12">
        <v>28544.49</v>
      </c>
      <c r="L12">
        <v>28331.43</v>
      </c>
      <c r="M12">
        <v>28129.5</v>
      </c>
      <c r="N12">
        <v>28380.72</v>
      </c>
      <c r="O12">
        <v>28050</v>
      </c>
      <c r="P12">
        <v>28107.24</v>
      </c>
      <c r="Q12">
        <v>28072.26</v>
      </c>
      <c r="R12">
        <v>28304.4</v>
      </c>
      <c r="S12">
        <v>28422.06</v>
      </c>
      <c r="T12">
        <v>28560.39</v>
      </c>
      <c r="U12">
        <v>29019.9</v>
      </c>
      <c r="V12">
        <v>29547.78</v>
      </c>
      <c r="W12">
        <v>29792.64</v>
      </c>
      <c r="X12">
        <v>30640.11</v>
      </c>
      <c r="Y12">
        <v>30656.01</v>
      </c>
      <c r="Z12">
        <v>31694.28</v>
      </c>
      <c r="AA12">
        <v>31937.55</v>
      </c>
      <c r="AB12">
        <v>32716.65</v>
      </c>
      <c r="AC12">
        <v>33077.58</v>
      </c>
      <c r="AD12">
        <v>33929.82</v>
      </c>
      <c r="AE12">
        <v>34832.94</v>
      </c>
      <c r="AF12">
        <v>35575.47</v>
      </c>
      <c r="AG12">
        <v>36448.38</v>
      </c>
      <c r="AH12">
        <v>37742.64</v>
      </c>
      <c r="AI12">
        <v>38710.95</v>
      </c>
      <c r="AJ12">
        <v>39267.45</v>
      </c>
      <c r="AK12">
        <v>39825.54</v>
      </c>
      <c r="AL12">
        <v>40582.38</v>
      </c>
      <c r="AM12">
        <v>41350.35</v>
      </c>
      <c r="AN12">
        <v>41916.39</v>
      </c>
      <c r="AO12">
        <v>42167.61</v>
      </c>
      <c r="AP12">
        <v>42425.19</v>
      </c>
      <c r="AQ12">
        <v>43132.74</v>
      </c>
      <c r="AR12">
        <v>43337.85</v>
      </c>
      <c r="AS12">
        <v>43347.39</v>
      </c>
      <c r="AT12">
        <v>43639.95</v>
      </c>
      <c r="AU12">
        <v>43054.83</v>
      </c>
      <c r="AV12">
        <v>42776.58</v>
      </c>
      <c r="AW12">
        <v>42914.91</v>
      </c>
      <c r="AX12">
        <v>43191.57</v>
      </c>
      <c r="AY12">
        <v>42865.62</v>
      </c>
      <c r="AZ12">
        <v>43077.09</v>
      </c>
      <c r="BA12">
        <v>43024.62</v>
      </c>
      <c r="BB12">
        <v>43487.31</v>
      </c>
      <c r="BC12">
        <v>43360.11</v>
      </c>
      <c r="BD12">
        <v>43913.43</v>
      </c>
      <c r="BE12">
        <v>43908.66</v>
      </c>
      <c r="BF12">
        <v>43277.43</v>
      </c>
      <c r="BG12">
        <v>43674.93</v>
      </c>
      <c r="BH12">
        <v>43950</v>
      </c>
      <c r="BI12">
        <v>43426.89</v>
      </c>
      <c r="BJ12">
        <v>43883.22</v>
      </c>
      <c r="BK12">
        <v>43927.74</v>
      </c>
      <c r="BL12">
        <v>43841.88</v>
      </c>
      <c r="BM12">
        <v>43818.03</v>
      </c>
      <c r="BN12">
        <v>43555.68</v>
      </c>
      <c r="BO12">
        <v>43487.31</v>
      </c>
      <c r="BP12">
        <v>43116.84</v>
      </c>
      <c r="BQ12">
        <v>42259.83</v>
      </c>
      <c r="BR12">
        <v>42104.01</v>
      </c>
      <c r="BS12">
        <v>41905.26</v>
      </c>
      <c r="BT12">
        <v>41897.31</v>
      </c>
      <c r="BU12">
        <v>41658.81</v>
      </c>
      <c r="BV12">
        <v>41515.71</v>
      </c>
      <c r="BW12">
        <v>41385.33</v>
      </c>
      <c r="BX12">
        <v>41119.8</v>
      </c>
      <c r="BY12">
        <v>40839.96</v>
      </c>
      <c r="BZ12">
        <v>41100.72</v>
      </c>
      <c r="CA12">
        <v>41324.91</v>
      </c>
      <c r="CB12">
        <v>41642.91</v>
      </c>
      <c r="CC12">
        <v>41636.55</v>
      </c>
      <c r="CD12">
        <v>41188.17</v>
      </c>
      <c r="CE12">
        <v>41043.48</v>
      </c>
      <c r="CF12">
        <v>40539.45</v>
      </c>
      <c r="CG12">
        <v>40134</v>
      </c>
      <c r="CH12">
        <v>39741.27</v>
      </c>
      <c r="CI12">
        <v>38947.86</v>
      </c>
      <c r="CJ12">
        <v>38356.38</v>
      </c>
      <c r="CK12">
        <v>37411.92</v>
      </c>
      <c r="CL12">
        <v>37680.63</v>
      </c>
      <c r="CM12">
        <v>36756.84</v>
      </c>
      <c r="CN12">
        <v>35984.1</v>
      </c>
      <c r="CO12">
        <v>35152.53</v>
      </c>
      <c r="CP12">
        <v>34308.24</v>
      </c>
      <c r="CQ12">
        <v>33692.91</v>
      </c>
      <c r="CR12">
        <v>33239.76</v>
      </c>
      <c r="CS12">
        <v>32646.69</v>
      </c>
    </row>
    <row r="13" spans="1:97">
      <c r="A13" s="9">
        <v>46246</v>
      </c>
      <c r="B13">
        <v>31878.2</v>
      </c>
      <c r="C13">
        <v>31597.43</v>
      </c>
      <c r="D13">
        <v>31315.19</v>
      </c>
      <c r="E13">
        <v>30893.3</v>
      </c>
      <c r="F13">
        <v>30649.28</v>
      </c>
      <c r="G13">
        <v>30364.1</v>
      </c>
      <c r="H13">
        <v>30149.48</v>
      </c>
      <c r="I13">
        <v>29820.2</v>
      </c>
      <c r="J13">
        <v>29687.9</v>
      </c>
      <c r="K13">
        <v>29540.9</v>
      </c>
      <c r="L13">
        <v>29407.13</v>
      </c>
      <c r="M13">
        <v>29158.7</v>
      </c>
      <c r="N13">
        <v>29074.91</v>
      </c>
      <c r="O13">
        <v>28958.78</v>
      </c>
      <c r="P13">
        <v>28891.16</v>
      </c>
      <c r="Q13">
        <v>28850</v>
      </c>
      <c r="R13">
        <v>28939.67</v>
      </c>
      <c r="S13">
        <v>28941.14</v>
      </c>
      <c r="T13">
        <v>29014.64</v>
      </c>
      <c r="U13">
        <v>29301.29</v>
      </c>
      <c r="V13">
        <v>29707.01</v>
      </c>
      <c r="W13">
        <v>30146.54</v>
      </c>
      <c r="X13">
        <v>30771.29</v>
      </c>
      <c r="Y13">
        <v>31263.74</v>
      </c>
      <c r="Z13">
        <v>31941.41</v>
      </c>
      <c r="AA13">
        <v>32514.71</v>
      </c>
      <c r="AB13">
        <v>33077.72</v>
      </c>
      <c r="AC13">
        <v>33593.69</v>
      </c>
      <c r="AD13">
        <v>34443.35</v>
      </c>
      <c r="AE13">
        <v>35056.34</v>
      </c>
      <c r="AF13">
        <v>35857.49</v>
      </c>
      <c r="AG13">
        <v>36835.04</v>
      </c>
      <c r="AH13">
        <v>38084.54</v>
      </c>
      <c r="AI13">
        <v>38856.29</v>
      </c>
      <c r="AJ13">
        <v>39636.86</v>
      </c>
      <c r="AK13">
        <v>40157.24</v>
      </c>
      <c r="AL13">
        <v>40842.26</v>
      </c>
      <c r="AM13">
        <v>41374.4</v>
      </c>
      <c r="AN13">
        <v>41809.52</v>
      </c>
      <c r="AO13">
        <v>42210.83</v>
      </c>
      <c r="AP13">
        <v>42541.58</v>
      </c>
      <c r="AQ13">
        <v>42914.96</v>
      </c>
      <c r="AR13">
        <v>43175.15</v>
      </c>
      <c r="AS13">
        <v>43216.31</v>
      </c>
      <c r="AT13">
        <v>43229.54</v>
      </c>
      <c r="AU13">
        <v>42695.93</v>
      </c>
      <c r="AV13">
        <v>42647.42</v>
      </c>
      <c r="AW13">
        <v>42570.98</v>
      </c>
      <c r="AX13">
        <v>42738.56</v>
      </c>
      <c r="AY13">
        <v>42797.36</v>
      </c>
      <c r="AZ13">
        <v>43067.84</v>
      </c>
      <c r="BA13">
        <v>43157.51</v>
      </c>
      <c r="BB13">
        <v>43347.14</v>
      </c>
      <c r="BC13">
        <v>43380.95</v>
      </c>
      <c r="BD13">
        <v>43550</v>
      </c>
      <c r="BE13">
        <v>43403</v>
      </c>
      <c r="BF13">
        <v>43441.22</v>
      </c>
      <c r="BG13">
        <v>43445.63</v>
      </c>
      <c r="BH13">
        <v>43463.27</v>
      </c>
      <c r="BI13">
        <v>43403</v>
      </c>
      <c r="BJ13">
        <v>43525.01</v>
      </c>
      <c r="BK13">
        <v>43541.18</v>
      </c>
      <c r="BL13">
        <v>43385.36</v>
      </c>
      <c r="BM13">
        <v>43323.62</v>
      </c>
      <c r="BN13">
        <v>43419.17</v>
      </c>
      <c r="BO13">
        <v>43233.95</v>
      </c>
      <c r="BP13">
        <v>43084.01</v>
      </c>
      <c r="BQ13">
        <v>42338.72</v>
      </c>
      <c r="BR13">
        <v>42106.46</v>
      </c>
      <c r="BS13">
        <v>41993.27</v>
      </c>
      <c r="BT13">
        <v>41799.23</v>
      </c>
      <c r="BU13">
        <v>41666.93</v>
      </c>
      <c r="BV13">
        <v>41475.83</v>
      </c>
      <c r="BW13">
        <v>41458.19</v>
      </c>
      <c r="BX13">
        <v>41444.96</v>
      </c>
      <c r="BY13">
        <v>41322.95</v>
      </c>
      <c r="BZ13">
        <v>41652.23</v>
      </c>
      <c r="CA13">
        <v>41663.99</v>
      </c>
      <c r="CB13">
        <v>41825.69</v>
      </c>
      <c r="CC13">
        <v>41650.76</v>
      </c>
      <c r="CD13">
        <v>41367.05</v>
      </c>
      <c r="CE13">
        <v>41175.95</v>
      </c>
      <c r="CF13">
        <v>40664.39</v>
      </c>
      <c r="CG13">
        <v>40026.41</v>
      </c>
      <c r="CH13">
        <v>39566.3</v>
      </c>
      <c r="CI13">
        <v>38835.71</v>
      </c>
      <c r="CJ13">
        <v>38183.03</v>
      </c>
      <c r="CK13">
        <v>37403.93</v>
      </c>
      <c r="CL13">
        <v>37271.63</v>
      </c>
      <c r="CM13">
        <v>36492.53</v>
      </c>
      <c r="CN13">
        <v>35717.84</v>
      </c>
      <c r="CO13">
        <v>35012.24</v>
      </c>
      <c r="CP13">
        <v>34397.78</v>
      </c>
      <c r="CQ13">
        <v>33762.74</v>
      </c>
      <c r="CR13">
        <v>33174.74</v>
      </c>
      <c r="CS13">
        <v>32497.07</v>
      </c>
    </row>
    <row r="14" spans="1:97">
      <c r="A14" s="9">
        <v>46247</v>
      </c>
      <c r="B14">
        <v>31546.07</v>
      </c>
      <c r="C14">
        <v>31131.29</v>
      </c>
      <c r="D14">
        <v>30908.29</v>
      </c>
      <c r="E14">
        <v>30628.42</v>
      </c>
      <c r="F14">
        <v>30373.09</v>
      </c>
      <c r="G14">
        <v>30213.64</v>
      </c>
      <c r="H14">
        <v>29953.85</v>
      </c>
      <c r="I14">
        <v>29706.32</v>
      </c>
      <c r="J14">
        <v>29607.08</v>
      </c>
      <c r="K14">
        <v>29349.52</v>
      </c>
      <c r="L14">
        <v>29292.65</v>
      </c>
      <c r="M14">
        <v>29136.55</v>
      </c>
      <c r="N14">
        <v>29045.12</v>
      </c>
      <c r="O14">
        <v>28928.05</v>
      </c>
      <c r="P14">
        <v>28949.23</v>
      </c>
      <c r="Q14">
        <v>28850</v>
      </c>
      <c r="R14">
        <v>29022.82</v>
      </c>
      <c r="S14">
        <v>29027.28</v>
      </c>
      <c r="T14">
        <v>29176.69</v>
      </c>
      <c r="U14">
        <v>29507.85</v>
      </c>
      <c r="V14">
        <v>29997.33</v>
      </c>
      <c r="W14">
        <v>30324.03</v>
      </c>
      <c r="X14">
        <v>30835.81</v>
      </c>
      <c r="Y14">
        <v>31184.81</v>
      </c>
      <c r="Z14">
        <v>31648.65</v>
      </c>
      <c r="AA14">
        <v>32092.42</v>
      </c>
      <c r="AB14">
        <v>32600.86</v>
      </c>
      <c r="AC14">
        <v>32908.6</v>
      </c>
      <c r="AD14">
        <v>33435.99</v>
      </c>
      <c r="AE14">
        <v>33886.45</v>
      </c>
      <c r="AF14">
        <v>34379.28</v>
      </c>
      <c r="AG14">
        <v>35163.13</v>
      </c>
      <c r="AH14">
        <v>36038.4</v>
      </c>
      <c r="AI14">
        <v>36729.7</v>
      </c>
      <c r="AJ14">
        <v>37237.03</v>
      </c>
      <c r="AK14">
        <v>37686.37</v>
      </c>
      <c r="AL14">
        <v>38340.88</v>
      </c>
      <c r="AM14">
        <v>38734.47</v>
      </c>
      <c r="AN14">
        <v>39014.34</v>
      </c>
      <c r="AO14">
        <v>39270.79</v>
      </c>
      <c r="AP14">
        <v>39432.46</v>
      </c>
      <c r="AQ14">
        <v>39726.82</v>
      </c>
      <c r="AR14">
        <v>39870.66</v>
      </c>
      <c r="AS14">
        <v>40000</v>
      </c>
      <c r="AT14">
        <v>39793.72</v>
      </c>
      <c r="AU14">
        <v>39596.31</v>
      </c>
      <c r="AV14">
        <v>39193.08</v>
      </c>
      <c r="AW14">
        <v>38951.15</v>
      </c>
      <c r="AX14">
        <v>38789.85</v>
      </c>
      <c r="AY14">
        <v>38870.5</v>
      </c>
      <c r="AZ14">
        <v>38787.99</v>
      </c>
      <c r="BA14">
        <v>39175.63</v>
      </c>
      <c r="BB14">
        <v>39659.5</v>
      </c>
      <c r="BC14">
        <v>39336.91</v>
      </c>
      <c r="BD14">
        <v>39056.29</v>
      </c>
      <c r="BE14">
        <v>38894.62</v>
      </c>
      <c r="BF14">
        <v>39378.87</v>
      </c>
      <c r="BG14">
        <v>39217.58</v>
      </c>
      <c r="BH14">
        <v>39056.29</v>
      </c>
      <c r="BI14">
        <v>39084.17</v>
      </c>
      <c r="BJ14">
        <v>39136.57</v>
      </c>
      <c r="BK14">
        <v>38814.34</v>
      </c>
      <c r="BL14">
        <v>39220.2</v>
      </c>
      <c r="BM14">
        <v>39001.66</v>
      </c>
      <c r="BN14">
        <v>38921.38</v>
      </c>
      <c r="BO14">
        <v>38991.62</v>
      </c>
      <c r="BP14">
        <v>38602.49</v>
      </c>
      <c r="BQ14">
        <v>38118.58</v>
      </c>
      <c r="BR14">
        <v>37634.67</v>
      </c>
      <c r="BS14">
        <v>37754.39</v>
      </c>
      <c r="BT14">
        <v>37315.08</v>
      </c>
      <c r="BU14">
        <v>37203.58</v>
      </c>
      <c r="BV14">
        <v>37056.4</v>
      </c>
      <c r="BW14">
        <v>37029.64</v>
      </c>
      <c r="BX14">
        <v>36939.32</v>
      </c>
      <c r="BY14">
        <v>36679.53</v>
      </c>
      <c r="BZ14">
        <v>36927.06</v>
      </c>
      <c r="CA14">
        <v>37087.62</v>
      </c>
      <c r="CB14">
        <v>37380.86</v>
      </c>
      <c r="CC14">
        <v>37191.31</v>
      </c>
      <c r="CD14">
        <v>36828.94</v>
      </c>
      <c r="CE14">
        <v>36564.68</v>
      </c>
      <c r="CF14">
        <v>36252.48</v>
      </c>
      <c r="CG14">
        <v>35760.77</v>
      </c>
      <c r="CH14">
        <v>35286.48</v>
      </c>
      <c r="CI14">
        <v>34653.16</v>
      </c>
      <c r="CJ14">
        <v>34111.27</v>
      </c>
      <c r="CK14">
        <v>33491.33</v>
      </c>
      <c r="CL14">
        <v>33563.8</v>
      </c>
      <c r="CM14">
        <v>32955.01</v>
      </c>
      <c r="CN14">
        <v>32254.79</v>
      </c>
      <c r="CO14">
        <v>31631.51</v>
      </c>
      <c r="CP14">
        <v>31091.85</v>
      </c>
      <c r="CQ14">
        <v>30476.37</v>
      </c>
      <c r="CR14">
        <v>30031.48</v>
      </c>
      <c r="CS14">
        <v>29464.32</v>
      </c>
    </row>
    <row r="15" spans="1:97">
      <c r="A15" s="9">
        <v>46248</v>
      </c>
      <c r="B15">
        <v>28572.6</v>
      </c>
      <c r="C15">
        <v>28389.44</v>
      </c>
      <c r="D15">
        <v>28035.17</v>
      </c>
      <c r="E15">
        <v>27939.97</v>
      </c>
      <c r="F15">
        <v>27736.33</v>
      </c>
      <c r="G15">
        <v>27612.21</v>
      </c>
      <c r="H15">
        <v>27333.86</v>
      </c>
      <c r="I15">
        <v>27027.79</v>
      </c>
      <c r="J15">
        <v>27125.39</v>
      </c>
      <c r="K15">
        <v>26796.43</v>
      </c>
      <c r="L15">
        <v>26627.73</v>
      </c>
      <c r="M15">
        <v>26583.14</v>
      </c>
      <c r="N15">
        <v>26500</v>
      </c>
      <c r="O15">
        <v>26543.38</v>
      </c>
      <c r="P15">
        <v>26769.92</v>
      </c>
      <c r="Q15">
        <v>26668.7</v>
      </c>
      <c r="R15">
        <v>26674.72</v>
      </c>
      <c r="S15">
        <v>26937.41</v>
      </c>
      <c r="T15">
        <v>27236.25</v>
      </c>
      <c r="U15">
        <v>27754.4</v>
      </c>
      <c r="V15">
        <v>27949.61</v>
      </c>
      <c r="W15">
        <v>28474.99</v>
      </c>
      <c r="X15">
        <v>28883.49</v>
      </c>
      <c r="Y15">
        <v>29318.49</v>
      </c>
      <c r="Z15">
        <v>30081.41</v>
      </c>
      <c r="AA15">
        <v>30691.09</v>
      </c>
      <c r="AB15">
        <v>31203.95</v>
      </c>
      <c r="AC15">
        <v>31775.49</v>
      </c>
      <c r="AD15">
        <v>32368.35</v>
      </c>
      <c r="AE15">
        <v>32686.47</v>
      </c>
      <c r="AF15">
        <v>33381.75</v>
      </c>
      <c r="AG15">
        <v>33893.19</v>
      </c>
      <c r="AH15">
        <v>34755.76</v>
      </c>
      <c r="AI15">
        <v>35471.12</v>
      </c>
      <c r="AJ15">
        <v>36205.07</v>
      </c>
      <c r="AK15">
        <v>36406.3</v>
      </c>
      <c r="AL15">
        <v>37034.11</v>
      </c>
      <c r="AM15">
        <v>37314.87</v>
      </c>
      <c r="AN15">
        <v>37465.5</v>
      </c>
      <c r="AO15">
        <v>38002.93</v>
      </c>
      <c r="AP15">
        <v>38292.13</v>
      </c>
      <c r="AQ15">
        <v>38118.61</v>
      </c>
      <c r="AR15">
        <v>38024.62</v>
      </c>
      <c r="AS15">
        <v>37972.8</v>
      </c>
      <c r="AT15">
        <v>38141.5</v>
      </c>
      <c r="AU15">
        <v>37652.27</v>
      </c>
      <c r="AV15">
        <v>37570.33</v>
      </c>
      <c r="AW15">
        <v>37078.69</v>
      </c>
      <c r="AX15">
        <v>37564.31</v>
      </c>
      <c r="AY15">
        <v>37460.68</v>
      </c>
      <c r="AZ15">
        <v>37592.02</v>
      </c>
      <c r="BA15">
        <v>38087.28</v>
      </c>
      <c r="BB15">
        <v>38284.9</v>
      </c>
      <c r="BC15">
        <v>38542.77</v>
      </c>
      <c r="BD15">
        <v>38550</v>
      </c>
      <c r="BE15">
        <v>38429.5</v>
      </c>
      <c r="BF15">
        <v>38424.68</v>
      </c>
      <c r="BG15">
        <v>38486.13</v>
      </c>
      <c r="BH15">
        <v>38330.69</v>
      </c>
      <c r="BI15">
        <v>38180.06</v>
      </c>
      <c r="BJ15">
        <v>38123.43</v>
      </c>
      <c r="BK15">
        <v>38477.7</v>
      </c>
      <c r="BL15">
        <v>38359.61</v>
      </c>
      <c r="BM15">
        <v>38199.34</v>
      </c>
      <c r="BN15">
        <v>38183.68</v>
      </c>
      <c r="BO15">
        <v>38084.87</v>
      </c>
      <c r="BP15">
        <v>37987.26</v>
      </c>
      <c r="BQ15">
        <v>37258.24</v>
      </c>
      <c r="BR15">
        <v>36985.91</v>
      </c>
      <c r="BS15">
        <v>36881.07</v>
      </c>
      <c r="BT15">
        <v>36673.81</v>
      </c>
      <c r="BU15">
        <v>36824.44</v>
      </c>
      <c r="BV15">
        <v>36179.76</v>
      </c>
      <c r="BW15">
        <v>36229.17</v>
      </c>
      <c r="BX15">
        <v>36438.84</v>
      </c>
      <c r="BY15">
        <v>36095.41</v>
      </c>
      <c r="BZ15">
        <v>36636.46</v>
      </c>
      <c r="CA15">
        <v>36772.62</v>
      </c>
      <c r="CB15">
        <v>36958.19</v>
      </c>
      <c r="CC15">
        <v>36873.84</v>
      </c>
      <c r="CD15">
        <v>36958.19</v>
      </c>
      <c r="CE15">
        <v>36771.42</v>
      </c>
      <c r="CF15">
        <v>36531.62</v>
      </c>
      <c r="CG15">
        <v>35960.45</v>
      </c>
      <c r="CH15">
        <v>35577.26</v>
      </c>
      <c r="CI15">
        <v>34833.78</v>
      </c>
      <c r="CJ15">
        <v>34443.36</v>
      </c>
      <c r="CK15">
        <v>33757.71</v>
      </c>
      <c r="CL15">
        <v>34101.14</v>
      </c>
      <c r="CM15">
        <v>33313.07</v>
      </c>
      <c r="CN15">
        <v>32631.04</v>
      </c>
      <c r="CO15">
        <v>32181.57</v>
      </c>
      <c r="CP15">
        <v>31551.36</v>
      </c>
      <c r="CQ15">
        <v>30976.57</v>
      </c>
      <c r="CR15">
        <v>30365.64</v>
      </c>
      <c r="CS15">
        <v>29608.9</v>
      </c>
    </row>
    <row r="16" spans="1:97">
      <c r="A16" s="9">
        <v>46249</v>
      </c>
      <c r="B16">
        <v>29338.72</v>
      </c>
      <c r="C16">
        <v>29107.84</v>
      </c>
      <c r="D16">
        <v>28771.51</v>
      </c>
      <c r="E16">
        <v>28538.41</v>
      </c>
      <c r="F16">
        <v>28418.53</v>
      </c>
      <c r="G16">
        <v>28093.3</v>
      </c>
      <c r="H16">
        <v>27875.74</v>
      </c>
      <c r="I16">
        <v>27780.28</v>
      </c>
      <c r="J16">
        <v>27559.39</v>
      </c>
      <c r="K16">
        <v>27379.57</v>
      </c>
      <c r="L16">
        <v>27301.87</v>
      </c>
      <c r="M16">
        <v>27173.11</v>
      </c>
      <c r="N16">
        <v>27051.01</v>
      </c>
      <c r="O16">
        <v>26997.73</v>
      </c>
      <c r="P16">
        <v>26998.84</v>
      </c>
      <c r="Q16">
        <v>26950</v>
      </c>
      <c r="R16">
        <v>27033.25</v>
      </c>
      <c r="S16">
        <v>27128.71</v>
      </c>
      <c r="T16">
        <v>27224.17</v>
      </c>
      <c r="U16">
        <v>27495.01</v>
      </c>
      <c r="V16">
        <v>27970.09</v>
      </c>
      <c r="W16">
        <v>28233.16</v>
      </c>
      <c r="X16">
        <v>28652.74</v>
      </c>
      <c r="Y16">
        <v>29023.48</v>
      </c>
      <c r="Z16">
        <v>29571.82</v>
      </c>
      <c r="AA16">
        <v>29844.88</v>
      </c>
      <c r="AB16">
        <v>30193.42</v>
      </c>
      <c r="AC16">
        <v>30631.87</v>
      </c>
      <c r="AD16">
        <v>31174.66</v>
      </c>
      <c r="AE16">
        <v>31574.26</v>
      </c>
      <c r="AF16">
        <v>32119.27</v>
      </c>
      <c r="AG16">
        <v>32707.57</v>
      </c>
      <c r="AH16">
        <v>33789.82</v>
      </c>
      <c r="AI16">
        <v>34173.88</v>
      </c>
      <c r="AJ16">
        <v>34787.71</v>
      </c>
      <c r="AK16">
        <v>35360.47</v>
      </c>
      <c r="AL16">
        <v>35794.48</v>
      </c>
      <c r="AM16">
        <v>36227.38</v>
      </c>
      <c r="AN16">
        <v>36588.13</v>
      </c>
      <c r="AO16">
        <v>36866.74</v>
      </c>
      <c r="AP16">
        <v>37209.73</v>
      </c>
      <c r="AQ16">
        <v>37399.54</v>
      </c>
      <c r="AR16">
        <v>37485.01</v>
      </c>
      <c r="AS16">
        <v>37589.35</v>
      </c>
      <c r="AT16">
        <v>37463.92</v>
      </c>
      <c r="AU16">
        <v>37282.99</v>
      </c>
      <c r="AV16">
        <v>37159.78</v>
      </c>
      <c r="AW16">
        <v>36911.14</v>
      </c>
      <c r="AX16">
        <v>37073.2</v>
      </c>
      <c r="AY16">
        <v>37052.11</v>
      </c>
      <c r="AZ16">
        <v>37453.93</v>
      </c>
      <c r="BA16">
        <v>37332.94</v>
      </c>
      <c r="BB16">
        <v>37750.3</v>
      </c>
      <c r="BC16">
        <v>37705.9</v>
      </c>
      <c r="BD16">
        <v>38050</v>
      </c>
      <c r="BE16">
        <v>37886.83</v>
      </c>
      <c r="BF16">
        <v>37914.58</v>
      </c>
      <c r="BG16">
        <v>37914.58</v>
      </c>
      <c r="BH16">
        <v>37901.26</v>
      </c>
      <c r="BI16">
        <v>37890.16</v>
      </c>
      <c r="BJ16">
        <v>37974.52</v>
      </c>
      <c r="BK16">
        <v>37892.38</v>
      </c>
      <c r="BL16">
        <v>37874.62</v>
      </c>
      <c r="BM16">
        <v>37813.57</v>
      </c>
      <c r="BN16">
        <v>37671.49</v>
      </c>
      <c r="BO16">
        <v>37655.95</v>
      </c>
      <c r="BP16">
        <v>37527.19</v>
      </c>
      <c r="BQ16">
        <v>36912.25</v>
      </c>
      <c r="BR16">
        <v>36783.49</v>
      </c>
      <c r="BS16">
        <v>36563.71</v>
      </c>
      <c r="BT16">
        <v>36345.04</v>
      </c>
      <c r="BU16">
        <v>36321.73</v>
      </c>
      <c r="BV16">
        <v>36201.85</v>
      </c>
      <c r="BW16">
        <v>36042.01</v>
      </c>
      <c r="BX16">
        <v>36099.73</v>
      </c>
      <c r="BY16">
        <v>35955.43</v>
      </c>
      <c r="BZ16">
        <v>36225.16</v>
      </c>
      <c r="CA16">
        <v>36225.16</v>
      </c>
      <c r="CB16">
        <v>36511.54</v>
      </c>
      <c r="CC16">
        <v>36329.5</v>
      </c>
      <c r="CD16">
        <v>36197.41</v>
      </c>
      <c r="CE16">
        <v>36000.94</v>
      </c>
      <c r="CF16">
        <v>35705.68</v>
      </c>
      <c r="CG16">
        <v>35201.74</v>
      </c>
      <c r="CH16">
        <v>34942</v>
      </c>
      <c r="CI16">
        <v>34274.89</v>
      </c>
      <c r="CJ16">
        <v>33785.38</v>
      </c>
      <c r="CK16">
        <v>33153.79</v>
      </c>
      <c r="CL16">
        <v>33059.44</v>
      </c>
      <c r="CM16">
        <v>32474.47</v>
      </c>
      <c r="CN16">
        <v>31900.6</v>
      </c>
      <c r="CO16">
        <v>31265.68</v>
      </c>
      <c r="CP16">
        <v>30870.52</v>
      </c>
      <c r="CQ16">
        <v>30322.18</v>
      </c>
      <c r="CR16">
        <v>29889.28</v>
      </c>
      <c r="CS16">
        <v>29368.69</v>
      </c>
    </row>
    <row r="17" spans="1:97">
      <c r="A17" s="9">
        <v>46250</v>
      </c>
      <c r="B17">
        <v>29667.31</v>
      </c>
      <c r="C17">
        <v>29312.07</v>
      </c>
      <c r="D17">
        <v>29007.12</v>
      </c>
      <c r="E17">
        <v>28719.29</v>
      </c>
      <c r="F17">
        <v>28461.42</v>
      </c>
      <c r="G17">
        <v>28257.05</v>
      </c>
      <c r="H17">
        <v>28066.59</v>
      </c>
      <c r="I17">
        <v>27834.4</v>
      </c>
      <c r="J17">
        <v>27652.5</v>
      </c>
      <c r="K17">
        <v>27514.47</v>
      </c>
      <c r="L17">
        <v>27332.57</v>
      </c>
      <c r="M17">
        <v>27122.85</v>
      </c>
      <c r="N17">
        <v>27081.12</v>
      </c>
      <c r="O17">
        <v>26919.55</v>
      </c>
      <c r="P17">
        <v>26876.75</v>
      </c>
      <c r="Q17">
        <v>26850</v>
      </c>
      <c r="R17">
        <v>26970.91</v>
      </c>
      <c r="S17">
        <v>27013.71</v>
      </c>
      <c r="T17">
        <v>27162.44</v>
      </c>
      <c r="U17">
        <v>27291.91</v>
      </c>
      <c r="V17">
        <v>27756.29</v>
      </c>
      <c r="W17">
        <v>28066.59</v>
      </c>
      <c r="X17">
        <v>28522.41</v>
      </c>
      <c r="Y17">
        <v>28893.7</v>
      </c>
      <c r="Z17">
        <v>29354.87</v>
      </c>
      <c r="AA17">
        <v>29731.51</v>
      </c>
      <c r="AB17">
        <v>30083.54</v>
      </c>
      <c r="AC17">
        <v>30430.22</v>
      </c>
      <c r="AD17">
        <v>30972.71</v>
      </c>
      <c r="AE17">
        <v>31362.19</v>
      </c>
      <c r="AF17">
        <v>31957.11</v>
      </c>
      <c r="AG17">
        <v>32611.95</v>
      </c>
      <c r="AH17">
        <v>33451.9</v>
      </c>
      <c r="AI17">
        <v>33935.54</v>
      </c>
      <c r="AJ17">
        <v>34443.79</v>
      </c>
      <c r="AK17">
        <v>34878.21</v>
      </c>
      <c r="AL17">
        <v>35433.54</v>
      </c>
      <c r="AM17">
        <v>35775.94</v>
      </c>
      <c r="AN17">
        <v>36239.25</v>
      </c>
      <c r="AO17">
        <v>36652.27</v>
      </c>
      <c r="AP17">
        <v>36812.77</v>
      </c>
      <c r="AQ17">
        <v>37200.11</v>
      </c>
      <c r="AR17">
        <v>37378.8</v>
      </c>
      <c r="AS17">
        <v>37327.44</v>
      </c>
      <c r="AT17">
        <v>37348.84</v>
      </c>
      <c r="AU17">
        <v>36975.41</v>
      </c>
      <c r="AV17">
        <v>36897.3</v>
      </c>
      <c r="AW17">
        <v>36764.62</v>
      </c>
      <c r="AX17">
        <v>36890.88</v>
      </c>
      <c r="AY17">
        <v>37040.68</v>
      </c>
      <c r="AZ17">
        <v>37150.89</v>
      </c>
      <c r="BA17">
        <v>36929.11</v>
      </c>
      <c r="BB17">
        <v>37264.31</v>
      </c>
      <c r="BC17">
        <v>37201.18</v>
      </c>
      <c r="BD17">
        <v>37514.69</v>
      </c>
      <c r="BE17">
        <v>37303.9</v>
      </c>
      <c r="BF17">
        <v>37226.86</v>
      </c>
      <c r="BG17">
        <v>37350.98</v>
      </c>
      <c r="BH17">
        <v>37326.37</v>
      </c>
      <c r="BI17">
        <v>37232.21</v>
      </c>
      <c r="BJ17">
        <v>37434.44</v>
      </c>
      <c r="BK17">
        <v>37550</v>
      </c>
      <c r="BL17">
        <v>37277.65</v>
      </c>
      <c r="BM17">
        <v>37191.77</v>
      </c>
      <c r="BN17">
        <v>37475.1</v>
      </c>
      <c r="BO17">
        <v>37484.73</v>
      </c>
      <c r="BP17">
        <v>37414.11</v>
      </c>
      <c r="BQ17">
        <v>36852.36</v>
      </c>
      <c r="BR17">
        <v>36654.41</v>
      </c>
      <c r="BS17">
        <v>36523.87</v>
      </c>
      <c r="BT17">
        <v>36439.34</v>
      </c>
      <c r="BU17">
        <v>36293.82</v>
      </c>
      <c r="BV17">
        <v>36181.47</v>
      </c>
      <c r="BW17">
        <v>36049.86</v>
      </c>
      <c r="BX17">
        <v>36157.93</v>
      </c>
      <c r="BY17">
        <v>36149.37</v>
      </c>
      <c r="BZ17">
        <v>36440.41</v>
      </c>
      <c r="CA17">
        <v>36637.29</v>
      </c>
      <c r="CB17">
        <v>36784.95</v>
      </c>
      <c r="CC17">
        <v>36630.87</v>
      </c>
      <c r="CD17">
        <v>36468.23</v>
      </c>
      <c r="CE17">
        <v>36230.69</v>
      </c>
      <c r="CF17">
        <v>35824.09</v>
      </c>
      <c r="CG17">
        <v>35326.54</v>
      </c>
      <c r="CH17">
        <v>35010.89</v>
      </c>
      <c r="CI17">
        <v>34377.45</v>
      </c>
      <c r="CJ17">
        <v>33834.96</v>
      </c>
      <c r="CK17">
        <v>33212.22</v>
      </c>
      <c r="CL17">
        <v>33213.29</v>
      </c>
      <c r="CM17">
        <v>32668.66</v>
      </c>
      <c r="CN17">
        <v>31982.79</v>
      </c>
      <c r="CO17">
        <v>31514.13</v>
      </c>
      <c r="CP17">
        <v>30936.33</v>
      </c>
      <c r="CQ17">
        <v>30371.37</v>
      </c>
      <c r="CR17">
        <v>29956.21</v>
      </c>
      <c r="CS17">
        <v>29496.11</v>
      </c>
    </row>
    <row r="18" spans="1:97">
      <c r="A18" s="9">
        <v>46251</v>
      </c>
      <c r="B18">
        <v>29105.41</v>
      </c>
      <c r="C18">
        <v>28813.69</v>
      </c>
      <c r="D18">
        <v>28463.34</v>
      </c>
      <c r="E18">
        <v>28220.24</v>
      </c>
      <c r="F18">
        <v>27985.72</v>
      </c>
      <c r="G18">
        <v>27806.97</v>
      </c>
      <c r="H18">
        <v>27618.21</v>
      </c>
      <c r="I18">
        <v>27369.39</v>
      </c>
      <c r="J18">
        <v>27266.43</v>
      </c>
      <c r="K18">
        <v>27160.61</v>
      </c>
      <c r="L18">
        <v>27020.47</v>
      </c>
      <c r="M18">
        <v>26824.56</v>
      </c>
      <c r="N18">
        <v>26775.94</v>
      </c>
      <c r="O18">
        <v>26591.47</v>
      </c>
      <c r="P18">
        <v>26574.31</v>
      </c>
      <c r="Q18">
        <v>26550</v>
      </c>
      <c r="R18">
        <v>26731.61</v>
      </c>
      <c r="S18">
        <v>26767.36</v>
      </c>
      <c r="T18">
        <v>26890.34</v>
      </c>
      <c r="U18">
        <v>27173.48</v>
      </c>
      <c r="V18">
        <v>27671.12</v>
      </c>
      <c r="W18">
        <v>28117.28</v>
      </c>
      <c r="X18">
        <v>28773.65</v>
      </c>
      <c r="Y18">
        <v>29277.01</v>
      </c>
      <c r="Z18">
        <v>30064.94</v>
      </c>
      <c r="AA18">
        <v>30531.12</v>
      </c>
      <c r="AB18">
        <v>31044.49</v>
      </c>
      <c r="AC18">
        <v>31549.28</v>
      </c>
      <c r="AD18">
        <v>32157.03</v>
      </c>
      <c r="AE18">
        <v>32713.3</v>
      </c>
      <c r="AF18">
        <v>33426.87</v>
      </c>
      <c r="AG18">
        <v>34304.89</v>
      </c>
      <c r="AH18">
        <v>35487.5</v>
      </c>
      <c r="AI18">
        <v>36232.53</v>
      </c>
      <c r="AJ18">
        <v>36877.46</v>
      </c>
      <c r="AK18">
        <v>37470.91</v>
      </c>
      <c r="AL18">
        <v>38134.43</v>
      </c>
      <c r="AM18">
        <v>38602.04</v>
      </c>
      <c r="AN18">
        <v>39033.9</v>
      </c>
      <c r="AO18">
        <v>39385.68</v>
      </c>
      <c r="AP18">
        <v>39591.6</v>
      </c>
      <c r="AQ18">
        <v>40026.32</v>
      </c>
      <c r="AR18">
        <v>40247.97</v>
      </c>
      <c r="AS18">
        <v>40237.96</v>
      </c>
      <c r="AT18">
        <v>40229.38</v>
      </c>
      <c r="AU18">
        <v>39824.69</v>
      </c>
      <c r="AV18">
        <v>39763.2</v>
      </c>
      <c r="AW18">
        <v>39704.57</v>
      </c>
      <c r="AX18">
        <v>39871.88</v>
      </c>
      <c r="AY18">
        <v>39851.86</v>
      </c>
      <c r="AZ18">
        <v>40012.02</v>
      </c>
      <c r="BA18">
        <v>39970.55</v>
      </c>
      <c r="BB18">
        <v>40455.32</v>
      </c>
      <c r="BC18">
        <v>40471.05</v>
      </c>
      <c r="BD18">
        <v>40641.22</v>
      </c>
      <c r="BE18">
        <v>40543.98</v>
      </c>
      <c r="BF18">
        <v>40602.61</v>
      </c>
      <c r="BG18">
        <v>40641.22</v>
      </c>
      <c r="BH18">
        <v>40695.56</v>
      </c>
      <c r="BI18">
        <v>40588.31</v>
      </c>
      <c r="BJ18">
        <v>40850</v>
      </c>
      <c r="BK18">
        <v>40768.49</v>
      </c>
      <c r="BL18">
        <v>40689.84</v>
      </c>
      <c r="BM18">
        <v>40688.41</v>
      </c>
      <c r="BN18">
        <v>40674.11</v>
      </c>
      <c r="BO18">
        <v>40546.84</v>
      </c>
      <c r="BP18">
        <v>40372.38</v>
      </c>
      <c r="BQ18">
        <v>39604.47</v>
      </c>
      <c r="BR18">
        <v>39294.16</v>
      </c>
      <c r="BS18">
        <v>39162.6</v>
      </c>
      <c r="BT18">
        <v>39072.51</v>
      </c>
      <c r="BU18">
        <v>38946.67</v>
      </c>
      <c r="BV18">
        <v>38836.56</v>
      </c>
      <c r="BW18">
        <v>38790.8</v>
      </c>
      <c r="BX18">
        <v>38878.03</v>
      </c>
      <c r="BY18">
        <v>38892.33</v>
      </c>
      <c r="BZ18">
        <v>39236.96</v>
      </c>
      <c r="CA18">
        <v>39341.35</v>
      </c>
      <c r="CB18">
        <v>39322.76</v>
      </c>
      <c r="CC18">
        <v>38989.57</v>
      </c>
      <c r="CD18">
        <v>38707.86</v>
      </c>
      <c r="CE18">
        <v>38421.86</v>
      </c>
      <c r="CF18">
        <v>37831.27</v>
      </c>
      <c r="CG18">
        <v>37360.8</v>
      </c>
      <c r="CH18">
        <v>36903.2</v>
      </c>
      <c r="CI18">
        <v>36198.21</v>
      </c>
      <c r="CJ18">
        <v>35670.54</v>
      </c>
      <c r="CK18">
        <v>34999.87</v>
      </c>
      <c r="CL18">
        <v>35075.66</v>
      </c>
      <c r="CM18">
        <v>34287.73</v>
      </c>
      <c r="CN18">
        <v>33698.57</v>
      </c>
      <c r="CO18">
        <v>32896.34</v>
      </c>
      <c r="CP18">
        <v>32342.93</v>
      </c>
      <c r="CQ18">
        <v>31750.91</v>
      </c>
      <c r="CR18">
        <v>31323.34</v>
      </c>
      <c r="CS18">
        <v>30611.2</v>
      </c>
    </row>
    <row r="19" spans="1:97">
      <c r="A19" s="9">
        <v>46252</v>
      </c>
      <c r="B19">
        <v>29668.9</v>
      </c>
      <c r="C19">
        <v>29330.9</v>
      </c>
      <c r="D19">
        <v>28982.5</v>
      </c>
      <c r="E19">
        <v>28745.9</v>
      </c>
      <c r="F19">
        <v>28448.2</v>
      </c>
      <c r="G19">
        <v>28271.4</v>
      </c>
      <c r="H19">
        <v>28081.6</v>
      </c>
      <c r="I19">
        <v>27800.8</v>
      </c>
      <c r="J19">
        <v>27663</v>
      </c>
      <c r="K19">
        <v>27497.9</v>
      </c>
      <c r="L19">
        <v>27299</v>
      </c>
      <c r="M19">
        <v>27183.3</v>
      </c>
      <c r="N19">
        <v>27162.5</v>
      </c>
      <c r="O19">
        <v>27101.4</v>
      </c>
      <c r="P19">
        <v>27079.3</v>
      </c>
      <c r="Q19">
        <v>27000</v>
      </c>
      <c r="R19">
        <v>27185.9</v>
      </c>
      <c r="S19">
        <v>27236.6</v>
      </c>
      <c r="T19">
        <v>27326.3</v>
      </c>
      <c r="U19">
        <v>27613.6</v>
      </c>
      <c r="V19">
        <v>28110.2</v>
      </c>
      <c r="W19">
        <v>28622.4</v>
      </c>
      <c r="X19">
        <v>29223</v>
      </c>
      <c r="Y19">
        <v>29724.8</v>
      </c>
      <c r="Z19">
        <v>30448.9</v>
      </c>
      <c r="AA19">
        <v>31019.6</v>
      </c>
      <c r="AB19">
        <v>31596.8</v>
      </c>
      <c r="AC19">
        <v>32037.5</v>
      </c>
      <c r="AD19">
        <v>32644.6</v>
      </c>
      <c r="AE19">
        <v>33169.8</v>
      </c>
      <c r="AF19">
        <v>33877</v>
      </c>
      <c r="AG19">
        <v>34712.9</v>
      </c>
      <c r="AH19">
        <v>35726.9</v>
      </c>
      <c r="AI19">
        <v>36512.1</v>
      </c>
      <c r="AJ19">
        <v>37081.5</v>
      </c>
      <c r="AK19">
        <v>37747.1</v>
      </c>
      <c r="AL19">
        <v>38085.1</v>
      </c>
      <c r="AM19">
        <v>38570</v>
      </c>
      <c r="AN19">
        <v>39026.3</v>
      </c>
      <c r="AO19">
        <v>39216.1</v>
      </c>
      <c r="AP19">
        <v>39469.6</v>
      </c>
      <c r="AQ19">
        <v>39741.3</v>
      </c>
      <c r="AR19">
        <v>40000</v>
      </c>
      <c r="AS19">
        <v>39971.4</v>
      </c>
      <c r="AT19">
        <v>39811.5</v>
      </c>
      <c r="AU19">
        <v>39429.3</v>
      </c>
      <c r="AV19">
        <v>39127.7</v>
      </c>
      <c r="AW19">
        <v>38865.1</v>
      </c>
      <c r="AX19">
        <v>39093.9</v>
      </c>
      <c r="AY19">
        <v>39084.8</v>
      </c>
      <c r="AZ19">
        <v>39255.1</v>
      </c>
      <c r="BA19">
        <v>39205.7</v>
      </c>
      <c r="BB19">
        <v>39630.8</v>
      </c>
      <c r="BC19">
        <v>39745.2</v>
      </c>
      <c r="BD19">
        <v>39853.1</v>
      </c>
      <c r="BE19">
        <v>39768.6</v>
      </c>
      <c r="BF19">
        <v>39758.2</v>
      </c>
      <c r="BG19">
        <v>39823.2</v>
      </c>
      <c r="BH19">
        <v>39846.6</v>
      </c>
      <c r="BI19">
        <v>39747.8</v>
      </c>
      <c r="BJ19">
        <v>39987</v>
      </c>
      <c r="BK19">
        <v>39937.6</v>
      </c>
      <c r="BL19">
        <v>39847.9</v>
      </c>
      <c r="BM19">
        <v>39829.7</v>
      </c>
      <c r="BN19">
        <v>39855.7</v>
      </c>
      <c r="BO19">
        <v>39675</v>
      </c>
      <c r="BP19">
        <v>39411.1</v>
      </c>
      <c r="BQ19">
        <v>38628.5</v>
      </c>
      <c r="BR19">
        <v>38358.1</v>
      </c>
      <c r="BS19">
        <v>38345.1</v>
      </c>
      <c r="BT19">
        <v>38258</v>
      </c>
      <c r="BU19">
        <v>38095.5</v>
      </c>
      <c r="BV19">
        <v>37953.8</v>
      </c>
      <c r="BW19">
        <v>37852.4</v>
      </c>
      <c r="BX19">
        <v>37853.7</v>
      </c>
      <c r="BY19">
        <v>37886.2</v>
      </c>
      <c r="BZ19">
        <v>38156.6</v>
      </c>
      <c r="CA19">
        <v>38269.7</v>
      </c>
      <c r="CB19">
        <v>38258</v>
      </c>
      <c r="CC19">
        <v>37972</v>
      </c>
      <c r="CD19">
        <v>37727.6</v>
      </c>
      <c r="CE19">
        <v>37432.5</v>
      </c>
      <c r="CF19">
        <v>36963.2</v>
      </c>
      <c r="CG19">
        <v>36440.6</v>
      </c>
      <c r="CH19">
        <v>36090.9</v>
      </c>
      <c r="CI19">
        <v>35392.8</v>
      </c>
      <c r="CJ19">
        <v>34816.9</v>
      </c>
      <c r="CK19">
        <v>34229.3</v>
      </c>
      <c r="CL19">
        <v>34069.4</v>
      </c>
      <c r="CM19">
        <v>33405.1</v>
      </c>
      <c r="CN19">
        <v>32835.7</v>
      </c>
      <c r="CO19">
        <v>32228.6</v>
      </c>
      <c r="CP19">
        <v>31521.4</v>
      </c>
      <c r="CQ19">
        <v>30983.2</v>
      </c>
      <c r="CR19">
        <v>30484</v>
      </c>
      <c r="CS19">
        <v>29878.2</v>
      </c>
    </row>
    <row r="20" spans="1:97">
      <c r="A20" s="9">
        <v>46253</v>
      </c>
      <c r="B20">
        <v>29531.7</v>
      </c>
      <c r="C20">
        <v>29211.9</v>
      </c>
      <c r="D20">
        <v>28945.4</v>
      </c>
      <c r="E20">
        <v>28690.6</v>
      </c>
      <c r="F20">
        <v>28383.8</v>
      </c>
      <c r="G20">
        <v>28210.9</v>
      </c>
      <c r="H20">
        <v>27976.9</v>
      </c>
      <c r="I20">
        <v>27783.2</v>
      </c>
      <c r="J20">
        <v>27654.5</v>
      </c>
      <c r="K20">
        <v>27514.1</v>
      </c>
      <c r="L20">
        <v>27317.8</v>
      </c>
      <c r="M20">
        <v>27146.2</v>
      </c>
      <c r="N20">
        <v>27168.3</v>
      </c>
      <c r="O20">
        <v>27050</v>
      </c>
      <c r="P20">
        <v>27141</v>
      </c>
      <c r="Q20">
        <v>27095.5</v>
      </c>
      <c r="R20">
        <v>27207.3</v>
      </c>
      <c r="S20">
        <v>27306.1</v>
      </c>
      <c r="T20">
        <v>27434.8</v>
      </c>
      <c r="U20">
        <v>27779.3</v>
      </c>
      <c r="V20">
        <v>28281.1</v>
      </c>
      <c r="W20">
        <v>28916.8</v>
      </c>
      <c r="X20">
        <v>29377</v>
      </c>
      <c r="Y20">
        <v>29821.6</v>
      </c>
      <c r="Z20">
        <v>30595.1</v>
      </c>
      <c r="AA20">
        <v>31148.9</v>
      </c>
      <c r="AB20">
        <v>31644.2</v>
      </c>
      <c r="AC20">
        <v>32182.4</v>
      </c>
      <c r="AD20">
        <v>32693.3</v>
      </c>
      <c r="AE20">
        <v>33156.1</v>
      </c>
      <c r="AF20">
        <v>33842.5</v>
      </c>
      <c r="AG20">
        <v>34531.5</v>
      </c>
      <c r="AH20">
        <v>35442.8</v>
      </c>
      <c r="AI20">
        <v>36246.2</v>
      </c>
      <c r="AJ20">
        <v>36780.5</v>
      </c>
      <c r="AK20">
        <v>37400.6</v>
      </c>
      <c r="AL20">
        <v>37754.2</v>
      </c>
      <c r="AM20">
        <v>38272.9</v>
      </c>
      <c r="AN20">
        <v>38700.6</v>
      </c>
      <c r="AO20">
        <v>38960.6</v>
      </c>
      <c r="AP20">
        <v>39279.1</v>
      </c>
      <c r="AQ20">
        <v>39428.6</v>
      </c>
      <c r="AR20">
        <v>39679.5</v>
      </c>
      <c r="AS20">
        <v>39662.6</v>
      </c>
      <c r="AT20">
        <v>39621</v>
      </c>
      <c r="AU20">
        <v>39314.2</v>
      </c>
      <c r="AV20">
        <v>38974.9</v>
      </c>
      <c r="AW20">
        <v>38766.9</v>
      </c>
      <c r="AX20">
        <v>39114</v>
      </c>
      <c r="AY20">
        <v>39068.5</v>
      </c>
      <c r="AZ20">
        <v>39310.3</v>
      </c>
      <c r="BA20">
        <v>39500.1</v>
      </c>
      <c r="BB20">
        <v>39805.6</v>
      </c>
      <c r="BC20">
        <v>40003.2</v>
      </c>
      <c r="BD20">
        <v>39972</v>
      </c>
      <c r="BE20">
        <v>39960.3</v>
      </c>
      <c r="BF20">
        <v>39961.6</v>
      </c>
      <c r="BG20">
        <v>39930.4</v>
      </c>
      <c r="BH20">
        <v>39914.8</v>
      </c>
      <c r="BI20">
        <v>39739.3</v>
      </c>
      <c r="BJ20">
        <v>39927.8</v>
      </c>
      <c r="BK20">
        <v>40050</v>
      </c>
      <c r="BL20">
        <v>39890.1</v>
      </c>
      <c r="BM20">
        <v>39844.6</v>
      </c>
      <c r="BN20">
        <v>39784.8</v>
      </c>
      <c r="BO20">
        <v>39608</v>
      </c>
      <c r="BP20">
        <v>39474.1</v>
      </c>
      <c r="BQ20">
        <v>38642.1</v>
      </c>
      <c r="BR20">
        <v>38330.1</v>
      </c>
      <c r="BS20">
        <v>38267.7</v>
      </c>
      <c r="BT20">
        <v>38109.1</v>
      </c>
      <c r="BU20">
        <v>38029.8</v>
      </c>
      <c r="BV20">
        <v>37663.2</v>
      </c>
      <c r="BW20">
        <v>37595.6</v>
      </c>
      <c r="BX20">
        <v>37616.4</v>
      </c>
      <c r="BY20">
        <v>37494.2</v>
      </c>
      <c r="BZ20">
        <v>37793.2</v>
      </c>
      <c r="CA20">
        <v>37873.8</v>
      </c>
      <c r="CB20">
        <v>37981.7</v>
      </c>
      <c r="CC20">
        <v>37728.2</v>
      </c>
      <c r="CD20">
        <v>37604.7</v>
      </c>
      <c r="CE20">
        <v>37399.3</v>
      </c>
      <c r="CF20">
        <v>36931.3</v>
      </c>
      <c r="CG20">
        <v>36417.8</v>
      </c>
      <c r="CH20">
        <v>36090.2</v>
      </c>
      <c r="CI20">
        <v>35406.4</v>
      </c>
      <c r="CJ20">
        <v>34848.7</v>
      </c>
      <c r="CK20">
        <v>34220.8</v>
      </c>
      <c r="CL20">
        <v>34226</v>
      </c>
      <c r="CM20">
        <v>33530.5</v>
      </c>
      <c r="CN20">
        <v>32877.9</v>
      </c>
      <c r="CO20">
        <v>32339.7</v>
      </c>
      <c r="CP20">
        <v>31667.6</v>
      </c>
      <c r="CQ20">
        <v>31173.6</v>
      </c>
      <c r="CR20">
        <v>30738.1</v>
      </c>
      <c r="CS20">
        <v>30097.2</v>
      </c>
    </row>
    <row r="21" spans="1:97">
      <c r="A21" s="9">
        <v>46254</v>
      </c>
      <c r="B21">
        <v>30320</v>
      </c>
      <c r="C21">
        <v>30039.86</v>
      </c>
      <c r="D21">
        <v>29816.3</v>
      </c>
      <c r="E21">
        <v>29647.94</v>
      </c>
      <c r="F21">
        <v>29369.18</v>
      </c>
      <c r="G21">
        <v>29089.04</v>
      </c>
      <c r="H21">
        <v>29032.46</v>
      </c>
      <c r="I21">
        <v>28920.68</v>
      </c>
      <c r="J21">
        <v>28808.9</v>
      </c>
      <c r="K21">
        <v>28697.12</v>
      </c>
      <c r="L21">
        <v>28585.34</v>
      </c>
      <c r="M21">
        <v>28473.56</v>
      </c>
      <c r="N21">
        <v>28418.36</v>
      </c>
      <c r="O21">
        <v>28250</v>
      </c>
      <c r="P21">
        <v>28250</v>
      </c>
      <c r="Q21">
        <v>28250</v>
      </c>
      <c r="R21">
        <v>28250</v>
      </c>
      <c r="S21">
        <v>28418.36</v>
      </c>
      <c r="T21">
        <v>28768.88</v>
      </c>
      <c r="U21">
        <v>29141.48</v>
      </c>
      <c r="V21">
        <v>29650.7</v>
      </c>
      <c r="W21">
        <v>29961.2</v>
      </c>
      <c r="X21">
        <v>30507.68</v>
      </c>
      <c r="Y21">
        <v>30957.56</v>
      </c>
      <c r="Z21">
        <v>31635.14</v>
      </c>
      <c r="AA21">
        <v>32009.12</v>
      </c>
      <c r="AB21">
        <v>32552.84</v>
      </c>
      <c r="AC21">
        <v>33033.08</v>
      </c>
      <c r="AD21">
        <v>33491.24</v>
      </c>
      <c r="AE21">
        <v>33956.3</v>
      </c>
      <c r="AF21">
        <v>34707.02</v>
      </c>
      <c r="AG21">
        <v>35523.98</v>
      </c>
      <c r="AH21">
        <v>36611.42</v>
      </c>
      <c r="AI21">
        <v>37272.44</v>
      </c>
      <c r="AJ21">
        <v>37839.62</v>
      </c>
      <c r="AK21">
        <v>38488.22</v>
      </c>
      <c r="AL21">
        <v>39092.66</v>
      </c>
      <c r="AM21">
        <v>39644.66</v>
      </c>
      <c r="AN21">
        <v>39882.02</v>
      </c>
      <c r="AO21">
        <v>40249.1</v>
      </c>
      <c r="AP21">
        <v>40487.84</v>
      </c>
      <c r="AQ21">
        <v>40750.04</v>
      </c>
      <c r="AR21">
        <v>41008.1</v>
      </c>
      <c r="AS21">
        <v>41097.8</v>
      </c>
      <c r="AT21">
        <v>41055.02</v>
      </c>
      <c r="AU21">
        <v>40813.52</v>
      </c>
      <c r="AV21">
        <v>40581.68</v>
      </c>
      <c r="AW21">
        <v>40578.92</v>
      </c>
      <c r="AX21">
        <v>40883.9</v>
      </c>
      <c r="AY21">
        <v>40957.04</v>
      </c>
      <c r="AZ21">
        <v>41035.7</v>
      </c>
      <c r="BA21">
        <v>41282.72</v>
      </c>
      <c r="BB21">
        <v>41791.94</v>
      </c>
      <c r="BC21">
        <v>41670.5</v>
      </c>
      <c r="BD21">
        <v>41856.8</v>
      </c>
      <c r="BE21">
        <v>41644.28</v>
      </c>
      <c r="BF21">
        <v>41693.96</v>
      </c>
      <c r="BG21">
        <v>41807.12</v>
      </c>
      <c r="BH21">
        <v>41757.44</v>
      </c>
      <c r="BI21">
        <v>41786.42</v>
      </c>
      <c r="BJ21">
        <v>41974.1</v>
      </c>
      <c r="BK21">
        <v>41965.82</v>
      </c>
      <c r="BL21">
        <v>41965.82</v>
      </c>
      <c r="BM21">
        <v>42050</v>
      </c>
      <c r="BN21">
        <v>42023.78</v>
      </c>
      <c r="BO21">
        <v>41916.14</v>
      </c>
      <c r="BP21">
        <v>41764.34</v>
      </c>
      <c r="BQ21">
        <v>41121.26</v>
      </c>
      <c r="BR21">
        <v>40790.06</v>
      </c>
      <c r="BS21">
        <v>40722.44</v>
      </c>
      <c r="BT21">
        <v>40678.28</v>
      </c>
      <c r="BU21">
        <v>40450.58</v>
      </c>
      <c r="BV21">
        <v>40286.36</v>
      </c>
      <c r="BW21">
        <v>40135.94</v>
      </c>
      <c r="BX21">
        <v>40167.68</v>
      </c>
      <c r="BY21">
        <v>40066.94</v>
      </c>
      <c r="BZ21">
        <v>40352.6</v>
      </c>
      <c r="CA21">
        <v>40467.14</v>
      </c>
      <c r="CB21">
        <v>40526.48</v>
      </c>
      <c r="CC21">
        <v>40261.52</v>
      </c>
      <c r="CD21">
        <v>39984.14</v>
      </c>
      <c r="CE21">
        <v>39708.14</v>
      </c>
      <c r="CF21">
        <v>39197.54</v>
      </c>
      <c r="CG21">
        <v>38838.74</v>
      </c>
      <c r="CH21">
        <v>38370.92</v>
      </c>
      <c r="CI21">
        <v>37707.14</v>
      </c>
      <c r="CJ21">
        <v>37188.26</v>
      </c>
      <c r="CK21">
        <v>36514.82</v>
      </c>
      <c r="CL21">
        <v>36467.9</v>
      </c>
      <c r="CM21">
        <v>35802.74</v>
      </c>
      <c r="CN21">
        <v>35292.14</v>
      </c>
      <c r="CO21">
        <v>34516.58</v>
      </c>
      <c r="CP21">
        <v>33912.14</v>
      </c>
      <c r="CQ21">
        <v>33416.72</v>
      </c>
      <c r="CR21">
        <v>32993.06</v>
      </c>
      <c r="CS21">
        <v>32332.04</v>
      </c>
    </row>
    <row r="22" spans="1:97">
      <c r="A22" s="9">
        <v>46255</v>
      </c>
      <c r="B22">
        <v>30777.01</v>
      </c>
      <c r="C22">
        <v>30569.66</v>
      </c>
      <c r="D22">
        <v>30256.49</v>
      </c>
      <c r="E22">
        <v>30047.71</v>
      </c>
      <c r="F22">
        <v>29734.54</v>
      </c>
      <c r="G22">
        <v>29525.76</v>
      </c>
      <c r="H22">
        <v>29369.89</v>
      </c>
      <c r="I22">
        <v>29093.9</v>
      </c>
      <c r="J22">
        <v>28912.29</v>
      </c>
      <c r="K22">
        <v>28680.63</v>
      </c>
      <c r="L22">
        <v>28603.41</v>
      </c>
      <c r="M22">
        <v>28324.56</v>
      </c>
      <c r="N22">
        <v>28265.93</v>
      </c>
      <c r="O22">
        <v>28147.24</v>
      </c>
      <c r="P22">
        <v>28050</v>
      </c>
      <c r="Q22">
        <v>28068.59</v>
      </c>
      <c r="R22">
        <v>28245.91</v>
      </c>
      <c r="S22">
        <v>28201.58</v>
      </c>
      <c r="T22">
        <v>28300.25</v>
      </c>
      <c r="U22">
        <v>28743.55</v>
      </c>
      <c r="V22">
        <v>29131.08</v>
      </c>
      <c r="W22">
        <v>29534.34</v>
      </c>
      <c r="X22">
        <v>29996.23</v>
      </c>
      <c r="Y22">
        <v>30538.2</v>
      </c>
      <c r="Z22">
        <v>31316.12</v>
      </c>
      <c r="AA22">
        <v>31862.38</v>
      </c>
      <c r="AB22">
        <v>32460.12</v>
      </c>
      <c r="AC22">
        <v>32960.62</v>
      </c>
      <c r="AD22">
        <v>33794.31</v>
      </c>
      <c r="AE22">
        <v>34387.76</v>
      </c>
      <c r="AF22">
        <v>35092.75</v>
      </c>
      <c r="AG22">
        <v>36035.12</v>
      </c>
      <c r="AH22">
        <v>36990.36</v>
      </c>
      <c r="AI22">
        <v>37964.19</v>
      </c>
      <c r="AJ22">
        <v>38704.93</v>
      </c>
      <c r="AK22">
        <v>39365.59</v>
      </c>
      <c r="AL22">
        <v>40063.43</v>
      </c>
      <c r="AM22">
        <v>40612.55</v>
      </c>
      <c r="AN22">
        <v>40998.65</v>
      </c>
      <c r="AO22">
        <v>41349</v>
      </c>
      <c r="AP22">
        <v>41467.69</v>
      </c>
      <c r="AQ22">
        <v>41729.38</v>
      </c>
      <c r="AR22">
        <v>41729.38</v>
      </c>
      <c r="AS22">
        <v>41729.38</v>
      </c>
      <c r="AT22">
        <v>41524.89</v>
      </c>
      <c r="AU22">
        <v>41253.19</v>
      </c>
      <c r="AV22">
        <v>40845.64</v>
      </c>
      <c r="AW22">
        <v>41321.83</v>
      </c>
      <c r="AX22">
        <v>41321.83</v>
      </c>
      <c r="AY22">
        <v>41613.55</v>
      </c>
      <c r="AZ22">
        <v>41380.46</v>
      </c>
      <c r="BA22">
        <v>41583.52</v>
      </c>
      <c r="BB22">
        <v>41740.82</v>
      </c>
      <c r="BC22">
        <v>41740.82</v>
      </c>
      <c r="BD22">
        <v>42088.31</v>
      </c>
      <c r="BE22">
        <v>41888.11</v>
      </c>
      <c r="BF22">
        <v>41839.49</v>
      </c>
      <c r="BG22">
        <v>42331.41</v>
      </c>
      <c r="BH22">
        <v>42012.52</v>
      </c>
      <c r="BI22">
        <v>42085.45</v>
      </c>
      <c r="BJ22">
        <v>42168.39</v>
      </c>
      <c r="BK22">
        <v>41983.92</v>
      </c>
      <c r="BL22">
        <v>42091.17</v>
      </c>
      <c r="BM22">
        <v>42305.67</v>
      </c>
      <c r="BN22">
        <v>42350</v>
      </c>
      <c r="BO22">
        <v>42182.69</v>
      </c>
      <c r="BP22">
        <v>41935.3</v>
      </c>
      <c r="BQ22">
        <v>41267.49</v>
      </c>
      <c r="BR22">
        <v>40839.92</v>
      </c>
      <c r="BS22">
        <v>40719.8</v>
      </c>
      <c r="BT22">
        <v>40542.48</v>
      </c>
      <c r="BU22">
        <v>40458.11</v>
      </c>
      <c r="BV22">
        <v>40236.46</v>
      </c>
      <c r="BW22">
        <v>40120.63</v>
      </c>
      <c r="BX22">
        <v>40122.06</v>
      </c>
      <c r="BY22">
        <v>39764.56</v>
      </c>
      <c r="BZ22">
        <v>40172.11</v>
      </c>
      <c r="CA22">
        <v>40376.6</v>
      </c>
      <c r="CB22">
        <v>40512.45</v>
      </c>
      <c r="CC22">
        <v>40512.45</v>
      </c>
      <c r="CD22">
        <v>40240.75</v>
      </c>
      <c r="CE22">
        <v>39833.2</v>
      </c>
      <c r="CF22">
        <v>39289.8</v>
      </c>
      <c r="CG22">
        <v>38609.12</v>
      </c>
      <c r="CH22">
        <v>38473.27</v>
      </c>
      <c r="CI22">
        <v>37794.02</v>
      </c>
      <c r="CJ22">
        <v>37319.26</v>
      </c>
      <c r="CK22">
        <v>36326.84</v>
      </c>
      <c r="CL22">
        <v>36016.53</v>
      </c>
      <c r="CM22">
        <v>35179.98</v>
      </c>
      <c r="CN22">
        <v>34459.26</v>
      </c>
      <c r="CO22">
        <v>33784.3</v>
      </c>
      <c r="CP22">
        <v>33160.82</v>
      </c>
      <c r="CQ22">
        <v>32680.34</v>
      </c>
      <c r="CR22">
        <v>32009.67</v>
      </c>
      <c r="CS22">
        <v>31410.5</v>
      </c>
    </row>
    <row r="23" spans="1:97">
      <c r="A23" s="9">
        <v>46256</v>
      </c>
      <c r="B23">
        <v>30584.02</v>
      </c>
      <c r="C23">
        <v>30330.26</v>
      </c>
      <c r="D23">
        <v>29956.94</v>
      </c>
      <c r="E23">
        <v>29709.28</v>
      </c>
      <c r="F23">
        <v>29453.08</v>
      </c>
      <c r="G23">
        <v>29218.84</v>
      </c>
      <c r="H23">
        <v>28967.52</v>
      </c>
      <c r="I23">
        <v>28721.08</v>
      </c>
      <c r="J23">
        <v>28552.72</v>
      </c>
      <c r="K23">
        <v>28381.92</v>
      </c>
      <c r="L23">
        <v>28291.64</v>
      </c>
      <c r="M23">
        <v>28137.92</v>
      </c>
      <c r="N23">
        <v>28068.38</v>
      </c>
      <c r="O23">
        <v>27917.1</v>
      </c>
      <c r="P23">
        <v>27952.48</v>
      </c>
      <c r="Q23">
        <v>27850</v>
      </c>
      <c r="R23">
        <v>27895.14</v>
      </c>
      <c r="S23">
        <v>27958.58</v>
      </c>
      <c r="T23">
        <v>28057.4</v>
      </c>
      <c r="U23">
        <v>28316.04</v>
      </c>
      <c r="V23">
        <v>28724.74</v>
      </c>
      <c r="W23">
        <v>29041.94</v>
      </c>
      <c r="X23">
        <v>29520.18</v>
      </c>
      <c r="Y23">
        <v>29894.72</v>
      </c>
      <c r="Z23">
        <v>30380.28</v>
      </c>
      <c r="AA23">
        <v>30734.08</v>
      </c>
      <c r="AB23">
        <v>31154.98</v>
      </c>
      <c r="AC23">
        <v>31484.38</v>
      </c>
      <c r="AD23">
        <v>32013.86</v>
      </c>
      <c r="AE23">
        <v>32566.52</v>
      </c>
      <c r="AF23">
        <v>33141.14</v>
      </c>
      <c r="AG23">
        <v>33791.4</v>
      </c>
      <c r="AH23">
        <v>34883.3</v>
      </c>
      <c r="AI23">
        <v>35456.7</v>
      </c>
      <c r="AJ23">
        <v>36032.54</v>
      </c>
      <c r="AK23">
        <v>36640.1</v>
      </c>
      <c r="AL23">
        <v>37259.86</v>
      </c>
      <c r="AM23">
        <v>37801.54</v>
      </c>
      <c r="AN23">
        <v>38168.76</v>
      </c>
      <c r="AO23">
        <v>38567.7</v>
      </c>
      <c r="AP23">
        <v>38825.12</v>
      </c>
      <c r="AQ23">
        <v>39209.42</v>
      </c>
      <c r="AR23">
        <v>39526.62</v>
      </c>
      <c r="AS23">
        <v>39590.06</v>
      </c>
      <c r="AT23">
        <v>39635.2</v>
      </c>
      <c r="AU23">
        <v>39164.28</v>
      </c>
      <c r="AV23">
        <v>39064.24</v>
      </c>
      <c r="AW23">
        <v>38933.7</v>
      </c>
      <c r="AX23">
        <v>39116.7</v>
      </c>
      <c r="AY23">
        <v>39224.06</v>
      </c>
      <c r="AZ23">
        <v>39453.42</v>
      </c>
      <c r="BA23">
        <v>39498.56</v>
      </c>
      <c r="BB23">
        <v>39881.64</v>
      </c>
      <c r="BC23">
        <v>39891.4</v>
      </c>
      <c r="BD23">
        <v>40050</v>
      </c>
      <c r="BE23">
        <v>39887.74</v>
      </c>
      <c r="BF23">
        <v>39901.16</v>
      </c>
      <c r="BG23">
        <v>39913.36</v>
      </c>
      <c r="BH23">
        <v>39895.06</v>
      </c>
      <c r="BI23">
        <v>39887.74</v>
      </c>
      <c r="BJ23">
        <v>39999.98</v>
      </c>
      <c r="BK23">
        <v>39999.98</v>
      </c>
      <c r="BL23">
        <v>39830.4</v>
      </c>
      <c r="BM23">
        <v>39771.84</v>
      </c>
      <c r="BN23">
        <v>39748.66</v>
      </c>
      <c r="BO23">
        <v>39745</v>
      </c>
      <c r="BP23">
        <v>39494.9</v>
      </c>
      <c r="BQ23">
        <v>38804.38</v>
      </c>
      <c r="BR23">
        <v>38676.28</v>
      </c>
      <c r="BS23">
        <v>38512.8</v>
      </c>
      <c r="BT23">
        <v>38332.24</v>
      </c>
      <c r="BU23">
        <v>38143.14</v>
      </c>
      <c r="BV23">
        <v>37990.64</v>
      </c>
      <c r="BW23">
        <v>37891.82</v>
      </c>
      <c r="BX23">
        <v>38005.28</v>
      </c>
      <c r="BY23">
        <v>38083.36</v>
      </c>
      <c r="BZ23">
        <v>38455.46</v>
      </c>
      <c r="CA23">
        <v>38450.58</v>
      </c>
      <c r="CB23">
        <v>38423.74</v>
      </c>
      <c r="CC23">
        <v>38145.58</v>
      </c>
      <c r="CD23">
        <v>37862.54</v>
      </c>
      <c r="CE23">
        <v>37622.2</v>
      </c>
      <c r="CF23">
        <v>37187.88</v>
      </c>
      <c r="CG23">
        <v>36677.92</v>
      </c>
      <c r="CH23">
        <v>36285.08</v>
      </c>
      <c r="CI23">
        <v>35679.96</v>
      </c>
      <c r="CJ23">
        <v>35112.66</v>
      </c>
      <c r="CK23">
        <v>34467.28</v>
      </c>
      <c r="CL23">
        <v>34420.92</v>
      </c>
      <c r="CM23">
        <v>33734.06</v>
      </c>
      <c r="CN23">
        <v>33166.76</v>
      </c>
      <c r="CO23">
        <v>32479.9</v>
      </c>
      <c r="CP23">
        <v>32038.26</v>
      </c>
      <c r="CQ23">
        <v>31529.52</v>
      </c>
      <c r="CR23">
        <v>31004.92</v>
      </c>
      <c r="CS23">
        <v>30460.8</v>
      </c>
    </row>
    <row r="24" spans="1:97">
      <c r="A24" s="9">
        <v>46257</v>
      </c>
      <c r="B24">
        <v>30368.65</v>
      </c>
      <c r="C24">
        <v>30089.2</v>
      </c>
      <c r="D24">
        <v>29741.9</v>
      </c>
      <c r="E24">
        <v>29467.05</v>
      </c>
      <c r="F24">
        <v>29185.3</v>
      </c>
      <c r="G24">
        <v>28940.35</v>
      </c>
      <c r="H24">
        <v>28750.6</v>
      </c>
      <c r="I24">
        <v>28459.65</v>
      </c>
      <c r="J24">
        <v>28322.8</v>
      </c>
      <c r="K24">
        <v>28161.8</v>
      </c>
      <c r="L24">
        <v>28033</v>
      </c>
      <c r="M24">
        <v>27858.2</v>
      </c>
      <c r="N24">
        <v>27811.05</v>
      </c>
      <c r="O24">
        <v>27643.15</v>
      </c>
      <c r="P24">
        <v>27635.1</v>
      </c>
      <c r="Q24">
        <v>27550</v>
      </c>
      <c r="R24">
        <v>27643.15</v>
      </c>
      <c r="S24">
        <v>27691.45</v>
      </c>
      <c r="T24">
        <v>27816.8</v>
      </c>
      <c r="U24">
        <v>27988.15</v>
      </c>
      <c r="V24">
        <v>28379.15</v>
      </c>
      <c r="W24">
        <v>28741.4</v>
      </c>
      <c r="X24">
        <v>29249.7</v>
      </c>
      <c r="Y24">
        <v>29636.1</v>
      </c>
      <c r="Z24">
        <v>30075.4</v>
      </c>
      <c r="AA24">
        <v>30454.9</v>
      </c>
      <c r="AB24">
        <v>30872.35</v>
      </c>
      <c r="AC24">
        <v>31186.3</v>
      </c>
      <c r="AD24">
        <v>31650.9</v>
      </c>
      <c r="AE24">
        <v>32154.6</v>
      </c>
      <c r="AF24">
        <v>32725</v>
      </c>
      <c r="AG24">
        <v>33337.95</v>
      </c>
      <c r="AH24">
        <v>34276.35</v>
      </c>
      <c r="AI24">
        <v>34865.15</v>
      </c>
      <c r="AJ24">
        <v>35503.4</v>
      </c>
      <c r="AK24">
        <v>36017.45</v>
      </c>
      <c r="AL24">
        <v>36606.25</v>
      </c>
      <c r="AM24">
        <v>37097.3</v>
      </c>
      <c r="AN24">
        <v>37390.55</v>
      </c>
      <c r="AO24">
        <v>37873.55</v>
      </c>
      <c r="AP24">
        <v>38027.65</v>
      </c>
      <c r="AQ24">
        <v>38448.55</v>
      </c>
      <c r="AR24">
        <v>38818.85</v>
      </c>
      <c r="AS24">
        <v>38739.5</v>
      </c>
      <c r="AT24">
        <v>38880.95</v>
      </c>
      <c r="AU24">
        <v>38454.3</v>
      </c>
      <c r="AV24">
        <v>38422.1</v>
      </c>
      <c r="AW24">
        <v>38082.85</v>
      </c>
      <c r="AX24">
        <v>38326.65</v>
      </c>
      <c r="AY24">
        <v>38427.85</v>
      </c>
      <c r="AZ24">
        <v>38584.25</v>
      </c>
      <c r="BA24">
        <v>38521</v>
      </c>
      <c r="BB24">
        <v>38862.55</v>
      </c>
      <c r="BC24">
        <v>38800.45</v>
      </c>
      <c r="BD24">
        <v>38946.5</v>
      </c>
      <c r="BE24">
        <v>38777.45</v>
      </c>
      <c r="BF24">
        <v>38828.05</v>
      </c>
      <c r="BG24">
        <v>38825.75</v>
      </c>
      <c r="BH24">
        <v>38799.3</v>
      </c>
      <c r="BI24">
        <v>38806.2</v>
      </c>
      <c r="BJ24">
        <v>38947.65</v>
      </c>
      <c r="BK24">
        <v>39050</v>
      </c>
      <c r="BL24">
        <v>38879.8</v>
      </c>
      <c r="BM24">
        <v>38918.9</v>
      </c>
      <c r="BN24">
        <v>39006.3</v>
      </c>
      <c r="BO24">
        <v>39037.35</v>
      </c>
      <c r="BP24">
        <v>38874.05</v>
      </c>
      <c r="BQ24">
        <v>38317.45</v>
      </c>
      <c r="BR24">
        <v>38039.15</v>
      </c>
      <c r="BS24">
        <v>38092.05</v>
      </c>
      <c r="BT24">
        <v>37964.4</v>
      </c>
      <c r="BU24">
        <v>37783.85</v>
      </c>
      <c r="BV24">
        <v>37640.1</v>
      </c>
      <c r="BW24">
        <v>37630.9</v>
      </c>
      <c r="BX24">
        <v>37855.15</v>
      </c>
      <c r="BY24">
        <v>37985.1</v>
      </c>
      <c r="BZ24">
        <v>38381.85</v>
      </c>
      <c r="CA24">
        <v>38426.7</v>
      </c>
      <c r="CB24">
        <v>38364.6</v>
      </c>
      <c r="CC24">
        <v>38031.1</v>
      </c>
      <c r="CD24">
        <v>37703.35</v>
      </c>
      <c r="CE24">
        <v>37398.6</v>
      </c>
      <c r="CF24">
        <v>36919.05</v>
      </c>
      <c r="CG24">
        <v>36401.55</v>
      </c>
      <c r="CH24">
        <v>35972.6</v>
      </c>
      <c r="CI24">
        <v>35717.1</v>
      </c>
      <c r="CJ24">
        <v>35067.35</v>
      </c>
      <c r="CK24">
        <v>34453.25</v>
      </c>
      <c r="CL24">
        <v>34484.3</v>
      </c>
      <c r="CM24">
        <v>33725.3</v>
      </c>
      <c r="CN24">
        <v>33135.35</v>
      </c>
      <c r="CO24">
        <v>32461.45</v>
      </c>
      <c r="CP24">
        <v>32012.95</v>
      </c>
      <c r="CQ24">
        <v>31458.65</v>
      </c>
      <c r="CR24">
        <v>30946.9</v>
      </c>
      <c r="CS24">
        <v>30409.85</v>
      </c>
    </row>
    <row r="25" spans="1:97">
      <c r="A25" s="9">
        <v>46258</v>
      </c>
      <c r="B25">
        <v>29809.33</v>
      </c>
      <c r="C25">
        <v>29555.33</v>
      </c>
      <c r="D25">
        <v>29253.07</v>
      </c>
      <c r="E25">
        <v>29015.58</v>
      </c>
      <c r="F25">
        <v>28822.54</v>
      </c>
      <c r="G25">
        <v>28658.71</v>
      </c>
      <c r="H25">
        <v>28473.29</v>
      </c>
      <c r="I25">
        <v>28197.7</v>
      </c>
      <c r="J25">
        <v>28153.25</v>
      </c>
      <c r="K25">
        <v>28009.74</v>
      </c>
      <c r="L25">
        <v>27917.03</v>
      </c>
      <c r="M25">
        <v>27720.18</v>
      </c>
      <c r="N25">
        <v>27790.03</v>
      </c>
      <c r="O25">
        <v>27621.12</v>
      </c>
      <c r="P25">
        <v>27622.39</v>
      </c>
      <c r="Q25">
        <v>27550</v>
      </c>
      <c r="R25">
        <v>27684.62</v>
      </c>
      <c r="S25">
        <v>27754.47</v>
      </c>
      <c r="T25">
        <v>27862.42</v>
      </c>
      <c r="U25">
        <v>28126.58</v>
      </c>
      <c r="V25">
        <v>28535.52</v>
      </c>
      <c r="W25">
        <v>28915.25</v>
      </c>
      <c r="X25">
        <v>29512.15</v>
      </c>
      <c r="Y25">
        <v>29936.33</v>
      </c>
      <c r="Z25">
        <v>30652.61</v>
      </c>
      <c r="AA25">
        <v>31137.75</v>
      </c>
      <c r="AB25">
        <v>31644.48</v>
      </c>
      <c r="AC25">
        <v>32082.63</v>
      </c>
      <c r="AD25">
        <v>32676.99</v>
      </c>
      <c r="AE25">
        <v>33268.81</v>
      </c>
      <c r="AF25">
        <v>33910.16</v>
      </c>
      <c r="AG25">
        <v>34632.79</v>
      </c>
      <c r="AH25">
        <v>35777.06</v>
      </c>
      <c r="AI25">
        <v>36481.91</v>
      </c>
      <c r="AJ25">
        <v>37062.3</v>
      </c>
      <c r="AK25">
        <v>37684.6</v>
      </c>
      <c r="AL25">
        <v>38285.31</v>
      </c>
      <c r="AM25">
        <v>38699.33</v>
      </c>
      <c r="AN25">
        <v>39076.52</v>
      </c>
      <c r="AO25">
        <v>39458.79</v>
      </c>
      <c r="AP25">
        <v>39664.53</v>
      </c>
      <c r="AQ25">
        <v>40012.51</v>
      </c>
      <c r="AR25">
        <v>40250</v>
      </c>
      <c r="AS25">
        <v>40185.23</v>
      </c>
      <c r="AT25">
        <v>39952.82</v>
      </c>
      <c r="AU25">
        <v>39642.94</v>
      </c>
      <c r="AV25">
        <v>39465.14</v>
      </c>
      <c r="AW25">
        <v>39038.42</v>
      </c>
      <c r="AX25">
        <v>39183.2</v>
      </c>
      <c r="AY25">
        <v>39476.57</v>
      </c>
      <c r="AZ25">
        <v>39607.38</v>
      </c>
      <c r="BA25">
        <v>39661.99</v>
      </c>
      <c r="BB25">
        <v>40056.96</v>
      </c>
      <c r="BC25">
        <v>40049.34</v>
      </c>
      <c r="BD25">
        <v>39980.76</v>
      </c>
      <c r="BE25">
        <v>40016.32</v>
      </c>
      <c r="BF25">
        <v>39941.39</v>
      </c>
      <c r="BG25">
        <v>40002.35</v>
      </c>
      <c r="BH25">
        <v>39932.5</v>
      </c>
      <c r="BI25">
        <v>39889.32</v>
      </c>
      <c r="BJ25">
        <v>40105.22</v>
      </c>
      <c r="BK25">
        <v>39969.33</v>
      </c>
      <c r="BL25">
        <v>39514.67</v>
      </c>
      <c r="BM25">
        <v>39538.8</v>
      </c>
      <c r="BN25">
        <v>39608.65</v>
      </c>
      <c r="BO25">
        <v>39443.55</v>
      </c>
      <c r="BP25">
        <v>39208.6</v>
      </c>
      <c r="BQ25">
        <v>38581.22</v>
      </c>
      <c r="BR25">
        <v>38113.86</v>
      </c>
      <c r="BS25">
        <v>38099.89</v>
      </c>
      <c r="BT25">
        <v>37936.06</v>
      </c>
      <c r="BU25">
        <v>37795.09</v>
      </c>
      <c r="BV25">
        <v>37570.3</v>
      </c>
      <c r="BW25">
        <v>37583</v>
      </c>
      <c r="BX25">
        <v>37736.67</v>
      </c>
      <c r="BY25">
        <v>37885.26</v>
      </c>
      <c r="BZ25">
        <v>38169.74</v>
      </c>
      <c r="CA25">
        <v>38229.43</v>
      </c>
      <c r="CB25">
        <v>38201.49</v>
      </c>
      <c r="CC25">
        <v>37837</v>
      </c>
      <c r="CD25">
        <v>37614.75</v>
      </c>
      <c r="CE25">
        <v>37320.11</v>
      </c>
      <c r="CF25">
        <v>36757.5</v>
      </c>
      <c r="CG25">
        <v>36338.4</v>
      </c>
      <c r="CH25">
        <v>35943.43</v>
      </c>
      <c r="CI25">
        <v>35336.37</v>
      </c>
      <c r="CJ25">
        <v>34815.67</v>
      </c>
      <c r="CK25">
        <v>34214.96</v>
      </c>
      <c r="CL25">
        <v>34188.29</v>
      </c>
      <c r="CM25">
        <v>33516.46</v>
      </c>
      <c r="CN25">
        <v>32984.33</v>
      </c>
      <c r="CO25">
        <v>32330.28</v>
      </c>
      <c r="CP25">
        <v>31817.2</v>
      </c>
      <c r="CQ25">
        <v>31337.14</v>
      </c>
      <c r="CR25">
        <v>30895.18</v>
      </c>
      <c r="CS25">
        <v>30316.06</v>
      </c>
    </row>
    <row r="26" spans="1:97">
      <c r="A26" s="9">
        <v>46259</v>
      </c>
      <c r="B26">
        <v>30323.82</v>
      </c>
      <c r="C26">
        <v>30022.47</v>
      </c>
      <c r="D26">
        <v>29759.1</v>
      </c>
      <c r="E26">
        <v>29495.72</v>
      </c>
      <c r="F26">
        <v>29332.8</v>
      </c>
      <c r="G26">
        <v>29066.97</v>
      </c>
      <c r="H26">
        <v>28951.82</v>
      </c>
      <c r="I26">
        <v>28644.35</v>
      </c>
      <c r="J26">
        <v>28507.15</v>
      </c>
      <c r="K26">
        <v>28383.42</v>
      </c>
      <c r="L26">
        <v>28325.85</v>
      </c>
      <c r="M26">
        <v>28139.65</v>
      </c>
      <c r="N26">
        <v>28155.57</v>
      </c>
      <c r="O26">
        <v>28015.92</v>
      </c>
      <c r="P26">
        <v>28042.87</v>
      </c>
      <c r="Q26">
        <v>28000</v>
      </c>
      <c r="R26">
        <v>28118.82</v>
      </c>
      <c r="S26">
        <v>28166.6</v>
      </c>
      <c r="T26">
        <v>28356.47</v>
      </c>
      <c r="U26">
        <v>28547.57</v>
      </c>
      <c r="V26">
        <v>28938.35</v>
      </c>
      <c r="W26">
        <v>29421</v>
      </c>
      <c r="X26">
        <v>29882.82</v>
      </c>
      <c r="Y26">
        <v>30399.77</v>
      </c>
      <c r="Z26">
        <v>30968.17</v>
      </c>
      <c r="AA26">
        <v>31453.27</v>
      </c>
      <c r="AB26">
        <v>31946.95</v>
      </c>
      <c r="AC26">
        <v>32316.9</v>
      </c>
      <c r="AD26">
        <v>32863.25</v>
      </c>
      <c r="AE26">
        <v>33393.67</v>
      </c>
      <c r="AF26">
        <v>33938.8</v>
      </c>
      <c r="AG26">
        <v>34681.15</v>
      </c>
      <c r="AH26">
        <v>35832.65</v>
      </c>
      <c r="AI26">
        <v>36521.1</v>
      </c>
      <c r="AJ26">
        <v>37034.37</v>
      </c>
      <c r="AK26">
        <v>37660.35</v>
      </c>
      <c r="AL26">
        <v>38151.57</v>
      </c>
      <c r="AM26">
        <v>38786.12</v>
      </c>
      <c r="AN26">
        <v>39001.72</v>
      </c>
      <c r="AO26">
        <v>39480.7</v>
      </c>
      <c r="AP26">
        <v>39636.27</v>
      </c>
      <c r="AQ26">
        <v>39883.72</v>
      </c>
      <c r="AR26">
        <v>40250</v>
      </c>
      <c r="AS26">
        <v>40056.45</v>
      </c>
      <c r="AT26">
        <v>39990.3</v>
      </c>
      <c r="AU26">
        <v>39581.15</v>
      </c>
      <c r="AV26">
        <v>39244.88</v>
      </c>
      <c r="AW26">
        <v>39289.6</v>
      </c>
      <c r="AX26">
        <v>39304.92</v>
      </c>
      <c r="AY26">
        <v>39401.69</v>
      </c>
      <c r="AZ26">
        <v>39546.85</v>
      </c>
      <c r="BA26">
        <v>39595.24</v>
      </c>
      <c r="BB26">
        <v>39837.18</v>
      </c>
      <c r="BC26">
        <v>39982.34</v>
      </c>
      <c r="BD26">
        <v>39837.18</v>
      </c>
      <c r="BE26">
        <v>40030.73</v>
      </c>
      <c r="BF26">
        <v>40129.95</v>
      </c>
      <c r="BG26">
        <v>39760.61</v>
      </c>
      <c r="BH26">
        <v>39905.77</v>
      </c>
      <c r="BI26">
        <v>40002.55</v>
      </c>
      <c r="BJ26">
        <v>40171.6</v>
      </c>
      <c r="BK26">
        <v>40235.3</v>
      </c>
      <c r="BL26">
        <v>40007.45</v>
      </c>
      <c r="BM26">
        <v>39920.47</v>
      </c>
      <c r="BN26">
        <v>39967.02</v>
      </c>
      <c r="BO26">
        <v>39838.4</v>
      </c>
      <c r="BP26">
        <v>39572.57</v>
      </c>
      <c r="BQ26">
        <v>38982.12</v>
      </c>
      <c r="BR26">
        <v>38492.12</v>
      </c>
      <c r="BS26">
        <v>38476.2</v>
      </c>
      <c r="BT26">
        <v>38247.12</v>
      </c>
      <c r="BU26">
        <v>38198.12</v>
      </c>
      <c r="BV26">
        <v>38035.2</v>
      </c>
      <c r="BW26">
        <v>37965.37</v>
      </c>
      <c r="BX26">
        <v>38094</v>
      </c>
      <c r="BY26">
        <v>38245.9</v>
      </c>
      <c r="BZ26">
        <v>38493.35</v>
      </c>
      <c r="CA26">
        <v>38530.1</v>
      </c>
      <c r="CB26">
        <v>38514.17</v>
      </c>
      <c r="CC26">
        <v>38169.95</v>
      </c>
      <c r="CD26">
        <v>37798.77</v>
      </c>
      <c r="CE26">
        <v>37615.02</v>
      </c>
      <c r="CF26">
        <v>37094.4</v>
      </c>
      <c r="CG26">
        <v>36617.87</v>
      </c>
      <c r="CH26">
        <v>36230.77</v>
      </c>
      <c r="CI26">
        <v>35737.1</v>
      </c>
      <c r="CJ26">
        <v>35236.07</v>
      </c>
      <c r="CK26">
        <v>34655.42</v>
      </c>
      <c r="CL26">
        <v>34639.5</v>
      </c>
      <c r="CM26">
        <v>34041.7</v>
      </c>
      <c r="CN26">
        <v>33451.25</v>
      </c>
      <c r="CO26">
        <v>32797.1</v>
      </c>
      <c r="CP26">
        <v>32270.35</v>
      </c>
      <c r="CQ26">
        <v>31858.75</v>
      </c>
      <c r="CR26">
        <v>31313.62</v>
      </c>
      <c r="CS26">
        <v>30811.37</v>
      </c>
    </row>
    <row r="27" spans="1:97">
      <c r="A27" s="9">
        <v>46260</v>
      </c>
      <c r="B27">
        <v>29878.59</v>
      </c>
      <c r="C27">
        <v>29696.31</v>
      </c>
      <c r="D27">
        <v>29425.06</v>
      </c>
      <c r="E27">
        <v>29174.42</v>
      </c>
      <c r="F27">
        <v>29026.86</v>
      </c>
      <c r="G27">
        <v>28748.02</v>
      </c>
      <c r="H27">
        <v>28674.24</v>
      </c>
      <c r="I27">
        <v>28349.82</v>
      </c>
      <c r="J27">
        <v>28241.32</v>
      </c>
      <c r="K27">
        <v>28069.89</v>
      </c>
      <c r="L27">
        <v>28052.53</v>
      </c>
      <c r="M27">
        <v>27824.68</v>
      </c>
      <c r="N27">
        <v>27808.41</v>
      </c>
      <c r="O27">
        <v>27771.52</v>
      </c>
      <c r="P27">
        <v>27650</v>
      </c>
      <c r="Q27">
        <v>27676.04</v>
      </c>
      <c r="R27">
        <v>27796.47</v>
      </c>
      <c r="S27">
        <v>27737.88</v>
      </c>
      <c r="T27">
        <v>27861.57</v>
      </c>
      <c r="U27">
        <v>28090.51</v>
      </c>
      <c r="V27">
        <v>28438.79</v>
      </c>
      <c r="W27">
        <v>28898.83</v>
      </c>
      <c r="X27">
        <v>29434.82</v>
      </c>
      <c r="Y27">
        <v>30031.57</v>
      </c>
      <c r="Z27">
        <v>30589.26</v>
      </c>
      <c r="AA27">
        <v>31037.37</v>
      </c>
      <c r="AB27">
        <v>31583.12</v>
      </c>
      <c r="AC27">
        <v>31816.4</v>
      </c>
      <c r="AD27">
        <v>32460.89</v>
      </c>
      <c r="AE27">
        <v>32924.18</v>
      </c>
      <c r="AF27">
        <v>33395.07</v>
      </c>
      <c r="AG27">
        <v>34067.77</v>
      </c>
      <c r="AH27">
        <v>35080.08</v>
      </c>
      <c r="AI27">
        <v>35672.49</v>
      </c>
      <c r="AJ27">
        <v>36154.23</v>
      </c>
      <c r="AK27">
        <v>36548.08</v>
      </c>
      <c r="AL27">
        <v>37204.51</v>
      </c>
      <c r="AM27">
        <v>37495.29</v>
      </c>
      <c r="AN27">
        <v>37682.99</v>
      </c>
      <c r="AO27">
        <v>37932.54</v>
      </c>
      <c r="AP27">
        <v>38214.64</v>
      </c>
      <c r="AQ27">
        <v>38322.06</v>
      </c>
      <c r="AR27">
        <v>38500</v>
      </c>
      <c r="AS27">
        <v>38437.07</v>
      </c>
      <c r="AT27">
        <v>38255.87</v>
      </c>
      <c r="AU27">
        <v>37940.14</v>
      </c>
      <c r="AV27">
        <v>37643.93</v>
      </c>
      <c r="AW27">
        <v>37308.67</v>
      </c>
      <c r="AX27">
        <v>37469.25</v>
      </c>
      <c r="AY27">
        <v>37579.92</v>
      </c>
      <c r="AZ27">
        <v>37696.01</v>
      </c>
      <c r="BA27">
        <v>37837.06</v>
      </c>
      <c r="BB27">
        <v>38049.72</v>
      </c>
      <c r="BC27">
        <v>38015</v>
      </c>
      <c r="BD27">
        <v>37990.05</v>
      </c>
      <c r="BE27">
        <v>37927.12</v>
      </c>
      <c r="BF27">
        <v>38098.55</v>
      </c>
      <c r="BG27">
        <v>37998.73</v>
      </c>
      <c r="BH27">
        <v>37934.45</v>
      </c>
      <c r="BI27">
        <v>37759.81</v>
      </c>
      <c r="BJ27">
        <v>37759.81</v>
      </c>
      <c r="BK27">
        <v>37915.91</v>
      </c>
      <c r="BL27">
        <v>37689.14</v>
      </c>
      <c r="BM27">
        <v>37734.71</v>
      </c>
      <c r="BN27">
        <v>37813.92</v>
      </c>
      <c r="BO27">
        <v>37603.56</v>
      </c>
      <c r="BP27">
        <v>37471.06</v>
      </c>
      <c r="BQ27">
        <v>36811.38</v>
      </c>
      <c r="BR27">
        <v>36571.59</v>
      </c>
      <c r="BS27">
        <v>36508.66</v>
      </c>
      <c r="BT27">
        <v>36319.87</v>
      </c>
      <c r="BU27">
        <v>36186.42</v>
      </c>
      <c r="BV27">
        <v>36093.11</v>
      </c>
      <c r="BW27">
        <v>36071.41</v>
      </c>
      <c r="BX27">
        <v>36282.98</v>
      </c>
      <c r="BY27">
        <v>36388.23</v>
      </c>
      <c r="BZ27">
        <v>36787.51</v>
      </c>
      <c r="CA27">
        <v>36838.5</v>
      </c>
      <c r="CB27">
        <v>36731.09</v>
      </c>
      <c r="CC27">
        <v>36205.95</v>
      </c>
      <c r="CD27">
        <v>35883.7</v>
      </c>
      <c r="CE27">
        <v>35595.09</v>
      </c>
      <c r="CF27">
        <v>35233.79</v>
      </c>
      <c r="CG27">
        <v>34701.05</v>
      </c>
      <c r="CH27">
        <v>34481.88</v>
      </c>
      <c r="CI27">
        <v>33930.7</v>
      </c>
      <c r="CJ27">
        <v>33351.31</v>
      </c>
      <c r="CK27">
        <v>32833.77</v>
      </c>
      <c r="CL27">
        <v>32770.84</v>
      </c>
      <c r="CM27">
        <v>32273.91</v>
      </c>
      <c r="CN27">
        <v>31703.2</v>
      </c>
      <c r="CO27">
        <v>31142.25</v>
      </c>
      <c r="CP27">
        <v>30737.55</v>
      </c>
      <c r="CQ27">
        <v>30305.72</v>
      </c>
      <c r="CR27">
        <v>29832.66</v>
      </c>
      <c r="CS27">
        <v>29363.94</v>
      </c>
    </row>
    <row r="28" spans="1:97">
      <c r="A28" s="9">
        <v>46261</v>
      </c>
      <c r="B28">
        <v>29082.32</v>
      </c>
      <c r="C28">
        <v>28868.79</v>
      </c>
      <c r="D28">
        <v>28590.66</v>
      </c>
      <c r="E28">
        <v>28414.37</v>
      </c>
      <c r="F28">
        <v>28221.65</v>
      </c>
      <c r="G28">
        <v>28026.74</v>
      </c>
      <c r="H28">
        <v>27943.52</v>
      </c>
      <c r="I28">
        <v>27650.06</v>
      </c>
      <c r="J28">
        <v>27597.5</v>
      </c>
      <c r="K28">
        <v>27398.21</v>
      </c>
      <c r="L28">
        <v>27374.12</v>
      </c>
      <c r="M28">
        <v>27191.25</v>
      </c>
      <c r="N28">
        <v>27177.02</v>
      </c>
      <c r="O28">
        <v>27160.59</v>
      </c>
      <c r="P28">
        <v>27075.18</v>
      </c>
      <c r="Q28">
        <v>27050</v>
      </c>
      <c r="R28">
        <v>27198.92</v>
      </c>
      <c r="S28">
        <v>27241.62</v>
      </c>
      <c r="T28">
        <v>27341.27</v>
      </c>
      <c r="U28">
        <v>27599.69</v>
      </c>
      <c r="V28">
        <v>28012.5</v>
      </c>
      <c r="W28">
        <v>28437.36</v>
      </c>
      <c r="X28">
        <v>28975.01</v>
      </c>
      <c r="Y28">
        <v>29414.1</v>
      </c>
      <c r="Z28">
        <v>30026.21</v>
      </c>
      <c r="AA28">
        <v>30521.15</v>
      </c>
      <c r="AB28">
        <v>30982.14</v>
      </c>
      <c r="AC28">
        <v>31195.67</v>
      </c>
      <c r="AD28">
        <v>31865.81</v>
      </c>
      <c r="AE28">
        <v>32337.75</v>
      </c>
      <c r="AF28">
        <v>32785.61</v>
      </c>
      <c r="AG28">
        <v>33421.8</v>
      </c>
      <c r="AH28">
        <v>34394.16</v>
      </c>
      <c r="AI28">
        <v>34867.2</v>
      </c>
      <c r="AJ28">
        <v>35334.77</v>
      </c>
      <c r="AK28">
        <v>35755.25</v>
      </c>
      <c r="AL28">
        <v>36316.98</v>
      </c>
      <c r="AM28">
        <v>36671.76</v>
      </c>
      <c r="AN28">
        <v>36983.84</v>
      </c>
      <c r="AO28">
        <v>37109.76</v>
      </c>
      <c r="AP28">
        <v>37506.15</v>
      </c>
      <c r="AQ28">
        <v>37604.7</v>
      </c>
      <c r="AR28">
        <v>37859.84</v>
      </c>
      <c r="AS28">
        <v>37749.24</v>
      </c>
      <c r="AT28">
        <v>37839.03</v>
      </c>
      <c r="AU28">
        <v>37428.41</v>
      </c>
      <c r="AV28">
        <v>37155.75</v>
      </c>
      <c r="AW28">
        <v>36992.6</v>
      </c>
      <c r="AX28">
        <v>37224.74</v>
      </c>
      <c r="AY28">
        <v>37375.85</v>
      </c>
      <c r="AZ28">
        <v>37510.53</v>
      </c>
      <c r="BA28">
        <v>37457.97</v>
      </c>
      <c r="BB28">
        <v>37793.04</v>
      </c>
      <c r="BC28">
        <v>37751.43</v>
      </c>
      <c r="BD28">
        <v>37784.28</v>
      </c>
      <c r="BE28">
        <v>37747.05</v>
      </c>
      <c r="BF28">
        <v>37874.07</v>
      </c>
      <c r="BG28">
        <v>37687.92</v>
      </c>
      <c r="BH28">
        <v>37857.65</v>
      </c>
      <c r="BI28">
        <v>37892.69</v>
      </c>
      <c r="BJ28">
        <v>37956.2</v>
      </c>
      <c r="BK28">
        <v>38000</v>
      </c>
      <c r="BL28">
        <v>37725.15</v>
      </c>
      <c r="BM28">
        <v>37725.15</v>
      </c>
      <c r="BN28">
        <v>37860.93</v>
      </c>
      <c r="BO28">
        <v>37777.71</v>
      </c>
      <c r="BP28">
        <v>37539</v>
      </c>
      <c r="BQ28">
        <v>36906.09</v>
      </c>
      <c r="BR28">
        <v>36640.01</v>
      </c>
      <c r="BS28">
        <v>36532.7</v>
      </c>
      <c r="BT28">
        <v>36350.93</v>
      </c>
      <c r="BU28">
        <v>36263.33</v>
      </c>
      <c r="BV28">
        <v>36074.99</v>
      </c>
      <c r="BW28">
        <v>36091.41</v>
      </c>
      <c r="BX28">
        <v>36221.72</v>
      </c>
      <c r="BY28">
        <v>36291.8</v>
      </c>
      <c r="BZ28">
        <v>36690.38</v>
      </c>
      <c r="CA28">
        <v>36675.05</v>
      </c>
      <c r="CB28">
        <v>36598.4</v>
      </c>
      <c r="CC28">
        <v>36303.84</v>
      </c>
      <c r="CD28">
        <v>35941.4</v>
      </c>
      <c r="CE28">
        <v>35670.93</v>
      </c>
      <c r="CF28">
        <v>35322.72</v>
      </c>
      <c r="CG28">
        <v>34801.5</v>
      </c>
      <c r="CH28">
        <v>34627.4</v>
      </c>
      <c r="CI28">
        <v>34084.28</v>
      </c>
      <c r="CJ28">
        <v>33494.07</v>
      </c>
      <c r="CK28">
        <v>32920.29</v>
      </c>
      <c r="CL28">
        <v>32872.11</v>
      </c>
      <c r="CM28">
        <v>32353.08</v>
      </c>
      <c r="CN28">
        <v>31825.29</v>
      </c>
      <c r="CO28">
        <v>31290.93</v>
      </c>
      <c r="CP28">
        <v>30762.05</v>
      </c>
      <c r="CQ28">
        <v>30295.58</v>
      </c>
      <c r="CR28">
        <v>29866.34</v>
      </c>
      <c r="CS28">
        <v>29334.17</v>
      </c>
    </row>
    <row r="29" spans="1:97">
      <c r="A29" s="9">
        <v>46262</v>
      </c>
      <c r="B29">
        <v>28479.68</v>
      </c>
      <c r="C29">
        <v>28343</v>
      </c>
      <c r="D29">
        <v>27877.88</v>
      </c>
      <c r="E29">
        <v>27618.8</v>
      </c>
      <c r="F29">
        <v>27480.08</v>
      </c>
      <c r="G29">
        <v>27233.24</v>
      </c>
      <c r="H29">
        <v>27125.12</v>
      </c>
      <c r="I29">
        <v>26924.18</v>
      </c>
      <c r="J29">
        <v>26755.88</v>
      </c>
      <c r="K29">
        <v>26534.54</v>
      </c>
      <c r="L29">
        <v>26354</v>
      </c>
      <c r="M29">
        <v>26295.86</v>
      </c>
      <c r="N29">
        <v>26242.82</v>
      </c>
      <c r="O29">
        <v>26329.52</v>
      </c>
      <c r="P29">
        <v>26205.08</v>
      </c>
      <c r="Q29">
        <v>26150</v>
      </c>
      <c r="R29">
        <v>26290.76</v>
      </c>
      <c r="S29">
        <v>26237.72</v>
      </c>
      <c r="T29">
        <v>26258.12</v>
      </c>
      <c r="U29">
        <v>26414.18</v>
      </c>
      <c r="V29">
        <v>26807.9</v>
      </c>
      <c r="W29">
        <v>27207.74</v>
      </c>
      <c r="X29">
        <v>27839.12</v>
      </c>
      <c r="Y29">
        <v>28406.24</v>
      </c>
      <c r="Z29">
        <v>29019.26</v>
      </c>
      <c r="AA29">
        <v>29591.48</v>
      </c>
      <c r="AB29">
        <v>30157.58</v>
      </c>
      <c r="AC29">
        <v>30495.2</v>
      </c>
      <c r="AD29">
        <v>30970.52</v>
      </c>
      <c r="AE29">
        <v>31498.88</v>
      </c>
      <c r="AF29">
        <v>32006.84</v>
      </c>
      <c r="AG29">
        <v>32583.14</v>
      </c>
      <c r="AH29">
        <v>33698</v>
      </c>
      <c r="AI29">
        <v>34139.66</v>
      </c>
      <c r="AJ29">
        <v>34558.88</v>
      </c>
      <c r="AK29">
        <v>35084.18</v>
      </c>
      <c r="AL29">
        <v>35284.1</v>
      </c>
      <c r="AM29">
        <v>35681.9</v>
      </c>
      <c r="AN29">
        <v>35920.58</v>
      </c>
      <c r="AO29">
        <v>36108.26</v>
      </c>
      <c r="AP29">
        <v>36295.94</v>
      </c>
      <c r="AQ29">
        <v>36229.64</v>
      </c>
      <c r="AR29">
        <v>36350</v>
      </c>
      <c r="AS29">
        <v>36316.34</v>
      </c>
      <c r="AT29">
        <v>36222.5</v>
      </c>
      <c r="AU29">
        <v>35486.06</v>
      </c>
      <c r="AV29">
        <v>35268.8</v>
      </c>
      <c r="AW29">
        <v>35076.02</v>
      </c>
      <c r="AX29">
        <v>35238.2</v>
      </c>
      <c r="AY29">
        <v>35313.68</v>
      </c>
      <c r="AZ29">
        <v>35543.18</v>
      </c>
      <c r="BA29">
        <v>35459.54</v>
      </c>
      <c r="BB29">
        <v>35696.18</v>
      </c>
      <c r="BC29">
        <v>35668.64</v>
      </c>
      <c r="BD29">
        <v>35907.32</v>
      </c>
      <c r="BE29">
        <v>35898.14</v>
      </c>
      <c r="BF29">
        <v>36060.32</v>
      </c>
      <c r="BG29">
        <v>35871.62</v>
      </c>
      <c r="BH29">
        <v>35947.1</v>
      </c>
      <c r="BI29">
        <v>36023.6</v>
      </c>
      <c r="BJ29">
        <v>35962.4</v>
      </c>
      <c r="BK29">
        <v>35975.66</v>
      </c>
      <c r="BL29">
        <v>35869.58</v>
      </c>
      <c r="BM29">
        <v>35928.74</v>
      </c>
      <c r="BN29">
        <v>35930.78</v>
      </c>
      <c r="BO29">
        <v>35850.2</v>
      </c>
      <c r="BP29">
        <v>35605.4</v>
      </c>
      <c r="BQ29">
        <v>34975.04</v>
      </c>
      <c r="BR29">
        <v>34724.12</v>
      </c>
      <c r="BS29">
        <v>34566.02</v>
      </c>
      <c r="BT29">
        <v>34499.72</v>
      </c>
      <c r="BU29">
        <v>34381.4</v>
      </c>
      <c r="BV29">
        <v>34197.8</v>
      </c>
      <c r="BW29">
        <v>34268.18</v>
      </c>
      <c r="BX29">
        <v>34435.46</v>
      </c>
      <c r="BY29">
        <v>34520.12</v>
      </c>
      <c r="BZ29">
        <v>34687.4</v>
      </c>
      <c r="CA29">
        <v>34627.22</v>
      </c>
      <c r="CB29">
        <v>34485.44</v>
      </c>
      <c r="CC29">
        <v>34166.18</v>
      </c>
      <c r="CD29">
        <v>33949.94</v>
      </c>
      <c r="CE29">
        <v>33737.78</v>
      </c>
      <c r="CF29">
        <v>33298.16</v>
      </c>
      <c r="CG29">
        <v>32838.14</v>
      </c>
      <c r="CH29">
        <v>32546.42</v>
      </c>
      <c r="CI29">
        <v>32141.48</v>
      </c>
      <c r="CJ29">
        <v>31522.34</v>
      </c>
      <c r="CK29">
        <v>30968.48</v>
      </c>
      <c r="CL29">
        <v>31033.76</v>
      </c>
      <c r="CM29">
        <v>30499.28</v>
      </c>
      <c r="CN29">
        <v>29966.84</v>
      </c>
      <c r="CO29">
        <v>29403.8</v>
      </c>
      <c r="CP29">
        <v>29090.66</v>
      </c>
      <c r="CQ29">
        <v>28595.96</v>
      </c>
      <c r="CR29">
        <v>28180.82</v>
      </c>
      <c r="CS29">
        <v>27611.66</v>
      </c>
    </row>
    <row r="30" spans="1:97">
      <c r="A30" s="9">
        <v>46263</v>
      </c>
      <c r="B30">
        <v>27861.64</v>
      </c>
      <c r="C30">
        <v>27532.42</v>
      </c>
      <c r="D30">
        <v>27396.64</v>
      </c>
      <c r="E30">
        <v>27225.52</v>
      </c>
      <c r="F30">
        <v>26973.49</v>
      </c>
      <c r="G30">
        <v>26797.72</v>
      </c>
      <c r="H30">
        <v>26625.67</v>
      </c>
      <c r="I30">
        <v>26567.08</v>
      </c>
      <c r="J30">
        <v>26548.48</v>
      </c>
      <c r="K30">
        <v>26376.43</v>
      </c>
      <c r="L30">
        <v>26318.77</v>
      </c>
      <c r="M30">
        <v>26199.73</v>
      </c>
      <c r="N30">
        <v>26103.01</v>
      </c>
      <c r="O30">
        <v>26068.6</v>
      </c>
      <c r="P30">
        <v>26161.6</v>
      </c>
      <c r="Q30">
        <v>26121.61</v>
      </c>
      <c r="R30">
        <v>26050</v>
      </c>
      <c r="S30">
        <v>26102.08</v>
      </c>
      <c r="T30">
        <v>26224.84</v>
      </c>
      <c r="U30">
        <v>26594.05</v>
      </c>
      <c r="V30">
        <v>26936.29</v>
      </c>
      <c r="W30">
        <v>27325.96</v>
      </c>
      <c r="X30">
        <v>27852.34</v>
      </c>
      <c r="Y30">
        <v>28076.47</v>
      </c>
      <c r="Z30">
        <v>28614.01</v>
      </c>
      <c r="AA30">
        <v>28927.42</v>
      </c>
      <c r="AB30">
        <v>29285.47</v>
      </c>
      <c r="AC30">
        <v>29644.45</v>
      </c>
      <c r="AD30">
        <v>30137.35</v>
      </c>
      <c r="AE30">
        <v>30585.61</v>
      </c>
      <c r="AF30">
        <v>30988.3</v>
      </c>
      <c r="AG30">
        <v>31667.2</v>
      </c>
      <c r="AH30">
        <v>32578.6</v>
      </c>
      <c r="AI30">
        <v>32990.59</v>
      </c>
      <c r="AJ30">
        <v>33346.78</v>
      </c>
      <c r="AK30">
        <v>33633.22</v>
      </c>
      <c r="AL30">
        <v>33928.96</v>
      </c>
      <c r="AM30">
        <v>34275.85</v>
      </c>
      <c r="AN30">
        <v>34454.41</v>
      </c>
      <c r="AO30">
        <v>34632.97</v>
      </c>
      <c r="AP30">
        <v>34811.53</v>
      </c>
      <c r="AQ30">
        <v>35215.15</v>
      </c>
      <c r="AR30">
        <v>35350</v>
      </c>
      <c r="AS30">
        <v>35094.25</v>
      </c>
      <c r="AT30">
        <v>35256.07</v>
      </c>
      <c r="AU30">
        <v>34828.27</v>
      </c>
      <c r="AV30">
        <v>34708.3</v>
      </c>
      <c r="AW30">
        <v>34293.52</v>
      </c>
      <c r="AX30">
        <v>34244.23</v>
      </c>
      <c r="AY30">
        <v>34430.23</v>
      </c>
      <c r="AZ30">
        <v>34805.02</v>
      </c>
      <c r="BA30">
        <v>34640.41</v>
      </c>
      <c r="BB30">
        <v>35135.17</v>
      </c>
      <c r="BC30">
        <v>35073.79</v>
      </c>
      <c r="BD30">
        <v>35115.64</v>
      </c>
      <c r="BE30">
        <v>35133.31</v>
      </c>
      <c r="BF30">
        <v>35242.12</v>
      </c>
      <c r="BG30">
        <v>35314.66</v>
      </c>
      <c r="BH30">
        <v>35150.05</v>
      </c>
      <c r="BI30">
        <v>35248.63</v>
      </c>
      <c r="BJ30">
        <v>35036.59</v>
      </c>
      <c r="BK30">
        <v>34882.21</v>
      </c>
      <c r="BL30">
        <v>34882.21</v>
      </c>
      <c r="BM30">
        <v>34920.34</v>
      </c>
      <c r="BN30">
        <v>34882.21</v>
      </c>
      <c r="BO30">
        <v>34805.95</v>
      </c>
      <c r="BP30">
        <v>34577.17</v>
      </c>
      <c r="BQ30">
        <v>34006.15</v>
      </c>
      <c r="BR30">
        <v>33815.5</v>
      </c>
      <c r="BS30">
        <v>33815.5</v>
      </c>
      <c r="BT30">
        <v>33777.37</v>
      </c>
      <c r="BU30">
        <v>33624.85</v>
      </c>
      <c r="BV30">
        <v>33624.85</v>
      </c>
      <c r="BW30">
        <v>33586.72</v>
      </c>
      <c r="BX30">
        <v>33586.72</v>
      </c>
      <c r="BY30">
        <v>33739.24</v>
      </c>
      <c r="BZ30">
        <v>33777.37</v>
      </c>
      <c r="CA30">
        <v>33777.37</v>
      </c>
      <c r="CB30">
        <v>33701.11</v>
      </c>
      <c r="CC30">
        <v>33434.2</v>
      </c>
      <c r="CD30">
        <v>33205.42</v>
      </c>
      <c r="CE30">
        <v>33015.7</v>
      </c>
      <c r="CF30">
        <v>32731.12</v>
      </c>
      <c r="CG30">
        <v>32375.86</v>
      </c>
      <c r="CH30">
        <v>32091.28</v>
      </c>
      <c r="CI30">
        <v>31622.56</v>
      </c>
      <c r="CJ30">
        <v>31181.74</v>
      </c>
      <c r="CK30">
        <v>30658.15</v>
      </c>
      <c r="CL30">
        <v>30688.84</v>
      </c>
      <c r="CM30">
        <v>30128.98</v>
      </c>
      <c r="CN30">
        <v>29727.22</v>
      </c>
      <c r="CO30">
        <v>29197.12</v>
      </c>
      <c r="CP30">
        <v>29065.99</v>
      </c>
      <c r="CQ30">
        <v>28622.38</v>
      </c>
      <c r="CR30">
        <v>28219.69</v>
      </c>
      <c r="CS30">
        <v>27817</v>
      </c>
    </row>
    <row r="31" spans="1:97">
      <c r="A31" s="9">
        <v>46264</v>
      </c>
      <c r="B31">
        <v>27542.53</v>
      </c>
      <c r="C31">
        <v>27296.14</v>
      </c>
      <c r="D31">
        <v>27130.93</v>
      </c>
      <c r="E31">
        <v>26918.92</v>
      </c>
      <c r="F31">
        <v>26748.93</v>
      </c>
      <c r="G31">
        <v>26557.93</v>
      </c>
      <c r="H31">
        <v>26451.92</v>
      </c>
      <c r="I31">
        <v>26253.28</v>
      </c>
      <c r="J31">
        <v>26114.81</v>
      </c>
      <c r="K31">
        <v>26029.81</v>
      </c>
      <c r="L31">
        <v>25956.28</v>
      </c>
      <c r="M31">
        <v>25868.42</v>
      </c>
      <c r="N31">
        <v>25844.54</v>
      </c>
      <c r="O31">
        <v>25780.56</v>
      </c>
      <c r="P31">
        <v>25783.42</v>
      </c>
      <c r="Q31">
        <v>25750</v>
      </c>
      <c r="R31">
        <v>25868.42</v>
      </c>
      <c r="S31">
        <v>25989.7</v>
      </c>
      <c r="T31">
        <v>26111.94</v>
      </c>
      <c r="U31">
        <v>26284.8</v>
      </c>
      <c r="V31">
        <v>26741.29</v>
      </c>
      <c r="W31">
        <v>27171.04</v>
      </c>
      <c r="X31">
        <v>27669.55</v>
      </c>
      <c r="Y31">
        <v>28020.99</v>
      </c>
      <c r="Z31">
        <v>28532.87</v>
      </c>
      <c r="AA31">
        <v>28880.49</v>
      </c>
      <c r="AB31">
        <v>29229.06</v>
      </c>
      <c r="AC31">
        <v>29433.43</v>
      </c>
      <c r="AD31">
        <v>30002.61</v>
      </c>
      <c r="AE31">
        <v>30385.57</v>
      </c>
      <c r="AF31">
        <v>30857.34</v>
      </c>
      <c r="AG31">
        <v>31266.08</v>
      </c>
      <c r="AH31">
        <v>32128.44</v>
      </c>
      <c r="AI31">
        <v>32536.23</v>
      </c>
      <c r="AJ31">
        <v>32891.49</v>
      </c>
      <c r="AK31">
        <v>33320.28</v>
      </c>
      <c r="AL31">
        <v>33652.62</v>
      </c>
      <c r="AM31">
        <v>34041.31</v>
      </c>
      <c r="AN31">
        <v>34260.96</v>
      </c>
      <c r="AO31">
        <v>34673.52</v>
      </c>
      <c r="AP31">
        <v>34909.4</v>
      </c>
      <c r="AQ31">
        <v>35155.79</v>
      </c>
      <c r="AR31">
        <v>35300</v>
      </c>
      <c r="AS31">
        <v>35175.85</v>
      </c>
      <c r="AT31">
        <v>35229.33</v>
      </c>
      <c r="AU31">
        <v>34729.86</v>
      </c>
      <c r="AV31">
        <v>34475.83</v>
      </c>
      <c r="AW31">
        <v>34260.96</v>
      </c>
      <c r="AX31">
        <v>34342.13</v>
      </c>
      <c r="AY31">
        <v>34440.5</v>
      </c>
      <c r="AZ31">
        <v>34831.09</v>
      </c>
      <c r="BA31">
        <v>34906.54</v>
      </c>
      <c r="BB31">
        <v>35079.39</v>
      </c>
      <c r="BC31">
        <v>35123.32</v>
      </c>
      <c r="BD31">
        <v>35132.87</v>
      </c>
      <c r="BE31">
        <v>35034.51</v>
      </c>
      <c r="BF31">
        <v>35119.5</v>
      </c>
      <c r="BG31">
        <v>35053.61</v>
      </c>
      <c r="BH31">
        <v>35038.33</v>
      </c>
      <c r="BI31">
        <v>35013.5</v>
      </c>
      <c r="BJ31">
        <v>35151.02</v>
      </c>
      <c r="BK31">
        <v>35158.66</v>
      </c>
      <c r="BL31">
        <v>35199.72</v>
      </c>
      <c r="BM31">
        <v>35190.17</v>
      </c>
      <c r="BN31">
        <v>35181.58</v>
      </c>
      <c r="BO31">
        <v>35151.02</v>
      </c>
      <c r="BP31">
        <v>34942.83</v>
      </c>
      <c r="BQ31">
        <v>34433.81</v>
      </c>
      <c r="BR31">
        <v>34332.58</v>
      </c>
      <c r="BS31">
        <v>34172.14</v>
      </c>
      <c r="BT31">
        <v>34066.14</v>
      </c>
      <c r="BU31">
        <v>33953.45</v>
      </c>
      <c r="BV31">
        <v>33826.43</v>
      </c>
      <c r="BW31">
        <v>33878.96</v>
      </c>
      <c r="BX31">
        <v>34083.33</v>
      </c>
      <c r="BY31">
        <v>34176.92</v>
      </c>
      <c r="BZ31">
        <v>34458.64</v>
      </c>
      <c r="CA31">
        <v>34396.57</v>
      </c>
      <c r="CB31">
        <v>34308.71</v>
      </c>
      <c r="CC31">
        <v>34040.35</v>
      </c>
      <c r="CD31">
        <v>33753.85</v>
      </c>
      <c r="CE31">
        <v>33533.25</v>
      </c>
      <c r="CF31">
        <v>33167.48</v>
      </c>
      <c r="CG31">
        <v>32735.82</v>
      </c>
      <c r="CH31">
        <v>32350</v>
      </c>
      <c r="CI31">
        <v>31821.89</v>
      </c>
      <c r="CJ31">
        <v>31283.27</v>
      </c>
      <c r="CK31">
        <v>30720.77</v>
      </c>
      <c r="CL31">
        <v>30701.67</v>
      </c>
      <c r="CM31">
        <v>30187.88</v>
      </c>
      <c r="CN31">
        <v>29692.24</v>
      </c>
      <c r="CO31">
        <v>29204.23</v>
      </c>
      <c r="CP31">
        <v>28947.34</v>
      </c>
      <c r="CQ31">
        <v>28529.05</v>
      </c>
      <c r="CR31">
        <v>28114.58</v>
      </c>
      <c r="CS31">
        <v>27715.39</v>
      </c>
    </row>
    <row r="32" spans="1:97">
      <c r="A32" s="9">
        <v>46265</v>
      </c>
      <c r="B32">
        <v>27407.6</v>
      </c>
      <c r="C32">
        <v>27232.88</v>
      </c>
      <c r="D32">
        <v>26952.08</v>
      </c>
      <c r="E32">
        <v>26833.52</v>
      </c>
      <c r="F32">
        <v>26683.76</v>
      </c>
      <c r="G32">
        <v>26466.4</v>
      </c>
      <c r="H32">
        <v>26379.04</v>
      </c>
      <c r="I32">
        <v>26183.52</v>
      </c>
      <c r="J32">
        <v>26017.12</v>
      </c>
      <c r="K32">
        <v>25842.4</v>
      </c>
      <c r="L32">
        <v>25827.84</v>
      </c>
      <c r="M32">
        <v>25752.96</v>
      </c>
      <c r="N32">
        <v>25715.52</v>
      </c>
      <c r="O32">
        <v>25699.92</v>
      </c>
      <c r="P32">
        <v>25692.64</v>
      </c>
      <c r="Q32">
        <v>25650</v>
      </c>
      <c r="R32">
        <v>25846.56</v>
      </c>
      <c r="S32">
        <v>25921.44</v>
      </c>
      <c r="T32">
        <v>26100.32</v>
      </c>
      <c r="U32">
        <v>26323.92</v>
      </c>
      <c r="V32">
        <v>26889.68</v>
      </c>
      <c r="W32">
        <v>27334.8</v>
      </c>
      <c r="X32">
        <v>27961.92</v>
      </c>
      <c r="Y32">
        <v>28526.64</v>
      </c>
      <c r="Z32">
        <v>29165.2</v>
      </c>
      <c r="AA32">
        <v>29616.56</v>
      </c>
      <c r="AB32">
        <v>30108.48</v>
      </c>
      <c r="AC32">
        <v>30449.6</v>
      </c>
      <c r="AD32">
        <v>31084</v>
      </c>
      <c r="AE32">
        <v>31552</v>
      </c>
      <c r="AF32">
        <v>32066.8</v>
      </c>
      <c r="AG32">
        <v>32542.08</v>
      </c>
      <c r="AH32">
        <v>33379.28</v>
      </c>
      <c r="AI32">
        <v>33960.64</v>
      </c>
      <c r="AJ32">
        <v>34346.48</v>
      </c>
      <c r="AK32">
        <v>34844.64</v>
      </c>
      <c r="AL32">
        <v>35135.84</v>
      </c>
      <c r="AM32">
        <v>35416.64</v>
      </c>
      <c r="AN32">
        <v>35636.08</v>
      </c>
      <c r="AO32">
        <v>35748.4</v>
      </c>
      <c r="AP32">
        <v>35870.08</v>
      </c>
      <c r="AQ32">
        <v>36050</v>
      </c>
      <c r="AR32">
        <v>36029.2</v>
      </c>
      <c r="AS32">
        <v>35950.16</v>
      </c>
      <c r="AT32">
        <v>35767.12</v>
      </c>
      <c r="AU32">
        <v>35159.76</v>
      </c>
      <c r="AV32">
        <v>34799.92</v>
      </c>
      <c r="AW32">
        <v>34543.04</v>
      </c>
      <c r="AX32">
        <v>34571.12</v>
      </c>
      <c r="AY32">
        <v>34638.72</v>
      </c>
      <c r="AZ32">
        <v>34959.04</v>
      </c>
      <c r="BA32">
        <v>35003.76</v>
      </c>
      <c r="BB32">
        <v>35204.48</v>
      </c>
      <c r="BC32">
        <v>35225.28</v>
      </c>
      <c r="BD32">
        <v>35320.96</v>
      </c>
      <c r="BE32">
        <v>35335.52</v>
      </c>
      <c r="BF32">
        <v>35389.6</v>
      </c>
      <c r="BG32">
        <v>35338.64</v>
      </c>
      <c r="BH32">
        <v>35282.48</v>
      </c>
      <c r="BI32">
        <v>35206.56</v>
      </c>
      <c r="BJ32">
        <v>35364.64</v>
      </c>
      <c r="BK32">
        <v>35302.24</v>
      </c>
      <c r="BL32">
        <v>35283.52</v>
      </c>
      <c r="BM32">
        <v>35333.44</v>
      </c>
      <c r="BN32">
        <v>35160.8</v>
      </c>
      <c r="BO32">
        <v>35103.6</v>
      </c>
      <c r="BP32">
        <v>34685.52</v>
      </c>
      <c r="BQ32">
        <v>34113.52</v>
      </c>
      <c r="BR32">
        <v>33985.6</v>
      </c>
      <c r="BS32">
        <v>33790.08</v>
      </c>
      <c r="BT32">
        <v>33697.52</v>
      </c>
      <c r="BU32">
        <v>33682.96</v>
      </c>
      <c r="BV32">
        <v>33614.32</v>
      </c>
      <c r="BW32">
        <v>33651.76</v>
      </c>
      <c r="BX32">
        <v>33923.2</v>
      </c>
      <c r="BY32">
        <v>33928.4</v>
      </c>
      <c r="BZ32">
        <v>34085.44</v>
      </c>
      <c r="CA32">
        <v>34013.68</v>
      </c>
      <c r="CB32">
        <v>33814</v>
      </c>
      <c r="CC32">
        <v>33396.96</v>
      </c>
      <c r="CD32">
        <v>33199.36</v>
      </c>
      <c r="CE32">
        <v>32973.68</v>
      </c>
      <c r="CF32">
        <v>32542.08</v>
      </c>
      <c r="CG32">
        <v>32020</v>
      </c>
      <c r="CH32">
        <v>31713.2</v>
      </c>
      <c r="CI32">
        <v>31139.12</v>
      </c>
      <c r="CJ32">
        <v>30666.96</v>
      </c>
      <c r="CK32">
        <v>30233.28</v>
      </c>
      <c r="CL32">
        <v>30247.84</v>
      </c>
      <c r="CM32">
        <v>29778.8</v>
      </c>
      <c r="CN32">
        <v>29314.96</v>
      </c>
      <c r="CO32">
        <v>28842.8</v>
      </c>
      <c r="CP32">
        <v>28560.96</v>
      </c>
      <c r="CQ32">
        <v>28169.92</v>
      </c>
      <c r="CR32">
        <v>27789.28</v>
      </c>
      <c r="CS32">
        <v>27385.76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S32"/>
  <sheetViews>
    <sheetView zoomScale="115" zoomScaleNormal="115" workbookViewId="0">
      <selection activeCell="B1" sqref="B1"/>
    </sheetView>
  </sheetViews>
  <sheetFormatPr defaultColWidth="9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f>抽蓄水电!B2+地方水电!B2</f>
        <v>568.31</v>
      </c>
      <c r="C2">
        <f>抽蓄水电!C2+地方水电!C2</f>
        <v>567.78</v>
      </c>
      <c r="D2">
        <f>抽蓄水电!D2+地方水电!D2</f>
        <v>567.74</v>
      </c>
      <c r="E2">
        <f>抽蓄水电!E2+地方水电!E2</f>
        <v>567.86</v>
      </c>
      <c r="F2">
        <f>抽蓄水电!F2+地方水电!F2</f>
        <v>568.19</v>
      </c>
      <c r="G2">
        <f>抽蓄水电!G2+地方水电!G2</f>
        <v>568.18</v>
      </c>
      <c r="H2">
        <f>抽蓄水电!H2+地方水电!H2</f>
        <v>568.07</v>
      </c>
      <c r="I2">
        <f>抽蓄水电!I2+地方水电!I2</f>
        <v>568.19</v>
      </c>
      <c r="J2">
        <f>抽蓄水电!J2+地方水电!J2</f>
        <v>567.92</v>
      </c>
      <c r="K2">
        <f>抽蓄水电!K2+地方水电!K2</f>
        <v>567.95</v>
      </c>
      <c r="L2">
        <f>抽蓄水电!L2+地方水电!L2</f>
        <v>567.76</v>
      </c>
      <c r="M2">
        <f>抽蓄水电!M2+地方水电!M2</f>
        <v>567.63</v>
      </c>
      <c r="N2">
        <f>抽蓄水电!N2+地方水电!N2</f>
        <v>567.74</v>
      </c>
      <c r="O2">
        <f>抽蓄水电!O2+地方水电!O2</f>
        <v>567.66</v>
      </c>
      <c r="P2">
        <f>抽蓄水电!P2+地方水电!P2</f>
        <v>567.7</v>
      </c>
      <c r="Q2">
        <f>抽蓄水电!Q2+地方水电!Q2</f>
        <v>567.81</v>
      </c>
      <c r="R2">
        <f>抽蓄水电!R2+地方水电!R2</f>
        <v>628.81</v>
      </c>
      <c r="S2">
        <f>抽蓄水电!S2+地方水电!S2</f>
        <v>628.74</v>
      </c>
      <c r="T2">
        <f>抽蓄水电!T2+地方水电!T2</f>
        <v>628.62</v>
      </c>
      <c r="U2">
        <f>抽蓄水电!U2+地方水电!U2</f>
        <v>628.72</v>
      </c>
      <c r="V2">
        <f>抽蓄水电!V2+地方水电!V2</f>
        <v>628.69</v>
      </c>
      <c r="W2">
        <f>抽蓄水电!W2+地方水电!W2</f>
        <v>628.7</v>
      </c>
      <c r="X2">
        <f>抽蓄水电!X2+地方水电!X2</f>
        <v>628.45</v>
      </c>
      <c r="Y2">
        <f>抽蓄水电!Y2+地方水电!Y2</f>
        <v>628.57</v>
      </c>
      <c r="Z2">
        <f>抽蓄水电!Z2+地方水电!Z2</f>
        <v>628.6</v>
      </c>
      <c r="AA2">
        <f>抽蓄水电!AA2+地方水电!AA2</f>
        <v>628.58</v>
      </c>
      <c r="AB2">
        <f>抽蓄水电!AB2+地方水电!AB2</f>
        <v>628.77</v>
      </c>
      <c r="AC2">
        <f>抽蓄水电!AC2+地方水电!AC2</f>
        <v>628.72</v>
      </c>
      <c r="AD2">
        <f>抽蓄水电!AD2+地方水电!AD2</f>
        <v>628.88</v>
      </c>
      <c r="AE2">
        <f>抽蓄水电!AE2+地方水电!AE2</f>
        <v>630.39</v>
      </c>
      <c r="AF2">
        <f>抽蓄水电!AF2+地方水电!AF2</f>
        <v>630.36</v>
      </c>
      <c r="AG2">
        <f>抽蓄水电!AG2+地方水电!AG2</f>
        <v>630.22</v>
      </c>
      <c r="AH2">
        <f>抽蓄水电!AH2+地方水电!AH2</f>
        <v>630.1</v>
      </c>
      <c r="AI2">
        <f>抽蓄水电!AI2+地方水电!AI2</f>
        <v>630.3</v>
      </c>
      <c r="AJ2">
        <f>抽蓄水电!AJ2+地方水电!AJ2</f>
        <v>633.67</v>
      </c>
      <c r="AK2">
        <f>抽蓄水电!AK2+地方水电!AK2</f>
        <v>632.09</v>
      </c>
      <c r="AL2">
        <f>抽蓄水电!AL2+地方水电!AL2</f>
        <v>632.36</v>
      </c>
      <c r="AM2">
        <f>抽蓄水电!AM2+地方水电!AM2</f>
        <v>632.05</v>
      </c>
      <c r="AN2">
        <f>抽蓄水电!AN2+地方水电!AN2</f>
        <v>632.09</v>
      </c>
      <c r="AO2">
        <f>抽蓄水电!AO2+地方水电!AO2</f>
        <v>632.21</v>
      </c>
      <c r="AP2">
        <f>抽蓄水电!AP2+地方水电!AP2</f>
        <v>630.38</v>
      </c>
      <c r="AQ2">
        <f>抽蓄水电!AQ2+地方水电!AQ2</f>
        <v>630.66</v>
      </c>
      <c r="AR2">
        <f>抽蓄水电!AR2+地方水电!AR2</f>
        <v>630.64</v>
      </c>
      <c r="AS2">
        <f>抽蓄水电!AS2+地方水电!AS2</f>
        <v>630.53</v>
      </c>
      <c r="AT2">
        <f>抽蓄水电!AT2+地方水电!AT2</f>
        <v>630.54</v>
      </c>
      <c r="AU2">
        <f>抽蓄水电!AU2+地方水电!AU2</f>
        <v>630.34</v>
      </c>
      <c r="AV2">
        <f>抽蓄水电!AV2+地方水电!AV2</f>
        <v>630.39</v>
      </c>
      <c r="AW2">
        <f>抽蓄水电!AW2+地方水电!AW2</f>
        <v>630.54</v>
      </c>
      <c r="AX2">
        <f>抽蓄水电!AX2+地方水电!AX2</f>
        <v>630.96</v>
      </c>
      <c r="AY2">
        <f>抽蓄水电!AY2+地方水电!AY2</f>
        <v>590.88</v>
      </c>
      <c r="AZ2">
        <f>抽蓄水电!AZ2+地方水电!AZ2</f>
        <v>590.98</v>
      </c>
      <c r="BA2">
        <f>抽蓄水电!BA2+地方水电!BA2</f>
        <v>591.11</v>
      </c>
      <c r="BB2">
        <f>抽蓄水电!BB2+地方水电!BB2</f>
        <v>531.07</v>
      </c>
      <c r="BC2">
        <f>抽蓄水电!BC2+地方水电!BC2</f>
        <v>530.9</v>
      </c>
      <c r="BD2">
        <f>抽蓄水电!BD2+地方水电!BD2</f>
        <v>530.9</v>
      </c>
      <c r="BE2">
        <f>抽蓄水电!BE2+地方水电!BE2</f>
        <v>531.61</v>
      </c>
      <c r="BF2">
        <f>抽蓄水电!BF2+地方水电!BF2</f>
        <v>531.49</v>
      </c>
      <c r="BG2">
        <f>抽蓄水电!BG2+地方水电!BG2</f>
        <v>531.58</v>
      </c>
      <c r="BH2">
        <f>抽蓄水电!BH2+地方水电!BH2</f>
        <v>531.46</v>
      </c>
      <c r="BI2">
        <f>抽蓄水电!BI2+地方水电!BI2</f>
        <v>531.65</v>
      </c>
      <c r="BJ2">
        <f>抽蓄水电!BJ2+地方水电!BJ2</f>
        <v>531.64</v>
      </c>
      <c r="BK2">
        <f>抽蓄水电!BK2+地方水电!BK2</f>
        <v>531.73</v>
      </c>
      <c r="BL2">
        <f>抽蓄水电!BL2+地方水电!BL2</f>
        <v>531.72</v>
      </c>
      <c r="BM2">
        <f>抽蓄水电!BM2+地方水电!BM2</f>
        <v>531.86</v>
      </c>
      <c r="BN2">
        <f>抽蓄水电!BN2+地方水电!BN2</f>
        <v>531.7</v>
      </c>
      <c r="BO2">
        <f>抽蓄水电!BO2+地方水电!BO2</f>
        <v>531.59</v>
      </c>
      <c r="BP2">
        <f>抽蓄水电!BP2+地方水电!BP2</f>
        <v>531.65</v>
      </c>
      <c r="BQ2">
        <f>抽蓄水电!BQ2+地方水电!BQ2</f>
        <v>531.54</v>
      </c>
      <c r="BR2">
        <f>抽蓄水电!BR2+地方水电!BR2</f>
        <v>531.72</v>
      </c>
      <c r="BS2">
        <f>抽蓄水电!BS2+地方水电!BS2</f>
        <v>461.64</v>
      </c>
      <c r="BT2">
        <f>抽蓄水电!BT2+地方水电!BT2</f>
        <v>461.53</v>
      </c>
      <c r="BU2">
        <f>抽蓄水电!BU2+地方水电!BU2</f>
        <v>461.56</v>
      </c>
      <c r="BV2">
        <f>抽蓄水电!BV2+地方水电!BV2</f>
        <v>461.46</v>
      </c>
      <c r="BW2">
        <f>抽蓄水电!BW2+地方水电!BW2</f>
        <v>461.54</v>
      </c>
      <c r="BX2">
        <f>抽蓄水电!BX2+地方水电!BX2</f>
        <v>461.45</v>
      </c>
      <c r="BY2">
        <f>抽蓄水电!BY2+地方水电!BY2</f>
        <v>461.44</v>
      </c>
      <c r="BZ2">
        <f>抽蓄水电!BZ2+地方水电!BZ2</f>
        <v>461.42</v>
      </c>
      <c r="CA2">
        <f>抽蓄水电!CA2+地方水电!CA2</f>
        <v>459.47</v>
      </c>
      <c r="CB2">
        <f>抽蓄水电!CB2+地方水电!CB2</f>
        <v>521.41</v>
      </c>
      <c r="CC2">
        <f>抽蓄水电!CC2+地方水电!CC2</f>
        <v>521.4</v>
      </c>
      <c r="CD2">
        <f>抽蓄水电!CD2+地方水电!CD2</f>
        <v>521.39</v>
      </c>
      <c r="CE2">
        <f>抽蓄水电!CE2+地方水电!CE2</f>
        <v>521.19</v>
      </c>
      <c r="CF2">
        <f>抽蓄水电!CF2+地方水电!CF2</f>
        <v>520.96</v>
      </c>
      <c r="CG2">
        <f>抽蓄水电!CG2+地方水电!CG2</f>
        <v>521.07</v>
      </c>
      <c r="CH2">
        <f>抽蓄水电!CH2+地方水电!CH2</f>
        <v>460.9</v>
      </c>
      <c r="CI2">
        <f>抽蓄水电!CI2+地方水电!CI2</f>
        <v>460.89</v>
      </c>
      <c r="CJ2">
        <f>抽蓄水电!CJ2+地方水电!CJ2</f>
        <v>460.87</v>
      </c>
      <c r="CK2">
        <f>抽蓄水电!CK2+地方水电!CK2</f>
        <v>460.67</v>
      </c>
      <c r="CL2">
        <f>抽蓄水电!CL2+地方水电!CL2</f>
        <v>460.81</v>
      </c>
      <c r="CM2">
        <f>抽蓄水电!CM2+地方水电!CM2</f>
        <v>460.77</v>
      </c>
      <c r="CN2">
        <f>抽蓄水电!CN2+地方水电!CN2</f>
        <v>460.75</v>
      </c>
      <c r="CO2">
        <f>抽蓄水电!CO2+地方水电!CO2</f>
        <v>460.75</v>
      </c>
      <c r="CP2">
        <f>抽蓄水电!CP2+地方水电!CP2</f>
        <v>460.54</v>
      </c>
      <c r="CQ2">
        <f>抽蓄水电!CQ2+地方水电!CQ2</f>
        <v>460.66</v>
      </c>
      <c r="CR2">
        <f>抽蓄水电!CR2+地方水电!CR2</f>
        <v>460.17</v>
      </c>
      <c r="CS2">
        <f>抽蓄水电!CS2+地方水电!CS2</f>
        <v>459.95</v>
      </c>
    </row>
    <row r="3" spans="1:97">
      <c r="A3" s="9">
        <v>46236</v>
      </c>
      <c r="B3">
        <f>抽蓄水电!B3+地方水电!B3</f>
        <v>626.09</v>
      </c>
      <c r="C3">
        <f>抽蓄水电!C3+地方水电!C3</f>
        <v>625.58</v>
      </c>
      <c r="D3">
        <f>抽蓄水电!D3+地方水电!D3</f>
        <v>624.89</v>
      </c>
      <c r="E3">
        <f>抽蓄水电!E3+地方水电!E3</f>
        <v>624.89</v>
      </c>
      <c r="F3">
        <f>抽蓄水电!F3+地方水电!F3</f>
        <v>625.2</v>
      </c>
      <c r="G3">
        <f>抽蓄水电!G3+地方水电!G3</f>
        <v>625.36</v>
      </c>
      <c r="H3">
        <f>抽蓄水电!H3+地方水电!H3</f>
        <v>625.2</v>
      </c>
      <c r="I3">
        <f>抽蓄水电!I3+地方水电!I3</f>
        <v>625.29</v>
      </c>
      <c r="J3">
        <f>抽蓄水电!J3+地方水电!J3</f>
        <v>625.09</v>
      </c>
      <c r="K3">
        <f>抽蓄水电!K3+地方水电!K3</f>
        <v>625.15</v>
      </c>
      <c r="L3">
        <f>抽蓄水电!L3+地方水电!L3</f>
        <v>624.95</v>
      </c>
      <c r="M3">
        <f>抽蓄水电!M3+地方水电!M3</f>
        <v>625.01</v>
      </c>
      <c r="N3">
        <f>抽蓄水电!N3+地方水电!N3</f>
        <v>625.03</v>
      </c>
      <c r="O3">
        <f>抽蓄水电!O3+地方水电!O3</f>
        <v>624.94</v>
      </c>
      <c r="P3">
        <f>抽蓄水电!P3+地方水电!P3</f>
        <v>624.89</v>
      </c>
      <c r="Q3">
        <f>抽蓄水电!Q3+地方水电!Q3</f>
        <v>625.01</v>
      </c>
      <c r="R3">
        <f>抽蓄水电!R3+地方水电!R3</f>
        <v>625.09</v>
      </c>
      <c r="S3">
        <f>抽蓄水电!S3+地方水电!S3</f>
        <v>625.99</v>
      </c>
      <c r="T3">
        <f>抽蓄水电!T3+地方水电!T3</f>
        <v>626.09</v>
      </c>
      <c r="U3">
        <f>抽蓄水电!U3+地方水电!U3</f>
        <v>626.19</v>
      </c>
      <c r="V3">
        <f>抽蓄水电!V3+地方水电!V3</f>
        <v>625.99</v>
      </c>
      <c r="W3">
        <f>抽蓄水电!W3+地方水电!W3</f>
        <v>626</v>
      </c>
      <c r="X3">
        <f>抽蓄水电!X3+地方水电!X3</f>
        <v>625.94</v>
      </c>
      <c r="Y3">
        <f>抽蓄水电!Y3+地方水电!Y3</f>
        <v>625.94</v>
      </c>
      <c r="Z3">
        <f>抽蓄水电!Z3+地方水电!Z3</f>
        <v>625.82</v>
      </c>
      <c r="AA3">
        <f>抽蓄水电!AA3+地方水电!AA3</f>
        <v>625.94</v>
      </c>
      <c r="AB3">
        <f>抽蓄水电!AB3+地方水电!AB3</f>
        <v>625.58</v>
      </c>
      <c r="AC3">
        <f>抽蓄水电!AC3+地方水电!AC3</f>
        <v>625.8</v>
      </c>
      <c r="AD3">
        <f>抽蓄水电!AD3+地方水电!AD3</f>
        <v>625.81</v>
      </c>
      <c r="AE3">
        <f>抽蓄水电!AE3+地方水电!AE3</f>
        <v>627.36</v>
      </c>
      <c r="AF3">
        <f>抽蓄水电!AF3+地方水电!AF3</f>
        <v>627.31</v>
      </c>
      <c r="AG3">
        <f>抽蓄水电!AG3+地方水电!AG3</f>
        <v>627.4</v>
      </c>
      <c r="AH3">
        <f>抽蓄水电!AH3+地方水电!AH3</f>
        <v>567.06</v>
      </c>
      <c r="AI3">
        <f>抽蓄水电!AI3+地方水电!AI3</f>
        <v>567.19</v>
      </c>
      <c r="AJ3">
        <f>抽蓄水电!AJ3+地方水电!AJ3</f>
        <v>567.57</v>
      </c>
      <c r="AK3">
        <f>抽蓄水电!AK3+地方水电!AK3</f>
        <v>566.11</v>
      </c>
      <c r="AL3">
        <f>抽蓄水电!AL3+地方水电!AL3</f>
        <v>566.38</v>
      </c>
      <c r="AM3">
        <f>抽蓄水电!AM3+地方水电!AM3</f>
        <v>566.14</v>
      </c>
      <c r="AN3">
        <f>抽蓄水电!AN3+地方水电!AN3</f>
        <v>566.23</v>
      </c>
      <c r="AO3">
        <f>抽蓄水电!AO3+地方水电!AO3</f>
        <v>566.64</v>
      </c>
      <c r="AP3">
        <f>抽蓄水电!AP3+地方水电!AP3</f>
        <v>568.9</v>
      </c>
      <c r="AQ3">
        <f>抽蓄水电!AQ3+地方水电!AQ3</f>
        <v>568.95</v>
      </c>
      <c r="AR3">
        <f>抽蓄水电!AR3+地方水电!AR3</f>
        <v>569.03</v>
      </c>
      <c r="AS3">
        <f>抽蓄水电!AS3+地方水电!AS3</f>
        <v>568.83</v>
      </c>
      <c r="AT3">
        <f>抽蓄水电!AT3+地方水电!AT3</f>
        <v>568.77</v>
      </c>
      <c r="AU3">
        <f>抽蓄水电!AU3+地方水电!AU3</f>
        <v>568.61</v>
      </c>
      <c r="AV3">
        <f>抽蓄水电!AV3+地方水电!AV3</f>
        <v>568.7</v>
      </c>
      <c r="AW3">
        <f>抽蓄水电!AW3+地方水电!AW3</f>
        <v>568.65</v>
      </c>
      <c r="AX3">
        <f>抽蓄水电!AX3+地方水电!AX3</f>
        <v>629.84</v>
      </c>
      <c r="AY3">
        <f>抽蓄水电!AY3+地方水电!AY3</f>
        <v>629.84</v>
      </c>
      <c r="AZ3">
        <f>抽蓄水电!AZ3+地方水电!AZ3</f>
        <v>629.98</v>
      </c>
      <c r="BA3">
        <f>抽蓄水电!BA3+地方水电!BA3</f>
        <v>630.19</v>
      </c>
      <c r="BB3">
        <f>抽蓄水电!BB3+地方水电!BB3</f>
        <v>630.1</v>
      </c>
      <c r="BC3">
        <f>抽蓄水电!BC3+地方水电!BC3</f>
        <v>630.07</v>
      </c>
      <c r="BD3">
        <f>抽蓄水电!BD3+地方水电!BD3</f>
        <v>630.02</v>
      </c>
      <c r="BE3">
        <f>抽蓄水电!BE3+地方水电!BE3</f>
        <v>630.71</v>
      </c>
      <c r="BF3">
        <f>抽蓄水电!BF3+地方水电!BF3</f>
        <v>630.86</v>
      </c>
      <c r="BG3">
        <f>抽蓄水电!BG3+地方水电!BG3</f>
        <v>630.65</v>
      </c>
      <c r="BH3">
        <f>抽蓄水电!BH3+地方水电!BH3</f>
        <v>630.52</v>
      </c>
      <c r="BI3">
        <f>抽蓄水电!BI3+地方水电!BI3</f>
        <v>630.72</v>
      </c>
      <c r="BJ3">
        <f>抽蓄水电!BJ3+地方水电!BJ3</f>
        <v>630.72</v>
      </c>
      <c r="BK3">
        <f>抽蓄水电!BK3+地方水电!BK3</f>
        <v>630.79</v>
      </c>
      <c r="BL3">
        <f>抽蓄水电!BL3+地方水电!BL3</f>
        <v>630.67</v>
      </c>
      <c r="BM3">
        <f>抽蓄水电!BM3+地方水电!BM3</f>
        <v>630.92</v>
      </c>
      <c r="BN3">
        <f>抽蓄水电!BN3+地方水电!BN3</f>
        <v>563.86</v>
      </c>
      <c r="BO3">
        <f>抽蓄水电!BO3+地方水电!BO3</f>
        <v>523.72</v>
      </c>
      <c r="BP3">
        <f>抽蓄水电!BP3+地方水电!BP3</f>
        <v>523.68</v>
      </c>
      <c r="BQ3">
        <f>抽蓄水电!BQ3+地方水电!BQ3</f>
        <v>523.51</v>
      </c>
      <c r="BR3">
        <f>抽蓄水电!BR3+地方水电!BR3</f>
        <v>523.77</v>
      </c>
      <c r="BS3">
        <f>抽蓄水电!BS3+地方水电!BS3</f>
        <v>523.65</v>
      </c>
      <c r="BT3">
        <f>抽蓄水电!BT3+地方水电!BT3</f>
        <v>523.63</v>
      </c>
      <c r="BU3">
        <f>抽蓄水电!BU3+地方水电!BU3</f>
        <v>522.87</v>
      </c>
      <c r="BV3">
        <f>抽蓄水电!BV3+地方水电!BV3</f>
        <v>462.71</v>
      </c>
      <c r="BW3">
        <f>抽蓄水电!BW3+地方水电!BW3</f>
        <v>462.79</v>
      </c>
      <c r="BX3">
        <f>抽蓄水电!BX3+地方水电!BX3</f>
        <v>462.79</v>
      </c>
      <c r="BY3">
        <f>抽蓄水电!BY3+地方水电!BY3</f>
        <v>462.79</v>
      </c>
      <c r="BZ3">
        <f>抽蓄水电!BZ3+地方水电!BZ3</f>
        <v>462.71</v>
      </c>
      <c r="CA3">
        <f>抽蓄水电!CA3+地方水电!CA3</f>
        <v>462.66</v>
      </c>
      <c r="CB3">
        <f>抽蓄水电!CB3+地方水电!CB3</f>
        <v>462.68</v>
      </c>
      <c r="CC3">
        <f>抽蓄水电!CC3+地方水电!CC3</f>
        <v>462.6</v>
      </c>
      <c r="CD3">
        <f>抽蓄水电!CD3+地方水电!CD3</f>
        <v>462.73</v>
      </c>
      <c r="CE3">
        <f>抽蓄水电!CE3+地方水电!CE3</f>
        <v>462.64</v>
      </c>
      <c r="CF3">
        <f>抽蓄水电!CF3+地方水电!CF3</f>
        <v>462.56</v>
      </c>
      <c r="CG3">
        <f>抽蓄水电!CG3+地方水电!CG3</f>
        <v>462.62</v>
      </c>
      <c r="CH3">
        <f>抽蓄水电!CH3+地方水电!CH3</f>
        <v>462.37</v>
      </c>
      <c r="CI3">
        <f>抽蓄水电!CI3+地方水电!CI3</f>
        <v>462.56</v>
      </c>
      <c r="CJ3">
        <f>抽蓄水电!CJ3+地方水电!CJ3</f>
        <v>462.43</v>
      </c>
      <c r="CK3">
        <f>抽蓄水电!CK3+地方水电!CK3</f>
        <v>462.27</v>
      </c>
      <c r="CL3">
        <f>抽蓄水电!CL3+地方水电!CL3</f>
        <v>462.35</v>
      </c>
      <c r="CM3">
        <f>抽蓄水电!CM3+地方水电!CM3</f>
        <v>462.17</v>
      </c>
      <c r="CN3">
        <f>抽蓄水电!CN3+地方水电!CN3</f>
        <v>461.19</v>
      </c>
      <c r="CO3">
        <f>抽蓄水电!CO3+地方水电!CO3</f>
        <v>461.15</v>
      </c>
      <c r="CP3">
        <f>抽蓄水电!CP3+地方水电!CP3</f>
        <v>461.16</v>
      </c>
      <c r="CQ3">
        <f>抽蓄水电!CQ3+地方水电!CQ3</f>
        <v>461.05</v>
      </c>
      <c r="CR3">
        <f>抽蓄水电!CR3+地方水电!CR3</f>
        <v>460.53</v>
      </c>
      <c r="CS3">
        <f>抽蓄水电!CS3+地方水电!CS3</f>
        <v>460.17</v>
      </c>
    </row>
    <row r="4" spans="1:97">
      <c r="A4" s="9">
        <v>46237</v>
      </c>
      <c r="B4">
        <f>抽蓄水电!B4+地方水电!B4</f>
        <v>587.41</v>
      </c>
      <c r="C4">
        <f>抽蓄水电!C4+地方水电!C4</f>
        <v>586.29</v>
      </c>
      <c r="D4">
        <f>抽蓄水电!D4+地方水电!D4</f>
        <v>583.97</v>
      </c>
      <c r="E4">
        <f>抽蓄水电!E4+地方水电!E4</f>
        <v>583.9</v>
      </c>
      <c r="F4">
        <f>抽蓄水电!F4+地方水电!F4</f>
        <v>584.43</v>
      </c>
      <c r="G4">
        <f>抽蓄水电!G4+地方水电!G4</f>
        <v>625.41</v>
      </c>
      <c r="H4">
        <f>抽蓄水电!H4+地方水电!H4</f>
        <v>625.32</v>
      </c>
      <c r="I4">
        <f>抽蓄水电!I4+地方水电!I4</f>
        <v>625.39</v>
      </c>
      <c r="J4">
        <f>抽蓄水电!J4+地方水电!J4</f>
        <v>625.28</v>
      </c>
      <c r="K4">
        <f>抽蓄水电!K4+地方水电!K4</f>
        <v>625.4</v>
      </c>
      <c r="L4">
        <f>抽蓄水电!L4+地方水电!L4</f>
        <v>625.12</v>
      </c>
      <c r="M4">
        <f>抽蓄水电!M4+地方水电!M4</f>
        <v>625.14</v>
      </c>
      <c r="N4">
        <f>抽蓄水电!N4+地方水电!N4</f>
        <v>625.2</v>
      </c>
      <c r="O4">
        <f>抽蓄水电!O4+地方水电!O4</f>
        <v>625.1</v>
      </c>
      <c r="P4">
        <f>抽蓄水电!P4+地方水电!P4</f>
        <v>625.03</v>
      </c>
      <c r="Q4">
        <f>抽蓄水电!Q4+地方水电!Q4</f>
        <v>625.16</v>
      </c>
      <c r="R4">
        <f>抽蓄水电!R4+地方水电!R4</f>
        <v>625.23</v>
      </c>
      <c r="S4">
        <f>抽蓄水电!S4+地方水电!S4</f>
        <v>626.19</v>
      </c>
      <c r="T4">
        <f>抽蓄水电!T4+地方水电!T4</f>
        <v>626.21</v>
      </c>
      <c r="U4">
        <f>抽蓄水电!U4+地方水电!U4</f>
        <v>626.45</v>
      </c>
      <c r="V4">
        <f>抽蓄水电!V4+地方水电!V4</f>
        <v>626.38</v>
      </c>
      <c r="W4">
        <f>抽蓄水电!W4+地方水电!W4</f>
        <v>626.41</v>
      </c>
      <c r="X4">
        <f>抽蓄水电!X4+地方水电!X4</f>
        <v>626.46</v>
      </c>
      <c r="Y4">
        <f>抽蓄水电!Y4+地方水电!Y4</f>
        <v>626.32</v>
      </c>
      <c r="Z4">
        <f>抽蓄水电!Z4+地方水电!Z4</f>
        <v>625.96</v>
      </c>
      <c r="AA4">
        <f>抽蓄水电!AA4+地方水电!AA4</f>
        <v>626.02</v>
      </c>
      <c r="AB4">
        <f>抽蓄水电!AB4+地方水电!AB4</f>
        <v>625.54</v>
      </c>
      <c r="AC4">
        <f>抽蓄水电!AC4+地方水电!AC4</f>
        <v>625.87</v>
      </c>
      <c r="AD4">
        <f>抽蓄水电!AD4+地方水电!AD4</f>
        <v>625.82</v>
      </c>
      <c r="AE4">
        <f>抽蓄水电!AE4+地方水电!AE4</f>
        <v>627.59</v>
      </c>
      <c r="AF4">
        <f>抽蓄水电!AF4+地方水电!AF4</f>
        <v>627.45</v>
      </c>
      <c r="AG4">
        <f>抽蓄水电!AG4+地方水电!AG4</f>
        <v>627.76</v>
      </c>
      <c r="AH4">
        <f>抽蓄水电!AH4+地方水电!AH4</f>
        <v>629.27</v>
      </c>
      <c r="AI4">
        <f>抽蓄水电!AI4+地方水电!AI4</f>
        <v>629.49</v>
      </c>
      <c r="AJ4">
        <f>抽蓄水电!AJ4+地方水电!AJ4</f>
        <v>629.74</v>
      </c>
      <c r="AK4">
        <f>抽蓄水电!AK4+地方水电!AK4</f>
        <v>629.67</v>
      </c>
      <c r="AL4">
        <f>抽蓄水电!AL4+地方水电!AL4</f>
        <v>629.79</v>
      </c>
      <c r="AM4">
        <f>抽蓄水电!AM4+地方水电!AM4</f>
        <v>629.56</v>
      </c>
      <c r="AN4">
        <f>抽蓄水电!AN4+地方水电!AN4</f>
        <v>629.73</v>
      </c>
      <c r="AO4">
        <f>抽蓄水电!AO4+地方水电!AO4</f>
        <v>630.13</v>
      </c>
      <c r="AP4">
        <f>抽蓄水电!AP4+地方水电!AP4</f>
        <v>569.23</v>
      </c>
      <c r="AQ4">
        <f>抽蓄水电!AQ4+地方水电!AQ4</f>
        <v>569.35</v>
      </c>
      <c r="AR4">
        <f>抽蓄水电!AR4+地方水电!AR4</f>
        <v>569.23</v>
      </c>
      <c r="AS4">
        <f>抽蓄水电!AS4+地方水电!AS4</f>
        <v>569.14</v>
      </c>
      <c r="AT4">
        <f>抽蓄水电!AT4+地方水电!AT4</f>
        <v>569.07</v>
      </c>
      <c r="AU4">
        <f>抽蓄水电!AU4+地方水电!AU4</f>
        <v>569.08</v>
      </c>
      <c r="AV4">
        <f>抽蓄水电!AV4+地方水电!AV4</f>
        <v>568.99</v>
      </c>
      <c r="AW4">
        <f>抽蓄水电!AW4+地方水电!AW4</f>
        <v>569.05</v>
      </c>
      <c r="AX4">
        <f>抽蓄水电!AX4+地方水电!AX4</f>
        <v>569.13</v>
      </c>
      <c r="AY4">
        <f>抽蓄水电!AY4+地方水电!AY4</f>
        <v>569.14</v>
      </c>
      <c r="AZ4">
        <f>抽蓄水电!AZ4+地方水电!AZ4</f>
        <v>569.39</v>
      </c>
      <c r="BA4">
        <f>抽蓄水电!BA4+地方水电!BA4</f>
        <v>569.46</v>
      </c>
      <c r="BB4">
        <f>抽蓄水电!BB4+地方水电!BB4</f>
        <v>569.41</v>
      </c>
      <c r="BC4">
        <f>抽蓄水电!BC4+地方水电!BC4</f>
        <v>569.46</v>
      </c>
      <c r="BD4">
        <f>抽蓄水电!BD4+地方水电!BD4</f>
        <v>569.44</v>
      </c>
      <c r="BE4">
        <f>抽蓄水电!BE4+地方水电!BE4</f>
        <v>570.22</v>
      </c>
      <c r="BF4">
        <f>抽蓄水电!BF4+地方水电!BF4</f>
        <v>503.43</v>
      </c>
      <c r="BG4">
        <f>抽蓄水电!BG4+地方水电!BG4</f>
        <v>503.04</v>
      </c>
      <c r="BH4">
        <f>抽蓄水电!BH4+地方水电!BH4</f>
        <v>502.99</v>
      </c>
      <c r="BI4">
        <f>抽蓄水电!BI4+地方水电!BI4</f>
        <v>565.12</v>
      </c>
      <c r="BJ4">
        <f>抽蓄水电!BJ4+地方水电!BJ4</f>
        <v>565.2</v>
      </c>
      <c r="BK4">
        <f>抽蓄水电!BK4+地方水电!BK4</f>
        <v>564.94</v>
      </c>
      <c r="BL4">
        <f>抽蓄水电!BL4+地方水电!BL4</f>
        <v>564.73</v>
      </c>
      <c r="BM4">
        <f>抽蓄水电!BM4+地方水电!BM4</f>
        <v>564.82</v>
      </c>
      <c r="BN4">
        <f>抽蓄水电!BN4+地方水电!BN4</f>
        <v>564.73</v>
      </c>
      <c r="BO4">
        <f>抽蓄水电!BO4+地方水电!BO4</f>
        <v>564.38</v>
      </c>
      <c r="BP4">
        <f>抽蓄水电!BP4+地方水电!BP4</f>
        <v>564.38</v>
      </c>
      <c r="BQ4">
        <f>抽蓄水电!BQ4+地方水电!BQ4</f>
        <v>562.52</v>
      </c>
      <c r="BR4">
        <f>抽蓄水电!BR4+地方水电!BR4</f>
        <v>517.61</v>
      </c>
      <c r="BS4">
        <f>抽蓄水电!BS4+地方水电!BS4</f>
        <v>517.59</v>
      </c>
      <c r="BT4">
        <f>抽蓄水电!BT4+地方水电!BT4</f>
        <v>517.57</v>
      </c>
      <c r="BU4">
        <f>抽蓄水电!BU4+地方水电!BU4</f>
        <v>516.92</v>
      </c>
      <c r="BV4">
        <f>抽蓄水电!BV4+地方水电!BV4</f>
        <v>455.59</v>
      </c>
      <c r="BW4">
        <f>抽蓄水电!BW4+地方水电!BW4</f>
        <v>455.65</v>
      </c>
      <c r="BX4">
        <f>抽蓄水电!BX4+地方水电!BX4</f>
        <v>455.75</v>
      </c>
      <c r="BY4">
        <f>抽蓄水电!BY4+地方水电!BY4</f>
        <v>455.67</v>
      </c>
      <c r="BZ4">
        <f>抽蓄水电!BZ4+地方水电!BZ4</f>
        <v>455.54</v>
      </c>
      <c r="CA4">
        <f>抽蓄水电!CA4+地方水电!CA4</f>
        <v>455.57</v>
      </c>
      <c r="CB4">
        <f>抽蓄水电!CB4+地方水电!CB4</f>
        <v>455.63</v>
      </c>
      <c r="CC4">
        <f>抽蓄水电!CC4+地方水电!CC4</f>
        <v>455.54</v>
      </c>
      <c r="CD4">
        <f>抽蓄水电!CD4+地方水电!CD4</f>
        <v>455.77</v>
      </c>
      <c r="CE4">
        <f>抽蓄水电!CE4+地方水电!CE4</f>
        <v>455.73</v>
      </c>
      <c r="CF4">
        <f>抽蓄水电!CF4+地方水电!CF4</f>
        <v>455.71</v>
      </c>
      <c r="CG4">
        <f>抽蓄水电!CG4+地方水电!CG4</f>
        <v>455.76</v>
      </c>
      <c r="CH4">
        <f>抽蓄水电!CH4+地方水电!CH4</f>
        <v>455.55</v>
      </c>
      <c r="CI4">
        <f>抽蓄水电!CI4+地方水电!CI4</f>
        <v>455.62</v>
      </c>
      <c r="CJ4">
        <f>抽蓄水电!CJ4+地方水电!CJ4</f>
        <v>455.61</v>
      </c>
      <c r="CK4">
        <f>抽蓄水电!CK4+地方水电!CK4</f>
        <v>455.57</v>
      </c>
      <c r="CL4">
        <f>抽蓄水电!CL4+地方水电!CL4</f>
        <v>455.63</v>
      </c>
      <c r="CM4">
        <f>抽蓄水电!CM4+地方水电!CM4</f>
        <v>455.41</v>
      </c>
      <c r="CN4">
        <f>抽蓄水电!CN4+地方水电!CN4</f>
        <v>454.52</v>
      </c>
      <c r="CO4">
        <f>抽蓄水电!CO4+地方水电!CO4</f>
        <v>454.5</v>
      </c>
      <c r="CP4">
        <f>抽蓄水电!CP4+地方水电!CP4</f>
        <v>454.49</v>
      </c>
      <c r="CQ4">
        <f>抽蓄水电!CQ4+地方水电!CQ4</f>
        <v>454.54</v>
      </c>
      <c r="CR4">
        <f>抽蓄水电!CR4+地方水电!CR4</f>
        <v>454.46</v>
      </c>
      <c r="CS4">
        <f>抽蓄水电!CS4+地方水电!CS4</f>
        <v>454.27</v>
      </c>
    </row>
    <row r="5" spans="1:97">
      <c r="A5" s="9">
        <v>46238</v>
      </c>
      <c r="B5">
        <f>抽蓄水电!B5+地方水电!B5</f>
        <v>559.74</v>
      </c>
      <c r="C5">
        <f>抽蓄水电!C5+地方水电!C5</f>
        <v>560.05</v>
      </c>
      <c r="D5">
        <f>抽蓄水电!D5+地方水电!D5</f>
        <v>557.71</v>
      </c>
      <c r="E5">
        <f>抽蓄水电!E5+地方水电!E5</f>
        <v>557.85</v>
      </c>
      <c r="F5">
        <f>抽蓄水电!F5+地方水电!F5</f>
        <v>558.03</v>
      </c>
      <c r="G5">
        <f>抽蓄水电!G5+地方水电!G5</f>
        <v>557.97</v>
      </c>
      <c r="H5">
        <f>抽蓄水电!H5+地方水电!H5</f>
        <v>557.98</v>
      </c>
      <c r="I5">
        <f>抽蓄水电!I5+地方水电!I5</f>
        <v>558.01</v>
      </c>
      <c r="J5">
        <f>抽蓄水电!J5+地方水电!J5</f>
        <v>558.04</v>
      </c>
      <c r="K5">
        <f>抽蓄水电!K5+地方水电!K5</f>
        <v>558.07</v>
      </c>
      <c r="L5">
        <f>抽蓄水电!L5+地方水电!L5</f>
        <v>557.98</v>
      </c>
      <c r="M5">
        <f>抽蓄水电!M5+地方水电!M5</f>
        <v>558.09</v>
      </c>
      <c r="N5">
        <f>抽蓄水电!N5+地方水电!N5</f>
        <v>558.14</v>
      </c>
      <c r="O5">
        <f>抽蓄水电!O5+地方水电!O5</f>
        <v>558.1</v>
      </c>
      <c r="P5">
        <f>抽蓄水电!P5+地方水电!P5</f>
        <v>557.98</v>
      </c>
      <c r="Q5">
        <f>抽蓄水电!Q5+地方水电!Q5</f>
        <v>558.13</v>
      </c>
      <c r="R5">
        <f>抽蓄水电!R5+地方水电!R5</f>
        <v>558.16</v>
      </c>
      <c r="S5">
        <f>抽蓄水电!S5+地方水电!S5</f>
        <v>559.14</v>
      </c>
      <c r="T5">
        <f>抽蓄水电!T5+地方水电!T5</f>
        <v>559.24</v>
      </c>
      <c r="U5">
        <f>抽蓄水电!U5+地方水电!U5</f>
        <v>559.17</v>
      </c>
      <c r="V5">
        <f>抽蓄水电!V5+地方水电!V5</f>
        <v>558.93</v>
      </c>
      <c r="W5">
        <f>抽蓄水电!W5+地方水电!W5</f>
        <v>555.25</v>
      </c>
      <c r="X5">
        <f>抽蓄水电!X5+地方水电!X5</f>
        <v>555.41</v>
      </c>
      <c r="Y5">
        <f>抽蓄水电!Y5+地方水电!Y5</f>
        <v>555.32</v>
      </c>
      <c r="Z5">
        <f>抽蓄水电!Z5+地方水电!Z5</f>
        <v>555.01</v>
      </c>
      <c r="AA5">
        <f>抽蓄水电!AA5+地方水电!AA5</f>
        <v>553.28</v>
      </c>
      <c r="AB5">
        <f>抽蓄水电!AB5+地方水电!AB5</f>
        <v>594.78</v>
      </c>
      <c r="AC5">
        <f>抽蓄水电!AC5+地方水电!AC5</f>
        <v>594.48</v>
      </c>
      <c r="AD5">
        <f>抽蓄水电!AD5+地方水电!AD5</f>
        <v>615.32</v>
      </c>
      <c r="AE5">
        <f>抽蓄水电!AE5+地方水电!AE5</f>
        <v>615.47</v>
      </c>
      <c r="AF5">
        <f>抽蓄水电!AF5+地方水电!AF5</f>
        <v>615.58</v>
      </c>
      <c r="AG5">
        <f>抽蓄水电!AG5+地方水电!AG5</f>
        <v>616.09</v>
      </c>
      <c r="AH5">
        <f>抽蓄水电!AH5+地方水电!AH5</f>
        <v>616.69</v>
      </c>
      <c r="AI5">
        <f>抽蓄水电!AI5+地方水电!AI5</f>
        <v>615.7</v>
      </c>
      <c r="AJ5">
        <f>抽蓄水电!AJ5+地方水电!AJ5</f>
        <v>616.07</v>
      </c>
      <c r="AK5">
        <f>抽蓄水电!AK5+地方水电!AK5</f>
        <v>617.41</v>
      </c>
      <c r="AL5">
        <f>抽蓄水电!AL5+地方水电!AL5</f>
        <v>617.48</v>
      </c>
      <c r="AM5">
        <f>抽蓄水电!AM5+地方水电!AM5</f>
        <v>617.23</v>
      </c>
      <c r="AN5">
        <f>抽蓄水电!AN5+地方水电!AN5</f>
        <v>617.66</v>
      </c>
      <c r="AO5">
        <f>抽蓄水电!AO5+地方水电!AO5</f>
        <v>617.72</v>
      </c>
      <c r="AP5">
        <f>抽蓄水电!AP5+地方水电!AP5</f>
        <v>617.64</v>
      </c>
      <c r="AQ5">
        <f>抽蓄水电!AQ5+地方水电!AQ5</f>
        <v>617.54</v>
      </c>
      <c r="AR5">
        <f>抽蓄水电!AR5+地方水电!AR5</f>
        <v>617.35</v>
      </c>
      <c r="AS5">
        <f>抽蓄水电!AS5+地方水电!AS5</f>
        <v>618.03</v>
      </c>
      <c r="AT5">
        <f>抽蓄水电!AT5+地方水电!AT5</f>
        <v>621.45</v>
      </c>
      <c r="AU5">
        <f>抽蓄水电!AU5+地方水电!AU5</f>
        <v>621.77</v>
      </c>
      <c r="AV5">
        <f>抽蓄水电!AV5+地方水电!AV5</f>
        <v>559.74</v>
      </c>
      <c r="AW5">
        <f>抽蓄水电!AW5+地方水电!AW5</f>
        <v>559.84</v>
      </c>
      <c r="AX5">
        <f>抽蓄水电!AX5+地方水电!AX5</f>
        <v>560</v>
      </c>
      <c r="AY5">
        <f>抽蓄水电!AY5+地方水电!AY5</f>
        <v>560.3</v>
      </c>
      <c r="AZ5">
        <f>抽蓄水电!AZ5+地方水电!AZ5</f>
        <v>561.03</v>
      </c>
      <c r="BA5">
        <f>抽蓄水电!BA5+地方水电!BA5</f>
        <v>561.1</v>
      </c>
      <c r="BB5">
        <f>抽蓄水电!BB5+地方水电!BB5</f>
        <v>560.96</v>
      </c>
      <c r="BC5">
        <f>抽蓄水电!BC5+地方水电!BC5</f>
        <v>561.99</v>
      </c>
      <c r="BD5">
        <f>抽蓄水电!BD5+地方水电!BD5</f>
        <v>561.79</v>
      </c>
      <c r="BE5">
        <f>抽蓄水电!BE5+地方水电!BE5</f>
        <v>561.97</v>
      </c>
      <c r="BF5">
        <f>抽蓄水电!BF5+地方水电!BF5</f>
        <v>562.09</v>
      </c>
      <c r="BG5">
        <f>抽蓄水电!BG5+地方水电!BG5</f>
        <v>561.71</v>
      </c>
      <c r="BH5">
        <f>抽蓄水电!BH5+地方水电!BH5</f>
        <v>561.56</v>
      </c>
      <c r="BI5">
        <f>抽蓄水电!BI5+地方水电!BI5</f>
        <v>561.47</v>
      </c>
      <c r="BJ5">
        <f>抽蓄水电!BJ5+地方水电!BJ5</f>
        <v>522.62</v>
      </c>
      <c r="BK5">
        <f>抽蓄水电!BK5+地方水电!BK5</f>
        <v>522.66</v>
      </c>
      <c r="BL5">
        <f>抽蓄水电!BL5+地方水电!BL5</f>
        <v>522.46</v>
      </c>
      <c r="BM5">
        <f>抽蓄水电!BM5+地方水电!BM5</f>
        <v>522.43</v>
      </c>
      <c r="BN5">
        <f>抽蓄水电!BN5+地方水电!BN5</f>
        <v>522.38</v>
      </c>
      <c r="BO5">
        <f>抽蓄水电!BO5+地方水电!BO5</f>
        <v>522.06</v>
      </c>
      <c r="BP5">
        <f>抽蓄水电!BP5+地方水电!BP5</f>
        <v>522.07</v>
      </c>
      <c r="BQ5">
        <f>抽蓄水电!BQ5+地方水电!BQ5</f>
        <v>520.11</v>
      </c>
      <c r="BR5">
        <f>抽蓄水电!BR5+地方水电!BR5</f>
        <v>447.12</v>
      </c>
      <c r="BS5">
        <f>抽蓄水电!BS5+地方水电!BS5</f>
        <v>445.92</v>
      </c>
      <c r="BT5">
        <f>抽蓄水电!BT5+地方水电!BT5</f>
        <v>446.9</v>
      </c>
      <c r="BU5">
        <f>抽蓄水电!BU5+地方水电!BU5</f>
        <v>446.15</v>
      </c>
      <c r="BV5">
        <f>抽蓄水电!BV5+地方水电!BV5</f>
        <v>446.53</v>
      </c>
      <c r="BW5">
        <f>抽蓄水电!BW5+地方水电!BW5</f>
        <v>446.56</v>
      </c>
      <c r="BX5">
        <f>抽蓄水电!BX5+地方水电!BX5</f>
        <v>447.07</v>
      </c>
      <c r="BY5">
        <f>抽蓄水电!BY5+地方水电!BY5</f>
        <v>448.62</v>
      </c>
      <c r="BZ5">
        <f>抽蓄水电!BZ5+地方水电!BZ5</f>
        <v>448.17</v>
      </c>
      <c r="CA5">
        <f>抽蓄水电!CA5+地方水电!CA5</f>
        <v>448.19</v>
      </c>
      <c r="CB5">
        <f>抽蓄水电!CB5+地方水电!CB5</f>
        <v>448.37</v>
      </c>
      <c r="CC5">
        <f>抽蓄水电!CC5+地方水电!CC5</f>
        <v>448.33</v>
      </c>
      <c r="CD5">
        <f>抽蓄水电!CD5+地方水电!CD5</f>
        <v>448.47</v>
      </c>
      <c r="CE5">
        <f>抽蓄水电!CE5+地方水电!CE5</f>
        <v>448.5</v>
      </c>
      <c r="CF5">
        <f>抽蓄水电!CF5+地方水电!CF5</f>
        <v>448.62</v>
      </c>
      <c r="CG5">
        <f>抽蓄水电!CG5+地方水电!CG5</f>
        <v>448.5</v>
      </c>
      <c r="CH5">
        <f>抽蓄水电!CH5+地方水电!CH5</f>
        <v>448.4</v>
      </c>
      <c r="CI5">
        <f>抽蓄水电!CI5+地方水电!CI5</f>
        <v>448.53</v>
      </c>
      <c r="CJ5">
        <f>抽蓄水电!CJ5+地方水电!CJ5</f>
        <v>448.58</v>
      </c>
      <c r="CK5">
        <f>抽蓄水电!CK5+地方水电!CK5</f>
        <v>448.79</v>
      </c>
      <c r="CL5">
        <f>抽蓄水电!CL5+地方水电!CL5</f>
        <v>448.04</v>
      </c>
      <c r="CM5">
        <f>抽蓄水电!CM5+地方水电!CM5</f>
        <v>447.87</v>
      </c>
      <c r="CN5">
        <f>抽蓄水电!CN5+地方水电!CN5</f>
        <v>447</v>
      </c>
      <c r="CO5">
        <f>抽蓄水电!CO5+地方水电!CO5</f>
        <v>447.02</v>
      </c>
      <c r="CP5">
        <f>抽蓄水电!CP5+地方水电!CP5</f>
        <v>447.16</v>
      </c>
      <c r="CQ5">
        <f>抽蓄水电!CQ5+地方水电!CQ5</f>
        <v>447.11</v>
      </c>
      <c r="CR5">
        <f>抽蓄水电!CR5+地方水电!CR5</f>
        <v>446.55</v>
      </c>
      <c r="CS5">
        <f>抽蓄水电!CS5+地方水电!CS5</f>
        <v>446.31</v>
      </c>
    </row>
    <row r="6" spans="1:97">
      <c r="A6" s="9">
        <v>46239</v>
      </c>
      <c r="B6">
        <f>抽蓄水电!B6+地方水电!B6</f>
        <v>606.59</v>
      </c>
      <c r="C6">
        <f>抽蓄水电!C6+地方水电!C6</f>
        <v>606.73</v>
      </c>
      <c r="D6">
        <f>抽蓄水电!D6+地方水电!D6</f>
        <v>605.23</v>
      </c>
      <c r="E6">
        <f>抽蓄水电!E6+地方水电!E6</f>
        <v>605.31</v>
      </c>
      <c r="F6">
        <f>抽蓄水电!F6+地方水电!F6</f>
        <v>605.58</v>
      </c>
      <c r="G6">
        <f>抽蓄水电!G6+地方水电!G6</f>
        <v>605.41</v>
      </c>
      <c r="H6">
        <f>抽蓄水电!H6+地方水电!H6</f>
        <v>605.43</v>
      </c>
      <c r="I6">
        <f>抽蓄水电!I6+地方水电!I6</f>
        <v>605.46</v>
      </c>
      <c r="J6">
        <f>抽蓄水电!J6+地方水电!J6</f>
        <v>605.41</v>
      </c>
      <c r="K6">
        <f>抽蓄水电!K6+地方水电!K6</f>
        <v>605.49</v>
      </c>
      <c r="L6">
        <f>抽蓄水电!L6+地方水电!L6</f>
        <v>605.34</v>
      </c>
      <c r="M6">
        <f>抽蓄水电!M6+地方水电!M6</f>
        <v>605.16</v>
      </c>
      <c r="N6">
        <f>抽蓄水电!N6+地方水电!N6</f>
        <v>605.13</v>
      </c>
      <c r="O6">
        <f>抽蓄水电!O6+地方水电!O6</f>
        <v>605.05</v>
      </c>
      <c r="P6">
        <f>抽蓄水电!P6+地方水电!P6</f>
        <v>604.98</v>
      </c>
      <c r="Q6">
        <f>抽蓄水电!Q6+地方水电!Q6</f>
        <v>605.14</v>
      </c>
      <c r="R6">
        <f>抽蓄水电!R6+地方水电!R6</f>
        <v>604.9</v>
      </c>
      <c r="S6">
        <f>抽蓄水电!S6+地方水电!S6</f>
        <v>604.96</v>
      </c>
      <c r="T6">
        <f>抽蓄水电!T6+地方水电!T6</f>
        <v>604.76</v>
      </c>
      <c r="U6">
        <f>抽蓄水电!U6+地方水电!U6</f>
        <v>602.96</v>
      </c>
      <c r="V6">
        <f>抽蓄水电!V6+地方水电!V6</f>
        <v>602.91</v>
      </c>
      <c r="W6">
        <f>抽蓄水电!W6+地方水电!W6</f>
        <v>599.23</v>
      </c>
      <c r="X6">
        <f>抽蓄水电!X6+地方水电!X6</f>
        <v>599.29</v>
      </c>
      <c r="Y6">
        <f>抽蓄水电!Y6+地方水电!Y6</f>
        <v>599.3</v>
      </c>
      <c r="Z6">
        <f>抽蓄水电!Z6+地方水电!Z6</f>
        <v>599.09</v>
      </c>
      <c r="AA6">
        <f>抽蓄水电!AA6+地方水电!AA6</f>
        <v>597.85</v>
      </c>
      <c r="AB6">
        <f>抽蓄水电!AB6+地方水电!AB6</f>
        <v>597.86</v>
      </c>
      <c r="AC6">
        <f>抽蓄水电!AC6+地方水电!AC6</f>
        <v>598.31</v>
      </c>
      <c r="AD6">
        <f>抽蓄水电!AD6+地方水电!AD6</f>
        <v>598.29</v>
      </c>
      <c r="AE6">
        <f>抽蓄水电!AE6+地方水电!AE6</f>
        <v>598.41</v>
      </c>
      <c r="AF6">
        <f>抽蓄水电!AF6+地方水电!AF6</f>
        <v>598.71</v>
      </c>
      <c r="AG6">
        <f>抽蓄水电!AG6+地方水电!AG6</f>
        <v>598.88</v>
      </c>
      <c r="AH6">
        <f>抽蓄水电!AH6+地方水电!AH6</f>
        <v>599.67</v>
      </c>
      <c r="AI6">
        <f>抽蓄水电!AI6+地方水电!AI6</f>
        <v>600.59</v>
      </c>
      <c r="AJ6">
        <f>抽蓄水电!AJ6+地方水电!AJ6</f>
        <v>600.91</v>
      </c>
      <c r="AK6">
        <f>抽蓄水电!AK6+地方水电!AK6</f>
        <v>602.3</v>
      </c>
      <c r="AL6">
        <f>抽蓄水电!AL6+地方水电!AL6</f>
        <v>602.47</v>
      </c>
      <c r="AM6">
        <f>抽蓄水电!AM6+地方水电!AM6</f>
        <v>602.47</v>
      </c>
      <c r="AN6">
        <f>抽蓄水电!AN6+地方水电!AN6</f>
        <v>602.91</v>
      </c>
      <c r="AO6">
        <f>抽蓄水电!AO6+地方水电!AO6</f>
        <v>602.03</v>
      </c>
      <c r="AP6">
        <f>抽蓄水电!AP6+地方水电!AP6</f>
        <v>601.98</v>
      </c>
      <c r="AQ6">
        <f>抽蓄水电!AQ6+地方水电!AQ6</f>
        <v>602.04</v>
      </c>
      <c r="AR6">
        <f>抽蓄水电!AR6+地方水电!AR6</f>
        <v>601.89</v>
      </c>
      <c r="AS6">
        <f>抽蓄水电!AS6+地方水电!AS6</f>
        <v>602.65</v>
      </c>
      <c r="AT6">
        <f>抽蓄水电!AT6+地方水电!AT6</f>
        <v>606.15</v>
      </c>
      <c r="AU6">
        <f>抽蓄水电!AU6+地方水电!AU6</f>
        <v>606.63</v>
      </c>
      <c r="AV6">
        <f>抽蓄水电!AV6+地方水电!AV6</f>
        <v>606.51</v>
      </c>
      <c r="AW6">
        <f>抽蓄水电!AW6+地方水电!AW6</f>
        <v>606.67</v>
      </c>
      <c r="AX6">
        <f>抽蓄水电!AX6+地方水电!AX6</f>
        <v>606.67</v>
      </c>
      <c r="AY6">
        <f>抽蓄水电!AY6+地方水电!AY6</f>
        <v>607.07</v>
      </c>
      <c r="AZ6">
        <f>抽蓄水电!AZ6+地方水电!AZ6</f>
        <v>607.62</v>
      </c>
      <c r="BA6">
        <f>抽蓄水电!BA6+地方水电!BA6</f>
        <v>607.59</v>
      </c>
      <c r="BB6">
        <f>抽蓄水电!BB6+地方水电!BB6</f>
        <v>607.62</v>
      </c>
      <c r="BC6">
        <f>抽蓄水电!BC6+地方水电!BC6</f>
        <v>608.47</v>
      </c>
      <c r="BD6">
        <f>抽蓄水电!BD6+地方水电!BD6</f>
        <v>587.42</v>
      </c>
      <c r="BE6">
        <f>抽蓄水电!BE6+地方水电!BE6</f>
        <v>587.53</v>
      </c>
      <c r="BF6">
        <f>抽蓄水电!BF6+地方水电!BF6</f>
        <v>587.39</v>
      </c>
      <c r="BG6">
        <f>抽蓄水电!BG6+地方水电!BG6</f>
        <v>547.42</v>
      </c>
      <c r="BH6">
        <f>抽蓄水电!BH6+地方水电!BH6</f>
        <v>505.03</v>
      </c>
      <c r="BI6">
        <f>抽蓄水电!BI6+地方水电!BI6</f>
        <v>440.96</v>
      </c>
      <c r="BJ6">
        <f>抽蓄水电!BJ6+地方水电!BJ6</f>
        <v>440.98</v>
      </c>
      <c r="BK6">
        <f>抽蓄水电!BK6+地方水电!BK6</f>
        <v>440.86</v>
      </c>
      <c r="BL6">
        <f>抽蓄水电!BL6+地方水电!BL6</f>
        <v>440.56</v>
      </c>
      <c r="BM6">
        <f>抽蓄水电!BM6+地方水电!BM6</f>
        <v>440.1</v>
      </c>
      <c r="BN6">
        <f>抽蓄水电!BN6+地方水电!BN6</f>
        <v>439.72</v>
      </c>
      <c r="BO6">
        <f>抽蓄水电!BO6+地方水电!BO6</f>
        <v>439.52</v>
      </c>
      <c r="BP6">
        <f>抽蓄水电!BP6+地方水电!BP6</f>
        <v>439.43</v>
      </c>
      <c r="BQ6">
        <f>抽蓄水电!BQ6+地方水电!BQ6</f>
        <v>436.16</v>
      </c>
      <c r="BR6">
        <f>抽蓄水电!BR6+地方水电!BR6</f>
        <v>430.05</v>
      </c>
      <c r="BS6">
        <f>抽蓄水电!BS6+地方水电!BS6</f>
        <v>429</v>
      </c>
      <c r="BT6">
        <f>抽蓄水电!BT6+地方水电!BT6</f>
        <v>429.82</v>
      </c>
      <c r="BU6">
        <f>抽蓄水电!BU6+地方水电!BU6</f>
        <v>429.73</v>
      </c>
      <c r="BV6">
        <f>抽蓄水电!BV6+地方水电!BV6</f>
        <v>430.24</v>
      </c>
      <c r="BW6">
        <f>抽蓄水电!BW6+地方水电!BW6</f>
        <v>430.3</v>
      </c>
      <c r="BX6">
        <f>抽蓄水电!BX6+地方水电!BX6</f>
        <v>430.65</v>
      </c>
      <c r="BY6">
        <f>抽蓄水电!BY6+地方水电!BY6</f>
        <v>432.24</v>
      </c>
      <c r="BZ6">
        <f>抽蓄水电!BZ6+地方水电!BZ6</f>
        <v>432.29</v>
      </c>
      <c r="CA6">
        <f>抽蓄水电!CA6+地方水电!CA6</f>
        <v>432.34</v>
      </c>
      <c r="CB6">
        <f>抽蓄水电!CB6+地方水电!CB6</f>
        <v>432.31</v>
      </c>
      <c r="CC6">
        <f>抽蓄水电!CC6+地方水电!CC6</f>
        <v>432.29</v>
      </c>
      <c r="CD6">
        <f>抽蓄水电!CD6+地方水电!CD6</f>
        <v>432.01</v>
      </c>
      <c r="CE6">
        <f>抽蓄水电!CE6+地方水电!CE6</f>
        <v>432.18</v>
      </c>
      <c r="CF6">
        <f>抽蓄水电!CF6+地方水电!CF6</f>
        <v>432.3</v>
      </c>
      <c r="CG6">
        <f>抽蓄水电!CG6+地方水电!CG6</f>
        <v>494.18</v>
      </c>
      <c r="CH6">
        <f>抽蓄水电!CH6+地方水电!CH6</f>
        <v>494.1</v>
      </c>
      <c r="CI6">
        <f>抽蓄水电!CI6+地方水电!CI6</f>
        <v>494.13</v>
      </c>
      <c r="CJ6">
        <f>抽蓄水电!CJ6+地方水电!CJ6</f>
        <v>494.31</v>
      </c>
      <c r="CK6">
        <f>抽蓄水电!CK6+地方水电!CK6</f>
        <v>494.55</v>
      </c>
      <c r="CL6">
        <f>抽蓄水电!CL6+地方水电!CL6</f>
        <v>493.84</v>
      </c>
      <c r="CM6">
        <f>抽蓄水电!CM6+地方水电!CM6</f>
        <v>493.77</v>
      </c>
      <c r="CN6">
        <f>抽蓄水电!CN6+地方水电!CN6</f>
        <v>493.9</v>
      </c>
      <c r="CO6">
        <f>抽蓄水电!CO6+地方水电!CO6</f>
        <v>493.86</v>
      </c>
      <c r="CP6">
        <f>抽蓄水电!CP6+地方水电!CP6</f>
        <v>493.94</v>
      </c>
      <c r="CQ6">
        <f>抽蓄水电!CQ6+地方水电!CQ6</f>
        <v>493.97</v>
      </c>
      <c r="CR6">
        <f>抽蓄水电!CR6+地方水电!CR6</f>
        <v>493.39</v>
      </c>
      <c r="CS6">
        <f>抽蓄水电!CS6+地方水电!CS6</f>
        <v>493.3</v>
      </c>
    </row>
    <row r="7" spans="1:97">
      <c r="A7" s="9">
        <v>46240</v>
      </c>
      <c r="B7">
        <f>抽蓄水电!B7+地方水电!B7</f>
        <v>535.25</v>
      </c>
      <c r="C7">
        <f>抽蓄水电!C7+地方水电!C7</f>
        <v>535.51</v>
      </c>
      <c r="D7">
        <f>抽蓄水电!D7+地方水电!D7</f>
        <v>535.9</v>
      </c>
      <c r="E7">
        <f>抽蓄水电!E7+地方水电!E7</f>
        <v>536.23</v>
      </c>
      <c r="F7">
        <f>抽蓄水电!F7+地方水电!F7</f>
        <v>536.49</v>
      </c>
      <c r="G7">
        <f>抽蓄水电!G7+地方水电!G7</f>
        <v>536.45</v>
      </c>
      <c r="H7">
        <f>抽蓄水电!H7+地方水电!H7</f>
        <v>536.54</v>
      </c>
      <c r="I7">
        <f>抽蓄水电!I7+地方水电!I7</f>
        <v>536.56</v>
      </c>
      <c r="J7">
        <f>抽蓄水电!J7+地方水电!J7</f>
        <v>536.66</v>
      </c>
      <c r="K7">
        <f>抽蓄水电!K7+地方水电!K7</f>
        <v>536.75</v>
      </c>
      <c r="L7">
        <f>抽蓄水电!L7+地方水电!L7</f>
        <v>536.8</v>
      </c>
      <c r="M7">
        <f>抽蓄水电!M7+地方水电!M7</f>
        <v>536.66</v>
      </c>
      <c r="N7">
        <f>抽蓄水电!N7+地方水电!N7</f>
        <v>536.54</v>
      </c>
      <c r="O7">
        <f>抽蓄水电!O7+地方水电!O7</f>
        <v>536.64</v>
      </c>
      <c r="P7">
        <f>抽蓄水电!P7+地方水电!P7</f>
        <v>536.62</v>
      </c>
      <c r="Q7">
        <f>抽蓄水电!Q7+地方水电!Q7</f>
        <v>536.66</v>
      </c>
      <c r="R7">
        <f>抽蓄水电!R7+地方水电!R7</f>
        <v>536.52</v>
      </c>
      <c r="S7">
        <f>抽蓄水电!S7+地方水电!S7</f>
        <v>536.66</v>
      </c>
      <c r="T7">
        <f>抽蓄水电!T7+地方水电!T7</f>
        <v>536.54</v>
      </c>
      <c r="U7">
        <f>抽蓄水电!U7+地方水电!U7</f>
        <v>534.84</v>
      </c>
      <c r="V7">
        <f>抽蓄水电!V7+地方水电!V7</f>
        <v>534.66</v>
      </c>
      <c r="W7">
        <f>抽蓄水电!W7+地方水电!W7</f>
        <v>530.95</v>
      </c>
      <c r="X7">
        <f>抽蓄水电!X7+地方水电!X7</f>
        <v>531.08</v>
      </c>
      <c r="Y7">
        <f>抽蓄水电!Y7+地方水电!Y7</f>
        <v>531.27</v>
      </c>
      <c r="Z7">
        <f>抽蓄水电!Z7+地方水电!Z7</f>
        <v>531.33</v>
      </c>
      <c r="AA7">
        <f>抽蓄水电!AA7+地方水电!AA7</f>
        <v>530.13</v>
      </c>
      <c r="AB7">
        <f>抽蓄水电!AB7+地方水电!AB7</f>
        <v>530.2</v>
      </c>
      <c r="AC7">
        <f>抽蓄水电!AC7+地方水电!AC7</f>
        <v>530.64</v>
      </c>
      <c r="AD7">
        <f>抽蓄水电!AD7+地方水电!AD7</f>
        <v>530.65</v>
      </c>
      <c r="AE7">
        <f>抽蓄水电!AE7+地方水电!AE7</f>
        <v>530.67</v>
      </c>
      <c r="AF7">
        <f>抽蓄水电!AF7+地方水电!AF7</f>
        <v>531</v>
      </c>
      <c r="AG7">
        <f>抽蓄水电!AG7+地方水电!AG7</f>
        <v>407.05</v>
      </c>
      <c r="AH7">
        <f>抽蓄水电!AH7+地方水电!AH7</f>
        <v>407.97</v>
      </c>
      <c r="AI7">
        <f>抽蓄水电!AI7+地方水电!AI7</f>
        <v>408.8</v>
      </c>
      <c r="AJ7">
        <f>抽蓄水电!AJ7+地方水电!AJ7</f>
        <v>409.18</v>
      </c>
      <c r="AK7">
        <f>抽蓄水电!AK7+地方水电!AK7</f>
        <v>410.52</v>
      </c>
      <c r="AL7">
        <f>抽蓄水电!AL7+地方水电!AL7</f>
        <v>410.72</v>
      </c>
      <c r="AM7">
        <f>抽蓄水电!AM7+地方水电!AM7</f>
        <v>410.79</v>
      </c>
      <c r="AN7">
        <f>抽蓄水电!AN7+地方水电!AN7</f>
        <v>411.18</v>
      </c>
      <c r="AO7">
        <f>抽蓄水电!AO7+地方水电!AO7</f>
        <v>410.33</v>
      </c>
      <c r="AP7">
        <f>抽蓄水电!AP7+地方水电!AP7</f>
        <v>410.18</v>
      </c>
      <c r="AQ7">
        <f>抽蓄水电!AQ7+地方水电!AQ7</f>
        <v>410.14</v>
      </c>
      <c r="AR7">
        <f>抽蓄水电!AR7+地方水电!AR7</f>
        <v>410.12</v>
      </c>
      <c r="AS7">
        <f>抽蓄水电!AS7+地方水电!AS7</f>
        <v>410.61</v>
      </c>
      <c r="AT7">
        <f>抽蓄水电!AT7+地方水电!AT7</f>
        <v>414.15</v>
      </c>
      <c r="AU7">
        <f>抽蓄水电!AU7+地方水电!AU7</f>
        <v>414.54</v>
      </c>
      <c r="AV7">
        <f>抽蓄水电!AV7+地方水电!AV7</f>
        <v>414.57</v>
      </c>
      <c r="AW7">
        <f>抽蓄水电!AW7+地方水电!AW7</f>
        <v>414.6</v>
      </c>
      <c r="AX7">
        <f>抽蓄水电!AX7+地方水电!AX7</f>
        <v>540.7</v>
      </c>
      <c r="AY7">
        <f>抽蓄水电!AY7+地方水电!AY7</f>
        <v>541.06</v>
      </c>
      <c r="AZ7">
        <f>抽蓄水电!AZ7+地方水电!AZ7</f>
        <v>541.32</v>
      </c>
      <c r="BA7">
        <f>抽蓄水电!BA7+地方水电!BA7</f>
        <v>541.34</v>
      </c>
      <c r="BB7">
        <f>抽蓄水电!BB7+地方水电!BB7</f>
        <v>541.23</v>
      </c>
      <c r="BC7">
        <f>抽蓄水电!BC7+地方水电!BC7</f>
        <v>541.96</v>
      </c>
      <c r="BD7">
        <f>抽蓄水电!BD7+地方水电!BD7</f>
        <v>541.89</v>
      </c>
      <c r="BE7">
        <f>抽蓄水电!BE7+地方水电!BE7</f>
        <v>541.77</v>
      </c>
      <c r="BF7">
        <f>抽蓄水电!BF7+地方水电!BF7</f>
        <v>541.56</v>
      </c>
      <c r="BG7">
        <f>抽蓄水电!BG7+地方水电!BG7</f>
        <v>540.66</v>
      </c>
      <c r="BH7">
        <f>抽蓄水电!BH7+地方水电!BH7</f>
        <v>539.21</v>
      </c>
      <c r="BI7">
        <f>抽蓄水电!BI7+地方水电!BI7</f>
        <v>539.24</v>
      </c>
      <c r="BJ7">
        <f>抽蓄水电!BJ7+地方水电!BJ7</f>
        <v>538.66</v>
      </c>
      <c r="BK7">
        <f>抽蓄水电!BK7+地方水电!BK7</f>
        <v>498.67</v>
      </c>
      <c r="BL7">
        <f>抽蓄水电!BL7+地方水电!BL7</f>
        <v>569.45</v>
      </c>
      <c r="BM7">
        <f>抽蓄水电!BM7+地方水电!BM7</f>
        <v>569.09</v>
      </c>
      <c r="BN7">
        <f>抽蓄水电!BN7+地方水电!BN7</f>
        <v>568.78</v>
      </c>
      <c r="BO7">
        <f>抽蓄水电!BO7+地方水电!BO7</f>
        <v>568.6</v>
      </c>
      <c r="BP7">
        <f>抽蓄水电!BP7+地方水电!BP7</f>
        <v>568.57</v>
      </c>
      <c r="BQ7">
        <f>抽蓄水电!BQ7+地方水电!BQ7</f>
        <v>566.98</v>
      </c>
      <c r="BR7">
        <f>抽蓄水电!BR7+地方水电!BR7</f>
        <v>565.93</v>
      </c>
      <c r="BS7">
        <f>抽蓄水电!BS7+地方水电!BS7</f>
        <v>565</v>
      </c>
      <c r="BT7">
        <f>抽蓄水电!BT7+地方水电!BT7</f>
        <v>564.19</v>
      </c>
      <c r="BU7">
        <f>抽蓄水电!BU7+地方水电!BU7</f>
        <v>627.89</v>
      </c>
      <c r="BV7">
        <f>抽蓄水电!BV7+地方水电!BV7</f>
        <v>628.43</v>
      </c>
      <c r="BW7">
        <f>抽蓄水电!BW7+地方水电!BW7</f>
        <v>628.37</v>
      </c>
      <c r="BX7">
        <f>抽蓄水电!BX7+地方水电!BX7</f>
        <v>628.68</v>
      </c>
      <c r="BY7">
        <f>抽蓄水电!BY7+地方水电!BY7</f>
        <v>630.41</v>
      </c>
      <c r="BZ7">
        <f>抽蓄水电!BZ7+地方水电!BZ7</f>
        <v>567.44</v>
      </c>
      <c r="CA7">
        <f>抽蓄水电!CA7+地方水电!CA7</f>
        <v>567.51</v>
      </c>
      <c r="CB7">
        <f>抽蓄水电!CB7+地方水电!CB7</f>
        <v>567.36</v>
      </c>
      <c r="CC7">
        <f>抽蓄水电!CC7+地方水电!CC7</f>
        <v>567.42</v>
      </c>
      <c r="CD7">
        <f>抽蓄水电!CD7+地方水电!CD7</f>
        <v>566.97</v>
      </c>
      <c r="CE7">
        <f>抽蓄水电!CE7+地方水电!CE7</f>
        <v>567.03</v>
      </c>
      <c r="CF7">
        <f>抽蓄水电!CF7+地方水电!CF7</f>
        <v>567.17</v>
      </c>
      <c r="CG7">
        <f>抽蓄水电!CG7+地方水电!CG7</f>
        <v>567.01</v>
      </c>
      <c r="CH7">
        <f>抽蓄水电!CH7+地方水电!CH7</f>
        <v>566.93</v>
      </c>
      <c r="CI7">
        <f>抽蓄水电!CI7+地方水电!CI7</f>
        <v>567.02</v>
      </c>
      <c r="CJ7">
        <f>抽蓄水电!CJ7+地方水电!CJ7</f>
        <v>567.16</v>
      </c>
      <c r="CK7">
        <f>抽蓄水电!CK7+地方水电!CK7</f>
        <v>567.25</v>
      </c>
      <c r="CL7">
        <f>抽蓄水电!CL7+地方水电!CL7</f>
        <v>566.52</v>
      </c>
      <c r="CM7">
        <f>抽蓄水电!CM7+地方水电!CM7</f>
        <v>502.54</v>
      </c>
      <c r="CN7">
        <f>抽蓄水电!CN7+地方水电!CN7</f>
        <v>502.62</v>
      </c>
      <c r="CO7">
        <f>抽蓄水电!CO7+地方水电!CO7</f>
        <v>502.44</v>
      </c>
      <c r="CP7">
        <f>抽蓄水电!CP7+地方水电!CP7</f>
        <v>502.51</v>
      </c>
      <c r="CQ7">
        <f>抽蓄水电!CQ7+地方水电!CQ7</f>
        <v>502.55</v>
      </c>
      <c r="CR7">
        <f>抽蓄水电!CR7+地方水电!CR7</f>
        <v>502.05</v>
      </c>
      <c r="CS7">
        <f>抽蓄水电!CS7+地方水电!CS7</f>
        <v>501.95</v>
      </c>
    </row>
    <row r="8" spans="1:97">
      <c r="A8" s="9">
        <v>46241</v>
      </c>
      <c r="B8">
        <f>抽蓄水电!B8+地方水电!B8</f>
        <v>474.04</v>
      </c>
      <c r="C8">
        <f>抽蓄水电!C8+地方水电!C8</f>
        <v>475.51</v>
      </c>
      <c r="D8">
        <f>抽蓄水电!D8+地方水电!D8</f>
        <v>475.99</v>
      </c>
      <c r="E8">
        <f>抽蓄水电!E8+地方水电!E8</f>
        <v>476.05</v>
      </c>
      <c r="F8">
        <f>抽蓄水电!F8+地方水电!F8</f>
        <v>476.14</v>
      </c>
      <c r="G8">
        <f>抽蓄水电!G8+地方水电!G8</f>
        <v>476.13</v>
      </c>
      <c r="H8">
        <f>抽蓄水电!H8+地方水电!H8</f>
        <v>476.22</v>
      </c>
      <c r="I8">
        <f>抽蓄水电!I8+地方水电!I8</f>
        <v>476.12</v>
      </c>
      <c r="J8">
        <f>抽蓄水电!J8+地方水电!J8</f>
        <v>476.29</v>
      </c>
      <c r="K8">
        <f>抽蓄水电!K8+地方水电!K8</f>
        <v>476.38</v>
      </c>
      <c r="L8">
        <f>抽蓄水电!L8+地方水电!L8</f>
        <v>539.45</v>
      </c>
      <c r="M8">
        <f>抽蓄水电!M8+地方水电!M8</f>
        <v>539.22</v>
      </c>
      <c r="N8">
        <f>抽蓄水电!N8+地方水电!N8</f>
        <v>539.19</v>
      </c>
      <c r="O8">
        <f>抽蓄水电!O8+地方水电!O8</f>
        <v>539.14</v>
      </c>
      <c r="P8">
        <f>抽蓄水电!P8+地方水电!P8</f>
        <v>539.24</v>
      </c>
      <c r="Q8">
        <f>抽蓄水电!Q8+地方水电!Q8</f>
        <v>539.22</v>
      </c>
      <c r="R8">
        <f>抽蓄水电!R8+地方水电!R8</f>
        <v>539.18</v>
      </c>
      <c r="S8">
        <f>抽蓄水电!S8+地方水电!S8</f>
        <v>539.34</v>
      </c>
      <c r="T8">
        <f>抽蓄水电!T8+地方水电!T8</f>
        <v>540.92</v>
      </c>
      <c r="U8">
        <f>抽蓄水电!U8+地方水电!U8</f>
        <v>539.37</v>
      </c>
      <c r="V8">
        <f>抽蓄水电!V8+地方水电!V8</f>
        <v>539.59</v>
      </c>
      <c r="W8">
        <f>抽蓄水电!W8+地方水电!W8</f>
        <v>539.61</v>
      </c>
      <c r="X8">
        <f>抽蓄水电!X8+地方水电!X8</f>
        <v>539.69</v>
      </c>
      <c r="Y8">
        <f>抽蓄水电!Y8+地方水电!Y8</f>
        <v>539.88</v>
      </c>
      <c r="Z8">
        <f>抽蓄水电!Z8+地方水电!Z8</f>
        <v>539.93</v>
      </c>
      <c r="AA8">
        <f>抽蓄水电!AA8+地方水电!AA8</f>
        <v>540.57</v>
      </c>
      <c r="AB8">
        <f>抽蓄水电!AB8+地方水电!AB8</f>
        <v>540.77</v>
      </c>
      <c r="AC8">
        <f>抽蓄水电!AC8+地方水电!AC8</f>
        <v>541.82</v>
      </c>
      <c r="AD8">
        <f>抽蓄水电!AD8+地方水电!AD8</f>
        <v>541.97</v>
      </c>
      <c r="AE8">
        <f>抽蓄水电!AE8+地方水电!AE8</f>
        <v>541.97</v>
      </c>
      <c r="AF8">
        <f>抽蓄水电!AF8+地方水电!AF8</f>
        <v>542.1</v>
      </c>
      <c r="AG8">
        <f>抽蓄水电!AG8+地方水电!AG8</f>
        <v>541.94</v>
      </c>
      <c r="AH8">
        <f>抽蓄水电!AH8+地方水电!AH8</f>
        <v>542.02</v>
      </c>
      <c r="AI8">
        <f>抽蓄水电!AI8+地方水电!AI8</f>
        <v>543.8</v>
      </c>
      <c r="AJ8">
        <f>抽蓄水电!AJ8+地方水电!AJ8</f>
        <v>543.95</v>
      </c>
      <c r="AK8">
        <f>抽蓄水电!AK8+地方水电!AK8</f>
        <v>543.96</v>
      </c>
      <c r="AL8">
        <f>抽蓄水电!AL8+地方水电!AL8</f>
        <v>544.83</v>
      </c>
      <c r="AM8">
        <f>抽蓄水电!AM8+地方水电!AM8</f>
        <v>544.95</v>
      </c>
      <c r="AN8">
        <f>抽蓄水电!AN8+地方水电!AN8</f>
        <v>545.13</v>
      </c>
      <c r="AO8">
        <f>抽蓄水电!AO8+地方水电!AO8</f>
        <v>544.25</v>
      </c>
      <c r="AP8">
        <f>抽蓄水电!AP8+地方水电!AP8</f>
        <v>544.17</v>
      </c>
      <c r="AQ8">
        <f>抽蓄水电!AQ8+地方水电!AQ8</f>
        <v>544.35</v>
      </c>
      <c r="AR8">
        <f>抽蓄水电!AR8+地方水电!AR8</f>
        <v>544.36</v>
      </c>
      <c r="AS8">
        <f>抽蓄水电!AS8+地方水电!AS8</f>
        <v>153.03</v>
      </c>
      <c r="AT8">
        <f>抽蓄水电!AT8+地方水电!AT8</f>
        <v>152.98</v>
      </c>
      <c r="AU8">
        <f>抽蓄水电!AU8+地方水电!AU8</f>
        <v>153.04</v>
      </c>
      <c r="AV8">
        <f>抽蓄水电!AV8+地方水电!AV8</f>
        <v>152.95</v>
      </c>
      <c r="AW8">
        <f>抽蓄水电!AW8+地方水电!AW8</f>
        <v>153.08</v>
      </c>
      <c r="AX8">
        <f>抽蓄水电!AX8+地方水电!AX8</f>
        <v>154.19</v>
      </c>
      <c r="AY8">
        <f>抽蓄水电!AY8+地方水电!AY8</f>
        <v>154.34</v>
      </c>
      <c r="AZ8">
        <f>抽蓄水电!AZ8+地方水电!AZ8</f>
        <v>153.96</v>
      </c>
      <c r="BA8">
        <f>抽蓄水电!BA8+地方水电!BA8</f>
        <v>153.99</v>
      </c>
      <c r="BB8">
        <f>抽蓄水电!BB8+地方水电!BB8</f>
        <v>154</v>
      </c>
      <c r="BC8">
        <f>抽蓄水电!BC8+地方水电!BC8</f>
        <v>153.75</v>
      </c>
      <c r="BD8">
        <f>抽蓄水电!BD8+地方水电!BD8</f>
        <v>153.84</v>
      </c>
      <c r="BE8">
        <f>抽蓄水电!BE8+地方水电!BE8</f>
        <v>153.47</v>
      </c>
      <c r="BF8">
        <f>抽蓄水电!BF8+地方水电!BF8</f>
        <v>153.45</v>
      </c>
      <c r="BG8">
        <f>抽蓄水电!BG8+地方水电!BG8</f>
        <v>152.51</v>
      </c>
      <c r="BH8">
        <f>抽蓄水电!BH8+地方水电!BH8</f>
        <v>150.97</v>
      </c>
      <c r="BI8">
        <f>抽蓄水电!BI8+地方水电!BI8</f>
        <v>479.07</v>
      </c>
      <c r="BJ8">
        <f>抽蓄水电!BJ8+地方水电!BJ8</f>
        <v>474.99</v>
      </c>
      <c r="BK8">
        <f>抽蓄水电!BK8+地方水电!BK8</f>
        <v>431.63</v>
      </c>
      <c r="BL8">
        <f>抽蓄水电!BL8+地方水电!BL8</f>
        <v>502.33</v>
      </c>
      <c r="BM8">
        <f>抽蓄水电!BM8+地方水电!BM8</f>
        <v>501.98</v>
      </c>
      <c r="BN8">
        <f>抽蓄水电!BN8+地方水电!BN8</f>
        <v>500.81</v>
      </c>
      <c r="BO8">
        <f>抽蓄水电!BO8+地方水电!BO8</f>
        <v>500.5</v>
      </c>
      <c r="BP8">
        <f>抽蓄水电!BP8+地方水电!BP8</f>
        <v>500.46</v>
      </c>
      <c r="BQ8">
        <f>抽蓄水电!BQ8+地方水电!BQ8</f>
        <v>498.88</v>
      </c>
      <c r="BR8">
        <f>抽蓄水电!BR8+地方水电!BR8</f>
        <v>498.79</v>
      </c>
      <c r="BS8">
        <f>抽蓄水电!BS8+地方水电!BS8</f>
        <v>497.27</v>
      </c>
      <c r="BT8">
        <f>抽蓄水电!BT8+地方水电!BT8</f>
        <v>496.84</v>
      </c>
      <c r="BU8">
        <f>抽蓄水电!BU8+地方水电!BU8</f>
        <v>561.93</v>
      </c>
      <c r="BV8">
        <f>抽蓄水电!BV8+地方水电!BV8</f>
        <v>624.82</v>
      </c>
      <c r="BW8">
        <f>抽蓄水电!BW8+地方水电!BW8</f>
        <v>624.74</v>
      </c>
      <c r="BX8">
        <f>抽蓄水电!BX8+地方水电!BX8</f>
        <v>624.45</v>
      </c>
      <c r="BY8">
        <f>抽蓄水电!BY8+地方水电!BY8</f>
        <v>624.31</v>
      </c>
      <c r="BZ8">
        <f>抽蓄水电!BZ8+地方水电!BZ8</f>
        <v>624.49</v>
      </c>
      <c r="CA8">
        <f>抽蓄水电!CA8+地方水电!CA8</f>
        <v>624.22</v>
      </c>
      <c r="CB8">
        <f>抽蓄水电!CB8+地方水电!CB8</f>
        <v>623.76</v>
      </c>
      <c r="CC8">
        <f>抽蓄水电!CC8+地方水电!CC8</f>
        <v>623.78</v>
      </c>
      <c r="CD8">
        <f>抽蓄水电!CD8+地方水电!CD8</f>
        <v>623.32</v>
      </c>
      <c r="CE8">
        <f>抽蓄水电!CE8+地方水电!CE8</f>
        <v>623.23</v>
      </c>
      <c r="CF8">
        <f>抽蓄水电!CF8+地方水电!CF8</f>
        <v>623.25</v>
      </c>
      <c r="CG8">
        <f>抽蓄水电!CG8+地方水电!CG8</f>
        <v>623.33</v>
      </c>
      <c r="CH8">
        <f>抽蓄水电!CH8+地方水电!CH8</f>
        <v>562.46</v>
      </c>
      <c r="CI8">
        <f>抽蓄水电!CI8+地方水电!CI8</f>
        <v>562.82</v>
      </c>
      <c r="CJ8">
        <f>抽蓄水电!CJ8+地方水电!CJ8</f>
        <v>562.82</v>
      </c>
      <c r="CK8">
        <f>抽蓄水电!CK8+地方水电!CK8</f>
        <v>562.67</v>
      </c>
      <c r="CL8">
        <f>抽蓄水电!CL8+地方水电!CL8</f>
        <v>562.43</v>
      </c>
      <c r="CM8">
        <f>抽蓄水电!CM8+地方水电!CM8</f>
        <v>498.27</v>
      </c>
      <c r="CN8">
        <f>抽蓄水电!CN8+地方水电!CN8</f>
        <v>498.44</v>
      </c>
      <c r="CO8">
        <f>抽蓄水电!CO8+地方水电!CO8</f>
        <v>498.16</v>
      </c>
      <c r="CP8">
        <f>抽蓄水电!CP8+地方水电!CP8</f>
        <v>496.87</v>
      </c>
      <c r="CQ8">
        <f>抽蓄水电!CQ8+地方水电!CQ8</f>
        <v>496.93</v>
      </c>
      <c r="CR8">
        <f>抽蓄水电!CR8+地方水电!CR8</f>
        <v>496.93</v>
      </c>
      <c r="CS8">
        <f>抽蓄水电!CS8+地方水电!CS8</f>
        <v>496.93</v>
      </c>
    </row>
    <row r="9" spans="1:97">
      <c r="A9" s="9">
        <v>46242</v>
      </c>
      <c r="B9">
        <f>抽蓄水电!B9+地方水电!B9</f>
        <v>140.81</v>
      </c>
      <c r="C9">
        <f>抽蓄水电!C9+地方水电!C9</f>
        <v>142.44</v>
      </c>
      <c r="D9">
        <f>抽蓄水电!D9+地方水电!D9</f>
        <v>142.85</v>
      </c>
      <c r="E9">
        <f>抽蓄水电!E9+地方水电!E9</f>
        <v>141.57</v>
      </c>
      <c r="F9">
        <f>抽蓄水电!F9+地方水电!F9</f>
        <v>141.73</v>
      </c>
      <c r="G9">
        <f>抽蓄水电!G9+地方水电!G9</f>
        <v>141.79</v>
      </c>
      <c r="H9">
        <f>抽蓄水电!H9+地方水电!H9</f>
        <v>141.86</v>
      </c>
      <c r="I9">
        <f>抽蓄水电!I9+地方水电!I9</f>
        <v>141.8</v>
      </c>
      <c r="J9">
        <f>抽蓄水电!J9+地方水电!J9</f>
        <v>141.94</v>
      </c>
      <c r="K9">
        <f>抽蓄水电!K9+地方水电!K9</f>
        <v>142.03</v>
      </c>
      <c r="L9">
        <f>抽蓄水电!L9+地方水电!L9</f>
        <v>142.2</v>
      </c>
      <c r="M9">
        <f>抽蓄水电!M9+地方水电!M9</f>
        <v>142.15</v>
      </c>
      <c r="N9">
        <f>抽蓄水电!N9+地方水电!N9</f>
        <v>142.28</v>
      </c>
      <c r="O9">
        <f>抽蓄水电!O9+地方水电!O9</f>
        <v>142.35</v>
      </c>
      <c r="P9">
        <f>抽蓄水电!P9+地方水电!P9</f>
        <v>142.46</v>
      </c>
      <c r="Q9">
        <f>抽蓄水电!Q9+地方水电!Q9</f>
        <v>142.42</v>
      </c>
      <c r="R9">
        <f>抽蓄水电!R9+地方水电!R9</f>
        <v>142.58</v>
      </c>
      <c r="S9">
        <f>抽蓄水电!S9+地方水电!S9</f>
        <v>142.62</v>
      </c>
      <c r="T9">
        <f>抽蓄水电!T9+地方水电!T9</f>
        <v>144.4</v>
      </c>
      <c r="U9">
        <f>抽蓄水电!U9+地方水电!U9</f>
        <v>144.31</v>
      </c>
      <c r="V9">
        <f>抽蓄水电!V9+地方水电!V9</f>
        <v>144.57</v>
      </c>
      <c r="W9">
        <f>抽蓄水电!W9+地方水电!W9</f>
        <v>144.54</v>
      </c>
      <c r="X9">
        <f>抽蓄水电!X9+地方水电!X9</f>
        <v>144.42</v>
      </c>
      <c r="Y9">
        <f>抽蓄水电!Y9+地方水电!Y9</f>
        <v>144.59</v>
      </c>
      <c r="Z9">
        <f>抽蓄水电!Z9+地方水电!Z9</f>
        <v>144.53</v>
      </c>
      <c r="AA9">
        <f>抽蓄水电!AA9+地方水电!AA9</f>
        <v>144.67</v>
      </c>
      <c r="AB9">
        <f>抽蓄水电!AB9+地方水电!AB9</f>
        <v>144.53</v>
      </c>
      <c r="AC9">
        <f>抽蓄水电!AC9+地方水电!AC9</f>
        <v>144.57</v>
      </c>
      <c r="AD9">
        <f>抽蓄水电!AD9+地方水电!AD9</f>
        <v>144.58</v>
      </c>
      <c r="AE9">
        <f>抽蓄水电!AE9+地方水电!AE9</f>
        <v>144.56</v>
      </c>
      <c r="AF9">
        <f>抽蓄水电!AF9+地方水电!AF9</f>
        <v>144.65</v>
      </c>
      <c r="AG9">
        <f>抽蓄水电!AG9+地方水电!AG9</f>
        <v>144.37</v>
      </c>
      <c r="AH9">
        <f>抽蓄水电!AH9+地方水电!AH9</f>
        <v>144.35</v>
      </c>
      <c r="AI9">
        <f>抽蓄水电!AI9+地方水电!AI9</f>
        <v>144.12</v>
      </c>
      <c r="AJ9">
        <f>抽蓄水电!AJ9+地方水电!AJ9</f>
        <v>144.33</v>
      </c>
      <c r="AK9">
        <f>抽蓄水电!AK9+地方水电!AK9</f>
        <v>144.22</v>
      </c>
      <c r="AL9">
        <f>抽蓄水电!AL9+地方水电!AL9</f>
        <v>144.93</v>
      </c>
      <c r="AM9">
        <f>抽蓄水电!AM9+地方水电!AM9</f>
        <v>144.92</v>
      </c>
      <c r="AN9">
        <f>抽蓄水电!AN9+地方水电!AN9</f>
        <v>145</v>
      </c>
      <c r="AO9">
        <f>抽蓄水电!AO9+地方水电!AO9</f>
        <v>145.13</v>
      </c>
      <c r="AP9">
        <f>抽蓄水电!AP9+地方水电!AP9</f>
        <v>145.13</v>
      </c>
      <c r="AQ9">
        <f>抽蓄水电!AQ9+地方水电!AQ9</f>
        <v>145.19</v>
      </c>
      <c r="AR9">
        <f>抽蓄水电!AR9+地方水电!AR9</f>
        <v>145.1</v>
      </c>
      <c r="AS9">
        <f>抽蓄水电!AS9+地方水电!AS9</f>
        <v>144.71</v>
      </c>
      <c r="AT9">
        <f>抽蓄水电!AT9+地方水电!AT9</f>
        <v>144.61</v>
      </c>
      <c r="AU9">
        <f>抽蓄水电!AU9+地方水电!AU9</f>
        <v>144.46</v>
      </c>
      <c r="AV9">
        <f>抽蓄水电!AV9+地方水电!AV9</f>
        <v>144.32</v>
      </c>
      <c r="AW9">
        <f>抽蓄水电!AW9+地方水电!AW9</f>
        <v>144.41</v>
      </c>
      <c r="AX9">
        <f>抽蓄水电!AX9+地方水电!AX9</f>
        <v>145.66</v>
      </c>
      <c r="AY9">
        <f>抽蓄水电!AY9+地方水电!AY9</f>
        <v>145.71</v>
      </c>
      <c r="AZ9">
        <f>抽蓄水电!AZ9+地方水电!AZ9</f>
        <v>145.37</v>
      </c>
      <c r="BA9">
        <f>抽蓄水电!BA9+地方水电!BA9</f>
        <v>145.4</v>
      </c>
      <c r="BB9">
        <f>抽蓄水电!BB9+地方水电!BB9</f>
        <v>145.38</v>
      </c>
      <c r="BC9">
        <f>抽蓄水电!BC9+地方水电!BC9</f>
        <v>145.19</v>
      </c>
      <c r="BD9">
        <f>抽蓄水电!BD9+地方水电!BD9</f>
        <v>145.22</v>
      </c>
      <c r="BE9">
        <f>抽蓄水电!BE9+地方水电!BE9</f>
        <v>144.48</v>
      </c>
      <c r="BF9">
        <f>抽蓄水电!BF9+地方水电!BF9</f>
        <v>144.51</v>
      </c>
      <c r="BG9">
        <f>抽蓄水电!BG9+地方水电!BG9</f>
        <v>143.43</v>
      </c>
      <c r="BH9">
        <f>抽蓄水电!BH9+地方水电!BH9</f>
        <v>143.31</v>
      </c>
      <c r="BI9">
        <f>抽蓄水电!BI9+地方水电!BI9</f>
        <v>143.43</v>
      </c>
      <c r="BJ9">
        <f>抽蓄水电!BJ9+地方水电!BJ9</f>
        <v>139.37</v>
      </c>
      <c r="BK9">
        <f>抽蓄水电!BK9+地方水电!BK9</f>
        <v>136.17</v>
      </c>
      <c r="BL9">
        <f>抽蓄水电!BL9+地方水电!BL9</f>
        <v>136.01</v>
      </c>
      <c r="BM9">
        <f>抽蓄水电!BM9+地方水电!BM9</f>
        <v>136.32</v>
      </c>
      <c r="BN9">
        <f>抽蓄水电!BN9+地方水电!BN9</f>
        <v>136.49</v>
      </c>
      <c r="BO9">
        <f>抽蓄水电!BO9+地方水电!BO9</f>
        <v>136.32</v>
      </c>
      <c r="BP9">
        <f>抽蓄水电!BP9+地方水电!BP9</f>
        <v>137.89</v>
      </c>
      <c r="BQ9">
        <f>抽蓄水电!BQ9+地方水电!BQ9</f>
        <v>138.74</v>
      </c>
      <c r="BR9">
        <f>抽蓄水电!BR9+地方水电!BR9</f>
        <v>138.58</v>
      </c>
      <c r="BS9">
        <f>抽蓄水电!BS9+地方水电!BS9</f>
        <v>137.1</v>
      </c>
      <c r="BT9">
        <f>抽蓄水电!BT9+地方水电!BT9</f>
        <v>136.89</v>
      </c>
      <c r="BU9">
        <f>抽蓄水电!BU9+地方水电!BU9</f>
        <v>138.2</v>
      </c>
      <c r="BV9">
        <f>抽蓄水电!BV9+地方水电!BV9</f>
        <v>138.19</v>
      </c>
      <c r="BW9">
        <f>抽蓄水电!BW9+地方水电!BW9</f>
        <v>600.6</v>
      </c>
      <c r="BX9">
        <f>抽蓄水电!BX9+地方水电!BX9</f>
        <v>600.26</v>
      </c>
      <c r="BY9">
        <f>抽蓄水电!BY9+地方水电!BY9</f>
        <v>600.18</v>
      </c>
      <c r="BZ9">
        <f>抽蓄水电!BZ9+地方水电!BZ9</f>
        <v>599.89</v>
      </c>
      <c r="CA9">
        <f>抽蓄水电!CA9+地方水电!CA9</f>
        <v>599.62</v>
      </c>
      <c r="CB9">
        <f>抽蓄水电!CB9+地方水电!CB9</f>
        <v>598.58</v>
      </c>
      <c r="CC9">
        <f>抽蓄水电!CC9+地方水电!CC9</f>
        <v>598.54</v>
      </c>
      <c r="CD9">
        <f>抽蓄水电!CD9+地方水电!CD9</f>
        <v>598.97</v>
      </c>
      <c r="CE9">
        <f>抽蓄水电!CE9+地方水电!CE9</f>
        <v>598.72</v>
      </c>
      <c r="CF9">
        <f>抽蓄水电!CF9+地方水电!CF9</f>
        <v>598.84</v>
      </c>
      <c r="CG9">
        <f>抽蓄水电!CG9+地方水电!CG9</f>
        <v>598.96</v>
      </c>
      <c r="CH9">
        <f>抽蓄水电!CH9+地方水电!CH9</f>
        <v>500.12</v>
      </c>
      <c r="CI9">
        <f>抽蓄水电!CI9+地方水电!CI9</f>
        <v>500.45</v>
      </c>
      <c r="CJ9">
        <f>抽蓄水电!CJ9+地方水电!CJ9</f>
        <v>500.31</v>
      </c>
      <c r="CK9">
        <f>抽蓄水电!CK9+地方水电!CK9</f>
        <v>500.24</v>
      </c>
      <c r="CL9">
        <f>抽蓄水电!CL9+地方水电!CL9</f>
        <v>499.92</v>
      </c>
      <c r="CM9">
        <f>抽蓄水电!CM9+地方水电!CM9</f>
        <v>499.79</v>
      </c>
      <c r="CN9">
        <f>抽蓄水电!CN9+地方水电!CN9</f>
        <v>500.05</v>
      </c>
      <c r="CO9">
        <f>抽蓄水电!CO9+地方水电!CO9</f>
        <v>499.77</v>
      </c>
      <c r="CP9">
        <f>抽蓄水电!CP9+地方水电!CP9</f>
        <v>498.5</v>
      </c>
      <c r="CQ9">
        <f>抽蓄水电!CQ9+地方水电!CQ9</f>
        <v>498.53</v>
      </c>
      <c r="CR9">
        <f>抽蓄水电!CR9+地方水电!CR9</f>
        <v>498.57</v>
      </c>
      <c r="CS9">
        <f>抽蓄水电!CS9+地方水电!CS9</f>
        <v>498.66</v>
      </c>
    </row>
    <row r="10" spans="1:97">
      <c r="A10" s="9">
        <v>46243</v>
      </c>
      <c r="B10">
        <f>抽蓄水电!B10+地方水电!B10</f>
        <v>386.82</v>
      </c>
      <c r="C10">
        <f>抽蓄水电!C10+地方水电!C10</f>
        <v>387.32</v>
      </c>
      <c r="D10">
        <f>抽蓄水电!D10+地方水电!D10</f>
        <v>387.45</v>
      </c>
      <c r="E10">
        <f>抽蓄水电!E10+地方水电!E10</f>
        <v>385.97</v>
      </c>
      <c r="F10">
        <f>抽蓄水电!F10+地方水电!F10</f>
        <v>386.14</v>
      </c>
      <c r="G10">
        <f>抽蓄水电!G10+地方水电!G10</f>
        <v>386.07</v>
      </c>
      <c r="H10">
        <f>抽蓄水电!H10+地方水电!H10</f>
        <v>386.14</v>
      </c>
      <c r="I10">
        <f>抽蓄水电!I10+地方水电!I10</f>
        <v>385.98</v>
      </c>
      <c r="J10">
        <f>抽蓄水电!J10+地方水电!J10</f>
        <v>386.1</v>
      </c>
      <c r="K10">
        <f>抽蓄水电!K10+地方水电!K10</f>
        <v>386.09</v>
      </c>
      <c r="L10">
        <f>抽蓄水电!L10+地方水电!L10</f>
        <v>386.21</v>
      </c>
      <c r="M10">
        <f>抽蓄水电!M10+地方水电!M10</f>
        <v>386.14</v>
      </c>
      <c r="N10">
        <f>抽蓄水电!N10+地方水电!N10</f>
        <v>386.2</v>
      </c>
      <c r="O10">
        <f>抽蓄水电!O10+地方水电!O10</f>
        <v>386.26</v>
      </c>
      <c r="P10">
        <f>抽蓄水电!P10+地方水电!P10</f>
        <v>386.29</v>
      </c>
      <c r="Q10">
        <f>抽蓄水电!Q10+地方水电!Q10</f>
        <v>386.27</v>
      </c>
      <c r="R10">
        <f>抽蓄水电!R10+地方水电!R10</f>
        <v>386.31</v>
      </c>
      <c r="S10">
        <f>抽蓄水电!S10+地方水电!S10</f>
        <v>386.25</v>
      </c>
      <c r="T10">
        <f>抽蓄水电!T10+地方水电!T10</f>
        <v>388.04</v>
      </c>
      <c r="U10">
        <f>抽蓄水电!U10+地方水电!U10</f>
        <v>387.74</v>
      </c>
      <c r="V10">
        <f>抽蓄水电!V10+地方水电!V10</f>
        <v>428.99</v>
      </c>
      <c r="W10">
        <f>抽蓄水电!W10+地方水电!W10</f>
        <v>428.85</v>
      </c>
      <c r="X10">
        <f>抽蓄水电!X10+地方水电!X10</f>
        <v>428.55</v>
      </c>
      <c r="Y10">
        <f>抽蓄水电!Y10+地方水电!Y10</f>
        <v>428.73</v>
      </c>
      <c r="Z10">
        <f>抽蓄水电!Z10+地方水电!Z10</f>
        <v>427.59</v>
      </c>
      <c r="AA10">
        <f>抽蓄水电!AA10+地方水电!AA10</f>
        <v>427.64</v>
      </c>
      <c r="AB10">
        <f>抽蓄水电!AB10+地方水电!AB10</f>
        <v>427.49</v>
      </c>
      <c r="AC10">
        <f>抽蓄水电!AC10+地方水电!AC10</f>
        <v>427.4</v>
      </c>
      <c r="AD10">
        <f>抽蓄水电!AD10+地方水电!AD10</f>
        <v>424.9</v>
      </c>
      <c r="AE10">
        <f>抽蓄水电!AE10+地方水电!AE10</f>
        <v>423.29</v>
      </c>
      <c r="AF10">
        <f>抽蓄水电!AF10+地方水电!AF10</f>
        <v>423.44</v>
      </c>
      <c r="AG10">
        <f>抽蓄水电!AG10+地方水电!AG10</f>
        <v>423.04</v>
      </c>
      <c r="AH10">
        <f>抽蓄水电!AH10+地方水电!AH10</f>
        <v>485.06</v>
      </c>
      <c r="AI10">
        <f>抽蓄水电!AI10+地方水电!AI10</f>
        <v>484.78</v>
      </c>
      <c r="AJ10">
        <f>抽蓄水电!AJ10+地方水电!AJ10</f>
        <v>484.86</v>
      </c>
      <c r="AK10">
        <f>抽蓄水电!AK10+地方水电!AK10</f>
        <v>484.62</v>
      </c>
      <c r="AL10">
        <f>抽蓄水电!AL10+地方水电!AL10</f>
        <v>524.41</v>
      </c>
      <c r="AM10">
        <f>抽蓄水电!AM10+地方水电!AM10</f>
        <v>524.24</v>
      </c>
      <c r="AN10">
        <f>抽蓄水电!AN10+地方水电!AN10</f>
        <v>524.16</v>
      </c>
      <c r="AO10">
        <f>抽蓄水电!AO10+地方水电!AO10</f>
        <v>523.35</v>
      </c>
      <c r="AP10">
        <f>抽蓄水电!AP10+地方水电!AP10</f>
        <v>523.28</v>
      </c>
      <c r="AQ10">
        <f>抽蓄水电!AQ10+地方水电!AQ10</f>
        <v>523.26</v>
      </c>
      <c r="AR10">
        <f>抽蓄水电!AR10+地方水电!AR10</f>
        <v>523.09</v>
      </c>
      <c r="AS10">
        <f>抽蓄水电!AS10+地方水电!AS10</f>
        <v>522.89</v>
      </c>
      <c r="AT10">
        <f>抽蓄水电!AT10+地方水电!AT10</f>
        <v>521.78</v>
      </c>
      <c r="AU10">
        <f>抽蓄水电!AU10+地方水电!AU10</f>
        <v>593.58</v>
      </c>
      <c r="AV10">
        <f>抽蓄水电!AV10+地方水电!AV10</f>
        <v>593.51</v>
      </c>
      <c r="AW10">
        <f>抽蓄水电!AW10+地方水电!AW10</f>
        <v>593.3</v>
      </c>
      <c r="AX10">
        <f>抽蓄水电!AX10+地方水电!AX10</f>
        <v>593.74</v>
      </c>
      <c r="AY10">
        <f>抽蓄水电!AY10+地方水电!AY10</f>
        <v>593.72</v>
      </c>
      <c r="AZ10">
        <f>抽蓄水电!AZ10+地方水电!AZ10</f>
        <v>593.64</v>
      </c>
      <c r="BA10">
        <f>抽蓄水电!BA10+地方水电!BA10</f>
        <v>593.74</v>
      </c>
      <c r="BB10">
        <f>抽蓄水电!BB10+地方水电!BB10</f>
        <v>593.83</v>
      </c>
      <c r="BC10">
        <f>抽蓄水电!BC10+地方水电!BC10</f>
        <v>593.66</v>
      </c>
      <c r="BD10">
        <f>抽蓄水电!BD10+地方水电!BD10</f>
        <v>593.77</v>
      </c>
      <c r="BE10">
        <f>抽蓄水电!BE10+地方水电!BE10</f>
        <v>593.14</v>
      </c>
      <c r="BF10">
        <f>抽蓄水电!BF10+地方水电!BF10</f>
        <v>594</v>
      </c>
      <c r="BG10">
        <f>抽蓄水电!BG10+地方水电!BG10</f>
        <v>594.53</v>
      </c>
      <c r="BH10">
        <f>抽蓄水电!BH10+地方水电!BH10</f>
        <v>594</v>
      </c>
      <c r="BI10">
        <f>抽蓄水电!BI10+地方水电!BI10</f>
        <v>595.04</v>
      </c>
      <c r="BJ10">
        <f>抽蓄水电!BJ10+地方水电!BJ10</f>
        <v>591.55</v>
      </c>
      <c r="BK10">
        <f>抽蓄水电!BK10+地方水电!BK10</f>
        <v>588.38</v>
      </c>
      <c r="BL10">
        <f>抽蓄水电!BL10+地方水电!BL10</f>
        <v>588.28</v>
      </c>
      <c r="BM10">
        <f>抽蓄水电!BM10+地方水电!BM10</f>
        <v>588.57</v>
      </c>
      <c r="BN10">
        <f>抽蓄水电!BN10+地方水电!BN10</f>
        <v>588.81</v>
      </c>
      <c r="BO10">
        <f>抽蓄水电!BO10+地方水电!BO10</f>
        <v>588.72</v>
      </c>
      <c r="BP10">
        <f>抽蓄水电!BP10+地方水电!BP10</f>
        <v>590.17</v>
      </c>
      <c r="BQ10">
        <f>抽蓄水电!BQ10+地方水电!BQ10</f>
        <v>590.5</v>
      </c>
      <c r="BR10">
        <f>抽蓄水电!BR10+地方水电!BR10</f>
        <v>590.43</v>
      </c>
      <c r="BS10">
        <f>抽蓄水电!BS10+地方水电!BS10</f>
        <v>588.79</v>
      </c>
      <c r="BT10">
        <f>抽蓄水电!BT10+地方水电!BT10</f>
        <v>590.34</v>
      </c>
      <c r="BU10">
        <f>抽蓄水电!BU10+地方水电!BU10</f>
        <v>591.7</v>
      </c>
      <c r="BV10">
        <f>抽蓄水电!BV10+地方水电!BV10</f>
        <v>529.8</v>
      </c>
      <c r="BW10">
        <f>抽蓄水电!BW10+地方水电!BW10</f>
        <v>534.36</v>
      </c>
      <c r="BX10">
        <f>抽蓄水电!BX10+地方水电!BX10</f>
        <v>535.78</v>
      </c>
      <c r="BY10">
        <f>抽蓄水电!BY10+地方水电!BY10</f>
        <v>536.9</v>
      </c>
      <c r="BZ10">
        <f>抽蓄水电!BZ10+地方水电!BZ10</f>
        <v>537.48</v>
      </c>
      <c r="CA10">
        <f>抽蓄水电!CA10+地方水电!CA10</f>
        <v>537.5</v>
      </c>
      <c r="CB10">
        <f>抽蓄水电!CB10+地方水电!CB10</f>
        <v>536</v>
      </c>
      <c r="CC10">
        <f>抽蓄水电!CC10+地方水电!CC10</f>
        <v>532.32</v>
      </c>
      <c r="CD10">
        <f>抽蓄水电!CD10+地方水电!CD10</f>
        <v>532.66</v>
      </c>
      <c r="CE10">
        <f>抽蓄水电!CE10+地方水电!CE10</f>
        <v>532.46</v>
      </c>
      <c r="CF10">
        <f>抽蓄水电!CF10+地方水电!CF10</f>
        <v>532.38</v>
      </c>
      <c r="CG10">
        <f>抽蓄水电!CG10+地方水电!CG10</f>
        <v>532.58</v>
      </c>
      <c r="CH10">
        <f>抽蓄水电!CH10+地方水电!CH10</f>
        <v>495.58</v>
      </c>
      <c r="CI10">
        <f>抽蓄水电!CI10+地方水电!CI10</f>
        <v>496.1</v>
      </c>
      <c r="CJ10">
        <f>抽蓄水电!CJ10+地方水电!CJ10</f>
        <v>494.43</v>
      </c>
      <c r="CK10">
        <f>抽蓄水电!CK10+地方水电!CK10</f>
        <v>494.44</v>
      </c>
      <c r="CL10">
        <f>抽蓄水电!CL10+地方水电!CL10</f>
        <v>494.1</v>
      </c>
      <c r="CM10">
        <f>抽蓄水电!CM10+地方水电!CM10</f>
        <v>493.58</v>
      </c>
      <c r="CN10">
        <f>抽蓄水电!CN10+地方水电!CN10</f>
        <v>493.78</v>
      </c>
      <c r="CO10">
        <f>抽蓄水电!CO10+地方水电!CO10</f>
        <v>493.63</v>
      </c>
      <c r="CP10">
        <f>抽蓄水电!CP10+地方水电!CP10</f>
        <v>492.37</v>
      </c>
      <c r="CQ10">
        <f>抽蓄水电!CQ10+地方水电!CQ10</f>
        <v>492.4</v>
      </c>
      <c r="CR10">
        <f>抽蓄水电!CR10+地方水电!CR10</f>
        <v>492.06</v>
      </c>
      <c r="CS10">
        <f>抽蓄水电!CS10+地方水电!CS10</f>
        <v>492.17</v>
      </c>
    </row>
    <row r="11" spans="1:97">
      <c r="A11" s="9">
        <v>46244</v>
      </c>
      <c r="B11">
        <f>抽蓄水电!B11+地方水电!B11</f>
        <v>483.09</v>
      </c>
      <c r="C11">
        <f>抽蓄水电!C11+地方水电!C11</f>
        <v>482.09</v>
      </c>
      <c r="D11">
        <f>抽蓄水电!D11+地方水电!D11</f>
        <v>482.14</v>
      </c>
      <c r="E11">
        <f>抽蓄水电!E11+地方水电!E11</f>
        <v>480.75</v>
      </c>
      <c r="F11">
        <f>抽蓄水电!F11+地方水电!F11</f>
        <v>480.83</v>
      </c>
      <c r="G11">
        <f>抽蓄水电!G11+地方水电!G11</f>
        <v>480.79</v>
      </c>
      <c r="H11">
        <f>抽蓄水电!H11+地方水电!H11</f>
        <v>480.85</v>
      </c>
      <c r="I11">
        <f>抽蓄水电!I11+地方水电!I11</f>
        <v>480.83</v>
      </c>
      <c r="J11">
        <f>抽蓄水电!J11+地方水电!J11</f>
        <v>417.83</v>
      </c>
      <c r="K11">
        <f>抽蓄水电!K11+地方水电!K11</f>
        <v>417.9</v>
      </c>
      <c r="L11">
        <f>抽蓄水电!L11+地方水电!L11</f>
        <v>418</v>
      </c>
      <c r="M11">
        <f>抽蓄水电!M11+地方水电!M11</f>
        <v>417.92</v>
      </c>
      <c r="N11">
        <f>抽蓄水电!N11+地方水电!N11</f>
        <v>417.84</v>
      </c>
      <c r="O11">
        <f>抽蓄水电!O11+地方水电!O11</f>
        <v>417.95</v>
      </c>
      <c r="P11">
        <f>抽蓄水电!P11+地方水电!P11</f>
        <v>418</v>
      </c>
      <c r="Q11">
        <f>抽蓄水电!Q11+地方水电!Q11</f>
        <v>417.76</v>
      </c>
      <c r="R11">
        <f>抽蓄水电!R11+地方水电!R11</f>
        <v>417.83</v>
      </c>
      <c r="S11">
        <f>抽蓄水电!S11+地方水电!S11</f>
        <v>417.66</v>
      </c>
      <c r="T11">
        <f>抽蓄水电!T11+地方水电!T11</f>
        <v>417.59</v>
      </c>
      <c r="U11">
        <f>抽蓄水电!U11+地方水电!U11</f>
        <v>417.31</v>
      </c>
      <c r="V11">
        <f>抽蓄水电!V11+地方水电!V11</f>
        <v>417.34</v>
      </c>
      <c r="W11">
        <f>抽蓄水电!W11+地方水电!W11</f>
        <v>417.3</v>
      </c>
      <c r="X11">
        <f>抽蓄水电!X11+地方水电!X11</f>
        <v>416.32</v>
      </c>
      <c r="Y11">
        <f>抽蓄水电!Y11+地方水电!Y11</f>
        <v>416.25</v>
      </c>
      <c r="Z11">
        <f>抽蓄水电!Z11+地方水电!Z11</f>
        <v>416.02</v>
      </c>
      <c r="AA11">
        <f>抽蓄水电!AA11+地方水电!AA11</f>
        <v>416.03</v>
      </c>
      <c r="AB11">
        <f>抽蓄水电!AB11+地方水电!AB11</f>
        <v>415.8</v>
      </c>
      <c r="AC11">
        <f>抽蓄水电!AC11+地方水电!AC11</f>
        <v>415.72</v>
      </c>
      <c r="AD11">
        <f>抽蓄水电!AD11+地方水电!AD11</f>
        <v>413.3</v>
      </c>
      <c r="AE11">
        <f>抽蓄水电!AE11+地方水电!AE11</f>
        <v>411.21</v>
      </c>
      <c r="AF11">
        <f>抽蓄水电!AF11+地方水电!AF11</f>
        <v>411.37</v>
      </c>
      <c r="AG11">
        <f>抽蓄水电!AG11+地方水电!AG11</f>
        <v>410.89</v>
      </c>
      <c r="AH11">
        <f>抽蓄水电!AH11+地方水电!AH11</f>
        <v>410.77</v>
      </c>
      <c r="AI11">
        <f>抽蓄水电!AI11+地方水电!AI11</f>
        <v>410.73</v>
      </c>
      <c r="AJ11">
        <f>抽蓄水电!AJ11+地方水电!AJ11</f>
        <v>410.74</v>
      </c>
      <c r="AK11">
        <f>抽蓄水电!AK11+地方水电!AK11</f>
        <v>473.44</v>
      </c>
      <c r="AL11">
        <f>抽蓄水电!AL11+地方水电!AL11</f>
        <v>512.28</v>
      </c>
      <c r="AM11">
        <f>抽蓄水电!AM11+地方水电!AM11</f>
        <v>512.21</v>
      </c>
      <c r="AN11">
        <f>抽蓄水电!AN11+地方水电!AN11</f>
        <v>512.03</v>
      </c>
      <c r="AO11">
        <f>抽蓄水电!AO11+地方水电!AO11</f>
        <v>510.26</v>
      </c>
      <c r="AP11">
        <f>抽蓄水电!AP11+地方水电!AP11</f>
        <v>510.2</v>
      </c>
      <c r="AQ11">
        <f>抽蓄水电!AQ11+地方水电!AQ11</f>
        <v>510.13</v>
      </c>
      <c r="AR11">
        <f>抽蓄水电!AR11+地方水电!AR11</f>
        <v>509.99</v>
      </c>
      <c r="AS11">
        <f>抽蓄水电!AS11+地方水电!AS11</f>
        <v>509.88</v>
      </c>
      <c r="AT11">
        <f>抽蓄水电!AT11+地方水电!AT11</f>
        <v>508.81</v>
      </c>
      <c r="AU11">
        <f>抽蓄水电!AU11+地方水电!AU11</f>
        <v>580.72</v>
      </c>
      <c r="AV11">
        <f>抽蓄水电!AV11+地方水电!AV11</f>
        <v>580.61</v>
      </c>
      <c r="AW11">
        <f>抽蓄水电!AW11+地方水电!AW11</f>
        <v>580.26</v>
      </c>
      <c r="AX11">
        <f>抽蓄水电!AX11+地方水电!AX11</f>
        <v>579.65</v>
      </c>
      <c r="AY11">
        <f>抽蓄水电!AY11+地方水电!AY11</f>
        <v>579.43</v>
      </c>
      <c r="AZ11">
        <f>抽蓄水电!AZ11+地方水电!AZ11</f>
        <v>579.39</v>
      </c>
      <c r="BA11">
        <f>抽蓄水电!BA11+地方水电!BA11</f>
        <v>579.5</v>
      </c>
      <c r="BB11">
        <f>抽蓄水电!BB11+地方水电!BB11</f>
        <v>579.48</v>
      </c>
      <c r="BC11">
        <f>抽蓄水电!BC11+地方水电!BC11</f>
        <v>579.44</v>
      </c>
      <c r="BD11">
        <f>抽蓄水电!BD11+地方水电!BD11</f>
        <v>579.46</v>
      </c>
      <c r="BE11">
        <f>抽蓄水电!BE11+地方水电!BE11</f>
        <v>578.68</v>
      </c>
      <c r="BF11">
        <f>抽蓄水电!BF11+地方水电!BF11</f>
        <v>579.15</v>
      </c>
      <c r="BG11">
        <f>抽蓄水电!BG11+地方水电!BG11</f>
        <v>579.36</v>
      </c>
      <c r="BH11">
        <f>抽蓄水电!BH11+地方水电!BH11</f>
        <v>578.67</v>
      </c>
      <c r="BI11">
        <f>抽蓄水电!BI11+地方水电!BI11</f>
        <v>579.65</v>
      </c>
      <c r="BJ11">
        <f>抽蓄水电!BJ11+地方水电!BJ11</f>
        <v>579.54</v>
      </c>
      <c r="BK11">
        <f>抽蓄水电!BK11+地方水电!BK11</f>
        <v>579.63</v>
      </c>
      <c r="BL11">
        <f>抽蓄水电!BL11+地方水电!BL11</f>
        <v>579.63</v>
      </c>
      <c r="BM11">
        <f>抽蓄水电!BM11+地方水电!BM11</f>
        <v>579.91</v>
      </c>
      <c r="BN11">
        <f>抽蓄水电!BN11+地方水电!BN11</f>
        <v>581.08</v>
      </c>
      <c r="BO11">
        <f>抽蓄水电!BO11+地方水电!BO11</f>
        <v>581.19</v>
      </c>
      <c r="BP11">
        <f>抽蓄水电!BP11+地方水电!BP11</f>
        <v>582.54</v>
      </c>
      <c r="BQ11">
        <f>抽蓄水电!BQ11+地方水电!BQ11</f>
        <v>583.06</v>
      </c>
      <c r="BR11">
        <f>抽蓄水电!BR11+地方水电!BR11</f>
        <v>582.92</v>
      </c>
      <c r="BS11">
        <f>抽蓄水电!BS11+地方水电!BS11</f>
        <v>583.07</v>
      </c>
      <c r="BT11">
        <f>抽蓄水电!BT11+地方水电!BT11</f>
        <v>583.4</v>
      </c>
      <c r="BU11">
        <f>抽蓄水电!BU11+地方水电!BU11</f>
        <v>583.42</v>
      </c>
      <c r="BV11">
        <f>抽蓄水电!BV11+地方水电!BV11</f>
        <v>583.52</v>
      </c>
      <c r="BW11">
        <f>抽蓄水电!BW11+地方水电!BW11</f>
        <v>588.62</v>
      </c>
      <c r="BX11">
        <f>抽蓄水电!BX11+地方水电!BX11</f>
        <v>590.61</v>
      </c>
      <c r="BY11">
        <f>抽蓄水电!BY11+地方水电!BY11</f>
        <v>594.34</v>
      </c>
      <c r="BZ11">
        <f>抽蓄水电!BZ11+地方水电!BZ11</f>
        <v>533.95</v>
      </c>
      <c r="CA11">
        <f>抽蓄水电!CA11+地方水电!CA11</f>
        <v>534.29</v>
      </c>
      <c r="CB11">
        <f>抽蓄水电!CB11+地方水电!CB11</f>
        <v>533.02</v>
      </c>
      <c r="CC11">
        <f>抽蓄水电!CC11+地方水电!CC11</f>
        <v>531.83</v>
      </c>
      <c r="CD11">
        <f>抽蓄水电!CD11+地方水电!CD11</f>
        <v>533.66</v>
      </c>
      <c r="CE11">
        <f>抽蓄水电!CE11+地方水电!CE11</f>
        <v>534.95</v>
      </c>
      <c r="CF11">
        <f>抽蓄水电!CF11+地方水电!CF11</f>
        <v>534.92</v>
      </c>
      <c r="CG11">
        <f>抽蓄水电!CG11+地方水电!CG11</f>
        <v>535.01</v>
      </c>
      <c r="CH11">
        <f>抽蓄水电!CH11+地方水电!CH11</f>
        <v>495.84</v>
      </c>
      <c r="CI11">
        <f>抽蓄水电!CI11+地方水电!CI11</f>
        <v>496.16</v>
      </c>
      <c r="CJ11">
        <f>抽蓄水电!CJ11+地方水电!CJ11</f>
        <v>494.55</v>
      </c>
      <c r="CK11">
        <f>抽蓄水电!CK11+地方水电!CK11</f>
        <v>494.74</v>
      </c>
      <c r="CL11">
        <f>抽蓄水电!CL11+地方水电!CL11</f>
        <v>494.72</v>
      </c>
      <c r="CM11">
        <f>抽蓄水电!CM11+地方水电!CM11</f>
        <v>494.37</v>
      </c>
      <c r="CN11">
        <f>抽蓄水电!CN11+地方水电!CN11</f>
        <v>494.43</v>
      </c>
      <c r="CO11">
        <f>抽蓄水电!CO11+地方水电!CO11</f>
        <v>494.39</v>
      </c>
      <c r="CP11">
        <f>抽蓄水电!CP11+地方水电!CP11</f>
        <v>494.68</v>
      </c>
      <c r="CQ11">
        <f>抽蓄水电!CQ11+地方水电!CQ11</f>
        <v>494.83</v>
      </c>
      <c r="CR11">
        <f>抽蓄水电!CR11+地方水电!CR11</f>
        <v>494.25</v>
      </c>
      <c r="CS11">
        <f>抽蓄水电!CS11+地方水电!CS11</f>
        <v>494.36</v>
      </c>
    </row>
    <row r="12" spans="1:97">
      <c r="A12" s="9">
        <v>46245</v>
      </c>
      <c r="B12">
        <f>抽蓄水电!B12+地方水电!B12</f>
        <v>484.6</v>
      </c>
      <c r="C12">
        <f>抽蓄水电!C12+地方水电!C12</f>
        <v>483.7</v>
      </c>
      <c r="D12">
        <f>抽蓄水电!D12+地方水电!D12</f>
        <v>483.62</v>
      </c>
      <c r="E12">
        <f>抽蓄水电!E12+地方水电!E12</f>
        <v>483.47</v>
      </c>
      <c r="F12">
        <f>抽蓄水电!F12+地方水电!F12</f>
        <v>442.42</v>
      </c>
      <c r="G12">
        <f>抽蓄水电!G12+地方水电!G12</f>
        <v>442.19</v>
      </c>
      <c r="H12">
        <f>抽蓄水电!H12+地方水电!H12</f>
        <v>442.11</v>
      </c>
      <c r="I12">
        <f>抽蓄水电!I12+地方水电!I12</f>
        <v>442.02</v>
      </c>
      <c r="J12">
        <f>抽蓄水电!J12+地方水电!J12</f>
        <v>441</v>
      </c>
      <c r="K12">
        <f>抽蓄水电!K12+地方水电!K12</f>
        <v>440.99</v>
      </c>
      <c r="L12">
        <f>抽蓄水电!L12+地方水电!L12</f>
        <v>441.13</v>
      </c>
      <c r="M12">
        <f>抽蓄水电!M12+地方水电!M12</f>
        <v>441.04</v>
      </c>
      <c r="N12">
        <f>抽蓄水电!N12+地方水电!N12</f>
        <v>418.62</v>
      </c>
      <c r="O12">
        <f>抽蓄水电!O12+地方水电!O12</f>
        <v>418.71</v>
      </c>
      <c r="P12">
        <f>抽蓄水电!P12+地方水电!P12</f>
        <v>418.7</v>
      </c>
      <c r="Q12">
        <f>抽蓄水电!Q12+地方水电!Q12</f>
        <v>418.37</v>
      </c>
      <c r="R12">
        <f>抽蓄水电!R12+地方水电!R12</f>
        <v>418.34</v>
      </c>
      <c r="S12">
        <f>抽蓄水电!S12+地方水电!S12</f>
        <v>418.1</v>
      </c>
      <c r="T12">
        <f>抽蓄水电!T12+地方水电!T12</f>
        <v>418.07</v>
      </c>
      <c r="U12">
        <f>抽蓄水电!U12+地方水电!U12</f>
        <v>416.18</v>
      </c>
      <c r="V12">
        <f>抽蓄水电!V12+地方水电!V12</f>
        <v>416.2</v>
      </c>
      <c r="W12">
        <f>抽蓄水电!W12+地方水电!W12</f>
        <v>416.13</v>
      </c>
      <c r="X12">
        <f>抽蓄水电!X12+地方水电!X12</f>
        <v>415.36</v>
      </c>
      <c r="Y12">
        <f>抽蓄水电!Y12+地方水电!Y12</f>
        <v>415.2</v>
      </c>
      <c r="Z12">
        <f>抽蓄水电!Z12+地方水电!Z12</f>
        <v>415.02</v>
      </c>
      <c r="AA12">
        <f>抽蓄水电!AA12+地方水电!AA12</f>
        <v>415.03</v>
      </c>
      <c r="AB12">
        <f>抽蓄水电!AB12+地方水电!AB12</f>
        <v>415.02</v>
      </c>
      <c r="AC12">
        <f>抽蓄水电!AC12+地方水电!AC12</f>
        <v>414.93</v>
      </c>
      <c r="AD12">
        <f>抽蓄水电!AD12+地方水电!AD12</f>
        <v>412.53</v>
      </c>
      <c r="AE12">
        <f>抽蓄水电!AE12+地方水电!AE12</f>
        <v>410.42</v>
      </c>
      <c r="AF12">
        <f>抽蓄水电!AF12+地方水电!AF12</f>
        <v>410.38</v>
      </c>
      <c r="AG12">
        <f>抽蓄水电!AG12+地方水电!AG12</f>
        <v>410.17</v>
      </c>
      <c r="AH12">
        <f>抽蓄水电!AH12+地方水电!AH12</f>
        <v>410.03</v>
      </c>
      <c r="AI12">
        <f>抽蓄水电!AI12+地方水电!AI12</f>
        <v>410.11</v>
      </c>
      <c r="AJ12">
        <f>抽蓄水电!AJ12+地方水电!AJ12</f>
        <v>410.03</v>
      </c>
      <c r="AK12">
        <f>抽蓄水电!AK12+地方水电!AK12</f>
        <v>409.79</v>
      </c>
      <c r="AL12">
        <f>抽蓄水电!AL12+地方水电!AL12</f>
        <v>511.8</v>
      </c>
      <c r="AM12">
        <f>抽蓄水电!AM12+地方水电!AM12</f>
        <v>509.83</v>
      </c>
      <c r="AN12">
        <f>抽蓄水电!AN12+地方水电!AN12</f>
        <v>509.69</v>
      </c>
      <c r="AO12">
        <f>抽蓄水电!AO12+地方水电!AO12</f>
        <v>507.81</v>
      </c>
      <c r="AP12">
        <f>抽蓄水电!AP12+地方水电!AP12</f>
        <v>507.22</v>
      </c>
      <c r="AQ12">
        <f>抽蓄水电!AQ12+地方水电!AQ12</f>
        <v>507.19</v>
      </c>
      <c r="AR12">
        <f>抽蓄水电!AR12+地方水电!AR12</f>
        <v>507.01</v>
      </c>
      <c r="AS12">
        <f>抽蓄水电!AS12+地方水电!AS12</f>
        <v>506.84</v>
      </c>
      <c r="AT12">
        <f>抽蓄水电!AT12+地方水电!AT12</f>
        <v>505.7</v>
      </c>
      <c r="AU12">
        <f>抽蓄水电!AU12+地方水电!AU12</f>
        <v>577.16</v>
      </c>
      <c r="AV12">
        <f>抽蓄水电!AV12+地方水电!AV12</f>
        <v>577.05</v>
      </c>
      <c r="AW12">
        <f>抽蓄水电!AW12+地方水电!AW12</f>
        <v>575.79</v>
      </c>
      <c r="AX12">
        <f>抽蓄水电!AX12+地方水电!AX12</f>
        <v>573.69</v>
      </c>
      <c r="AY12">
        <f>抽蓄水电!AY12+地方水电!AY12</f>
        <v>573.59</v>
      </c>
      <c r="AZ12">
        <f>抽蓄水电!AZ12+地方水电!AZ12</f>
        <v>573.6</v>
      </c>
      <c r="BA12">
        <f>抽蓄水电!BA12+地方水电!BA12</f>
        <v>573.68</v>
      </c>
      <c r="BB12">
        <f>抽蓄水电!BB12+地方水电!BB12</f>
        <v>573.65</v>
      </c>
      <c r="BC12">
        <f>抽蓄水电!BC12+地方水电!BC12</f>
        <v>573.71</v>
      </c>
      <c r="BD12">
        <f>抽蓄水电!BD12+地方水电!BD12</f>
        <v>574.3</v>
      </c>
      <c r="BE12">
        <f>抽蓄水电!BE12+地方水电!BE12</f>
        <v>574.17</v>
      </c>
      <c r="BF12">
        <f>抽蓄水电!BF12+地方水电!BF12</f>
        <v>577.71</v>
      </c>
      <c r="BG12">
        <f>抽蓄水电!BG12+地方水电!BG12</f>
        <v>578.93</v>
      </c>
      <c r="BH12">
        <f>抽蓄水电!BH12+地方水电!BH12</f>
        <v>578.08</v>
      </c>
      <c r="BI12">
        <f>抽蓄水电!BI12+地方水电!BI12</f>
        <v>579.26</v>
      </c>
      <c r="BJ12">
        <f>抽蓄水电!BJ12+地方水电!BJ12</f>
        <v>580.31</v>
      </c>
      <c r="BK12">
        <f>抽蓄水电!BK12+地方水电!BK12</f>
        <v>580.52</v>
      </c>
      <c r="BL12">
        <f>抽蓄水电!BL12+地方水电!BL12</f>
        <v>580.63</v>
      </c>
      <c r="BM12">
        <f>抽蓄水电!BM12+地方水电!BM12</f>
        <v>580.74</v>
      </c>
      <c r="BN12">
        <f>抽蓄水电!BN12+地方水电!BN12</f>
        <v>580.84</v>
      </c>
      <c r="BO12">
        <f>抽蓄水电!BO12+地方水电!BO12</f>
        <v>580.89</v>
      </c>
      <c r="BP12">
        <f>抽蓄水电!BP12+地方水电!BP12</f>
        <v>581.27</v>
      </c>
      <c r="BQ12">
        <f>抽蓄水电!BQ12+地方水电!BQ12</f>
        <v>580.84</v>
      </c>
      <c r="BR12">
        <f>抽蓄水电!BR12+地方水电!BR12</f>
        <v>580.83</v>
      </c>
      <c r="BS12">
        <f>抽蓄水电!BS12+地方水电!BS12</f>
        <v>580.84</v>
      </c>
      <c r="BT12">
        <f>抽蓄水电!BT12+地方水电!BT12</f>
        <v>582.55</v>
      </c>
      <c r="BU12">
        <f>抽蓄水电!BU12+地方水电!BU12</f>
        <v>582.45</v>
      </c>
      <c r="BV12">
        <f>抽蓄水电!BV12+地方水电!BV12</f>
        <v>519.5</v>
      </c>
      <c r="BW12">
        <f>抽蓄水电!BW12+地方水电!BW12</f>
        <v>524.17</v>
      </c>
      <c r="BX12">
        <f>抽蓄水电!BX12+地方水电!BX12</f>
        <v>526.25</v>
      </c>
      <c r="BY12">
        <f>抽蓄水电!BY12+地方水电!BY12</f>
        <v>529.9</v>
      </c>
      <c r="BZ12">
        <f>抽蓄水电!BZ12+地方水电!BZ12</f>
        <v>531.58</v>
      </c>
      <c r="CA12">
        <f>抽蓄水电!CA12+地方水电!CA12</f>
        <v>531.96</v>
      </c>
      <c r="CB12">
        <f>抽蓄水电!CB12+地方水电!CB12</f>
        <v>531.44</v>
      </c>
      <c r="CC12">
        <f>抽蓄水电!CC12+地方水电!CC12</f>
        <v>530.28</v>
      </c>
      <c r="CD12">
        <f>抽蓄水电!CD12+地方水电!CD12</f>
        <v>531.63</v>
      </c>
      <c r="CE12">
        <f>抽蓄水电!CE12+地方水电!CE12</f>
        <v>533.05</v>
      </c>
      <c r="CF12">
        <f>抽蓄水电!CF12+地方水电!CF12</f>
        <v>532.91</v>
      </c>
      <c r="CG12">
        <f>抽蓄水电!CG12+地方水电!CG12</f>
        <v>533</v>
      </c>
      <c r="CH12">
        <f>抽蓄水电!CH12+地方水电!CH12</f>
        <v>493.85</v>
      </c>
      <c r="CI12">
        <f>抽蓄水电!CI12+地方水电!CI12</f>
        <v>494.17</v>
      </c>
      <c r="CJ12">
        <f>抽蓄水电!CJ12+地方水电!CJ12</f>
        <v>492.6</v>
      </c>
      <c r="CK12">
        <f>抽蓄水电!CK12+地方水电!CK12</f>
        <v>492.72</v>
      </c>
      <c r="CL12">
        <f>抽蓄水电!CL12+地方水电!CL12</f>
        <v>492.83</v>
      </c>
      <c r="CM12">
        <f>抽蓄水电!CM12+地方水电!CM12</f>
        <v>492.48</v>
      </c>
      <c r="CN12">
        <f>抽蓄水电!CN12+地方水电!CN12</f>
        <v>492.47</v>
      </c>
      <c r="CO12">
        <f>抽蓄水电!CO12+地方水电!CO12</f>
        <v>492.47</v>
      </c>
      <c r="CP12">
        <f>抽蓄水电!CP12+地方水电!CP12</f>
        <v>492.72</v>
      </c>
      <c r="CQ12">
        <f>抽蓄水电!CQ12+地方水电!CQ12</f>
        <v>492.88</v>
      </c>
      <c r="CR12">
        <f>抽蓄水电!CR12+地方水电!CR12</f>
        <v>492.37</v>
      </c>
      <c r="CS12">
        <f>抽蓄水电!CS12+地方水电!CS12</f>
        <v>492.35</v>
      </c>
    </row>
    <row r="13" spans="1:97">
      <c r="A13" s="9">
        <v>46246</v>
      </c>
      <c r="B13">
        <f>抽蓄水电!B13+地方水电!B13</f>
        <v>485.71</v>
      </c>
      <c r="C13">
        <f>抽蓄水电!C13+地方水电!C13</f>
        <v>485.84</v>
      </c>
      <c r="D13">
        <f>抽蓄水电!D13+地方水电!D13</f>
        <v>484.43</v>
      </c>
      <c r="E13">
        <f>抽蓄水电!E13+地方水电!E13</f>
        <v>484.28</v>
      </c>
      <c r="F13">
        <f>抽蓄水电!F13+地方水电!F13</f>
        <v>484.25</v>
      </c>
      <c r="G13">
        <f>抽蓄水电!G13+地方水电!G13</f>
        <v>484.05</v>
      </c>
      <c r="H13">
        <f>抽蓄水电!H13+地方水电!H13</f>
        <v>483.97</v>
      </c>
      <c r="I13">
        <f>抽蓄水电!I13+地方水电!I13</f>
        <v>483.82</v>
      </c>
      <c r="J13">
        <f>抽蓄水电!J13+地方水电!J13</f>
        <v>482.82</v>
      </c>
      <c r="K13">
        <f>抽蓄水电!K13+地方水电!K13</f>
        <v>482.83</v>
      </c>
      <c r="L13">
        <f>抽蓄水电!L13+地方水电!L13</f>
        <v>482.89</v>
      </c>
      <c r="M13">
        <f>抽蓄水电!M13+地方水电!M13</f>
        <v>482.04</v>
      </c>
      <c r="N13">
        <f>抽蓄水电!N13+地方水电!N13</f>
        <v>481.64</v>
      </c>
      <c r="O13">
        <f>抽蓄水电!O13+地方水电!O13</f>
        <v>481.71</v>
      </c>
      <c r="P13">
        <f>抽蓄水电!P13+地方水电!P13</f>
        <v>481.69</v>
      </c>
      <c r="Q13">
        <f>抽蓄水电!Q13+地方水电!Q13</f>
        <v>481.42</v>
      </c>
      <c r="R13">
        <f>抽蓄水电!R13+地方水电!R13</f>
        <v>481.22</v>
      </c>
      <c r="S13">
        <f>抽蓄水电!S13+地方水电!S13</f>
        <v>481.06</v>
      </c>
      <c r="T13">
        <f>抽蓄水电!T13+地方水电!T13</f>
        <v>480.98</v>
      </c>
      <c r="U13">
        <f>抽蓄水电!U13+地方水电!U13</f>
        <v>479.24</v>
      </c>
      <c r="V13">
        <f>抽蓄水电!V13+地方水电!V13</f>
        <v>479.22</v>
      </c>
      <c r="W13">
        <f>抽蓄水电!W13+地方水电!W13</f>
        <v>479.21</v>
      </c>
      <c r="X13">
        <f>抽蓄水电!X13+地方水电!X13</f>
        <v>478.6</v>
      </c>
      <c r="Y13">
        <f>抽蓄水电!Y13+地方水电!Y13</f>
        <v>478.35</v>
      </c>
      <c r="Z13">
        <f>抽蓄水电!Z13+地方水电!Z13</f>
        <v>479.11</v>
      </c>
      <c r="AA13">
        <f>抽蓄水电!AA13+地方水电!AA13</f>
        <v>479.3</v>
      </c>
      <c r="AB13">
        <f>抽蓄水电!AB13+地方水电!AB13</f>
        <v>479.16</v>
      </c>
      <c r="AC13">
        <f>抽蓄水电!AC13+地方水电!AC13</f>
        <v>478.23</v>
      </c>
      <c r="AD13">
        <f>抽蓄水电!AD13+地方水电!AD13</f>
        <v>478.41</v>
      </c>
      <c r="AE13">
        <f>抽蓄水电!AE13+地方水电!AE13</f>
        <v>477.88</v>
      </c>
      <c r="AF13">
        <f>抽蓄水电!AF13+地方水电!AF13</f>
        <v>477.66</v>
      </c>
      <c r="AG13">
        <f>抽蓄水电!AG13+地方水电!AG13</f>
        <v>477.52</v>
      </c>
      <c r="AH13">
        <f>抽蓄水电!AH13+地方水电!AH13</f>
        <v>477.03</v>
      </c>
      <c r="AI13">
        <f>抽蓄水电!AI13+地方水电!AI13</f>
        <v>477.13</v>
      </c>
      <c r="AJ13">
        <f>抽蓄水电!AJ13+地方水电!AJ13</f>
        <v>477.13</v>
      </c>
      <c r="AK13">
        <f>抽蓄水电!AK13+地方水电!AK13</f>
        <v>517.94</v>
      </c>
      <c r="AL13">
        <f>抽蓄水电!AL13+地方水电!AL13</f>
        <v>578.9</v>
      </c>
      <c r="AM13">
        <f>抽蓄水电!AM13+地方水电!AM13</f>
        <v>576.93</v>
      </c>
      <c r="AN13">
        <f>抽蓄水电!AN13+地方水电!AN13</f>
        <v>576.82</v>
      </c>
      <c r="AO13">
        <f>抽蓄水电!AO13+地方水电!AO13</f>
        <v>576.03</v>
      </c>
      <c r="AP13">
        <f>抽蓄水电!AP13+地方水电!AP13</f>
        <v>573.43</v>
      </c>
      <c r="AQ13">
        <f>抽蓄水电!AQ13+地方水电!AQ13</f>
        <v>572.16</v>
      </c>
      <c r="AR13">
        <f>抽蓄水电!AR13+地方水电!AR13</f>
        <v>572.09</v>
      </c>
      <c r="AS13">
        <f>抽蓄水电!AS13+地方水电!AS13</f>
        <v>571.9</v>
      </c>
      <c r="AT13">
        <f>抽蓄水电!AT13+地方水电!AT13</f>
        <v>571.76</v>
      </c>
      <c r="AU13">
        <f>抽蓄水电!AU13+地方水电!AU13</f>
        <v>571.13</v>
      </c>
      <c r="AV13">
        <f>抽蓄水电!AV13+地方水电!AV13</f>
        <v>570.95</v>
      </c>
      <c r="AW13">
        <f>抽蓄水电!AW13+地方水电!AW13</f>
        <v>569.87</v>
      </c>
      <c r="AX13">
        <f>抽蓄水电!AX13+地方水电!AX13</f>
        <v>567.97</v>
      </c>
      <c r="AY13">
        <f>抽蓄水电!AY13+地方水电!AY13</f>
        <v>567.49</v>
      </c>
      <c r="AZ13">
        <f>抽蓄水电!AZ13+地方水电!AZ13</f>
        <v>567.52</v>
      </c>
      <c r="BA13">
        <f>抽蓄水电!BA13+地方水电!BA13</f>
        <v>567.56</v>
      </c>
      <c r="BB13">
        <f>抽蓄水电!BB13+地方水电!BB13</f>
        <v>567.42</v>
      </c>
      <c r="BC13">
        <f>抽蓄水电!BC13+地方水电!BC13</f>
        <v>459.63</v>
      </c>
      <c r="BD13">
        <f>抽蓄水电!BD13+地方水电!BD13</f>
        <v>460.14</v>
      </c>
      <c r="BE13">
        <f>抽蓄水电!BE13+地方水电!BE13</f>
        <v>459.35</v>
      </c>
      <c r="BF13">
        <f>抽蓄水电!BF13+地方水电!BF13</f>
        <v>462.1</v>
      </c>
      <c r="BG13">
        <f>抽蓄水电!BG13+地方水电!BG13</f>
        <v>461.65</v>
      </c>
      <c r="BH13">
        <f>抽蓄水电!BH13+地方水电!BH13</f>
        <v>461.24</v>
      </c>
      <c r="BI13">
        <f>抽蓄水电!BI13+地方水电!BI13</f>
        <v>461.35</v>
      </c>
      <c r="BJ13">
        <f>抽蓄水电!BJ13+地方水电!BJ13</f>
        <v>421.52</v>
      </c>
      <c r="BK13">
        <f>抽蓄水电!BK13+地方水电!BK13</f>
        <v>421.59</v>
      </c>
      <c r="BL13">
        <f>抽蓄水电!BL13+地方水电!BL13</f>
        <v>423.14</v>
      </c>
      <c r="BM13">
        <f>抽蓄水电!BM13+地方水电!BM13</f>
        <v>424.98</v>
      </c>
      <c r="BN13">
        <f>抽蓄水电!BN13+地方水电!BN13</f>
        <v>403.22</v>
      </c>
      <c r="BO13">
        <f>抽蓄水电!BO13+地方水电!BO13</f>
        <v>404.29</v>
      </c>
      <c r="BP13">
        <f>抽蓄水电!BP13+地方水电!BP13</f>
        <v>405.74</v>
      </c>
      <c r="BQ13">
        <f>抽蓄水电!BQ13+地方水电!BQ13</f>
        <v>405.86</v>
      </c>
      <c r="BR13">
        <f>抽蓄水电!BR13+地方水电!BR13</f>
        <v>405.95</v>
      </c>
      <c r="BS13">
        <f>抽蓄水电!BS13+地方水电!BS13</f>
        <v>406.17</v>
      </c>
      <c r="BT13">
        <f>抽蓄水电!BT13+地方水电!BT13</f>
        <v>408.86</v>
      </c>
      <c r="BU13">
        <f>抽蓄水电!BU13+地方水电!BU13</f>
        <v>408.65</v>
      </c>
      <c r="BV13">
        <f>抽蓄水电!BV13+地方水电!BV13</f>
        <v>408.69</v>
      </c>
      <c r="BW13">
        <f>抽蓄水电!BW13+地方水电!BW13</f>
        <v>409.46</v>
      </c>
      <c r="BX13">
        <f>抽蓄水电!BX13+地方水电!BX13</f>
        <v>409.65</v>
      </c>
      <c r="BY13">
        <f>抽蓄水电!BY13+地方水电!BY13</f>
        <v>411.97</v>
      </c>
      <c r="BZ13">
        <f>抽蓄水电!BZ13+地方水电!BZ13</f>
        <v>412.93</v>
      </c>
      <c r="CA13">
        <f>抽蓄水电!CA13+地方水电!CA13</f>
        <v>413.14</v>
      </c>
      <c r="CB13">
        <f>抽蓄水电!CB13+地方水电!CB13</f>
        <v>412.93</v>
      </c>
      <c r="CC13">
        <f>抽蓄水电!CC13+地方水电!CC13</f>
        <v>415.56</v>
      </c>
      <c r="CD13">
        <f>抽蓄水电!CD13+地方水电!CD13</f>
        <v>479.85</v>
      </c>
      <c r="CE13">
        <f>抽蓄水电!CE13+地方水电!CE13</f>
        <v>484.3</v>
      </c>
      <c r="CF13">
        <f>抽蓄水电!CF13+地方水电!CF13</f>
        <v>484.09</v>
      </c>
      <c r="CG13">
        <f>抽蓄水电!CG13+地方水电!CG13</f>
        <v>484.37</v>
      </c>
      <c r="CH13">
        <f>抽蓄水电!CH13+地方水电!CH13</f>
        <v>484.44</v>
      </c>
      <c r="CI13">
        <f>抽蓄水电!CI13+地方水电!CI13</f>
        <v>484.46</v>
      </c>
      <c r="CJ13">
        <f>抽蓄水电!CJ13+地方水电!CJ13</f>
        <v>484.42</v>
      </c>
      <c r="CK13">
        <f>抽蓄水电!CK13+地方水电!CK13</f>
        <v>484.56</v>
      </c>
      <c r="CL13">
        <f>抽蓄水电!CL13+地方水电!CL13</f>
        <v>421.75</v>
      </c>
      <c r="CM13">
        <f>抽蓄水电!CM13+地方水电!CM13</f>
        <v>421.84</v>
      </c>
      <c r="CN13">
        <f>抽蓄水电!CN13+地方水电!CN13</f>
        <v>421.81</v>
      </c>
      <c r="CO13">
        <f>抽蓄水电!CO13+地方水电!CO13</f>
        <v>421.53</v>
      </c>
      <c r="CP13">
        <f>抽蓄水电!CP13+地方水电!CP13</f>
        <v>422.02</v>
      </c>
      <c r="CQ13">
        <f>抽蓄水电!CQ13+地方水电!CQ13</f>
        <v>422.14</v>
      </c>
      <c r="CR13">
        <f>抽蓄水电!CR13+地方水电!CR13</f>
        <v>421.89</v>
      </c>
      <c r="CS13">
        <f>抽蓄水电!CS13+地方水电!CS13</f>
        <v>421.76</v>
      </c>
    </row>
    <row r="14" spans="1:97">
      <c r="A14" s="9">
        <v>46247</v>
      </c>
      <c r="B14">
        <f>抽蓄水电!B14+地方水电!B14</f>
        <v>551.94</v>
      </c>
      <c r="C14">
        <f>抽蓄水电!C14+地方水电!C14</f>
        <v>552.07</v>
      </c>
      <c r="D14">
        <f>抽蓄水电!D14+地方水电!D14</f>
        <v>550.72</v>
      </c>
      <c r="E14">
        <f>抽蓄水电!E14+地方水电!E14</f>
        <v>549.45</v>
      </c>
      <c r="F14">
        <f>抽蓄水电!F14+地方水电!F14</f>
        <v>591.76</v>
      </c>
      <c r="G14">
        <f>抽蓄水电!G14+地方水电!G14</f>
        <v>591.59</v>
      </c>
      <c r="H14">
        <f>抽蓄水电!H14+地方水电!H14</f>
        <v>591.33</v>
      </c>
      <c r="I14">
        <f>抽蓄水电!I14+地方水电!I14</f>
        <v>591.21</v>
      </c>
      <c r="J14">
        <f>抽蓄水电!J14+地方水电!J14</f>
        <v>590.21</v>
      </c>
      <c r="K14">
        <f>抽蓄水电!K14+地方水电!K14</f>
        <v>590.06</v>
      </c>
      <c r="L14">
        <f>抽蓄水电!L14+地方水电!L14</f>
        <v>590.29</v>
      </c>
      <c r="M14">
        <f>抽蓄水电!M14+地方水电!M14</f>
        <v>589.2</v>
      </c>
      <c r="N14">
        <f>抽蓄水电!N14+地方水电!N14</f>
        <v>588.76</v>
      </c>
      <c r="O14">
        <f>抽蓄水电!O14+地方水电!O14</f>
        <v>588.89</v>
      </c>
      <c r="P14">
        <f>抽蓄水电!P14+地方水电!P14</f>
        <v>588.81</v>
      </c>
      <c r="Q14">
        <f>抽蓄水电!Q14+地方水电!Q14</f>
        <v>588.52</v>
      </c>
      <c r="R14">
        <f>抽蓄水电!R14+地方水电!R14</f>
        <v>587.21</v>
      </c>
      <c r="S14">
        <f>抽蓄水电!S14+地方水电!S14</f>
        <v>587.29</v>
      </c>
      <c r="T14">
        <f>抽蓄水电!T14+地方水电!T14</f>
        <v>587.18</v>
      </c>
      <c r="U14">
        <f>抽蓄水电!U14+地方水电!U14</f>
        <v>585.67</v>
      </c>
      <c r="V14">
        <f>抽蓄水电!V14+地方水电!V14</f>
        <v>585.56</v>
      </c>
      <c r="W14">
        <f>抽蓄水电!W14+地方水电!W14</f>
        <v>584.96</v>
      </c>
      <c r="X14">
        <f>抽蓄水电!X14+地方水电!X14</f>
        <v>585.01</v>
      </c>
      <c r="Y14">
        <f>抽蓄水电!Y14+地方水电!Y14</f>
        <v>583.44</v>
      </c>
      <c r="Z14">
        <f>抽蓄水电!Z14+地方水电!Z14</f>
        <v>583.19</v>
      </c>
      <c r="AA14">
        <f>抽蓄水电!AA14+地方水电!AA14</f>
        <v>583.49</v>
      </c>
      <c r="AB14">
        <f>抽蓄水电!AB14+地方水电!AB14</f>
        <v>583.38</v>
      </c>
      <c r="AC14">
        <f>抽蓄水电!AC14+地方水电!AC14</f>
        <v>582.22</v>
      </c>
      <c r="AD14">
        <f>抽蓄水电!AD14+地方水电!AD14</f>
        <v>582.31</v>
      </c>
      <c r="AE14">
        <f>抽蓄水电!AE14+地方水电!AE14</f>
        <v>582.34</v>
      </c>
      <c r="AF14">
        <f>抽蓄水电!AF14+地方水电!AF14</f>
        <v>582.17</v>
      </c>
      <c r="AG14">
        <f>抽蓄水电!AG14+地方水电!AG14</f>
        <v>581.89</v>
      </c>
      <c r="AH14">
        <f>抽蓄水电!AH14+地方水电!AH14</f>
        <v>581.69</v>
      </c>
      <c r="AI14">
        <f>抽蓄水电!AI14+地方水电!AI14</f>
        <v>581.4</v>
      </c>
      <c r="AJ14">
        <f>抽蓄水电!AJ14+地方水电!AJ14</f>
        <v>581.66</v>
      </c>
      <c r="AK14">
        <f>抽蓄水电!AK14+地方水电!AK14</f>
        <v>581.38</v>
      </c>
      <c r="AL14">
        <f>抽蓄水电!AL14+地方水电!AL14</f>
        <v>581.5</v>
      </c>
      <c r="AM14">
        <f>抽蓄水电!AM14+地方水电!AM14</f>
        <v>579.47</v>
      </c>
      <c r="AN14">
        <f>抽蓄水电!AN14+地方水电!AN14</f>
        <v>579.16</v>
      </c>
      <c r="AO14">
        <f>抽蓄水电!AO14+地方水电!AO14</f>
        <v>579.2</v>
      </c>
      <c r="AP14">
        <f>抽蓄水电!AP14+地方水电!AP14</f>
        <v>576.53</v>
      </c>
      <c r="AQ14">
        <f>抽蓄水电!AQ14+地方水电!AQ14</f>
        <v>575.36</v>
      </c>
      <c r="AR14">
        <f>抽蓄水电!AR14+地方水电!AR14</f>
        <v>575.38</v>
      </c>
      <c r="AS14">
        <f>抽蓄水电!AS14+地方水电!AS14</f>
        <v>575</v>
      </c>
      <c r="AT14">
        <f>抽蓄水电!AT14+地方水电!AT14</f>
        <v>575.13</v>
      </c>
      <c r="AU14">
        <f>抽蓄水电!AU14+地方水电!AU14</f>
        <v>574.76</v>
      </c>
      <c r="AV14">
        <f>抽蓄水电!AV14+地方水电!AV14</f>
        <v>574.47</v>
      </c>
      <c r="AW14">
        <f>抽蓄水电!AW14+地方水电!AW14</f>
        <v>574.72</v>
      </c>
      <c r="AX14">
        <f>抽蓄水电!AX14+地方水电!AX14</f>
        <v>572.48</v>
      </c>
      <c r="AY14">
        <f>抽蓄水电!AY14+地方水电!AY14</f>
        <v>572.11</v>
      </c>
      <c r="AZ14">
        <f>抽蓄水电!AZ14+地方水电!AZ14</f>
        <v>572.23</v>
      </c>
      <c r="BA14">
        <f>抽蓄水电!BA14+地方水电!BA14</f>
        <v>574.06</v>
      </c>
      <c r="BB14">
        <f>抽蓄水电!BB14+地方水电!BB14</f>
        <v>574.04</v>
      </c>
      <c r="BC14">
        <f>抽蓄水电!BC14+地方水电!BC14</f>
        <v>505.28</v>
      </c>
      <c r="BD14">
        <f>抽蓄水电!BD14+地方水电!BD14</f>
        <v>505.75</v>
      </c>
      <c r="BE14">
        <f>抽蓄水电!BE14+地方水电!BE14</f>
        <v>505.53</v>
      </c>
      <c r="BF14">
        <f>抽蓄水电!BF14+地方水电!BF14</f>
        <v>509.9</v>
      </c>
      <c r="BG14">
        <f>抽蓄水电!BG14+地方水电!BG14</f>
        <v>470.73</v>
      </c>
      <c r="BH14">
        <f>抽蓄水电!BH14+地方水电!BH14</f>
        <v>470.85</v>
      </c>
      <c r="BI14">
        <f>抽蓄水电!BI14+地方水电!BI14</f>
        <v>470.84</v>
      </c>
      <c r="BJ14">
        <f>抽蓄水电!BJ14+地方水电!BJ14</f>
        <v>471.25</v>
      </c>
      <c r="BK14">
        <f>抽蓄水电!BK14+地方水电!BK14</f>
        <v>407.85</v>
      </c>
      <c r="BL14">
        <f>抽蓄水电!BL14+地方水电!BL14</f>
        <v>409.33</v>
      </c>
      <c r="BM14">
        <f>抽蓄水电!BM14+地方水电!BM14</f>
        <v>411.36</v>
      </c>
      <c r="BN14">
        <f>抽蓄水电!BN14+地方水电!BN14</f>
        <v>411.58</v>
      </c>
      <c r="BO14">
        <f>抽蓄水电!BO14+地方水电!BO14</f>
        <v>412.59</v>
      </c>
      <c r="BP14">
        <f>抽蓄水电!BP14+地方水电!BP14</f>
        <v>414.1</v>
      </c>
      <c r="BQ14">
        <f>抽蓄水电!BQ14+地方水电!BQ14</f>
        <v>414.19</v>
      </c>
      <c r="BR14">
        <f>抽蓄水电!BR14+地方水电!BR14</f>
        <v>414.22</v>
      </c>
      <c r="BS14">
        <f>抽蓄水电!BS14+地方水电!BS14</f>
        <v>414.46</v>
      </c>
      <c r="BT14">
        <f>抽蓄水电!BT14+地方水电!BT14</f>
        <v>417.17</v>
      </c>
      <c r="BU14">
        <f>抽蓄水电!BU14+地方水电!BU14</f>
        <v>417.02</v>
      </c>
      <c r="BV14">
        <f>抽蓄水电!BV14+地方水电!BV14</f>
        <v>416.82</v>
      </c>
      <c r="BW14">
        <f>抽蓄水电!BW14+地方水电!BW14</f>
        <v>417.29</v>
      </c>
      <c r="BX14">
        <f>抽蓄水电!BX14+地方水电!BX14</f>
        <v>417.02</v>
      </c>
      <c r="BY14">
        <f>抽蓄水电!BY14+地方水电!BY14</f>
        <v>417</v>
      </c>
      <c r="BZ14">
        <f>抽蓄水电!BZ14+地方水电!BZ14</f>
        <v>417.11</v>
      </c>
      <c r="CA14">
        <f>抽蓄水电!CA14+地方水电!CA14</f>
        <v>417.25</v>
      </c>
      <c r="CB14">
        <f>抽蓄水电!CB14+地方水电!CB14</f>
        <v>417.2</v>
      </c>
      <c r="CC14">
        <f>抽蓄水电!CC14+地方水电!CC14</f>
        <v>417.38</v>
      </c>
      <c r="CD14">
        <f>抽蓄水电!CD14+地方水电!CD14</f>
        <v>417.06</v>
      </c>
      <c r="CE14">
        <f>抽蓄水电!CE14+地方水电!CE14</f>
        <v>420.09</v>
      </c>
      <c r="CF14">
        <f>抽蓄水电!CF14+地方水电!CF14</f>
        <v>419.98</v>
      </c>
      <c r="CG14">
        <f>抽蓄水电!CG14+地方水电!CG14</f>
        <v>420.12</v>
      </c>
      <c r="CH14">
        <f>抽蓄水电!CH14+地方水电!CH14</f>
        <v>420.31</v>
      </c>
      <c r="CI14">
        <f>抽蓄水电!CI14+地方水电!CI14</f>
        <v>420.18</v>
      </c>
      <c r="CJ14">
        <f>抽蓄水电!CJ14+地方水电!CJ14</f>
        <v>419.97</v>
      </c>
      <c r="CK14">
        <f>抽蓄水电!CK14+地方水电!CK14</f>
        <v>419.96</v>
      </c>
      <c r="CL14">
        <f>抽蓄水电!CL14+地方水电!CL14</f>
        <v>420.08</v>
      </c>
      <c r="CM14">
        <f>抽蓄水电!CM14+地方水电!CM14</f>
        <v>420.09</v>
      </c>
      <c r="CN14">
        <f>抽蓄水电!CN14+地方水电!CN14</f>
        <v>420.19</v>
      </c>
      <c r="CO14">
        <f>抽蓄水电!CO14+地方水电!CO14</f>
        <v>419.94</v>
      </c>
      <c r="CP14">
        <f>抽蓄水电!CP14+地方水电!CP14</f>
        <v>419.98</v>
      </c>
      <c r="CQ14">
        <f>抽蓄水电!CQ14+地方水电!CQ14</f>
        <v>419.93</v>
      </c>
      <c r="CR14">
        <f>抽蓄水电!CR14+地方水电!CR14</f>
        <v>420.1</v>
      </c>
      <c r="CS14">
        <f>抽蓄水电!CS14+地方水电!CS14</f>
        <v>419.92</v>
      </c>
    </row>
    <row r="15" spans="1:97">
      <c r="A15" s="9">
        <v>46248</v>
      </c>
      <c r="B15">
        <f>抽蓄水电!B15+地方水电!B15</f>
        <v>526.25</v>
      </c>
      <c r="C15">
        <f>抽蓄水电!C15+地方水电!C15</f>
        <v>526.25</v>
      </c>
      <c r="D15">
        <f>抽蓄水电!D15+地方水电!D15</f>
        <v>525.18</v>
      </c>
      <c r="E15">
        <f>抽蓄水电!E15+地方水电!E15</f>
        <v>524.03</v>
      </c>
      <c r="F15">
        <f>抽蓄水电!F15+地方水电!F15</f>
        <v>525.38</v>
      </c>
      <c r="G15">
        <f>抽蓄水电!G15+地方水电!G15</f>
        <v>525.29</v>
      </c>
      <c r="H15">
        <f>抽蓄水电!H15+地方水电!H15</f>
        <v>525.15</v>
      </c>
      <c r="I15">
        <f>抽蓄水电!I15+地方水电!I15</f>
        <v>525.24</v>
      </c>
      <c r="J15">
        <f>抽蓄水电!J15+地方水电!J15</f>
        <v>525.18</v>
      </c>
      <c r="K15">
        <f>抽蓄水电!K15+地方水电!K15</f>
        <v>525.16</v>
      </c>
      <c r="L15">
        <f>抽蓄水电!L15+地方水电!L15</f>
        <v>525.32</v>
      </c>
      <c r="M15">
        <f>抽蓄水电!M15+地方水电!M15</f>
        <v>524.38</v>
      </c>
      <c r="N15">
        <f>抽蓄水电!N15+地方水电!N15</f>
        <v>584.99</v>
      </c>
      <c r="O15">
        <f>抽蓄水电!O15+地方水电!O15</f>
        <v>585.25</v>
      </c>
      <c r="P15">
        <f>抽蓄水电!P15+地方水电!P15</f>
        <v>585.26</v>
      </c>
      <c r="Q15">
        <f>抽蓄水电!Q15+地方水电!Q15</f>
        <v>585.06</v>
      </c>
      <c r="R15">
        <f>抽蓄水电!R15+地方水电!R15</f>
        <v>583.88</v>
      </c>
      <c r="S15">
        <f>抽蓄水电!S15+地方水电!S15</f>
        <v>583.86</v>
      </c>
      <c r="T15">
        <f>抽蓄水电!T15+地方水电!T15</f>
        <v>583.64</v>
      </c>
      <c r="U15">
        <f>抽蓄水电!U15+地方水电!U15</f>
        <v>583.8</v>
      </c>
      <c r="V15">
        <f>抽蓄水电!V15+地方水电!V15</f>
        <v>583.87</v>
      </c>
      <c r="W15">
        <f>抽蓄水电!W15+地方水电!W15</f>
        <v>583.3</v>
      </c>
      <c r="X15">
        <f>抽蓄水电!X15+地方水电!X15</f>
        <v>582.88</v>
      </c>
      <c r="Y15">
        <f>抽蓄水电!Y15+地方水电!Y15</f>
        <v>581.15</v>
      </c>
      <c r="Z15">
        <f>抽蓄水电!Z15+地方水电!Z15</f>
        <v>581.41</v>
      </c>
      <c r="AA15">
        <f>抽蓄水电!AA15+地方水电!AA15</f>
        <v>581.74</v>
      </c>
      <c r="AB15">
        <f>抽蓄水电!AB15+地方水电!AB15</f>
        <v>581.82</v>
      </c>
      <c r="AC15">
        <f>抽蓄水电!AC15+地方水电!AC15</f>
        <v>580.68</v>
      </c>
      <c r="AD15">
        <f>抽蓄水电!AD15+地方水电!AD15</f>
        <v>580.52</v>
      </c>
      <c r="AE15">
        <f>抽蓄水电!AE15+地方水电!AE15</f>
        <v>580.73</v>
      </c>
      <c r="AF15">
        <f>抽蓄水电!AF15+地方水电!AF15</f>
        <v>580.82</v>
      </c>
      <c r="AG15">
        <f>抽蓄水电!AG15+地方水电!AG15</f>
        <v>519.61</v>
      </c>
      <c r="AH15">
        <f>抽蓄水电!AH15+地方水电!AH15</f>
        <v>519.29</v>
      </c>
      <c r="AI15">
        <f>抽蓄水电!AI15+地方水电!AI15</f>
        <v>519.18</v>
      </c>
      <c r="AJ15">
        <f>抽蓄水电!AJ15+地方水电!AJ15</f>
        <v>519.17</v>
      </c>
      <c r="AK15">
        <f>抽蓄水电!AK15+地方水电!AK15</f>
        <v>519.72</v>
      </c>
      <c r="AL15">
        <f>抽蓄水电!AL15+地方水电!AL15</f>
        <v>519.78</v>
      </c>
      <c r="AM15">
        <f>抽蓄水电!AM15+地方水电!AM15</f>
        <v>519.63</v>
      </c>
      <c r="AN15">
        <f>抽蓄水电!AN15+地方水电!AN15</f>
        <v>519.55</v>
      </c>
      <c r="AO15">
        <f>抽蓄水电!AO15+地方水电!AO15</f>
        <v>127.6</v>
      </c>
      <c r="AP15">
        <f>抽蓄水电!AP15+地方水电!AP15</f>
        <v>125.39</v>
      </c>
      <c r="AQ15">
        <f>抽蓄水电!AQ15+地方水电!AQ15</f>
        <v>516.29</v>
      </c>
      <c r="AR15">
        <f>抽蓄水电!AR15+地方水电!AR15</f>
        <v>516.16</v>
      </c>
      <c r="AS15">
        <f>抽蓄水电!AS15+地方水电!AS15</f>
        <v>124.01</v>
      </c>
      <c r="AT15">
        <f>抽蓄水电!AT15+地方水电!AT15</f>
        <v>124.28</v>
      </c>
      <c r="AU15">
        <f>抽蓄水电!AU15+地方水电!AU15</f>
        <v>124.31</v>
      </c>
      <c r="AV15">
        <f>抽蓄水电!AV15+地方水电!AV15</f>
        <v>124.07</v>
      </c>
      <c r="AW15">
        <f>抽蓄水电!AW15+地方水电!AW15</f>
        <v>125.54</v>
      </c>
      <c r="AX15">
        <f>抽蓄水电!AX15+地方水电!AX15</f>
        <v>578.11</v>
      </c>
      <c r="AY15">
        <f>抽蓄水电!AY15+地方水电!AY15</f>
        <v>578.09</v>
      </c>
      <c r="AZ15">
        <f>抽蓄水电!AZ15+地方水电!AZ15</f>
        <v>578.18</v>
      </c>
      <c r="BA15">
        <f>抽蓄水电!BA15+地方水电!BA15</f>
        <v>580.18</v>
      </c>
      <c r="BB15">
        <f>抽蓄水电!BB15+地方水电!BB15</f>
        <v>580.16</v>
      </c>
      <c r="BC15">
        <f>抽蓄水电!BC15+地方水电!BC15</f>
        <v>511.39</v>
      </c>
      <c r="BD15">
        <f>抽蓄水电!BD15+地方水电!BD15</f>
        <v>511.16</v>
      </c>
      <c r="BE15">
        <f>抽蓄水电!BE15+地方水电!BE15</f>
        <v>510.75</v>
      </c>
      <c r="BF15">
        <f>抽蓄水电!BF15+地方水电!BF15</f>
        <v>512.11</v>
      </c>
      <c r="BG15">
        <f>抽蓄水电!BG15+地方水电!BG15</f>
        <v>471.99</v>
      </c>
      <c r="BH15">
        <f>抽蓄水电!BH15+地方水电!BH15</f>
        <v>472.01</v>
      </c>
      <c r="BI15">
        <f>抽蓄水电!BI15+地方水电!BI15</f>
        <v>471.67</v>
      </c>
      <c r="BJ15">
        <f>抽蓄水电!BJ15+地方水电!BJ15</f>
        <v>471.04</v>
      </c>
      <c r="BK15">
        <f>抽蓄水电!BK15+地方水电!BK15</f>
        <v>470.2</v>
      </c>
      <c r="BL15">
        <f>抽蓄水电!BL15+地方水电!BL15</f>
        <v>471.76</v>
      </c>
      <c r="BM15">
        <f>抽蓄水电!BM15+地方水电!BM15</f>
        <v>473.51</v>
      </c>
      <c r="BN15">
        <f>抽蓄水电!BN15+地方水电!BN15</f>
        <v>473.13</v>
      </c>
      <c r="BO15">
        <f>抽蓄水电!BO15+地方水电!BO15</f>
        <v>472.22</v>
      </c>
      <c r="BP15">
        <f>抽蓄水电!BP15+地方水电!BP15</f>
        <v>472.81</v>
      </c>
      <c r="BQ15">
        <f>抽蓄水电!BQ15+地方水电!BQ15</f>
        <v>473</v>
      </c>
      <c r="BR15">
        <f>抽蓄水电!BR15+地方水电!BR15</f>
        <v>452.41</v>
      </c>
      <c r="BS15">
        <f>抽蓄水电!BS15+地方水电!BS15</f>
        <v>452.08</v>
      </c>
      <c r="BT15">
        <f>抽蓄水电!BT15+地方水电!BT15</f>
        <v>453.34</v>
      </c>
      <c r="BU15">
        <f>抽蓄水电!BU15+地方水电!BU15</f>
        <v>450.52</v>
      </c>
      <c r="BV15">
        <f>抽蓄水电!BV15+地方水电!BV15</f>
        <v>408.42</v>
      </c>
      <c r="BW15">
        <f>抽蓄水电!BW15+地方水电!BW15</f>
        <v>408.88</v>
      </c>
      <c r="BX15">
        <f>抽蓄水电!BX15+地方水电!BX15</f>
        <v>408.66</v>
      </c>
      <c r="BY15">
        <f>抽蓄水电!BY15+地方水电!BY15</f>
        <v>408.46</v>
      </c>
      <c r="BZ15">
        <f>抽蓄水电!BZ15+地方水电!BZ15</f>
        <v>408.45</v>
      </c>
      <c r="CA15">
        <f>抽蓄水电!CA15+地方水电!CA15</f>
        <v>408.57</v>
      </c>
      <c r="CB15">
        <f>抽蓄水电!CB15+地方水电!CB15</f>
        <v>408.39</v>
      </c>
      <c r="CC15">
        <f>抽蓄水电!CC15+地方水电!CC15</f>
        <v>408.55</v>
      </c>
      <c r="CD15">
        <f>抽蓄水电!CD15+地方水电!CD15</f>
        <v>408.09</v>
      </c>
      <c r="CE15">
        <f>抽蓄水电!CE15+地方水电!CE15</f>
        <v>411.25</v>
      </c>
      <c r="CF15">
        <f>抽蓄水电!CF15+地方水电!CF15</f>
        <v>411.11</v>
      </c>
      <c r="CG15">
        <f>抽蓄水电!CG15+地方水电!CG15</f>
        <v>411.12</v>
      </c>
      <c r="CH15">
        <f>抽蓄水电!CH15+地方水电!CH15</f>
        <v>411.49</v>
      </c>
      <c r="CI15">
        <f>抽蓄水电!CI15+地方水电!CI15</f>
        <v>411.33</v>
      </c>
      <c r="CJ15">
        <f>抽蓄水电!CJ15+地方水电!CJ15</f>
        <v>410.87</v>
      </c>
      <c r="CK15">
        <f>抽蓄水电!CK15+地方水电!CK15</f>
        <v>411.09</v>
      </c>
      <c r="CL15">
        <f>抽蓄水电!CL15+地方水电!CL15</f>
        <v>411.08</v>
      </c>
      <c r="CM15">
        <f>抽蓄水电!CM15+地方水电!CM15</f>
        <v>411.28</v>
      </c>
      <c r="CN15">
        <f>抽蓄水电!CN15+地方水电!CN15</f>
        <v>411.17</v>
      </c>
      <c r="CO15">
        <f>抽蓄水电!CO15+地方水电!CO15</f>
        <v>410.82</v>
      </c>
      <c r="CP15">
        <f>抽蓄水电!CP15+地方水电!CP15</f>
        <v>410.57</v>
      </c>
      <c r="CQ15">
        <f>抽蓄水电!CQ15+地方水电!CQ15</f>
        <v>410.46</v>
      </c>
      <c r="CR15">
        <f>抽蓄水电!CR15+地方水电!CR15</f>
        <v>410.62</v>
      </c>
      <c r="CS15">
        <f>抽蓄水电!CS15+地方水电!CS15</f>
        <v>410.67</v>
      </c>
    </row>
    <row r="16" spans="1:97">
      <c r="A16" s="9">
        <v>46249</v>
      </c>
      <c r="B16">
        <f>抽蓄水电!B16+地方水电!B16</f>
        <v>468.99</v>
      </c>
      <c r="C16">
        <f>抽蓄水电!C16+地方水电!C16</f>
        <v>469.2</v>
      </c>
      <c r="D16">
        <f>抽蓄水电!D16+地方水电!D16</f>
        <v>469.3</v>
      </c>
      <c r="E16">
        <f>抽蓄水电!E16+地方水电!E16</f>
        <v>468.26</v>
      </c>
      <c r="F16">
        <f>抽蓄水电!F16+地方水电!F16</f>
        <v>469.41</v>
      </c>
      <c r="G16">
        <f>抽蓄水电!G16+地方水电!G16</f>
        <v>469.61</v>
      </c>
      <c r="H16">
        <f>抽蓄水电!H16+地方水电!H16</f>
        <v>469.32</v>
      </c>
      <c r="I16">
        <f>抽蓄水电!I16+地方水电!I16</f>
        <v>469.6</v>
      </c>
      <c r="J16">
        <f>抽蓄水电!J16+地方水电!J16</f>
        <v>469.42</v>
      </c>
      <c r="K16">
        <f>抽蓄水电!K16+地方水电!K16</f>
        <v>469.43</v>
      </c>
      <c r="L16">
        <f>抽蓄水电!L16+地方水电!L16</f>
        <v>469.51</v>
      </c>
      <c r="M16">
        <f>抽蓄水电!M16+地方水电!M16</f>
        <v>469.54</v>
      </c>
      <c r="N16">
        <f>抽蓄水电!N16+地方水电!N16</f>
        <v>469.16</v>
      </c>
      <c r="O16">
        <f>抽蓄水电!O16+地方水电!O16</f>
        <v>469.21</v>
      </c>
      <c r="P16">
        <f>抽蓄水电!P16+地方水电!P16</f>
        <v>469.41</v>
      </c>
      <c r="Q16">
        <f>抽蓄水电!Q16+地方水电!Q16</f>
        <v>469.24</v>
      </c>
      <c r="R16">
        <f>抽蓄水电!R16+地方水电!R16</f>
        <v>468.01</v>
      </c>
      <c r="S16">
        <f>抽蓄水电!S16+地方水电!S16</f>
        <v>467.96</v>
      </c>
      <c r="T16">
        <f>抽蓄水电!T16+地方水电!T16</f>
        <v>467.94</v>
      </c>
      <c r="U16">
        <f>抽蓄水电!U16+地方水电!U16</f>
        <v>467.92</v>
      </c>
      <c r="V16">
        <f>抽蓄水电!V16+地方水电!V16</f>
        <v>509.28</v>
      </c>
      <c r="W16">
        <f>抽蓄水电!W16+地方水电!W16</f>
        <v>508.73</v>
      </c>
      <c r="X16">
        <f>抽蓄水电!X16+地方水电!X16</f>
        <v>508.2</v>
      </c>
      <c r="Y16">
        <f>抽蓄水电!Y16+地方水电!Y16</f>
        <v>506.46</v>
      </c>
      <c r="Z16">
        <f>抽蓄水电!Z16+地方水电!Z16</f>
        <v>506.87</v>
      </c>
      <c r="AA16">
        <f>抽蓄水电!AA16+地方水电!AA16</f>
        <v>507.26</v>
      </c>
      <c r="AB16">
        <f>抽蓄水电!AB16+地方水电!AB16</f>
        <v>507.27</v>
      </c>
      <c r="AC16">
        <f>抽蓄水电!AC16+地方水电!AC16</f>
        <v>507.3</v>
      </c>
      <c r="AD16">
        <f>抽蓄水电!AD16+地方水电!AD16</f>
        <v>507.07</v>
      </c>
      <c r="AE16">
        <f>抽蓄水电!AE16+地方水电!AE16</f>
        <v>507.02</v>
      </c>
      <c r="AF16">
        <f>抽蓄水电!AF16+地方水电!AF16</f>
        <v>507.14</v>
      </c>
      <c r="AG16">
        <f>抽蓄水电!AG16+地方水电!AG16</f>
        <v>507.27</v>
      </c>
      <c r="AH16">
        <f>抽蓄水电!AH16+地方水电!AH16</f>
        <v>507.29</v>
      </c>
      <c r="AI16">
        <f>抽蓄水电!AI16+地方水电!AI16</f>
        <v>507.15</v>
      </c>
      <c r="AJ16">
        <f>抽蓄水电!AJ16+地方水电!AJ16</f>
        <v>512.37</v>
      </c>
      <c r="AK16">
        <f>抽蓄水电!AK16+地方水电!AK16</f>
        <v>512.37</v>
      </c>
      <c r="AL16">
        <f>抽蓄水电!AL16+地方水电!AL16</f>
        <v>449.43</v>
      </c>
      <c r="AM16">
        <f>抽蓄水电!AM16+地方水电!AM16</f>
        <v>449.44</v>
      </c>
      <c r="AN16">
        <f>抽蓄水电!AN16+地方水电!AN16</f>
        <v>449.54</v>
      </c>
      <c r="AO16">
        <f>抽蓄水电!AO16+地方水电!AO16</f>
        <v>449.68</v>
      </c>
      <c r="AP16">
        <f>抽蓄水电!AP16+地方水电!AP16</f>
        <v>449.8</v>
      </c>
      <c r="AQ16">
        <f>抽蓄水电!AQ16+地方水电!AQ16</f>
        <v>449.73</v>
      </c>
      <c r="AR16">
        <f>抽蓄水电!AR16+地方水电!AR16</f>
        <v>449.77</v>
      </c>
      <c r="AS16">
        <f>抽蓄水电!AS16+地方水电!AS16</f>
        <v>449.7</v>
      </c>
      <c r="AT16">
        <f>抽蓄水电!AT16+地方水电!AT16</f>
        <v>450.31</v>
      </c>
      <c r="AU16">
        <f>抽蓄水电!AU16+地方水电!AU16</f>
        <v>450.26</v>
      </c>
      <c r="AV16">
        <f>抽蓄水电!AV16+地方水电!AV16</f>
        <v>450.15</v>
      </c>
      <c r="AW16">
        <f>抽蓄水电!AW16+地方水电!AW16</f>
        <v>452.08</v>
      </c>
      <c r="AX16">
        <f>抽蓄水电!AX16+地方水电!AX16</f>
        <v>515.09</v>
      </c>
      <c r="AY16">
        <f>抽蓄水电!AY16+地方水电!AY16</f>
        <v>515.51</v>
      </c>
      <c r="AZ16">
        <f>抽蓄水电!AZ16+地方水电!AZ16</f>
        <v>515.69</v>
      </c>
      <c r="BA16">
        <f>抽蓄水电!BA16+地方水电!BA16</f>
        <v>517.85</v>
      </c>
      <c r="BB16">
        <f>抽蓄水电!BB16+地方水电!BB16</f>
        <v>517.83</v>
      </c>
      <c r="BC16">
        <f>抽蓄水电!BC16+地方水电!BC16</f>
        <v>517.88</v>
      </c>
      <c r="BD16">
        <f>抽蓄水电!BD16+地方水电!BD16</f>
        <v>516.36</v>
      </c>
      <c r="BE16">
        <f>抽蓄水电!BE16+地方水电!BE16</f>
        <v>516.63</v>
      </c>
      <c r="BF16">
        <f>抽蓄水电!BF16+地方水电!BF16</f>
        <v>517.92</v>
      </c>
      <c r="BG16">
        <f>抽蓄水电!BG16+地方水电!BG16</f>
        <v>517.84</v>
      </c>
      <c r="BH16">
        <f>抽蓄水电!BH16+地方水电!BH16</f>
        <v>517.69</v>
      </c>
      <c r="BI16">
        <f>抽蓄水电!BI16+地方水电!BI16</f>
        <v>583.52</v>
      </c>
      <c r="BJ16">
        <f>抽蓄水电!BJ16+地方水电!BJ16</f>
        <v>582.61</v>
      </c>
      <c r="BK16">
        <f>抽蓄水电!BK16+地方水电!BK16</f>
        <v>581.73</v>
      </c>
      <c r="BL16">
        <f>抽蓄水电!BL16+地方水电!BL16</f>
        <v>581.75</v>
      </c>
      <c r="BM16">
        <f>抽蓄水电!BM16+地方水电!BM16</f>
        <v>581.77</v>
      </c>
      <c r="BN16">
        <f>抽蓄水电!BN16+地方水电!BN16</f>
        <v>581.35</v>
      </c>
      <c r="BO16">
        <f>抽蓄水电!BO16+地方水电!BO16</f>
        <v>579.35</v>
      </c>
      <c r="BP16">
        <f>抽蓄水电!BP16+地方水电!BP16</f>
        <v>579</v>
      </c>
      <c r="BQ16">
        <f>抽蓄水电!BQ16+地方水电!BQ16</f>
        <v>578.81</v>
      </c>
      <c r="BR16">
        <f>抽蓄水电!BR16+地方水电!BR16</f>
        <v>577.12</v>
      </c>
      <c r="BS16">
        <f>抽蓄水电!BS16+地方水电!BS16</f>
        <v>576.69</v>
      </c>
      <c r="BT16">
        <f>抽蓄水电!BT16+地方水电!BT16</f>
        <v>576.91</v>
      </c>
      <c r="BU16">
        <f>抽蓄水电!BU16+地方水电!BU16</f>
        <v>574.05</v>
      </c>
      <c r="BV16">
        <f>抽蓄水电!BV16+地方水电!BV16</f>
        <v>573.83</v>
      </c>
      <c r="BW16">
        <f>抽蓄水电!BW16+地方水电!BW16</f>
        <v>574.17</v>
      </c>
      <c r="BX16">
        <f>抽蓄水电!BX16+地方水电!BX16</f>
        <v>574.25</v>
      </c>
      <c r="BY16">
        <f>抽蓄水电!BY16+地方水电!BY16</f>
        <v>574.08</v>
      </c>
      <c r="BZ16">
        <f>抽蓄水电!BZ16+地方水电!BZ16</f>
        <v>573.78</v>
      </c>
      <c r="CA16">
        <f>抽蓄水电!CA16+地方水电!CA16</f>
        <v>573.78</v>
      </c>
      <c r="CB16">
        <f>抽蓄水电!CB16+地方水电!CB16</f>
        <v>573.78</v>
      </c>
      <c r="CC16">
        <f>抽蓄水电!CC16+地方水电!CC16</f>
        <v>573.89</v>
      </c>
      <c r="CD16">
        <f>抽蓄水电!CD16+地方水电!CD16</f>
        <v>510.63</v>
      </c>
      <c r="CE16">
        <f>抽蓄水电!CE16+地方水电!CE16</f>
        <v>510.84</v>
      </c>
      <c r="CF16">
        <f>抽蓄水电!CF16+地方水电!CF16</f>
        <v>510.73</v>
      </c>
      <c r="CG16">
        <f>抽蓄水电!CG16+地方水电!CG16</f>
        <v>510.58</v>
      </c>
      <c r="CH16">
        <f>抽蓄水电!CH16+地方水电!CH16</f>
        <v>510.78</v>
      </c>
      <c r="CI16">
        <f>抽蓄水电!CI16+地方水电!CI16</f>
        <v>510.79</v>
      </c>
      <c r="CJ16">
        <f>抽蓄水电!CJ16+地方水电!CJ16</f>
        <v>510.56</v>
      </c>
      <c r="CK16">
        <f>抽蓄水电!CK16+地方水电!CK16</f>
        <v>510.41</v>
      </c>
      <c r="CL16">
        <f>抽蓄水电!CL16+地方水电!CL16</f>
        <v>510.43</v>
      </c>
      <c r="CM16">
        <f>抽蓄水电!CM16+地方水电!CM16</f>
        <v>510.69</v>
      </c>
      <c r="CN16">
        <f>抽蓄水电!CN16+地方水电!CN16</f>
        <v>510.39</v>
      </c>
      <c r="CO16">
        <f>抽蓄水电!CO16+地方水电!CO16</f>
        <v>443.61</v>
      </c>
      <c r="CP16">
        <f>抽蓄水电!CP16+地方水电!CP16</f>
        <v>443.03</v>
      </c>
      <c r="CQ16">
        <f>抽蓄水电!CQ16+地方水电!CQ16</f>
        <v>442.79</v>
      </c>
      <c r="CR16">
        <f>抽蓄水电!CR16+地方水电!CR16</f>
        <v>443.21</v>
      </c>
      <c r="CS16">
        <f>抽蓄水电!CS16+地方水电!CS16</f>
        <v>443.2</v>
      </c>
    </row>
    <row r="17" spans="1:97">
      <c r="A17" s="9">
        <v>46250</v>
      </c>
      <c r="B17">
        <f>抽蓄水电!B17+地方水电!B17</f>
        <v>525.81</v>
      </c>
      <c r="C17">
        <f>抽蓄水电!C17+地方水电!C17</f>
        <v>529</v>
      </c>
      <c r="D17">
        <f>抽蓄水电!D17+地方水电!D17</f>
        <v>529.15</v>
      </c>
      <c r="E17">
        <f>抽蓄水电!E17+地方水电!E17</f>
        <v>529.29</v>
      </c>
      <c r="F17">
        <f>抽蓄水电!F17+地方水电!F17</f>
        <v>570.27</v>
      </c>
      <c r="G17">
        <f>抽蓄水电!G17+地方水电!G17</f>
        <v>570.47</v>
      </c>
      <c r="H17">
        <f>抽蓄水电!H17+地方水电!H17</f>
        <v>570.23</v>
      </c>
      <c r="I17">
        <f>抽蓄水电!I17+地方水电!I17</f>
        <v>570.56</v>
      </c>
      <c r="J17">
        <f>抽蓄水电!J17+地方水电!J17</f>
        <v>570.5</v>
      </c>
      <c r="K17">
        <f>抽蓄水电!K17+地方水电!K17</f>
        <v>570.4</v>
      </c>
      <c r="L17">
        <f>抽蓄水电!L17+地方水电!L17</f>
        <v>570.6</v>
      </c>
      <c r="M17">
        <f>抽蓄水电!M17+地方水电!M17</f>
        <v>570.75</v>
      </c>
      <c r="N17">
        <f>抽蓄水电!N17+地方水电!N17</f>
        <v>570.56</v>
      </c>
      <c r="O17">
        <f>抽蓄水电!O17+地方水电!O17</f>
        <v>570.53</v>
      </c>
      <c r="P17">
        <f>抽蓄水电!P17+地方水电!P17</f>
        <v>570.94</v>
      </c>
      <c r="Q17">
        <f>抽蓄水电!Q17+地方水电!Q17</f>
        <v>570.97</v>
      </c>
      <c r="R17">
        <f>抽蓄水电!R17+地方水电!R17</f>
        <v>570.47</v>
      </c>
      <c r="S17">
        <f>抽蓄水电!S17+地方水电!S17</f>
        <v>570.32</v>
      </c>
      <c r="T17">
        <f>抽蓄水电!T17+地方水电!T17</f>
        <v>570.62</v>
      </c>
      <c r="U17">
        <f>抽蓄水电!U17+地方水电!U17</f>
        <v>570.38</v>
      </c>
      <c r="V17">
        <f>抽蓄水电!V17+地方水电!V17</f>
        <v>570.94</v>
      </c>
      <c r="W17">
        <f>抽蓄水电!W17+地方水电!W17</f>
        <v>570.72</v>
      </c>
      <c r="X17">
        <f>抽蓄水电!X17+地方水电!X17</f>
        <v>570.37</v>
      </c>
      <c r="Y17">
        <f>抽蓄水电!Y17+地方水电!Y17</f>
        <v>569.89</v>
      </c>
      <c r="Z17">
        <f>抽蓄水电!Z17+地方水电!Z17</f>
        <v>570.62</v>
      </c>
      <c r="AA17">
        <f>抽蓄水电!AA17+地方水电!AA17</f>
        <v>570.97</v>
      </c>
      <c r="AB17">
        <f>抽蓄水电!AB17+地方水电!AB17</f>
        <v>570.78</v>
      </c>
      <c r="AC17">
        <f>抽蓄水电!AC17+地方水电!AC17</f>
        <v>568.38</v>
      </c>
      <c r="AD17">
        <f>抽蓄水电!AD17+地方水电!AD17</f>
        <v>567.97</v>
      </c>
      <c r="AE17">
        <f>抽蓄水电!AE17+地方水电!AE17</f>
        <v>567.95</v>
      </c>
      <c r="AF17">
        <f>抽蓄水电!AF17+地方水电!AF17</f>
        <v>568.07</v>
      </c>
      <c r="AG17">
        <f>抽蓄水电!AG17+地方水电!AG17</f>
        <v>568.28</v>
      </c>
      <c r="AH17">
        <f>抽蓄水电!AH17+地方水电!AH17</f>
        <v>529.31</v>
      </c>
      <c r="AI17">
        <f>抽蓄水电!AI17+地方水电!AI17</f>
        <v>529.4</v>
      </c>
      <c r="AJ17">
        <f>抽蓄水电!AJ17+地方水电!AJ17</f>
        <v>534.38</v>
      </c>
      <c r="AK17">
        <f>抽蓄水电!AK17+地方水电!AK17</f>
        <v>534.55</v>
      </c>
      <c r="AL17">
        <f>抽蓄水电!AL17+地方水电!AL17</f>
        <v>472.31</v>
      </c>
      <c r="AM17">
        <f>抽蓄水电!AM17+地方水电!AM17</f>
        <v>472.3</v>
      </c>
      <c r="AN17">
        <f>抽蓄水电!AN17+地方水电!AN17</f>
        <v>472.9</v>
      </c>
      <c r="AO17">
        <f>抽蓄水电!AO17+地方水电!AO17</f>
        <v>473.06</v>
      </c>
      <c r="AP17">
        <f>抽蓄水电!AP17+地方水电!AP17</f>
        <v>473.09</v>
      </c>
      <c r="AQ17">
        <f>抽蓄水电!AQ17+地方水电!AQ17</f>
        <v>472.85</v>
      </c>
      <c r="AR17">
        <f>抽蓄水电!AR17+地方水电!AR17</f>
        <v>473.03</v>
      </c>
      <c r="AS17">
        <f>抽蓄水电!AS17+地方水电!AS17</f>
        <v>473.08</v>
      </c>
      <c r="AT17">
        <f>抽蓄水电!AT17+地方水电!AT17</f>
        <v>473.09</v>
      </c>
      <c r="AU17">
        <f>抽蓄水电!AU17+地方水电!AU17</f>
        <v>472.84</v>
      </c>
      <c r="AV17">
        <f>抽蓄水电!AV17+地方水电!AV17</f>
        <v>471.97</v>
      </c>
      <c r="AW17">
        <f>抽蓄水电!AW17+地方水电!AW17</f>
        <v>469.22</v>
      </c>
      <c r="AX17">
        <f>抽蓄水电!AX17+地方水电!AX17</f>
        <v>464.05</v>
      </c>
      <c r="AY17">
        <f>抽蓄水电!AY17+地方水电!AY17</f>
        <v>463.4</v>
      </c>
      <c r="AZ17">
        <f>抽蓄水电!AZ17+地方水电!AZ17</f>
        <v>459.74</v>
      </c>
      <c r="BA17">
        <f>抽蓄水电!BA17+地方水电!BA17</f>
        <v>460.17</v>
      </c>
      <c r="BB17">
        <f>抽蓄水电!BB17+地方水电!BB17</f>
        <v>461.82</v>
      </c>
      <c r="BC17">
        <f>抽蓄水电!BC17+地方水电!BC17</f>
        <v>462.28</v>
      </c>
      <c r="BD17">
        <f>抽蓄水电!BD17+地方水电!BD17</f>
        <v>459.76</v>
      </c>
      <c r="BE17">
        <f>抽蓄水电!BE17+地方水电!BE17</f>
        <v>459.76</v>
      </c>
      <c r="BF17">
        <f>抽蓄水电!BF17+地方水电!BF17</f>
        <v>459.74</v>
      </c>
      <c r="BG17">
        <f>抽蓄水电!BG17+地方水电!BG17</f>
        <v>459.85</v>
      </c>
      <c r="BH17">
        <f>抽蓄水电!BH17+地方水电!BH17</f>
        <v>459.33</v>
      </c>
      <c r="BI17">
        <f>抽蓄水电!BI17+地方水电!BI17</f>
        <v>458.33</v>
      </c>
      <c r="BJ17">
        <f>抽蓄水电!BJ17+地方水电!BJ17</f>
        <v>458.48</v>
      </c>
      <c r="BK17">
        <f>抽蓄水电!BK17+地方水电!BK17</f>
        <v>457.95</v>
      </c>
      <c r="BL17">
        <f>抽蓄水电!BL17+地方水电!BL17</f>
        <v>458.06</v>
      </c>
      <c r="BM17">
        <f>抽蓄水电!BM17+地方水电!BM17</f>
        <v>457.82</v>
      </c>
      <c r="BN17">
        <f>抽蓄水电!BN17+地方水电!BN17</f>
        <v>457.5</v>
      </c>
      <c r="BO17">
        <f>抽蓄水电!BO17+地方水电!BO17</f>
        <v>455.55</v>
      </c>
      <c r="BP17">
        <f>抽蓄水电!BP17+地方水电!BP17</f>
        <v>455.17</v>
      </c>
      <c r="BQ17">
        <f>抽蓄水电!BQ17+地方水电!BQ17</f>
        <v>455</v>
      </c>
      <c r="BR17">
        <f>抽蓄水电!BR17+地方水电!BR17</f>
        <v>453.3</v>
      </c>
      <c r="BS17">
        <f>抽蓄水电!BS17+地方水电!BS17</f>
        <v>452.9</v>
      </c>
      <c r="BT17">
        <f>抽蓄水电!BT17+地方水电!BT17</f>
        <v>452.98</v>
      </c>
      <c r="BU17">
        <f>抽蓄水电!BU17+地方水电!BU17</f>
        <v>450.13</v>
      </c>
      <c r="BV17">
        <f>抽蓄水电!BV17+地方水电!BV17</f>
        <v>512.13</v>
      </c>
      <c r="BW17">
        <f>抽蓄水电!BW17+地方水电!BW17</f>
        <v>512.34</v>
      </c>
      <c r="BX17">
        <f>抽蓄水电!BX17+地方水电!BX17</f>
        <v>452.63</v>
      </c>
      <c r="BY17">
        <f>抽蓄水电!BY17+地方水电!BY17</f>
        <v>452.44</v>
      </c>
      <c r="BZ17">
        <f>抽蓄水电!BZ17+地方水电!BZ17</f>
        <v>452.08</v>
      </c>
      <c r="CA17">
        <f>抽蓄水电!CA17+地方水电!CA17</f>
        <v>452.16</v>
      </c>
      <c r="CB17">
        <f>抽蓄水电!CB17+地方水电!CB17</f>
        <v>451.98</v>
      </c>
      <c r="CC17">
        <f>抽蓄水电!CC17+地方水电!CC17</f>
        <v>452.05</v>
      </c>
      <c r="CD17">
        <f>抽蓄水电!CD17+地方水电!CD17</f>
        <v>451.51</v>
      </c>
      <c r="CE17">
        <f>抽蓄水电!CE17+地方水电!CE17</f>
        <v>451.71</v>
      </c>
      <c r="CF17">
        <f>抽蓄水电!CF17+地方水电!CF17</f>
        <v>451.52</v>
      </c>
      <c r="CG17">
        <f>抽蓄水电!CG17+地方水电!CG17</f>
        <v>451.44</v>
      </c>
      <c r="CH17">
        <f>抽蓄水电!CH17+地方水电!CH17</f>
        <v>389.55</v>
      </c>
      <c r="CI17">
        <f>抽蓄水电!CI17+地方水电!CI17</f>
        <v>389.51</v>
      </c>
      <c r="CJ17">
        <f>抽蓄水电!CJ17+地方水电!CJ17</f>
        <v>389.42</v>
      </c>
      <c r="CK17">
        <f>抽蓄水电!CK17+地方水电!CK17</f>
        <v>389.29</v>
      </c>
      <c r="CL17">
        <f>抽蓄水电!CL17+地方水电!CL17</f>
        <v>389.38</v>
      </c>
      <c r="CM17">
        <f>抽蓄水电!CM17+地方水电!CM17</f>
        <v>389.69</v>
      </c>
      <c r="CN17">
        <f>抽蓄水电!CN17+地方水电!CN17</f>
        <v>389.3</v>
      </c>
      <c r="CO17">
        <f>抽蓄水电!CO17+地方水电!CO17</f>
        <v>389.37</v>
      </c>
      <c r="CP17">
        <f>抽蓄水电!CP17+地方水电!CP17</f>
        <v>389.06</v>
      </c>
      <c r="CQ17">
        <f>抽蓄水电!CQ17+地方水电!CQ17</f>
        <v>388.86</v>
      </c>
      <c r="CR17">
        <f>抽蓄水电!CR17+地方水电!CR17</f>
        <v>389.04</v>
      </c>
      <c r="CS17">
        <f>抽蓄水电!CS17+地方水电!CS17</f>
        <v>389.02</v>
      </c>
    </row>
    <row r="18" spans="1:97">
      <c r="A18" s="9">
        <v>46251</v>
      </c>
      <c r="B18">
        <f>抽蓄水电!B18+地方水电!B18</f>
        <v>510.55</v>
      </c>
      <c r="C18">
        <f>抽蓄水电!C18+地方水电!C18</f>
        <v>516.54</v>
      </c>
      <c r="D18">
        <f>抽蓄水电!D18+地方水电!D18</f>
        <v>516.51</v>
      </c>
      <c r="E18">
        <f>抽蓄水电!E18+地方水电!E18</f>
        <v>516.64</v>
      </c>
      <c r="F18">
        <f>抽蓄水电!F18+地方水电!F18</f>
        <v>516.57</v>
      </c>
      <c r="G18">
        <f>抽蓄水电!G18+地方水电!G18</f>
        <v>516.83</v>
      </c>
      <c r="H18">
        <f>抽蓄水电!H18+地方水电!H18</f>
        <v>516.7</v>
      </c>
      <c r="I18">
        <f>抽蓄水电!I18+地方水电!I18</f>
        <v>516.88</v>
      </c>
      <c r="J18">
        <f>抽蓄水电!J18+地方水电!J18</f>
        <v>557.9</v>
      </c>
      <c r="K18">
        <f>抽蓄水电!K18+地方水电!K18</f>
        <v>557.73</v>
      </c>
      <c r="L18">
        <f>抽蓄水电!L18+地方水电!L18</f>
        <v>557.93</v>
      </c>
      <c r="M18">
        <f>抽蓄水电!M18+地方水电!M18</f>
        <v>557.97</v>
      </c>
      <c r="N18">
        <f>抽蓄水电!N18+地方水电!N18</f>
        <v>557.99</v>
      </c>
      <c r="O18">
        <f>抽蓄水电!O18+地方水电!O18</f>
        <v>557.95</v>
      </c>
      <c r="P18">
        <f>抽蓄水电!P18+地方水电!P18</f>
        <v>558.25</v>
      </c>
      <c r="Q18">
        <f>抽蓄水电!Q18+地方水电!Q18</f>
        <v>558.22</v>
      </c>
      <c r="R18">
        <f>抽蓄水电!R18+地方水电!R18</f>
        <v>557.72</v>
      </c>
      <c r="S18">
        <f>抽蓄水电!S18+地方水电!S18</f>
        <v>557.75</v>
      </c>
      <c r="T18">
        <f>抽蓄水电!T18+地方水电!T18</f>
        <v>558.06</v>
      </c>
      <c r="U18">
        <f>抽蓄水电!U18+地方水电!U18</f>
        <v>557.78</v>
      </c>
      <c r="V18">
        <f>抽蓄水电!V18+地方水电!V18</f>
        <v>558.12</v>
      </c>
      <c r="W18">
        <f>抽蓄水电!W18+地方水电!W18</f>
        <v>557.95</v>
      </c>
      <c r="X18">
        <f>抽蓄水电!X18+地方水电!X18</f>
        <v>558.13</v>
      </c>
      <c r="Y18">
        <f>抽蓄水电!Y18+地方水电!Y18</f>
        <v>557.8</v>
      </c>
      <c r="Z18">
        <f>抽蓄水电!Z18+地方水电!Z18</f>
        <v>558.05</v>
      </c>
      <c r="AA18">
        <f>抽蓄水电!AA18+地方水电!AA18</f>
        <v>558.67</v>
      </c>
      <c r="AB18">
        <f>抽蓄水电!AB18+地方水电!AB18</f>
        <v>558.34</v>
      </c>
      <c r="AC18">
        <f>抽蓄水电!AC18+地方水电!AC18</f>
        <v>555.93</v>
      </c>
      <c r="AD18">
        <f>抽蓄水电!AD18+地方水电!AD18</f>
        <v>555.64</v>
      </c>
      <c r="AE18">
        <f>抽蓄水电!AE18+地方水电!AE18</f>
        <v>555.42</v>
      </c>
      <c r="AF18">
        <f>抽蓄水电!AF18+地方水电!AF18</f>
        <v>554.98</v>
      </c>
      <c r="AG18">
        <f>抽蓄水电!AG18+地方水电!AG18</f>
        <v>555.11</v>
      </c>
      <c r="AH18">
        <f>抽蓄水电!AH18+地方水电!AH18</f>
        <v>516.3</v>
      </c>
      <c r="AI18">
        <f>抽蓄水电!AI18+地方水电!AI18</f>
        <v>516.21</v>
      </c>
      <c r="AJ18">
        <f>抽蓄水电!AJ18+地方水电!AJ18</f>
        <v>521.43</v>
      </c>
      <c r="AK18">
        <f>抽蓄水电!AK18+地方水电!AK18</f>
        <v>520.84</v>
      </c>
      <c r="AL18">
        <f>抽蓄水电!AL18+地方水电!AL18</f>
        <v>520.55</v>
      </c>
      <c r="AM18">
        <f>抽蓄水电!AM18+地方水电!AM18</f>
        <v>520.6</v>
      </c>
      <c r="AN18">
        <f>抽蓄水电!AN18+地方水电!AN18</f>
        <v>521.32</v>
      </c>
      <c r="AO18">
        <f>抽蓄水电!AO18+地方水电!AO18</f>
        <v>522.49</v>
      </c>
      <c r="AP18">
        <f>抽蓄水电!AP18+地方水电!AP18</f>
        <v>522.53</v>
      </c>
      <c r="AQ18">
        <f>抽蓄水电!AQ18+地方水电!AQ18</f>
        <v>522.2</v>
      </c>
      <c r="AR18">
        <f>抽蓄水电!AR18+地方水电!AR18</f>
        <v>522.67</v>
      </c>
      <c r="AS18">
        <f>抽蓄水电!AS18+地方水电!AS18</f>
        <v>522.5</v>
      </c>
      <c r="AT18">
        <f>抽蓄水电!AT18+地方水电!AT18</f>
        <v>460.36</v>
      </c>
      <c r="AU18">
        <f>抽蓄水电!AU18+地方水电!AU18</f>
        <v>460.21</v>
      </c>
      <c r="AV18">
        <f>抽蓄水电!AV18+地方水电!AV18</f>
        <v>459.1</v>
      </c>
      <c r="AW18">
        <f>抽蓄水电!AW18+地方水电!AW18</f>
        <v>455.1</v>
      </c>
      <c r="AX18">
        <f>抽蓄水电!AX18+地方水电!AX18</f>
        <v>449.53</v>
      </c>
      <c r="AY18">
        <f>抽蓄水电!AY18+地方水电!AY18</f>
        <v>448.6</v>
      </c>
      <c r="AZ18">
        <f>抽蓄水电!AZ18+地方水电!AZ18</f>
        <v>445.89</v>
      </c>
      <c r="BA18">
        <f>抽蓄水电!BA18+地方水电!BA18</f>
        <v>446.02</v>
      </c>
      <c r="BB18">
        <f>抽蓄水电!BB18+地方水电!BB18</f>
        <v>444.67</v>
      </c>
      <c r="BC18">
        <f>抽蓄水电!BC18+地方水电!BC18</f>
        <v>445.01</v>
      </c>
      <c r="BD18">
        <f>抽蓄水电!BD18+地方水电!BD18</f>
        <v>442.59</v>
      </c>
      <c r="BE18">
        <f>抽蓄水电!BE18+地方水电!BE18</f>
        <v>442.57</v>
      </c>
      <c r="BF18">
        <f>抽蓄水电!BF18+地方水电!BF18</f>
        <v>442.42</v>
      </c>
      <c r="BG18">
        <f>抽蓄水电!BG18+地方水电!BG18</f>
        <v>442.56</v>
      </c>
      <c r="BH18">
        <f>抽蓄水电!BH18+地方水电!BH18</f>
        <v>442.11</v>
      </c>
      <c r="BI18">
        <f>抽蓄水电!BI18+地方水电!BI18</f>
        <v>444.76</v>
      </c>
      <c r="BJ18">
        <f>抽蓄水电!BJ18+地方水电!BJ18</f>
        <v>445.53</v>
      </c>
      <c r="BK18">
        <f>抽蓄水电!BK18+地方水电!BK18</f>
        <v>445.35</v>
      </c>
      <c r="BL18">
        <f>抽蓄水电!BL18+地方水电!BL18</f>
        <v>445.15</v>
      </c>
      <c r="BM18">
        <f>抽蓄水电!BM18+地方水电!BM18</f>
        <v>445.18</v>
      </c>
      <c r="BN18">
        <f>抽蓄水电!BN18+地方水电!BN18</f>
        <v>445.49</v>
      </c>
      <c r="BO18">
        <f>抽蓄水电!BO18+地方水电!BO18</f>
        <v>446.15</v>
      </c>
      <c r="BP18">
        <f>抽蓄水电!BP18+地方水电!BP18</f>
        <v>446.32</v>
      </c>
      <c r="BQ18">
        <f>抽蓄水电!BQ18+地方水电!BQ18</f>
        <v>446.05</v>
      </c>
      <c r="BR18">
        <f>抽蓄水电!BR18+地方水电!BR18</f>
        <v>446.87</v>
      </c>
      <c r="BS18">
        <f>抽蓄水电!BS18+地方水电!BS18</f>
        <v>447.53</v>
      </c>
      <c r="BT18">
        <f>抽蓄水电!BT18+地方水电!BT18</f>
        <v>447.61</v>
      </c>
      <c r="BU18">
        <f>抽蓄水电!BU18+地方水电!BU18</f>
        <v>447.5</v>
      </c>
      <c r="BV18">
        <f>抽蓄水电!BV18+地方水电!BV18</f>
        <v>509.41</v>
      </c>
      <c r="BW18">
        <f>抽蓄水电!BW18+地方水电!BW18</f>
        <v>509.62</v>
      </c>
      <c r="BX18">
        <f>抽蓄水电!BX18+地方水电!BX18</f>
        <v>449.83</v>
      </c>
      <c r="BY18">
        <f>抽蓄水电!BY18+地方水电!BY18</f>
        <v>449.85</v>
      </c>
      <c r="BZ18">
        <f>抽蓄水电!BZ18+地方水电!BZ18</f>
        <v>449.62</v>
      </c>
      <c r="CA18">
        <f>抽蓄水电!CA18+地方水电!CA18</f>
        <v>449.72</v>
      </c>
      <c r="CB18">
        <f>抽蓄水电!CB18+地方水电!CB18</f>
        <v>449.68</v>
      </c>
      <c r="CC18">
        <f>抽蓄水电!CC18+地方水电!CC18</f>
        <v>449.76</v>
      </c>
      <c r="CD18">
        <f>抽蓄水电!CD18+地方水电!CD18</f>
        <v>449.42</v>
      </c>
      <c r="CE18">
        <f>抽蓄水电!CE18+地方水电!CE18</f>
        <v>449.52</v>
      </c>
      <c r="CF18">
        <f>抽蓄水电!CF18+地方水电!CF18</f>
        <v>449.45</v>
      </c>
      <c r="CG18">
        <f>抽蓄水电!CG18+地方水电!CG18</f>
        <v>449.48</v>
      </c>
      <c r="CH18">
        <f>抽蓄水电!CH18+地方水电!CH18</f>
        <v>387.45</v>
      </c>
      <c r="CI18">
        <f>抽蓄水电!CI18+地方水电!CI18</f>
        <v>387.5</v>
      </c>
      <c r="CJ18">
        <f>抽蓄水电!CJ18+地方水电!CJ18</f>
        <v>387.67</v>
      </c>
      <c r="CK18">
        <f>抽蓄水电!CK18+地方水电!CK18</f>
        <v>387.33</v>
      </c>
      <c r="CL18">
        <f>抽蓄水电!CL18+地方水电!CL18</f>
        <v>387.46</v>
      </c>
      <c r="CM18">
        <f>抽蓄水电!CM18+地方水电!CM18</f>
        <v>387.63</v>
      </c>
      <c r="CN18">
        <f>抽蓄水电!CN18+地方水电!CN18</f>
        <v>387.37</v>
      </c>
      <c r="CO18">
        <f>抽蓄水电!CO18+地方水电!CO18</f>
        <v>387.57</v>
      </c>
      <c r="CP18">
        <f>抽蓄水电!CP18+地方水电!CP18</f>
        <v>387.58</v>
      </c>
      <c r="CQ18">
        <f>抽蓄水电!CQ18+地方水电!CQ18</f>
        <v>387.4</v>
      </c>
      <c r="CR18">
        <f>抽蓄水电!CR18+地方水电!CR18</f>
        <v>387.55</v>
      </c>
      <c r="CS18">
        <f>抽蓄水电!CS18+地方水电!CS18</f>
        <v>387.33</v>
      </c>
    </row>
    <row r="19" spans="1:97">
      <c r="A19" s="9">
        <v>46252</v>
      </c>
      <c r="B19">
        <f>抽蓄水电!B19+地方水电!B19</f>
        <v>550.8</v>
      </c>
      <c r="C19">
        <f>抽蓄水电!C19+地方水电!C19</f>
        <v>556.08</v>
      </c>
      <c r="D19">
        <f>抽蓄水电!D19+地方水电!D19</f>
        <v>556.16</v>
      </c>
      <c r="E19">
        <f>抽蓄水电!E19+地方水电!E19</f>
        <v>556.27</v>
      </c>
      <c r="F19">
        <f>抽蓄水电!F19+地方水电!F19</f>
        <v>556.41</v>
      </c>
      <c r="G19">
        <f>抽蓄水电!G19+地方水电!G19</f>
        <v>556.36</v>
      </c>
      <c r="H19">
        <f>抽蓄水电!H19+地方水电!H19</f>
        <v>556.25</v>
      </c>
      <c r="I19">
        <f>抽蓄水电!I19+地方水电!I19</f>
        <v>556.45</v>
      </c>
      <c r="J19">
        <f>抽蓄水电!J19+地方水电!J19</f>
        <v>556.47</v>
      </c>
      <c r="K19">
        <f>抽蓄水电!K19+地方水电!K19</f>
        <v>556.24</v>
      </c>
      <c r="L19">
        <f>抽蓄水电!L19+地方水电!L19</f>
        <v>556.59</v>
      </c>
      <c r="M19">
        <f>抽蓄水电!M19+地方水电!M19</f>
        <v>556.39</v>
      </c>
      <c r="N19">
        <f>抽蓄水电!N19+地方水电!N19</f>
        <v>556.47</v>
      </c>
      <c r="O19">
        <f>抽蓄水电!O19+地方水电!O19</f>
        <v>556.65</v>
      </c>
      <c r="P19">
        <f>抽蓄水电!P19+地方水电!P19</f>
        <v>556.71</v>
      </c>
      <c r="Q19">
        <f>抽蓄水电!Q19+地方水电!Q19</f>
        <v>556.69</v>
      </c>
      <c r="R19">
        <f>抽蓄水电!R19+地方水电!R19</f>
        <v>556.35</v>
      </c>
      <c r="S19">
        <f>抽蓄水电!S19+地方水电!S19</f>
        <v>556.44</v>
      </c>
      <c r="T19">
        <f>抽蓄水电!T19+地方水电!T19</f>
        <v>556.57</v>
      </c>
      <c r="U19">
        <f>抽蓄水电!U19+地方水电!U19</f>
        <v>556.47</v>
      </c>
      <c r="V19">
        <f>抽蓄水电!V19+地方水电!V19</f>
        <v>556.62</v>
      </c>
      <c r="W19">
        <f>抽蓄水电!W19+地方水电!W19</f>
        <v>556.39</v>
      </c>
      <c r="X19">
        <f>抽蓄水电!X19+地方水电!X19</f>
        <v>556.58</v>
      </c>
      <c r="Y19">
        <f>抽蓄水电!Y19+地方水电!Y19</f>
        <v>556.36</v>
      </c>
      <c r="Z19">
        <f>抽蓄水电!Z19+地方水电!Z19</f>
        <v>494.54</v>
      </c>
      <c r="AA19">
        <f>抽蓄水电!AA19+地方水电!AA19</f>
        <v>495.09</v>
      </c>
      <c r="AB19">
        <f>抽蓄水电!AB19+地方水电!AB19</f>
        <v>494.91</v>
      </c>
      <c r="AC19">
        <f>抽蓄水电!AC19+地方水电!AC19</f>
        <v>492.21</v>
      </c>
      <c r="AD19">
        <f>抽蓄水电!AD19+地方水电!AD19</f>
        <v>492.08</v>
      </c>
      <c r="AE19">
        <f>抽蓄水电!AE19+地方水电!AE19</f>
        <v>492.07</v>
      </c>
      <c r="AF19">
        <f>抽蓄水电!AF19+地方水电!AF19</f>
        <v>491.63</v>
      </c>
      <c r="AG19">
        <f>抽蓄水电!AG19+地方水电!AG19</f>
        <v>491.51</v>
      </c>
      <c r="AH19">
        <f>抽蓄水电!AH19+地方水电!AH19</f>
        <v>553.79</v>
      </c>
      <c r="AI19">
        <f>抽蓄水电!AI19+地方水电!AI19</f>
        <v>553.72</v>
      </c>
      <c r="AJ19">
        <f>抽蓄水电!AJ19+地方水电!AJ19</f>
        <v>553.75</v>
      </c>
      <c r="AK19">
        <f>抽蓄水电!AK19+地方水电!AK19</f>
        <v>553.71</v>
      </c>
      <c r="AL19">
        <f>抽蓄水电!AL19+地方水电!AL19</f>
        <v>553.4</v>
      </c>
      <c r="AM19">
        <f>抽蓄水电!AM19+地方水电!AM19</f>
        <v>553.5</v>
      </c>
      <c r="AN19">
        <f>抽蓄水电!AN19+地方水电!AN19</f>
        <v>554.09</v>
      </c>
      <c r="AO19">
        <f>抽蓄水电!AO19+地方水电!AO19</f>
        <v>555.04</v>
      </c>
      <c r="AP19">
        <f>抽蓄水电!AP19+地方水电!AP19</f>
        <v>554.97</v>
      </c>
      <c r="AQ19">
        <f>抽蓄水电!AQ19+地方水电!AQ19</f>
        <v>554.84</v>
      </c>
      <c r="AR19">
        <f>抽蓄水电!AR19+地方水电!AR19</f>
        <v>555.05</v>
      </c>
      <c r="AS19">
        <f>抽蓄水电!AS19+地方水电!AS19</f>
        <v>554.94</v>
      </c>
      <c r="AT19">
        <f>抽蓄水电!AT19+地方水电!AT19</f>
        <v>554.52</v>
      </c>
      <c r="AU19">
        <f>抽蓄水电!AU19+地方水电!AU19</f>
        <v>554.5</v>
      </c>
      <c r="AV19">
        <f>抽蓄水电!AV19+地方水电!AV19</f>
        <v>553.31</v>
      </c>
      <c r="AW19">
        <f>抽蓄水电!AW19+地方水电!AW19</f>
        <v>548.97</v>
      </c>
      <c r="AX19">
        <f>抽蓄水电!AX19+地方水电!AX19</f>
        <v>543.62</v>
      </c>
      <c r="AY19">
        <f>抽蓄水电!AY19+地方水电!AY19</f>
        <v>503.6</v>
      </c>
      <c r="AZ19">
        <f>抽蓄水电!AZ19+地方水电!AZ19</f>
        <v>500.8</v>
      </c>
      <c r="BA19">
        <f>抽蓄水电!BA19+地方水电!BA19</f>
        <v>500.81</v>
      </c>
      <c r="BB19">
        <f>抽蓄水电!BB19+地方水电!BB19</f>
        <v>502.61</v>
      </c>
      <c r="BC19">
        <f>抽蓄水电!BC19+地方水电!BC19</f>
        <v>503.03</v>
      </c>
      <c r="BD19">
        <f>抽蓄水电!BD19+地方水电!BD19</f>
        <v>439.9</v>
      </c>
      <c r="BE19">
        <f>抽蓄水电!BE19+地方水电!BE19</f>
        <v>439.95</v>
      </c>
      <c r="BF19">
        <f>抽蓄水电!BF19+地方水电!BF19</f>
        <v>378.91</v>
      </c>
      <c r="BG19">
        <f>抽蓄水电!BG19+地方水电!BG19</f>
        <v>378.96</v>
      </c>
      <c r="BH19">
        <f>抽蓄水电!BH19+地方水电!BH19</f>
        <v>378.75</v>
      </c>
      <c r="BI19">
        <f>抽蓄水电!BI19+地方水电!BI19</f>
        <v>379.32</v>
      </c>
      <c r="BJ19">
        <f>抽蓄水电!BJ19+地方水电!BJ19</f>
        <v>380.28</v>
      </c>
      <c r="BK19">
        <f>抽蓄水电!BK19+地方水电!BK19</f>
        <v>380.23</v>
      </c>
      <c r="BL19">
        <f>抽蓄水电!BL19+地方水电!BL19</f>
        <v>380.17</v>
      </c>
      <c r="BM19">
        <f>抽蓄水电!BM19+地方水电!BM19</f>
        <v>380.16</v>
      </c>
      <c r="BN19">
        <f>抽蓄水电!BN19+地方水电!BN19</f>
        <v>380.4</v>
      </c>
      <c r="BO19">
        <f>抽蓄水电!BO19+地方水电!BO19</f>
        <v>381.14</v>
      </c>
      <c r="BP19">
        <f>抽蓄水电!BP19+地方水电!BP19</f>
        <v>381.3</v>
      </c>
      <c r="BQ19">
        <f>抽蓄水电!BQ19+地方水电!BQ19</f>
        <v>381.36</v>
      </c>
      <c r="BR19">
        <f>抽蓄水电!BR19+地方水电!BR19</f>
        <v>382.17</v>
      </c>
      <c r="BS19">
        <f>抽蓄水电!BS19+地方水电!BS19</f>
        <v>382.71</v>
      </c>
      <c r="BT19">
        <f>抽蓄水电!BT19+地方水电!BT19</f>
        <v>382.84</v>
      </c>
      <c r="BU19">
        <f>抽蓄水电!BU19+地方水电!BU19</f>
        <v>382.9</v>
      </c>
      <c r="BV19">
        <f>抽蓄水电!BV19+地方水电!BV19</f>
        <v>444.95</v>
      </c>
      <c r="BW19">
        <f>抽蓄水电!BW19+地方水电!BW19</f>
        <v>445.1</v>
      </c>
      <c r="BX19">
        <f>抽蓄水电!BX19+地方水电!BX19</f>
        <v>445.11</v>
      </c>
      <c r="BY19">
        <f>抽蓄水电!BY19+地方水电!BY19</f>
        <v>445.16</v>
      </c>
      <c r="BZ19">
        <f>抽蓄水电!BZ19+地方水电!BZ19</f>
        <v>445.17</v>
      </c>
      <c r="CA19">
        <f>抽蓄水电!CA19+地方水电!CA19</f>
        <v>445.14</v>
      </c>
      <c r="CB19">
        <f>抽蓄水电!CB19+地方水电!CB19</f>
        <v>445.08</v>
      </c>
      <c r="CC19">
        <f>抽蓄水电!CC19+地方水电!CC19</f>
        <v>444.93</v>
      </c>
      <c r="CD19">
        <f>抽蓄水电!CD19+地方水电!CD19</f>
        <v>444.48</v>
      </c>
      <c r="CE19">
        <f>抽蓄水电!CE19+地方水电!CE19</f>
        <v>444.36</v>
      </c>
      <c r="CF19">
        <f>抽蓄水电!CF19+地方水电!CF19</f>
        <v>443.28</v>
      </c>
      <c r="CG19">
        <f>抽蓄水电!CG19+地方水电!CG19</f>
        <v>443.25</v>
      </c>
      <c r="CH19">
        <f>抽蓄水电!CH19+地方水电!CH19</f>
        <v>381.33</v>
      </c>
      <c r="CI19">
        <f>抽蓄水电!CI19+地方水电!CI19</f>
        <v>380.85</v>
      </c>
      <c r="CJ19">
        <f>抽蓄水电!CJ19+地方水电!CJ19</f>
        <v>380.72</v>
      </c>
      <c r="CK19">
        <f>抽蓄水电!CK19+地方水电!CK19</f>
        <v>380.65</v>
      </c>
      <c r="CL19">
        <f>抽蓄水电!CL19+地方水电!CL19</f>
        <v>380.79</v>
      </c>
      <c r="CM19">
        <f>抽蓄水电!CM19+地方水电!CM19</f>
        <v>380.76</v>
      </c>
      <c r="CN19">
        <f>抽蓄水电!CN19+地方水电!CN19</f>
        <v>380.82</v>
      </c>
      <c r="CO19">
        <f>抽蓄水电!CO19+地方水电!CO19</f>
        <v>380.71</v>
      </c>
      <c r="CP19">
        <f>抽蓄水电!CP19+地方水电!CP19</f>
        <v>380.77</v>
      </c>
      <c r="CQ19">
        <f>抽蓄水电!CQ19+地方水电!CQ19</f>
        <v>380.7</v>
      </c>
      <c r="CR19">
        <f>抽蓄水电!CR19+地方水电!CR19</f>
        <v>380.61</v>
      </c>
      <c r="CS19">
        <f>抽蓄水电!CS19+地方水电!CS19</f>
        <v>380.17</v>
      </c>
    </row>
    <row r="20" spans="1:97">
      <c r="A20" s="9">
        <v>46253</v>
      </c>
      <c r="B20">
        <f>抽蓄水电!B20+地方水电!B20</f>
        <v>238.17</v>
      </c>
      <c r="C20">
        <f>抽蓄水电!C20+地方水电!C20</f>
        <v>240.55</v>
      </c>
      <c r="D20">
        <f>抽蓄水电!D20+地方水电!D20</f>
        <v>240.58</v>
      </c>
      <c r="E20">
        <f>抽蓄水电!E20+地方水电!E20</f>
        <v>240.72</v>
      </c>
      <c r="F20">
        <f>抽蓄水电!F20+地方水电!F20</f>
        <v>240.8</v>
      </c>
      <c r="G20">
        <f>抽蓄水电!G20+地方水电!G20</f>
        <v>240.82</v>
      </c>
      <c r="H20">
        <f>抽蓄水电!H20+地方水电!H20</f>
        <v>240.79</v>
      </c>
      <c r="I20">
        <f>抽蓄水电!I20+地方水电!I20</f>
        <v>240.88</v>
      </c>
      <c r="J20">
        <f>抽蓄水电!J20+地方水电!J20</f>
        <v>240.91</v>
      </c>
      <c r="K20">
        <f>抽蓄水电!K20+地方水电!K20</f>
        <v>241.02</v>
      </c>
      <c r="L20">
        <f>抽蓄水电!L20+地方水电!L20</f>
        <v>241.04</v>
      </c>
      <c r="M20">
        <f>抽蓄水电!M20+地方水电!M20</f>
        <v>241.12</v>
      </c>
      <c r="N20">
        <f>抽蓄水电!N20+地方水电!N20</f>
        <v>241.17</v>
      </c>
      <c r="O20">
        <f>抽蓄水电!O20+地方水电!O20</f>
        <v>241.36</v>
      </c>
      <c r="P20">
        <f>抽蓄水电!P20+地方水电!P20</f>
        <v>241.38</v>
      </c>
      <c r="Q20">
        <f>抽蓄水电!Q20+地方水电!Q20</f>
        <v>241.63</v>
      </c>
      <c r="R20">
        <f>抽蓄水电!R20+地方水电!R20</f>
        <v>241.63</v>
      </c>
      <c r="S20">
        <f>抽蓄水电!S20+地方水电!S20</f>
        <v>241.92</v>
      </c>
      <c r="T20">
        <f>抽蓄水电!T20+地方水电!T20</f>
        <v>243.81</v>
      </c>
      <c r="U20">
        <f>抽蓄水电!U20+地方水电!U20</f>
        <v>243.82</v>
      </c>
      <c r="V20">
        <f>抽蓄水电!V20+地方水电!V20</f>
        <v>243.86</v>
      </c>
      <c r="W20">
        <f>抽蓄水电!W20+地方水电!W20</f>
        <v>241.05</v>
      </c>
      <c r="X20">
        <f>抽蓄水电!X20+地方水电!X20</f>
        <v>241.15</v>
      </c>
      <c r="Y20">
        <f>抽蓄水电!Y20+地方水电!Y20</f>
        <v>241.12</v>
      </c>
      <c r="Z20">
        <f>抽蓄水电!Z20+地方水电!Z20</f>
        <v>178.02</v>
      </c>
      <c r="AA20">
        <f>抽蓄水电!AA20+地方水电!AA20</f>
        <v>178.34</v>
      </c>
      <c r="AB20">
        <f>抽蓄水电!AB20+地方水电!AB20</f>
        <v>177.49</v>
      </c>
      <c r="AC20">
        <f>抽蓄水电!AC20+地方水电!AC20</f>
        <v>177.48</v>
      </c>
      <c r="AD20">
        <f>抽蓄水电!AD20+地方水电!AD20</f>
        <v>177.17</v>
      </c>
      <c r="AE20">
        <f>抽蓄水电!AE20+地方水电!AE20</f>
        <v>178.07</v>
      </c>
      <c r="AF20">
        <f>抽蓄水电!AF20+地方水电!AF20</f>
        <v>179.41</v>
      </c>
      <c r="AG20">
        <f>抽蓄水电!AG20+地方水电!AG20</f>
        <v>179.35</v>
      </c>
      <c r="AH20">
        <f>抽蓄水电!AH20+地方水电!AH20</f>
        <v>143.5</v>
      </c>
      <c r="AI20">
        <f>抽蓄水电!AI20+地方水电!AI20</f>
        <v>104.4</v>
      </c>
      <c r="AJ20">
        <f>抽蓄水电!AJ20+地方水电!AJ20</f>
        <v>104.31</v>
      </c>
      <c r="AK20">
        <f>抽蓄水电!AK20+地方水电!AK20</f>
        <v>104.28</v>
      </c>
      <c r="AL20">
        <f>抽蓄水电!AL20+地方水电!AL20</f>
        <v>104.09</v>
      </c>
      <c r="AM20">
        <f>抽蓄水电!AM20+地方水电!AM20</f>
        <v>104.17</v>
      </c>
      <c r="AN20">
        <f>抽蓄水电!AN20+地方水电!AN20</f>
        <v>104.73</v>
      </c>
      <c r="AO20">
        <f>抽蓄水电!AO20+地方水电!AO20</f>
        <v>105.78</v>
      </c>
      <c r="AP20">
        <f>抽蓄水电!AP20+地方水电!AP20</f>
        <v>105.91</v>
      </c>
      <c r="AQ20">
        <f>抽蓄水电!AQ20+地方水电!AQ20</f>
        <v>105.76</v>
      </c>
      <c r="AR20">
        <f>抽蓄水电!AR20+地方水电!AR20</f>
        <v>105.8</v>
      </c>
      <c r="AS20">
        <f>抽蓄水电!AS20+地方水电!AS20</f>
        <v>105.71</v>
      </c>
      <c r="AT20">
        <f>抽蓄水电!AT20+地方水电!AT20</f>
        <v>105.64</v>
      </c>
      <c r="AU20">
        <f>抽蓄水电!AU20+地方水电!AU20</f>
        <v>105.54</v>
      </c>
      <c r="AV20">
        <f>抽蓄水电!AV20+地方水电!AV20</f>
        <v>105.31</v>
      </c>
      <c r="AW20">
        <f>抽蓄水电!AW20+地方水电!AW20</f>
        <v>104.24</v>
      </c>
      <c r="AX20">
        <f>抽蓄水电!AX20+地方水电!AX20</f>
        <v>104.46</v>
      </c>
      <c r="AY20">
        <f>抽蓄水电!AY20+地方水电!AY20</f>
        <v>104.45</v>
      </c>
      <c r="AZ20">
        <f>抽蓄水电!AZ20+地方水电!AZ20</f>
        <v>105.3</v>
      </c>
      <c r="BA20">
        <f>抽蓄水电!BA20+地方水电!BA20</f>
        <v>105.19</v>
      </c>
      <c r="BB20">
        <f>抽蓄水电!BB20+地方水电!BB20</f>
        <v>127.31</v>
      </c>
      <c r="BC20">
        <f>抽蓄水电!BC20+地方水电!BC20</f>
        <v>127.24</v>
      </c>
      <c r="BD20">
        <f>抽蓄水电!BD20+地方水电!BD20</f>
        <v>127.02</v>
      </c>
      <c r="BE20">
        <f>抽蓄水电!BE20+地方水电!BE20</f>
        <v>127.78</v>
      </c>
      <c r="BF20">
        <f>抽蓄水电!BF20+地方水电!BF20</f>
        <v>127.84</v>
      </c>
      <c r="BG20">
        <f>抽蓄水电!BG20+地方水电!BG20</f>
        <v>127.72</v>
      </c>
      <c r="BH20">
        <f>抽蓄水电!BH20+地方水电!BH20</f>
        <v>127.74</v>
      </c>
      <c r="BI20">
        <f>抽蓄水电!BI20+地方水电!BI20</f>
        <v>106.2</v>
      </c>
      <c r="BJ20">
        <f>抽蓄水电!BJ20+地方水电!BJ20</f>
        <v>106.78</v>
      </c>
      <c r="BK20">
        <f>抽蓄水电!BK20+地方水电!BK20</f>
        <v>106.64</v>
      </c>
      <c r="BL20">
        <f>抽蓄水电!BL20+地方水电!BL20</f>
        <v>106.43</v>
      </c>
      <c r="BM20">
        <f>抽蓄水电!BM20+地方水电!BM20</f>
        <v>106.42</v>
      </c>
      <c r="BN20">
        <f>抽蓄水电!BN20+地方水电!BN20</f>
        <v>106.71</v>
      </c>
      <c r="BO20">
        <f>抽蓄水电!BO20+地方水电!BO20</f>
        <v>107.4</v>
      </c>
      <c r="BP20">
        <f>抽蓄水电!BP20+地方水电!BP20</f>
        <v>173.6</v>
      </c>
      <c r="BQ20">
        <f>抽蓄水电!BQ20+地方水电!BQ20</f>
        <v>174.16</v>
      </c>
      <c r="BR20">
        <f>抽蓄水电!BR20+地方水电!BR20</f>
        <v>176.09</v>
      </c>
      <c r="BS20">
        <f>抽蓄水电!BS20+地方水电!BS20</f>
        <v>176.67</v>
      </c>
      <c r="BT20">
        <f>抽蓄水电!BT20+地方水电!BT20</f>
        <v>176.7</v>
      </c>
      <c r="BU20">
        <f>抽蓄水电!BU20+地方水电!BU20</f>
        <v>176.75</v>
      </c>
      <c r="BV20">
        <f>抽蓄水电!BV20+地方水电!BV20</f>
        <v>177.08</v>
      </c>
      <c r="BW20">
        <f>抽蓄水电!BW20+地方水电!BW20</f>
        <v>177.07</v>
      </c>
      <c r="BX20">
        <f>抽蓄水电!BX20+地方水电!BX20</f>
        <v>177.01</v>
      </c>
      <c r="BY20">
        <f>抽蓄水电!BY20+地方水电!BY20</f>
        <v>176.96</v>
      </c>
      <c r="BZ20">
        <f>抽蓄水电!BZ20+地方水电!BZ20</f>
        <v>177.09</v>
      </c>
      <c r="CA20">
        <f>抽蓄水电!CA20+地方水电!CA20</f>
        <v>176.97</v>
      </c>
      <c r="CB20">
        <f>抽蓄水电!CB20+地方水电!CB20</f>
        <v>177.01</v>
      </c>
      <c r="CC20">
        <f>抽蓄水电!CC20+地方水电!CC20</f>
        <v>176.81</v>
      </c>
      <c r="CD20">
        <f>抽蓄水电!CD20+地方水电!CD20</f>
        <v>176.81</v>
      </c>
      <c r="CE20">
        <f>抽蓄水电!CE20+地方水电!CE20</f>
        <v>110.66</v>
      </c>
      <c r="CF20">
        <f>抽蓄水电!CF20+地方水电!CF20</f>
        <v>109.57</v>
      </c>
      <c r="CG20">
        <f>抽蓄水电!CG20+地方水电!CG20</f>
        <v>109.64</v>
      </c>
      <c r="CH20">
        <f>抽蓄水电!CH20+地方水电!CH20</f>
        <v>109.69</v>
      </c>
      <c r="CI20">
        <f>抽蓄水电!CI20+地方水电!CI20</f>
        <v>109.21</v>
      </c>
      <c r="CJ20">
        <f>抽蓄水电!CJ20+地方水电!CJ20</f>
        <v>109.12</v>
      </c>
      <c r="CK20">
        <f>抽蓄水电!CK20+地方水电!CK20</f>
        <v>109.1</v>
      </c>
      <c r="CL20">
        <f>抽蓄水电!CL20+地方水电!CL20</f>
        <v>145.38</v>
      </c>
      <c r="CM20">
        <f>抽蓄水电!CM20+地方水电!CM20</f>
        <v>145.24</v>
      </c>
      <c r="CN20">
        <f>抽蓄水电!CN20+地方水电!CN20</f>
        <v>145.29</v>
      </c>
      <c r="CO20">
        <f>抽蓄水电!CO20+地方水电!CO20</f>
        <v>145.11</v>
      </c>
      <c r="CP20">
        <f>抽蓄水电!CP20+地方水电!CP20</f>
        <v>144.03</v>
      </c>
      <c r="CQ20">
        <f>抽蓄水电!CQ20+地方水电!CQ20</f>
        <v>144.03</v>
      </c>
      <c r="CR20">
        <f>抽蓄水电!CR20+地方水电!CR20</f>
        <v>144.04</v>
      </c>
      <c r="CS20">
        <f>抽蓄水电!CS20+地方水电!CS20</f>
        <v>143.52</v>
      </c>
    </row>
    <row r="21" spans="1:97">
      <c r="A21" s="9">
        <v>46254</v>
      </c>
      <c r="B21">
        <f>抽蓄水电!B21+地方水电!B21</f>
        <v>247.69</v>
      </c>
      <c r="C21">
        <f>抽蓄水电!C21+地方水电!C21</f>
        <v>247.34</v>
      </c>
      <c r="D21">
        <f>抽蓄水电!D21+地方水电!D21</f>
        <v>244.79</v>
      </c>
      <c r="E21">
        <f>抽蓄水电!E21+地方水电!E21</f>
        <v>244.96</v>
      </c>
      <c r="F21">
        <f>抽蓄水电!F21+地方水电!F21</f>
        <v>245.11</v>
      </c>
      <c r="G21">
        <f>抽蓄水电!G21+地方水电!G21</f>
        <v>245.19</v>
      </c>
      <c r="H21">
        <f>抽蓄水电!H21+地方水电!H21</f>
        <v>245.14</v>
      </c>
      <c r="I21">
        <f>抽蓄水电!I21+地方水电!I21</f>
        <v>245.25</v>
      </c>
      <c r="J21">
        <f>抽蓄水电!J21+地方水电!J21</f>
        <v>245.3</v>
      </c>
      <c r="K21">
        <f>抽蓄水电!K21+地方水电!K21</f>
        <v>245.34</v>
      </c>
      <c r="L21">
        <f>抽蓄水电!L21+地方水电!L21</f>
        <v>245.4</v>
      </c>
      <c r="M21">
        <f>抽蓄水电!M21+地方水电!M21</f>
        <v>245.5</v>
      </c>
      <c r="N21">
        <f>抽蓄水电!N21+地方水电!N21</f>
        <v>245.67</v>
      </c>
      <c r="O21">
        <f>抽蓄水电!O21+地方水电!O21</f>
        <v>245.76</v>
      </c>
      <c r="P21">
        <f>抽蓄水电!P21+地方水电!P21</f>
        <v>245.8</v>
      </c>
      <c r="Q21">
        <f>抽蓄水电!Q21+地方水电!Q21</f>
        <v>246.06</v>
      </c>
      <c r="R21">
        <f>抽蓄水电!R21+地方水电!R21</f>
        <v>246.08</v>
      </c>
      <c r="S21">
        <f>抽蓄水电!S21+地方水电!S21</f>
        <v>246.46</v>
      </c>
      <c r="T21">
        <f>抽蓄水电!T21+地方水电!T21</f>
        <v>248.34</v>
      </c>
      <c r="U21">
        <f>抽蓄水电!U21+地方水电!U21</f>
        <v>248.37</v>
      </c>
      <c r="V21">
        <f>抽蓄水电!V21+地方水电!V21</f>
        <v>248.53</v>
      </c>
      <c r="W21">
        <f>抽蓄水电!W21+地方水电!W21</f>
        <v>245.64</v>
      </c>
      <c r="X21">
        <f>抽蓄水电!X21+地方水电!X21</f>
        <v>245.74</v>
      </c>
      <c r="Y21">
        <f>抽蓄水电!Y21+地方水电!Y21</f>
        <v>245.83</v>
      </c>
      <c r="Z21">
        <f>抽蓄水电!Z21+地方水电!Z21</f>
        <v>245.66</v>
      </c>
      <c r="AA21">
        <f>抽蓄水电!AA21+地方水电!AA21</f>
        <v>245.49</v>
      </c>
      <c r="AB21">
        <f>抽蓄水电!AB21+地方水电!AB21</f>
        <v>180.75</v>
      </c>
      <c r="AC21">
        <f>抽蓄水电!AC21+地方水电!AC21</f>
        <v>180.75</v>
      </c>
      <c r="AD21">
        <f>抽蓄水电!AD21+地方水电!AD21</f>
        <v>180.64</v>
      </c>
      <c r="AE21">
        <f>抽蓄水电!AE21+地方水电!AE21</f>
        <v>181.03</v>
      </c>
      <c r="AF21">
        <f>抽蓄水电!AF21+地方水电!AF21</f>
        <v>182.99</v>
      </c>
      <c r="AG21">
        <f>抽蓄水电!AG21+地方水电!AG21</f>
        <v>183.07</v>
      </c>
      <c r="AH21">
        <f>抽蓄水电!AH21+地方水电!AH21</f>
        <v>147.27</v>
      </c>
      <c r="AI21">
        <f>抽蓄水电!AI21+地方水电!AI21</f>
        <v>108.6</v>
      </c>
      <c r="AJ21">
        <f>抽蓄水电!AJ21+地方水电!AJ21</f>
        <v>108.51</v>
      </c>
      <c r="AK21">
        <f>抽蓄水电!AK21+地方水电!AK21</f>
        <v>108.46</v>
      </c>
      <c r="AL21">
        <f>抽蓄水电!AL21+地方水电!AL21</f>
        <v>108.27</v>
      </c>
      <c r="AM21">
        <f>抽蓄水电!AM21+地方水电!AM21</f>
        <v>108.36</v>
      </c>
      <c r="AN21">
        <f>抽蓄水电!AN21+地方水电!AN21</f>
        <v>108.67</v>
      </c>
      <c r="AO21">
        <f>抽蓄水电!AO21+地方水电!AO21</f>
        <v>108.87</v>
      </c>
      <c r="AP21">
        <f>抽蓄水电!AP21+地方水电!AP21</f>
        <v>108.97</v>
      </c>
      <c r="AQ21">
        <f>抽蓄水电!AQ21+地方水电!AQ21</f>
        <v>108.83</v>
      </c>
      <c r="AR21">
        <f>抽蓄水电!AR21+地方水电!AR21</f>
        <v>108.81</v>
      </c>
      <c r="AS21">
        <f>抽蓄水电!AS21+地方水电!AS21</f>
        <v>108.84</v>
      </c>
      <c r="AT21">
        <f>抽蓄水电!AT21+地方水电!AT21</f>
        <v>109.11</v>
      </c>
      <c r="AU21">
        <f>抽蓄水电!AU21+地方水电!AU21</f>
        <v>108.96</v>
      </c>
      <c r="AV21">
        <f>抽蓄水电!AV21+地方水电!AV21</f>
        <v>109.13</v>
      </c>
      <c r="AW21">
        <f>抽蓄水电!AW21+地方水电!AW21</f>
        <v>108.96</v>
      </c>
      <c r="AX21">
        <f>抽蓄水电!AX21+地方水电!AX21</f>
        <v>109.19</v>
      </c>
      <c r="AY21">
        <f>抽蓄水电!AY21+地方水电!AY21</f>
        <v>109.06</v>
      </c>
      <c r="AZ21">
        <f>抽蓄水电!AZ21+地方水电!AZ21</f>
        <v>108.94</v>
      </c>
      <c r="BA21">
        <f>抽蓄水电!BA21+地方水电!BA21</f>
        <v>108.99</v>
      </c>
      <c r="BB21">
        <f>抽蓄水电!BB21+地方水电!BB21</f>
        <v>109.08</v>
      </c>
      <c r="BC21">
        <f>抽蓄水电!BC21+地方水电!BC21</f>
        <v>109.05</v>
      </c>
      <c r="BD21">
        <f>抽蓄水电!BD21+地方水电!BD21</f>
        <v>108.89</v>
      </c>
      <c r="BE21">
        <f>抽蓄水电!BE21+地方水电!BE21</f>
        <v>109.67</v>
      </c>
      <c r="BF21">
        <f>抽蓄水电!BF21+地方水电!BF21</f>
        <v>109.83</v>
      </c>
      <c r="BG21">
        <f>抽蓄水电!BG21+地方水电!BG21</f>
        <v>131.66</v>
      </c>
      <c r="BH21">
        <f>抽蓄水电!BH21+地方水电!BH21</f>
        <v>131.65</v>
      </c>
      <c r="BI21">
        <f>抽蓄水电!BI21+地方水电!BI21</f>
        <v>131.68</v>
      </c>
      <c r="BJ21">
        <f>抽蓄水电!BJ21+地方水电!BJ21</f>
        <v>131.43</v>
      </c>
      <c r="BK21">
        <f>抽蓄水电!BK21+地方水电!BK21</f>
        <v>131.25</v>
      </c>
      <c r="BL21">
        <f>抽蓄水电!BL21+地方水电!BL21</f>
        <v>131.17</v>
      </c>
      <c r="BM21">
        <f>抽蓄水电!BM21+地方水电!BM21</f>
        <v>131.02</v>
      </c>
      <c r="BN21">
        <f>抽蓄水电!BN21+地方水电!BN21</f>
        <v>109.08</v>
      </c>
      <c r="BO21">
        <f>抽蓄水电!BO21+地方水电!BO21</f>
        <v>108.91</v>
      </c>
      <c r="BP21">
        <f>抽蓄水电!BP21+地方水电!BP21</f>
        <v>174.8</v>
      </c>
      <c r="BQ21">
        <f>抽蓄水电!BQ21+地方水电!BQ21</f>
        <v>174.41</v>
      </c>
      <c r="BR21">
        <f>抽蓄水电!BR21+地方水电!BR21</f>
        <v>175.31</v>
      </c>
      <c r="BS21">
        <f>抽蓄水电!BS21+地方水电!BS21</f>
        <v>175.3</v>
      </c>
      <c r="BT21">
        <f>抽蓄水电!BT21+地方水电!BT21</f>
        <v>173.78</v>
      </c>
      <c r="BU21">
        <f>抽蓄水电!BU21+地方水电!BU21</f>
        <v>173.72</v>
      </c>
      <c r="BV21">
        <f>抽蓄水电!BV21+地方水电!BV21</f>
        <v>174.11</v>
      </c>
      <c r="BW21">
        <f>抽蓄水电!BW21+地方水电!BW21</f>
        <v>174.04</v>
      </c>
      <c r="BX21">
        <f>抽蓄水电!BX21+地方水电!BX21</f>
        <v>174.04</v>
      </c>
      <c r="BY21">
        <f>抽蓄水电!BY21+地方水电!BY21</f>
        <v>173.91</v>
      </c>
      <c r="BZ21">
        <f>抽蓄水电!BZ21+地方水电!BZ21</f>
        <v>174.02</v>
      </c>
      <c r="CA21">
        <f>抽蓄水电!CA21+地方水电!CA21</f>
        <v>173.83</v>
      </c>
      <c r="CB21">
        <f>抽蓄水电!CB21+地方水电!CB21</f>
        <v>173.85</v>
      </c>
      <c r="CC21">
        <f>抽蓄水电!CC21+地方水电!CC21</f>
        <v>173.56</v>
      </c>
      <c r="CD21">
        <f>抽蓄水电!CD21+地方水电!CD21</f>
        <v>173.54</v>
      </c>
      <c r="CE21">
        <f>抽蓄水电!CE21+地方水电!CE21</f>
        <v>107.41</v>
      </c>
      <c r="CF21">
        <f>抽蓄水电!CF21+地方水电!CF21</f>
        <v>106.05</v>
      </c>
      <c r="CG21">
        <f>抽蓄水电!CG21+地方水电!CG21</f>
        <v>105.95</v>
      </c>
      <c r="CH21">
        <f>抽蓄水电!CH21+地方水电!CH21</f>
        <v>105.88</v>
      </c>
      <c r="CI21">
        <f>抽蓄水电!CI21+地方水电!CI21</f>
        <v>105.26</v>
      </c>
      <c r="CJ21">
        <f>抽蓄水电!CJ21+地方水电!CJ21</f>
        <v>104.35</v>
      </c>
      <c r="CK21">
        <f>抽蓄水电!CK21+地方水电!CK21</f>
        <v>104.33</v>
      </c>
      <c r="CL21">
        <f>抽蓄水电!CL21+地方水电!CL21</f>
        <v>140.59</v>
      </c>
      <c r="CM21">
        <f>抽蓄水电!CM21+地方水电!CM21</f>
        <v>140.43</v>
      </c>
      <c r="CN21">
        <f>抽蓄水电!CN21+地方水电!CN21</f>
        <v>140.5</v>
      </c>
      <c r="CO21">
        <f>抽蓄水电!CO21+地方水电!CO21</f>
        <v>140.31</v>
      </c>
      <c r="CP21">
        <f>抽蓄水电!CP21+地方水电!CP21</f>
        <v>139.18</v>
      </c>
      <c r="CQ21">
        <f>抽蓄水电!CQ21+地方水电!CQ21</f>
        <v>139.24</v>
      </c>
      <c r="CR21">
        <f>抽蓄水电!CR21+地方水电!CR21</f>
        <v>139.2</v>
      </c>
      <c r="CS21">
        <f>抽蓄水电!CS21+地方水电!CS21</f>
        <v>138.75</v>
      </c>
    </row>
    <row r="22" spans="1:97">
      <c r="A22" s="9">
        <v>46255</v>
      </c>
      <c r="B22">
        <f>抽蓄水电!B22+地方水电!B22</f>
        <v>409.98</v>
      </c>
      <c r="C22">
        <f>抽蓄水电!C22+地方水电!C22</f>
        <v>408.18</v>
      </c>
      <c r="D22">
        <f>抽蓄水电!D22+地方水电!D22</f>
        <v>405.37</v>
      </c>
      <c r="E22">
        <f>抽蓄水电!E22+地方水电!E22</f>
        <v>403.63</v>
      </c>
      <c r="F22">
        <f>抽蓄水电!F22+地方水电!F22</f>
        <v>403.53</v>
      </c>
      <c r="G22">
        <f>抽蓄水电!G22+地方水电!G22</f>
        <v>402.9</v>
      </c>
      <c r="H22">
        <f>抽蓄水电!H22+地方水电!H22</f>
        <v>403.3</v>
      </c>
      <c r="I22">
        <f>抽蓄水电!I22+地方水电!I22</f>
        <v>403.22</v>
      </c>
      <c r="J22">
        <f>抽蓄水电!J22+地方水电!J22</f>
        <v>403.25</v>
      </c>
      <c r="K22">
        <f>抽蓄水电!K22+地方水电!K22</f>
        <v>403.21</v>
      </c>
      <c r="L22">
        <f>抽蓄水电!L22+地方水电!L22</f>
        <v>403.28</v>
      </c>
      <c r="M22">
        <f>抽蓄水电!M22+地方水电!M22</f>
        <v>403.07</v>
      </c>
      <c r="N22">
        <f>抽蓄水电!N22+地方水电!N22</f>
        <v>341.16</v>
      </c>
      <c r="O22">
        <f>抽蓄水电!O22+地方水电!O22</f>
        <v>341.13</v>
      </c>
      <c r="P22">
        <f>抽蓄水电!P22+地方水电!P22</f>
        <v>341.12</v>
      </c>
      <c r="Q22">
        <f>抽蓄水电!Q22+地方水电!Q22</f>
        <v>341.32</v>
      </c>
      <c r="R22">
        <f>抽蓄水电!R22+地方水电!R22</f>
        <v>339.74</v>
      </c>
      <c r="S22">
        <f>抽蓄水电!S22+地方水电!S22</f>
        <v>340.09</v>
      </c>
      <c r="T22">
        <f>抽蓄水电!T22+地方水电!T22</f>
        <v>342.01</v>
      </c>
      <c r="U22">
        <f>抽蓄水电!U22+地方水电!U22</f>
        <v>342.02</v>
      </c>
      <c r="V22">
        <f>抽蓄水电!V22+地方水电!V22</f>
        <v>342.97</v>
      </c>
      <c r="W22">
        <f>抽蓄水电!W22+地方水电!W22</f>
        <v>340.17</v>
      </c>
      <c r="X22">
        <f>抽蓄水电!X22+地方水电!X22</f>
        <v>340.26</v>
      </c>
      <c r="Y22">
        <f>抽蓄水电!Y22+地方水电!Y22</f>
        <v>340.34</v>
      </c>
      <c r="Z22">
        <f>抽蓄水电!Z22+地方水电!Z22</f>
        <v>340.15</v>
      </c>
      <c r="AA22">
        <f>抽蓄水电!AA22+地方水电!AA22</f>
        <v>300.93</v>
      </c>
      <c r="AB22">
        <f>抽蓄水电!AB22+地方水电!AB22</f>
        <v>300.18</v>
      </c>
      <c r="AC22">
        <f>抽蓄水电!AC22+地方水电!AC22</f>
        <v>300.23</v>
      </c>
      <c r="AD22">
        <f>抽蓄水电!AD22+地方水电!AD22</f>
        <v>300.73</v>
      </c>
      <c r="AE22">
        <f>抽蓄水电!AE22+地方水电!AE22</f>
        <v>301.22</v>
      </c>
      <c r="AF22">
        <f>抽蓄水电!AF22+地方水电!AF22</f>
        <v>303.23</v>
      </c>
      <c r="AG22">
        <f>抽蓄水电!AG22+地方水电!AG22</f>
        <v>303.24</v>
      </c>
      <c r="AH22">
        <f>抽蓄水电!AH22+地方水电!AH22</f>
        <v>303.37</v>
      </c>
      <c r="AI22">
        <f>抽蓄水电!AI22+地方水电!AI22</f>
        <v>237.73</v>
      </c>
      <c r="AJ22">
        <f>抽蓄水电!AJ22+地方水电!AJ22</f>
        <v>237.66</v>
      </c>
      <c r="AK22">
        <f>抽蓄水电!AK22+地方水电!AK22</f>
        <v>237.62</v>
      </c>
      <c r="AL22">
        <f>抽蓄水电!AL22+地方水电!AL22</f>
        <v>237.57</v>
      </c>
      <c r="AM22">
        <f>抽蓄水电!AM22+地方水电!AM22</f>
        <v>237.54</v>
      </c>
      <c r="AN22">
        <f>抽蓄水电!AN22+地方水电!AN22</f>
        <v>237.93</v>
      </c>
      <c r="AO22">
        <f>抽蓄水电!AO22+地方水电!AO22</f>
        <v>238.07</v>
      </c>
      <c r="AP22">
        <f>抽蓄水电!AP22+地方水电!AP22</f>
        <v>238.11</v>
      </c>
      <c r="AQ22">
        <f>抽蓄水电!AQ22+地方水电!AQ22</f>
        <v>237.95</v>
      </c>
      <c r="AR22">
        <f>抽蓄水电!AR22+地方水电!AR22</f>
        <v>238.04</v>
      </c>
      <c r="AS22">
        <f>抽蓄水电!AS22+地方水电!AS22</f>
        <v>238.03</v>
      </c>
      <c r="AT22">
        <f>抽蓄水电!AT22+地方水电!AT22</f>
        <v>238.18</v>
      </c>
      <c r="AU22">
        <f>抽蓄水电!AU22+地方水电!AU22</f>
        <v>238.1</v>
      </c>
      <c r="AV22">
        <f>抽蓄水电!AV22+地方水电!AV22</f>
        <v>238.39</v>
      </c>
      <c r="AW22">
        <f>抽蓄水电!AW22+地方水电!AW22</f>
        <v>238.16</v>
      </c>
      <c r="AX22">
        <f>抽蓄水电!AX22+地方水电!AX22</f>
        <v>238.29</v>
      </c>
      <c r="AY22">
        <f>抽蓄水电!AY22+地方水电!AY22</f>
        <v>238.25</v>
      </c>
      <c r="AZ22">
        <f>抽蓄水电!AZ22+地方水电!AZ22</f>
        <v>238.14</v>
      </c>
      <c r="BA22">
        <f>抽蓄水电!BA22+地方水电!BA22</f>
        <v>238.19</v>
      </c>
      <c r="BB22">
        <f>抽蓄水电!BB22+地方水电!BB22</f>
        <v>174.15</v>
      </c>
      <c r="BC22">
        <f>抽蓄水电!BC22+地方水电!BC22</f>
        <v>174.17</v>
      </c>
      <c r="BD22">
        <f>抽蓄水电!BD22+地方水电!BD22</f>
        <v>174.01</v>
      </c>
      <c r="BE22">
        <f>抽蓄水电!BE22+地方水电!BE22</f>
        <v>174.86</v>
      </c>
      <c r="BF22">
        <f>抽蓄水电!BF22+地方水电!BF22</f>
        <v>174.95</v>
      </c>
      <c r="BG22">
        <f>抽蓄水电!BG22+地方水电!BG22</f>
        <v>174.86</v>
      </c>
      <c r="BH22">
        <f>抽蓄水电!BH22+地方水电!BH22</f>
        <v>174.84</v>
      </c>
      <c r="BI22">
        <f>抽蓄水电!BI22+地方水电!BI22</f>
        <v>174.84</v>
      </c>
      <c r="BJ22">
        <f>抽蓄水电!BJ22+地方水电!BJ22</f>
        <v>173.66</v>
      </c>
      <c r="BK22">
        <f>抽蓄水电!BK22+地方水电!BK22</f>
        <v>173.47</v>
      </c>
      <c r="BL22">
        <f>抽蓄水电!BL22+地方水电!BL22</f>
        <v>173.39</v>
      </c>
      <c r="BM22">
        <f>抽蓄水电!BM22+地方水电!BM22</f>
        <v>173.22</v>
      </c>
      <c r="BN22">
        <f>抽蓄水电!BN22+地方水电!BN22</f>
        <v>237.29</v>
      </c>
      <c r="BO22">
        <f>抽蓄水电!BO22+地方水电!BO22</f>
        <v>237.15</v>
      </c>
      <c r="BP22">
        <f>抽蓄水电!BP22+地方水电!BP22</f>
        <v>237.38</v>
      </c>
      <c r="BQ22">
        <f>抽蓄水电!BQ22+地方水电!BQ22</f>
        <v>302.98</v>
      </c>
      <c r="BR22">
        <f>抽蓄水电!BR22+地方水电!BR22</f>
        <v>306.3</v>
      </c>
      <c r="BS22">
        <f>抽蓄水电!BS22+地方水电!BS22</f>
        <v>306.28</v>
      </c>
      <c r="BT22">
        <f>抽蓄水电!BT22+地方水电!BT22</f>
        <v>304.73</v>
      </c>
      <c r="BU22">
        <f>抽蓄水电!BU22+地方水电!BU22</f>
        <v>305.22</v>
      </c>
      <c r="BV22">
        <f>抽蓄水电!BV22+地方水电!BV22</f>
        <v>306.24</v>
      </c>
      <c r="BW22">
        <f>抽蓄水电!BW22+地方水电!BW22</f>
        <v>306.19</v>
      </c>
      <c r="BX22">
        <f>抽蓄水电!BX22+地方水电!BX22</f>
        <v>306.18</v>
      </c>
      <c r="BY22">
        <f>抽蓄水电!BY22+地方水电!BY22</f>
        <v>306.08</v>
      </c>
      <c r="BZ22">
        <f>抽蓄水电!BZ22+地方水电!BZ22</f>
        <v>307.51</v>
      </c>
      <c r="CA22">
        <f>抽蓄水电!CA22+地方水电!CA22</f>
        <v>307.35</v>
      </c>
      <c r="CB22">
        <f>抽蓄水电!CB22+地方水电!CB22</f>
        <v>307.32</v>
      </c>
      <c r="CC22">
        <f>抽蓄水电!CC22+地方水电!CC22</f>
        <v>307.19</v>
      </c>
      <c r="CD22">
        <f>抽蓄水电!CD22+地方水电!CD22</f>
        <v>306.35</v>
      </c>
      <c r="CE22">
        <f>抽蓄水电!CE22+地方水电!CE22</f>
        <v>304.67</v>
      </c>
      <c r="CF22">
        <f>抽蓄水电!CF22+地方水电!CF22</f>
        <v>304.25</v>
      </c>
      <c r="CG22">
        <f>抽蓄水电!CG22+地方水电!CG22</f>
        <v>304.08</v>
      </c>
      <c r="CH22">
        <f>抽蓄水电!CH22+地方水电!CH22</f>
        <v>304.01</v>
      </c>
      <c r="CI22">
        <f>抽蓄水电!CI22+地方水电!CI22</f>
        <v>303.83</v>
      </c>
      <c r="CJ22">
        <f>抽蓄水电!CJ22+地方水电!CJ22</f>
        <v>302.95</v>
      </c>
      <c r="CK22">
        <f>抽蓄水电!CK22+地方水电!CK22</f>
        <v>302.65</v>
      </c>
      <c r="CL22">
        <f>抽蓄水电!CL22+地方水电!CL22</f>
        <v>302.79</v>
      </c>
      <c r="CM22">
        <f>抽蓄水电!CM22+地方水电!CM22</f>
        <v>302.68</v>
      </c>
      <c r="CN22">
        <f>抽蓄水电!CN22+地方水电!CN22</f>
        <v>302.66</v>
      </c>
      <c r="CO22">
        <f>抽蓄水电!CO22+地方水电!CO22</f>
        <v>302.45</v>
      </c>
      <c r="CP22">
        <f>抽蓄水电!CP22+地方水电!CP22</f>
        <v>301.35</v>
      </c>
      <c r="CQ22">
        <f>抽蓄水电!CQ22+地方水电!CQ22</f>
        <v>301.26</v>
      </c>
      <c r="CR22">
        <f>抽蓄水电!CR22+地方水电!CR22</f>
        <v>301.25</v>
      </c>
      <c r="CS22">
        <f>抽蓄水电!CS22+地方水电!CS22</f>
        <v>301.07</v>
      </c>
    </row>
    <row r="23" spans="1:97">
      <c r="A23" s="9">
        <v>46256</v>
      </c>
      <c r="B23">
        <f>抽蓄水电!B23+地方水电!B23</f>
        <v>340.28</v>
      </c>
      <c r="C23">
        <f>抽蓄水电!C23+地方水电!C23</f>
        <v>337.24</v>
      </c>
      <c r="D23">
        <f>抽蓄水电!D23+地方水电!D23</f>
        <v>334.35</v>
      </c>
      <c r="E23">
        <f>抽蓄水电!E23+地方水电!E23</f>
        <v>332.55</v>
      </c>
      <c r="F23">
        <f>抽蓄水电!F23+地方水电!F23</f>
        <v>332.38</v>
      </c>
      <c r="G23">
        <f>抽蓄水电!G23+地方水电!G23</f>
        <v>331.73</v>
      </c>
      <c r="H23">
        <f>抽蓄水电!H23+地方水电!H23</f>
        <v>331.99</v>
      </c>
      <c r="I23">
        <f>抽蓄水电!I23+地方水电!I23</f>
        <v>331.98</v>
      </c>
      <c r="J23">
        <f>抽蓄水电!J23+地方水电!J23</f>
        <v>331.9</v>
      </c>
      <c r="K23">
        <f>抽蓄水电!K23+地方水电!K23</f>
        <v>331.74</v>
      </c>
      <c r="L23">
        <f>抽蓄水电!L23+地方水电!L23</f>
        <v>331.82</v>
      </c>
      <c r="M23">
        <f>抽蓄水电!M23+地方水电!M23</f>
        <v>331.52</v>
      </c>
      <c r="N23">
        <f>抽蓄水电!N23+地方水电!N23</f>
        <v>331.54</v>
      </c>
      <c r="O23">
        <f>抽蓄水电!O23+地方水电!O23</f>
        <v>331.48</v>
      </c>
      <c r="P23">
        <f>抽蓄水电!P23+地方水电!P23</f>
        <v>331.3</v>
      </c>
      <c r="Q23">
        <f>抽蓄水电!Q23+地方水电!Q23</f>
        <v>331.23</v>
      </c>
      <c r="R23">
        <f>抽蓄水电!R23+地方水电!R23</f>
        <v>329.6</v>
      </c>
      <c r="S23">
        <f>抽蓄水电!S23+地方水电!S23</f>
        <v>329.7</v>
      </c>
      <c r="T23">
        <f>抽蓄水电!T23+地方水电!T23</f>
        <v>329.66</v>
      </c>
      <c r="U23">
        <f>抽蓄水电!U23+地方水电!U23</f>
        <v>328.91</v>
      </c>
      <c r="V23">
        <f>抽蓄水电!V23+地方水电!V23</f>
        <v>328.94</v>
      </c>
      <c r="W23">
        <f>抽蓄水电!W23+地方水电!W23</f>
        <v>328.62</v>
      </c>
      <c r="X23">
        <f>抽蓄水电!X23+地方水电!X23</f>
        <v>328.58</v>
      </c>
      <c r="Y23">
        <f>抽蓄水电!Y23+地方水电!Y23</f>
        <v>328.73</v>
      </c>
      <c r="Z23">
        <f>抽蓄水电!Z23+地方水电!Z23</f>
        <v>328.6</v>
      </c>
      <c r="AA23">
        <f>抽蓄水电!AA23+地方水电!AA23</f>
        <v>328.04</v>
      </c>
      <c r="AB23">
        <f>抽蓄水电!AB23+地方水电!AB23</f>
        <v>328.12</v>
      </c>
      <c r="AC23">
        <f>抽蓄水电!AC23+地方水电!AC23</f>
        <v>328.15</v>
      </c>
      <c r="AD23">
        <f>抽蓄水电!AD23+地方水电!AD23</f>
        <v>328.9</v>
      </c>
      <c r="AE23">
        <f>抽蓄水电!AE23+地方水电!AE23</f>
        <v>328.38</v>
      </c>
      <c r="AF23">
        <f>抽蓄水电!AF23+地方水电!AF23</f>
        <v>328.51</v>
      </c>
      <c r="AG23">
        <f>抽蓄水电!AG23+地方水电!AG23</f>
        <v>262.36</v>
      </c>
      <c r="AH23">
        <f>抽蓄水电!AH23+地方水电!AH23</f>
        <v>262.07</v>
      </c>
      <c r="AI23">
        <f>抽蓄水电!AI23+地方水电!AI23</f>
        <v>263.14</v>
      </c>
      <c r="AJ23">
        <f>抽蓄水电!AJ23+地方水电!AJ23</f>
        <v>263.67</v>
      </c>
      <c r="AK23">
        <f>抽蓄水电!AK23+地方水电!AK23</f>
        <v>263.69</v>
      </c>
      <c r="AL23">
        <f>抽蓄水电!AL23+地方水电!AL23</f>
        <v>263.78</v>
      </c>
      <c r="AM23">
        <f>抽蓄水电!AM23+地方水电!AM23</f>
        <v>263.76</v>
      </c>
      <c r="AN23">
        <f>抽蓄水电!AN23+地方水电!AN23</f>
        <v>263.16</v>
      </c>
      <c r="AO23">
        <f>抽蓄水电!AO23+地方水电!AO23</f>
        <v>263.28</v>
      </c>
      <c r="AP23">
        <f>抽蓄水电!AP23+地方水电!AP23</f>
        <v>326.28</v>
      </c>
      <c r="AQ23">
        <f>抽蓄水电!AQ23+地方水电!AQ23</f>
        <v>326.17</v>
      </c>
      <c r="AR23">
        <f>抽蓄水电!AR23+地方水电!AR23</f>
        <v>326.25</v>
      </c>
      <c r="AS23">
        <f>抽蓄水电!AS23+地方水电!AS23</f>
        <v>324.95</v>
      </c>
      <c r="AT23">
        <f>抽蓄水电!AT23+地方水电!AT23</f>
        <v>325.06</v>
      </c>
      <c r="AU23">
        <f>抽蓄水电!AU23+地方水电!AU23</f>
        <v>325.05</v>
      </c>
      <c r="AV23">
        <f>抽蓄水电!AV23+地方水电!AV23</f>
        <v>325.27</v>
      </c>
      <c r="AW23">
        <f>抽蓄水电!AW23+地方水电!AW23</f>
        <v>325.14</v>
      </c>
      <c r="AX23">
        <f>抽蓄水电!AX23+地方水电!AX23</f>
        <v>262.17</v>
      </c>
      <c r="AY23">
        <f>抽蓄水电!AY23+地方水电!AY23</f>
        <v>262.15</v>
      </c>
      <c r="AZ23">
        <f>抽蓄水电!AZ23+地方水电!AZ23</f>
        <v>262.07</v>
      </c>
      <c r="BA23">
        <f>抽蓄水电!BA23+地方水电!BA23</f>
        <v>262.1</v>
      </c>
      <c r="BB23">
        <f>抽蓄水电!BB23+地方水电!BB23</f>
        <v>263.03</v>
      </c>
      <c r="BC23">
        <f>抽蓄水电!BC23+地方水电!BC23</f>
        <v>264.17</v>
      </c>
      <c r="BD23">
        <f>抽蓄水电!BD23+地方水电!BD23</f>
        <v>264.43</v>
      </c>
      <c r="BE23">
        <f>抽蓄水电!BE23+地方水电!BE23</f>
        <v>264.63</v>
      </c>
      <c r="BF23">
        <f>抽蓄水电!BF23+地方水电!BF23</f>
        <v>264.63</v>
      </c>
      <c r="BG23">
        <f>抽蓄水电!BG23+地方水电!BG23</f>
        <v>264.65</v>
      </c>
      <c r="BH23">
        <f>抽蓄水电!BH23+地方水电!BH23</f>
        <v>264.44</v>
      </c>
      <c r="BI23">
        <f>抽蓄水电!BI23+地方水电!BI23</f>
        <v>264.53</v>
      </c>
      <c r="BJ23">
        <f>抽蓄水电!BJ23+地方水电!BJ23</f>
        <v>263.49</v>
      </c>
      <c r="BK23">
        <f>抽蓄水电!BK23+地方水电!BK23</f>
        <v>263.44</v>
      </c>
      <c r="BL23">
        <f>抽蓄水电!BL23+地方水电!BL23</f>
        <v>263.21</v>
      </c>
      <c r="BM23">
        <f>抽蓄水电!BM23+地方水电!BM23</f>
        <v>263.09</v>
      </c>
      <c r="BN23">
        <f>抽蓄水电!BN23+地方水电!BN23</f>
        <v>263.72</v>
      </c>
      <c r="BO23">
        <f>抽蓄水电!BO23+地方水电!BO23</f>
        <v>263.56</v>
      </c>
      <c r="BP23">
        <f>抽蓄水电!BP23+地方水电!BP23</f>
        <v>263.9</v>
      </c>
      <c r="BQ23">
        <f>抽蓄水电!BQ23+地方水电!BQ23</f>
        <v>266.52</v>
      </c>
      <c r="BR23">
        <f>抽蓄水电!BR23+地方水电!BR23</f>
        <v>269.99</v>
      </c>
      <c r="BS23">
        <f>抽蓄水电!BS23+地方水电!BS23</f>
        <v>271.74</v>
      </c>
      <c r="BT23">
        <f>抽蓄水电!BT23+地方水电!BT23</f>
        <v>270.32</v>
      </c>
      <c r="BU23">
        <f>抽蓄水电!BU23+地方水电!BU23</f>
        <v>271.08</v>
      </c>
      <c r="BV23">
        <f>抽蓄水电!BV23+地方水电!BV23</f>
        <v>272.05</v>
      </c>
      <c r="BW23">
        <f>抽蓄水电!BW23+地方水电!BW23</f>
        <v>272.11</v>
      </c>
      <c r="BX23">
        <f>抽蓄水电!BX23+地方水电!BX23</f>
        <v>273.78</v>
      </c>
      <c r="BY23">
        <f>抽蓄水电!BY23+地方水电!BY23</f>
        <v>273.73</v>
      </c>
      <c r="BZ23">
        <f>抽蓄水电!BZ23+地方水电!BZ23</f>
        <v>275</v>
      </c>
      <c r="CA23">
        <f>抽蓄水电!CA23+地方水电!CA23</f>
        <v>274.88</v>
      </c>
      <c r="CB23">
        <f>抽蓄水电!CB23+地方水电!CB23</f>
        <v>273.13</v>
      </c>
      <c r="CC23">
        <f>抽蓄水电!CC23+地方水电!CC23</f>
        <v>272.08</v>
      </c>
      <c r="CD23">
        <f>抽蓄水电!CD23+地方水电!CD23</f>
        <v>270.88</v>
      </c>
      <c r="CE23">
        <f>抽蓄水电!CE23+地方水电!CE23</f>
        <v>230.41</v>
      </c>
      <c r="CF23">
        <f>抽蓄水电!CF23+地方水电!CF23</f>
        <v>226.03</v>
      </c>
      <c r="CG23">
        <f>抽蓄水电!CG23+地方水电!CG23</f>
        <v>225.75</v>
      </c>
      <c r="CH23">
        <f>抽蓄水电!CH23+地方水电!CH23</f>
        <v>226.26</v>
      </c>
      <c r="CI23">
        <f>抽蓄水电!CI23+地方水电!CI23</f>
        <v>225.27</v>
      </c>
      <c r="CJ23">
        <f>抽蓄水电!CJ23+地方水电!CJ23</f>
        <v>224.29</v>
      </c>
      <c r="CK23">
        <f>抽蓄水电!CK23+地方水电!CK23</f>
        <v>223.91</v>
      </c>
      <c r="CL23">
        <f>抽蓄水电!CL23+地方水电!CL23</f>
        <v>223.77</v>
      </c>
      <c r="CM23">
        <f>抽蓄水电!CM23+地方水电!CM23</f>
        <v>223.72</v>
      </c>
      <c r="CN23">
        <f>抽蓄水电!CN23+地方水电!CN23</f>
        <v>223.81</v>
      </c>
      <c r="CO23">
        <f>抽蓄水电!CO23+地方水电!CO23</f>
        <v>223.13</v>
      </c>
      <c r="CP23">
        <f>抽蓄水电!CP23+地方水电!CP23</f>
        <v>223.09</v>
      </c>
      <c r="CQ23">
        <f>抽蓄水电!CQ23+地方水电!CQ23</f>
        <v>222.91</v>
      </c>
      <c r="CR23">
        <f>抽蓄水电!CR23+地方水电!CR23</f>
        <v>222.88</v>
      </c>
      <c r="CS23">
        <f>抽蓄水电!CS23+地方水电!CS23</f>
        <v>222.78</v>
      </c>
    </row>
    <row r="24" spans="1:97">
      <c r="A24" s="9">
        <v>46257</v>
      </c>
      <c r="B24">
        <f>抽蓄水电!B24+地方水电!B25</f>
        <v>464.91</v>
      </c>
      <c r="C24">
        <f>抽蓄水电!C24+地方水电!C25</f>
        <v>471.09</v>
      </c>
      <c r="D24">
        <f>抽蓄水电!D24+地方水电!D25</f>
        <v>471.1</v>
      </c>
      <c r="E24">
        <f>抽蓄水电!E24+地方水电!E25</f>
        <v>471.25</v>
      </c>
      <c r="F24">
        <f>抽蓄水电!F24+地方水电!F25</f>
        <v>471.23</v>
      </c>
      <c r="G24">
        <f>抽蓄水电!G24+地方水电!G25</f>
        <v>471.38</v>
      </c>
      <c r="H24">
        <f>抽蓄水电!H24+地方水电!H25</f>
        <v>471.11</v>
      </c>
      <c r="I24">
        <f>抽蓄水电!I24+地方水电!I25</f>
        <v>472.9</v>
      </c>
      <c r="J24">
        <f>抽蓄水电!J24+地方水电!J25</f>
        <v>472.97</v>
      </c>
      <c r="K24">
        <f>抽蓄水电!K24+地方水电!K25</f>
        <v>472.94</v>
      </c>
      <c r="L24">
        <f>抽蓄水电!L24+地方水电!L25</f>
        <v>473.02</v>
      </c>
      <c r="M24">
        <f>抽蓄水电!M24+地方水电!M25</f>
        <v>472.96</v>
      </c>
      <c r="N24">
        <f>抽蓄水电!N24+地方水电!N25</f>
        <v>472.95</v>
      </c>
      <c r="O24">
        <f>抽蓄水电!O24+地方水电!O25</f>
        <v>472.92</v>
      </c>
      <c r="P24">
        <f>抽蓄水电!P24+地方水电!P25</f>
        <v>473.03</v>
      </c>
      <c r="Q24">
        <f>抽蓄水电!Q24+地方水电!Q25</f>
        <v>472.99</v>
      </c>
      <c r="R24">
        <f>抽蓄水电!R24+地方水电!R25</f>
        <v>473.03</v>
      </c>
      <c r="S24">
        <f>抽蓄水电!S24+地方水电!S25</f>
        <v>472.88</v>
      </c>
      <c r="T24">
        <f>抽蓄水电!T24+地方水电!T25</f>
        <v>472.99</v>
      </c>
      <c r="U24">
        <f>抽蓄水电!U24+地方水电!U25</f>
        <v>472.17</v>
      </c>
      <c r="V24">
        <f>抽蓄水电!V24+地方水电!V25</f>
        <v>471.37</v>
      </c>
      <c r="W24">
        <f>抽蓄水电!W24+地方水电!W25</f>
        <v>470.92</v>
      </c>
      <c r="X24">
        <f>抽蓄水电!X24+地方水电!X25</f>
        <v>470.89</v>
      </c>
      <c r="Y24">
        <f>抽蓄水电!Y24+地方水电!Y25</f>
        <v>470.8</v>
      </c>
      <c r="Z24">
        <f>抽蓄水电!Z24+地方水电!Z25</f>
        <v>472.43</v>
      </c>
      <c r="AA24">
        <f>抽蓄水电!AA24+地方水电!AA25</f>
        <v>471.98</v>
      </c>
      <c r="AB24">
        <f>抽蓄水电!AB24+地方水电!AB25</f>
        <v>471.92</v>
      </c>
      <c r="AC24">
        <f>抽蓄水电!AC24+地方水电!AC25</f>
        <v>471.89</v>
      </c>
      <c r="AD24">
        <f>抽蓄水电!AD24+地方水电!AD25</f>
        <v>471.73</v>
      </c>
      <c r="AE24">
        <f>抽蓄水电!AE24+地方水电!AE25</f>
        <v>471.97</v>
      </c>
      <c r="AF24">
        <f>抽蓄水电!AF24+地方水电!AF25</f>
        <v>472.06</v>
      </c>
      <c r="AG24">
        <f>抽蓄水电!AG24+地方水电!AG25</f>
        <v>471.78</v>
      </c>
      <c r="AH24">
        <f>抽蓄水电!AH24+地方水电!AH25</f>
        <v>468.73</v>
      </c>
      <c r="AI24">
        <f>抽蓄水电!AI24+地方水电!AI25</f>
        <v>466.24</v>
      </c>
      <c r="AJ24">
        <f>抽蓄水电!AJ24+地方水电!AJ25</f>
        <v>466.19</v>
      </c>
      <c r="AK24">
        <f>抽蓄水电!AK24+地方水电!AK25</f>
        <v>466.24</v>
      </c>
      <c r="AL24">
        <f>抽蓄水电!AL24+地方水电!AL25</f>
        <v>466.26</v>
      </c>
      <c r="AM24">
        <f>抽蓄水电!AM24+地方水电!AM25</f>
        <v>463.6</v>
      </c>
      <c r="AN24">
        <f>抽蓄水电!AN24+地方水电!AN25</f>
        <v>462.8</v>
      </c>
      <c r="AO24">
        <f>抽蓄水电!AO24+地方水电!AO25</f>
        <v>462.73</v>
      </c>
      <c r="AP24">
        <f>抽蓄水电!AP24+地方水电!AP25</f>
        <v>78.25</v>
      </c>
      <c r="AQ24">
        <f>抽蓄水电!AQ24+地方水电!AQ25</f>
        <v>462.03</v>
      </c>
      <c r="AR24">
        <f>抽蓄水电!AR24+地方水电!AR25</f>
        <v>461.98</v>
      </c>
      <c r="AS24">
        <f>抽蓄水电!AS24+地方水电!AS25</f>
        <v>460.55</v>
      </c>
      <c r="AT24">
        <f>抽蓄水电!AT24+地方水电!AT25</f>
        <v>460.37</v>
      </c>
      <c r="AU24">
        <f>抽蓄水电!AU24+地方水电!AU25</f>
        <v>459.3</v>
      </c>
      <c r="AV24">
        <f>抽蓄水电!AV24+地方水电!AV25</f>
        <v>458.73</v>
      </c>
      <c r="AW24">
        <f>抽蓄水电!AW24+地方水电!AW25</f>
        <v>459.35</v>
      </c>
      <c r="AX24">
        <f>抽蓄水电!AX24+地方水电!AX25</f>
        <v>459.29</v>
      </c>
      <c r="AY24">
        <f>抽蓄水电!AY24+地方水电!AY25</f>
        <v>459.04</v>
      </c>
      <c r="AZ24">
        <f>抽蓄水电!AZ24+地方水电!AZ25</f>
        <v>459.08</v>
      </c>
      <c r="BA24">
        <f>抽蓄水电!BA24+地方水电!BA25</f>
        <v>458.95</v>
      </c>
      <c r="BB24">
        <f>抽蓄水电!BB24+地方水电!BB25</f>
        <v>458.98</v>
      </c>
      <c r="BC24">
        <f>抽蓄水电!BC24+地方水电!BC25</f>
        <v>460.03</v>
      </c>
      <c r="BD24">
        <f>抽蓄水电!BD24+地方水电!BD25</f>
        <v>460.39</v>
      </c>
      <c r="BE24">
        <f>抽蓄水电!BE24+地方水电!BE25</f>
        <v>460.41</v>
      </c>
      <c r="BF24">
        <f>抽蓄水电!BF24+地方水电!BF25</f>
        <v>460.39</v>
      </c>
      <c r="BG24">
        <f>抽蓄水电!BG24+地方水电!BG25</f>
        <v>460.02</v>
      </c>
      <c r="BH24">
        <f>抽蓄水电!BH24+地方水电!BH25</f>
        <v>459.48</v>
      </c>
      <c r="BI24">
        <f>抽蓄水电!BI24+地方水电!BI25</f>
        <v>459.39</v>
      </c>
      <c r="BJ24">
        <f>抽蓄水电!BJ24+地方水电!BJ25</f>
        <v>459.52</v>
      </c>
      <c r="BK24">
        <f>抽蓄水电!BK24+地方水电!BK25</f>
        <v>459.5</v>
      </c>
      <c r="BL24">
        <f>抽蓄水电!BL24+地方水电!BL25</f>
        <v>459.16</v>
      </c>
      <c r="BM24">
        <f>抽蓄水电!BM24+地方水电!BM25</f>
        <v>459.19</v>
      </c>
      <c r="BN24">
        <f>抽蓄水电!BN24+地方水电!BN25</f>
        <v>459.88</v>
      </c>
      <c r="BO24">
        <f>抽蓄水电!BO24+地方水电!BO25</f>
        <v>459.79</v>
      </c>
      <c r="BP24">
        <f>抽蓄水电!BP24+地方水电!BP25</f>
        <v>459.93</v>
      </c>
      <c r="BQ24">
        <f>抽蓄水电!BQ24+地方水电!BQ25</f>
        <v>463.84</v>
      </c>
      <c r="BR24">
        <f>抽蓄水电!BR24+地方水电!BR25</f>
        <v>466.14</v>
      </c>
      <c r="BS24">
        <f>抽蓄水电!BS24+地方水电!BS25</f>
        <v>468.86</v>
      </c>
      <c r="BT24">
        <f>抽蓄水电!BT24+地方水电!BT25</f>
        <v>469.8</v>
      </c>
      <c r="BU24">
        <f>抽蓄水电!BU24+地方水电!BU25</f>
        <v>470.13</v>
      </c>
      <c r="BV24">
        <f>抽蓄水电!BV24+地方水电!BV25</f>
        <v>470.29</v>
      </c>
      <c r="BW24">
        <f>抽蓄水电!BW24+地方水电!BW25</f>
        <v>470.42</v>
      </c>
      <c r="BX24">
        <f>抽蓄水电!BX24+地方水电!BX25</f>
        <v>472.18</v>
      </c>
      <c r="BY24">
        <f>抽蓄水电!BY24+地方水电!BY25</f>
        <v>472.14</v>
      </c>
      <c r="BZ24">
        <f>抽蓄水电!BZ24+地方水电!BZ25</f>
        <v>472.12</v>
      </c>
      <c r="CA24">
        <f>抽蓄水电!CA24+地方水电!CA25</f>
        <v>472.04</v>
      </c>
      <c r="CB24">
        <f>抽蓄水电!CB24+地方水电!CB25</f>
        <v>470.44</v>
      </c>
      <c r="CC24">
        <f>抽蓄水电!CC24+地方水电!CC25</f>
        <v>469.52</v>
      </c>
      <c r="CD24">
        <f>抽蓄水电!CD24+地方水电!CD25</f>
        <v>470.14</v>
      </c>
      <c r="CE24">
        <f>抽蓄水电!CE24+地方水电!CE25</f>
        <v>405.23</v>
      </c>
      <c r="CF24">
        <f>抽蓄水电!CF24+地方水电!CF25</f>
        <v>401.24</v>
      </c>
      <c r="CG24">
        <f>抽蓄水电!CG24+地方水电!CG25</f>
        <v>401.33</v>
      </c>
      <c r="CH24">
        <f>抽蓄水电!CH24+地方水电!CH25</f>
        <v>401.74</v>
      </c>
      <c r="CI24">
        <f>抽蓄水电!CI24+地方水电!CI25</f>
        <v>400.91</v>
      </c>
      <c r="CJ24">
        <f>抽蓄水电!CJ24+地方水电!CJ25</f>
        <v>400.86</v>
      </c>
      <c r="CK24">
        <f>抽蓄水电!CK24+地方水电!CK25</f>
        <v>400.74</v>
      </c>
      <c r="CL24">
        <f>抽蓄水电!CL24+地方水电!CL25</f>
        <v>400.74</v>
      </c>
      <c r="CM24">
        <f>抽蓄水电!CM24+地方水电!CM25</f>
        <v>400.65</v>
      </c>
      <c r="CN24">
        <f>抽蓄水电!CN24+地方水电!CN25</f>
        <v>400.83</v>
      </c>
      <c r="CO24">
        <f>抽蓄水电!CO24+地方水电!CO25</f>
        <v>400.27</v>
      </c>
      <c r="CP24">
        <f>抽蓄水电!CP24+地方水电!CP25</f>
        <v>400.23</v>
      </c>
      <c r="CQ24">
        <f>抽蓄水电!CQ24+地方水电!CQ25</f>
        <v>400.4</v>
      </c>
      <c r="CR24">
        <f>抽蓄水电!CR24+地方水电!CR25</f>
        <v>400.62</v>
      </c>
      <c r="CS24">
        <f>抽蓄水电!CS24+地方水电!CS25</f>
        <v>400.58</v>
      </c>
    </row>
    <row r="25" spans="1:97">
      <c r="A25" s="9">
        <v>46258</v>
      </c>
      <c r="B25">
        <f>抽蓄水电!B25+地方水电!B26</f>
        <v>442.68</v>
      </c>
      <c r="C25">
        <f>抽蓄水电!C25+地方水电!C26</f>
        <v>449.99</v>
      </c>
      <c r="D25">
        <f>抽蓄水电!D25+地方水电!D26</f>
        <v>449.99</v>
      </c>
      <c r="E25">
        <f>抽蓄水电!E25+地方水电!E26</f>
        <v>450.17</v>
      </c>
      <c r="F25">
        <f>抽蓄水电!F25+地方水电!F26</f>
        <v>450.57</v>
      </c>
      <c r="G25">
        <f>抽蓄水电!G25+地方水电!G26</f>
        <v>450.63</v>
      </c>
      <c r="H25">
        <f>抽蓄水电!H25+地方水电!H26</f>
        <v>450.46</v>
      </c>
      <c r="I25">
        <f>抽蓄水电!I25+地方水电!I26</f>
        <v>452.21</v>
      </c>
      <c r="J25">
        <f>抽蓄水电!J25+地方水电!J26</f>
        <v>452.31</v>
      </c>
      <c r="K25">
        <f>抽蓄水电!K25+地方水电!K26</f>
        <v>452.29</v>
      </c>
      <c r="L25">
        <f>抽蓄水电!L25+地方水电!L26</f>
        <v>452.36</v>
      </c>
      <c r="M25">
        <f>抽蓄水电!M25+地方水电!M26</f>
        <v>452.24</v>
      </c>
      <c r="N25">
        <f>抽蓄水电!N25+地方水电!N26</f>
        <v>452.29</v>
      </c>
      <c r="O25">
        <f>抽蓄水电!O25+地方水电!O26</f>
        <v>452.22</v>
      </c>
      <c r="P25">
        <f>抽蓄水电!P25+地方水电!P26</f>
        <v>452.4</v>
      </c>
      <c r="Q25">
        <f>抽蓄水电!Q25+地方水电!Q26</f>
        <v>452.4</v>
      </c>
      <c r="R25">
        <f>抽蓄水电!R25+地方水电!R26</f>
        <v>452.46</v>
      </c>
      <c r="S25">
        <f>抽蓄水电!S25+地方水电!S26</f>
        <v>452.28</v>
      </c>
      <c r="T25">
        <f>抽蓄水电!T25+地方水电!T26</f>
        <v>452.45</v>
      </c>
      <c r="U25">
        <f>抽蓄水电!U25+地方水电!U26</f>
        <v>452.29</v>
      </c>
      <c r="V25">
        <f>抽蓄水电!V25+地方水电!V26</f>
        <v>452.43</v>
      </c>
      <c r="W25">
        <f>抽蓄水电!W25+地方水电!W26</f>
        <v>452.26</v>
      </c>
      <c r="X25">
        <f>抽蓄水电!X25+地方水电!X26</f>
        <v>452.25</v>
      </c>
      <c r="Y25">
        <f>抽蓄水电!Y25+地方水电!Y26</f>
        <v>452.12</v>
      </c>
      <c r="Z25">
        <f>抽蓄水电!Z25+地方水电!Z26</f>
        <v>453.84</v>
      </c>
      <c r="AA25">
        <f>抽蓄水电!AA25+地方水电!AA26</f>
        <v>453.82</v>
      </c>
      <c r="AB25">
        <f>抽蓄水电!AB25+地方水电!AB26</f>
        <v>453.71</v>
      </c>
      <c r="AC25">
        <f>抽蓄水电!AC25+地方水电!AC26</f>
        <v>453.65</v>
      </c>
      <c r="AD25">
        <f>抽蓄水电!AD25+地方水电!AD26</f>
        <v>453.65</v>
      </c>
      <c r="AE25">
        <f>抽蓄水电!AE25+地方水电!AE26</f>
        <v>453.87</v>
      </c>
      <c r="AF25">
        <f>抽蓄水电!AF25+地方水电!AF26</f>
        <v>453.76</v>
      </c>
      <c r="AG25">
        <f>抽蓄水电!AG25+地方水电!AG26</f>
        <v>453.68</v>
      </c>
      <c r="AH25">
        <f>抽蓄水电!AH25+地方水电!AH26</f>
        <v>451.02</v>
      </c>
      <c r="AI25">
        <f>抽蓄水电!AI25+地方水电!AI26</f>
        <v>447.87</v>
      </c>
      <c r="AJ25">
        <f>抽蓄水电!AJ25+地方水电!AJ26</f>
        <v>447.31</v>
      </c>
      <c r="AK25">
        <f>抽蓄水电!AK25+地方水电!AK26</f>
        <v>447.28</v>
      </c>
      <c r="AL25">
        <f>抽蓄水电!AL25+地方水电!AL26</f>
        <v>447.2</v>
      </c>
      <c r="AM25">
        <f>抽蓄水电!AM25+地方水电!AM26</f>
        <v>444.57</v>
      </c>
      <c r="AN25">
        <f>抽蓄水电!AN25+地方水电!AN26</f>
        <v>444.53</v>
      </c>
      <c r="AO25">
        <f>抽蓄水电!AO25+地方水电!AO26</f>
        <v>444.9</v>
      </c>
      <c r="AP25">
        <f>抽蓄水电!AP25+地方水电!AP26</f>
        <v>445.22</v>
      </c>
      <c r="AQ25">
        <f>抽蓄水电!AQ25+地方水电!AQ26</f>
        <v>445.03</v>
      </c>
      <c r="AR25">
        <f>抽蓄水电!AR25+地方水电!AR26</f>
        <v>444.9</v>
      </c>
      <c r="AS25">
        <f>抽蓄水电!AS25+地方水电!AS26</f>
        <v>444.76</v>
      </c>
      <c r="AT25">
        <f>抽蓄水电!AT25+地方水电!AT26</f>
        <v>443.37</v>
      </c>
      <c r="AU25">
        <f>抽蓄水电!AU25+地方水电!AU26</f>
        <v>442.26</v>
      </c>
      <c r="AV25">
        <f>抽蓄水电!AV25+地方水电!AV26</f>
        <v>441.68</v>
      </c>
      <c r="AW25">
        <f>抽蓄水电!AW25+地方水电!AW26</f>
        <v>442.29</v>
      </c>
      <c r="AX25">
        <f>抽蓄水电!AX25+地方水电!AX26</f>
        <v>442.22</v>
      </c>
      <c r="AY25">
        <f>抽蓄水电!AY25+地方水电!AY26</f>
        <v>442.03</v>
      </c>
      <c r="AZ25">
        <f>抽蓄水电!AZ25+地方水电!AZ26</f>
        <v>442.11</v>
      </c>
      <c r="BA25">
        <f>抽蓄水电!BA25+地方水电!BA26</f>
        <v>442.01</v>
      </c>
      <c r="BB25">
        <f>抽蓄水电!BB25+地方水电!BB26</f>
        <v>442.02</v>
      </c>
      <c r="BC25">
        <f>抽蓄水电!BC25+地方水电!BC26</f>
        <v>441.95</v>
      </c>
      <c r="BD25">
        <f>抽蓄水电!BD25+地方水电!BD26</f>
        <v>442.02</v>
      </c>
      <c r="BE25">
        <f>抽蓄水电!BE25+地方水电!BE26</f>
        <v>441.99</v>
      </c>
      <c r="BF25">
        <f>抽蓄水电!BF25+地方水电!BF26</f>
        <v>442</v>
      </c>
      <c r="BG25">
        <f>抽蓄水电!BG25+地方水电!BG26</f>
        <v>441.56</v>
      </c>
      <c r="BH25">
        <f>抽蓄水电!BH25+地方水电!BH26</f>
        <v>441.14</v>
      </c>
      <c r="BI25">
        <f>抽蓄水电!BI25+地方水电!BI26</f>
        <v>441.01</v>
      </c>
      <c r="BJ25">
        <f>抽蓄水电!BJ25+地方水电!BJ26</f>
        <v>441.15</v>
      </c>
      <c r="BK25">
        <f>抽蓄水电!BK25+地方水电!BK26</f>
        <v>441.2</v>
      </c>
      <c r="BL25">
        <f>抽蓄水电!BL25+地方水电!BL26</f>
        <v>441.11</v>
      </c>
      <c r="BM25">
        <f>抽蓄水电!BM25+地方水电!BM26</f>
        <v>441.87</v>
      </c>
      <c r="BN25">
        <f>抽蓄水电!BN25+地方水电!BN26</f>
        <v>441.81</v>
      </c>
      <c r="BO25">
        <f>抽蓄水电!BO25+地方水电!BO26</f>
        <v>441.84</v>
      </c>
      <c r="BP25">
        <f>抽蓄水电!BP25+地方水电!BP26</f>
        <v>441.62</v>
      </c>
      <c r="BQ25">
        <f>抽蓄水电!BQ25+地方水电!BQ26</f>
        <v>442.02</v>
      </c>
      <c r="BR25">
        <f>抽蓄水电!BR25+地方水电!BR26</f>
        <v>443.25</v>
      </c>
      <c r="BS25">
        <f>抽蓄水电!BS25+地方水电!BS26</f>
        <v>444.19</v>
      </c>
      <c r="BT25">
        <f>抽蓄水电!BT25+地方水电!BT26</f>
        <v>446.82</v>
      </c>
      <c r="BU25">
        <f>抽蓄水电!BU25+地方水电!BU26</f>
        <v>449.36</v>
      </c>
      <c r="BV25">
        <f>抽蓄水电!BV25+地方水电!BV26</f>
        <v>449.43</v>
      </c>
      <c r="BW25">
        <f>抽蓄水电!BW25+地方水电!BW26</f>
        <v>449.54</v>
      </c>
      <c r="BX25">
        <f>抽蓄水电!BX25+地方水电!BX26</f>
        <v>450.53</v>
      </c>
      <c r="BY25">
        <f>抽蓄水电!BY25+地方水电!BY26</f>
        <v>450.46</v>
      </c>
      <c r="BZ25">
        <f>抽蓄水电!BZ25+地方水电!BZ26</f>
        <v>450.56</v>
      </c>
      <c r="CA25">
        <f>抽蓄水电!CA25+地方水电!CA26</f>
        <v>450.92</v>
      </c>
      <c r="CB25">
        <f>抽蓄水电!CB25+地方水电!CB26</f>
        <v>453.93</v>
      </c>
      <c r="CC25">
        <f>抽蓄水电!CC25+地方水电!CC26</f>
        <v>454.11</v>
      </c>
      <c r="CD25">
        <f>抽蓄水电!CD25+地方水电!CD26</f>
        <v>456.28</v>
      </c>
      <c r="CE25">
        <f>抽蓄水电!CE25+地方水电!CE26</f>
        <v>456.19</v>
      </c>
      <c r="CF25">
        <f>抽蓄水电!CF25+地方水电!CF26</f>
        <v>456.16</v>
      </c>
      <c r="CG25">
        <f>抽蓄水电!CG25+地方水电!CG26</f>
        <v>456.43</v>
      </c>
      <c r="CH25">
        <f>抽蓄水电!CH25+地方水电!CH26</f>
        <v>456.22</v>
      </c>
      <c r="CI25">
        <f>抽蓄水电!CI25+地方水电!CI26</f>
        <v>456.43</v>
      </c>
      <c r="CJ25">
        <f>抽蓄水电!CJ25+地方水电!CJ26</f>
        <v>456.41</v>
      </c>
      <c r="CK25">
        <f>抽蓄水电!CK25+地方水电!CK26</f>
        <v>455.48</v>
      </c>
      <c r="CL25">
        <f>抽蓄水电!CL25+地方水电!CL26</f>
        <v>455.52</v>
      </c>
      <c r="CM25">
        <f>抽蓄水电!CM25+地方水电!CM26</f>
        <v>452.52</v>
      </c>
      <c r="CN25">
        <f>抽蓄水电!CN25+地方水电!CN26</f>
        <v>450.96</v>
      </c>
      <c r="CO25">
        <f>抽蓄水电!CO25+地方水电!CO26</f>
        <v>450.87</v>
      </c>
      <c r="CP25">
        <f>抽蓄水电!CP25+地方水电!CP26</f>
        <v>450.88</v>
      </c>
      <c r="CQ25">
        <f>抽蓄水电!CQ25+地方水电!CQ26</f>
        <v>451.02</v>
      </c>
      <c r="CR25">
        <f>抽蓄水电!CR25+地方水电!CR26</f>
        <v>451.11</v>
      </c>
      <c r="CS25">
        <f>抽蓄水电!CS25+地方水电!CS26</f>
        <v>450.94</v>
      </c>
    </row>
    <row r="26" spans="1:97">
      <c r="A26" s="9">
        <v>46259</v>
      </c>
      <c r="B26">
        <f>抽蓄水电!B26+地方水电!B27</f>
        <v>513.86</v>
      </c>
      <c r="C26">
        <f>抽蓄水电!C26+地方水电!C27</f>
        <v>516.65</v>
      </c>
      <c r="D26">
        <f>抽蓄水电!D26+地方水电!D27</f>
        <v>519.01</v>
      </c>
      <c r="E26">
        <f>抽蓄水电!E26+地方水电!E27</f>
        <v>519.22</v>
      </c>
      <c r="F26">
        <f>抽蓄水电!F26+地方水电!F27</f>
        <v>519.65</v>
      </c>
      <c r="G26">
        <f>抽蓄水电!G26+地方水电!G27</f>
        <v>519.67</v>
      </c>
      <c r="H26">
        <f>抽蓄水电!H26+地方水电!H27</f>
        <v>517.35</v>
      </c>
      <c r="I26">
        <f>抽蓄水电!I26+地方水电!I27</f>
        <v>517.91</v>
      </c>
      <c r="J26">
        <f>抽蓄水电!J26+地方水电!J27</f>
        <v>518.79</v>
      </c>
      <c r="K26">
        <f>抽蓄水电!K26+地方水电!K27</f>
        <v>517.17</v>
      </c>
      <c r="L26">
        <f>抽蓄水电!L26+地方水电!L27</f>
        <v>517.34</v>
      </c>
      <c r="M26">
        <f>抽蓄水电!M26+地方水电!M27</f>
        <v>516.66</v>
      </c>
      <c r="N26">
        <f>抽蓄水电!N26+地方水电!N27</f>
        <v>516.7</v>
      </c>
      <c r="O26">
        <f>抽蓄水电!O26+地方水电!O27</f>
        <v>516.59</v>
      </c>
      <c r="P26">
        <f>抽蓄水电!P26+地方水电!P27</f>
        <v>516.6</v>
      </c>
      <c r="Q26">
        <f>抽蓄水电!Q26+地方水电!Q27</f>
        <v>516.43</v>
      </c>
      <c r="R26">
        <f>抽蓄水电!R26+地方水电!R27</f>
        <v>516.41</v>
      </c>
      <c r="S26">
        <f>抽蓄水电!S26+地方水电!S27</f>
        <v>516.35</v>
      </c>
      <c r="T26">
        <f>抽蓄水电!T26+地方水电!T27</f>
        <v>516.54</v>
      </c>
      <c r="U26">
        <f>抽蓄水电!U26+地方水电!U27</f>
        <v>516.06</v>
      </c>
      <c r="V26">
        <f>抽蓄水电!V26+地方水电!V27</f>
        <v>516.05</v>
      </c>
      <c r="W26">
        <f>抽蓄水电!W26+地方水电!W27</f>
        <v>515.72</v>
      </c>
      <c r="X26">
        <f>抽蓄水电!X26+地方水电!X27</f>
        <v>515.74</v>
      </c>
      <c r="Y26">
        <f>抽蓄水电!Y26+地方水电!Y27</f>
        <v>515.59</v>
      </c>
      <c r="Z26">
        <f>抽蓄水电!Z26+地方水电!Z27</f>
        <v>517.37</v>
      </c>
      <c r="AA26">
        <f>抽蓄水电!AA26+地方水电!AA27</f>
        <v>517.38</v>
      </c>
      <c r="AB26">
        <f>抽蓄水电!AB26+地方水电!AB27</f>
        <v>517.36</v>
      </c>
      <c r="AC26">
        <f>抽蓄水电!AC26+地方水电!AC27</f>
        <v>517.38</v>
      </c>
      <c r="AD26">
        <f>抽蓄水电!AD26+地方水电!AD27</f>
        <v>517.42</v>
      </c>
      <c r="AE26">
        <f>抽蓄水电!AE26+地方水电!AE27</f>
        <v>517.4</v>
      </c>
      <c r="AF26">
        <f>抽蓄水电!AF26+地方水电!AF27</f>
        <v>516.89</v>
      </c>
      <c r="AG26">
        <f>抽蓄水电!AG26+地方水电!AG27</f>
        <v>516.69</v>
      </c>
      <c r="AH26">
        <f>抽蓄水电!AH26+地方水电!AH27</f>
        <v>514.25</v>
      </c>
      <c r="AI26">
        <f>抽蓄水电!AI26+地方水电!AI27</f>
        <v>513.4</v>
      </c>
      <c r="AJ26">
        <f>抽蓄水电!AJ26+地方水电!AJ27</f>
        <v>513.47</v>
      </c>
      <c r="AK26">
        <f>抽蓄水电!AK26+地方水电!AK27</f>
        <v>513.45</v>
      </c>
      <c r="AL26">
        <f>抽蓄水电!AL26+地方水电!AL27</f>
        <v>513.4</v>
      </c>
      <c r="AM26">
        <f>抽蓄水电!AM26+地方水电!AM27</f>
        <v>511.07</v>
      </c>
      <c r="AN26">
        <f>抽蓄水电!AN26+地方水电!AN27</f>
        <v>511.99</v>
      </c>
      <c r="AO26">
        <f>抽蓄水电!AO26+地方水电!AO27</f>
        <v>511.46</v>
      </c>
      <c r="AP26">
        <f>抽蓄水电!AP26+地方水电!AP27</f>
        <v>512.23</v>
      </c>
      <c r="AQ26">
        <f>抽蓄水电!AQ26+地方水电!AQ27</f>
        <v>511.99</v>
      </c>
      <c r="AR26">
        <f>抽蓄水电!AR26+地方水电!AR27</f>
        <v>511.86</v>
      </c>
      <c r="AS26">
        <f>抽蓄水电!AS26+地方水电!AS27</f>
        <v>511.72</v>
      </c>
      <c r="AT26">
        <f>抽蓄水电!AT26+地方水电!AT27</f>
        <v>510.33</v>
      </c>
      <c r="AU26">
        <f>抽蓄水电!AU26+地方水电!AU27</f>
        <v>509.63</v>
      </c>
      <c r="AV26">
        <f>抽蓄水电!AV26+地方水电!AV27</f>
        <v>508.97</v>
      </c>
      <c r="AW26">
        <f>抽蓄水电!AW26+地方水电!AW27</f>
        <v>509.75</v>
      </c>
      <c r="AX26">
        <f>抽蓄水电!AX26+地方水电!AX27</f>
        <v>510.44</v>
      </c>
      <c r="AY26">
        <f>抽蓄水电!AY26+地方水电!AY27</f>
        <v>510.38</v>
      </c>
      <c r="AZ26">
        <f>抽蓄水电!AZ26+地方水电!AZ27</f>
        <v>510.08</v>
      </c>
      <c r="BA26">
        <f>抽蓄水电!BA26+地方水电!BA27</f>
        <v>509.61</v>
      </c>
      <c r="BB26">
        <f>抽蓄水电!BB26+地方水电!BB27</f>
        <v>509.82</v>
      </c>
      <c r="BC26">
        <f>抽蓄水电!BC26+地方水电!BC27</f>
        <v>509.8</v>
      </c>
      <c r="BD26">
        <f>抽蓄水电!BD26+地方水电!BD27</f>
        <v>509.83</v>
      </c>
      <c r="BE26">
        <f>抽蓄水电!BE26+地方水电!BE27</f>
        <v>509.89</v>
      </c>
      <c r="BF26">
        <f>抽蓄水电!BF26+地方水电!BF27</f>
        <v>509.77</v>
      </c>
      <c r="BG26">
        <f>抽蓄水电!BG26+地方水电!BG27</f>
        <v>509.43</v>
      </c>
      <c r="BH26">
        <f>抽蓄水电!BH26+地方水电!BH27</f>
        <v>509.35</v>
      </c>
      <c r="BI26">
        <f>抽蓄水电!BI26+地方水电!BI27</f>
        <v>509.32</v>
      </c>
      <c r="BJ26">
        <f>抽蓄水电!BJ26+地方水电!BJ27</f>
        <v>509.41</v>
      </c>
      <c r="BK26">
        <f>抽蓄水电!BK26+地方水电!BK27</f>
        <v>509.41</v>
      </c>
      <c r="BL26">
        <f>抽蓄水电!BL26+地方水电!BL27</f>
        <v>509.46</v>
      </c>
      <c r="BM26">
        <f>抽蓄水电!BM26+地方水电!BM27</f>
        <v>510.3</v>
      </c>
      <c r="BN26">
        <f>抽蓄水电!BN26+地方水电!BN27</f>
        <v>511.66</v>
      </c>
      <c r="BO26">
        <f>抽蓄水电!BO26+地方水电!BO27</f>
        <v>511.76</v>
      </c>
      <c r="BP26">
        <f>抽蓄水电!BP26+地方水电!BP27</f>
        <v>511.53</v>
      </c>
      <c r="BQ26">
        <f>抽蓄水电!BQ26+地方水电!BQ27</f>
        <v>511.53</v>
      </c>
      <c r="BR26">
        <f>抽蓄水电!BR26+地方水电!BR27</f>
        <v>512.41</v>
      </c>
      <c r="BS26">
        <f>抽蓄水电!BS26+地方水电!BS27</f>
        <v>512.49</v>
      </c>
      <c r="BT26">
        <f>抽蓄水电!BT26+地方水电!BT27</f>
        <v>513.92</v>
      </c>
      <c r="BU26">
        <f>抽蓄水电!BU26+地方水电!BU27</f>
        <v>516.4</v>
      </c>
      <c r="BV26">
        <f>抽蓄水电!BV26+地方水电!BV27</f>
        <v>516.32</v>
      </c>
      <c r="BW26">
        <f>抽蓄水电!BW26+地方水电!BW27</f>
        <v>514.91</v>
      </c>
      <c r="BX26">
        <f>抽蓄水电!BX26+地方水电!BX27</f>
        <v>515.73</v>
      </c>
      <c r="BY26">
        <f>抽蓄水电!BY26+地方水电!BY27</f>
        <v>515.76</v>
      </c>
      <c r="BZ26">
        <f>抽蓄水电!BZ26+地方水电!BZ27</f>
        <v>515.53</v>
      </c>
      <c r="CA26">
        <f>抽蓄水电!CA26+地方水电!CA27</f>
        <v>516.03</v>
      </c>
      <c r="CB26">
        <f>抽蓄水电!CB26+地方水电!CB27</f>
        <v>518.97</v>
      </c>
      <c r="CC26">
        <f>抽蓄水电!CC26+地方水电!CC27</f>
        <v>518.99</v>
      </c>
      <c r="CD26">
        <f>抽蓄水电!CD26+地方水电!CD27</f>
        <v>520.19</v>
      </c>
      <c r="CE26">
        <f>抽蓄水电!CE26+地方水电!CE27</f>
        <v>520.17</v>
      </c>
      <c r="CF26">
        <f>抽蓄水电!CF26+地方水电!CF27</f>
        <v>520.11</v>
      </c>
      <c r="CG26">
        <f>抽蓄水电!CG26+地方水电!CG27</f>
        <v>520.25</v>
      </c>
      <c r="CH26">
        <f>抽蓄水电!CH26+地方水电!CH27</f>
        <v>520.26</v>
      </c>
      <c r="CI26">
        <f>抽蓄水电!CI26+地方水电!CI27</f>
        <v>520.27</v>
      </c>
      <c r="CJ26">
        <f>抽蓄水电!CJ26+地方水电!CJ27</f>
        <v>520.28</v>
      </c>
      <c r="CK26">
        <f>抽蓄水电!CK26+地方水电!CK27</f>
        <v>519.13</v>
      </c>
      <c r="CL26">
        <f>抽蓄水电!CL26+地方水电!CL27</f>
        <v>519.11</v>
      </c>
      <c r="CM26">
        <f>抽蓄水电!CM26+地方水电!CM27</f>
        <v>516.09</v>
      </c>
      <c r="CN26">
        <f>抽蓄水电!CN26+地方水电!CN27</f>
        <v>514.49</v>
      </c>
      <c r="CO26">
        <f>抽蓄水电!CO26+地方水电!CO27</f>
        <v>514.39</v>
      </c>
      <c r="CP26">
        <f>抽蓄水电!CP26+地方水电!CP27</f>
        <v>514.39</v>
      </c>
      <c r="CQ26">
        <f>抽蓄水电!CQ26+地方水电!CQ27</f>
        <v>514.44</v>
      </c>
      <c r="CR26">
        <f>抽蓄水电!CR26+地方水电!CR27</f>
        <v>514.55</v>
      </c>
      <c r="CS26">
        <f>抽蓄水电!CS26+地方水电!CS27</f>
        <v>514.45</v>
      </c>
    </row>
    <row r="27" spans="1:97">
      <c r="A27" s="9">
        <v>46260</v>
      </c>
      <c r="B27">
        <f>抽蓄水电!B27+地方水电!B28</f>
        <v>534.71</v>
      </c>
      <c r="C27">
        <f>抽蓄水电!C27+地方水电!C28</f>
        <v>541.14</v>
      </c>
      <c r="D27">
        <f>抽蓄水电!D27+地方水电!D28</f>
        <v>544.86</v>
      </c>
      <c r="E27">
        <f>抽蓄水电!E27+地方水电!E28</f>
        <v>544.89</v>
      </c>
      <c r="F27">
        <f>抽蓄水电!F27+地方水电!F28</f>
        <v>546.14</v>
      </c>
      <c r="G27">
        <f>抽蓄水电!G27+地方水电!G28</f>
        <v>546.95</v>
      </c>
      <c r="H27">
        <f>抽蓄水电!H27+地方水电!H28</f>
        <v>544.74</v>
      </c>
      <c r="I27">
        <f>抽蓄水电!I27+地方水电!I28</f>
        <v>545.41</v>
      </c>
      <c r="J27">
        <f>抽蓄水电!J27+地方水电!J28</f>
        <v>546.39</v>
      </c>
      <c r="K27">
        <f>抽蓄水电!K27+地方水电!K28</f>
        <v>544.73</v>
      </c>
      <c r="L27">
        <f>抽蓄水电!L27+地方水电!L28</f>
        <v>544.9</v>
      </c>
      <c r="M27">
        <f>抽蓄水电!M27+地方水电!M28</f>
        <v>544.47</v>
      </c>
      <c r="N27">
        <f>抽蓄水电!N27+地方水电!N28</f>
        <v>544.49</v>
      </c>
      <c r="O27">
        <f>抽蓄水电!O27+地方水电!O28</f>
        <v>544.46</v>
      </c>
      <c r="P27">
        <f>抽蓄水电!P27+地方水电!P28</f>
        <v>544.43</v>
      </c>
      <c r="Q27">
        <f>抽蓄水电!Q27+地方水电!Q28</f>
        <v>544.41</v>
      </c>
      <c r="R27">
        <f>抽蓄水电!R27+地方水电!R28</f>
        <v>544.22</v>
      </c>
      <c r="S27">
        <f>抽蓄水电!S27+地方水电!S28</f>
        <v>544.25</v>
      </c>
      <c r="T27">
        <f>抽蓄水电!T27+地方水电!T28</f>
        <v>544.41</v>
      </c>
      <c r="U27">
        <f>抽蓄水电!U27+地方水电!U28</f>
        <v>543.97</v>
      </c>
      <c r="V27">
        <f>抽蓄水电!V27+地方水电!V28</f>
        <v>543.72</v>
      </c>
      <c r="W27">
        <f>抽蓄水电!W27+地方水电!W28</f>
        <v>543.49</v>
      </c>
      <c r="X27">
        <f>抽蓄水电!X27+地方水电!X28</f>
        <v>543.73</v>
      </c>
      <c r="Y27">
        <f>抽蓄水电!Y27+地方水电!Y28</f>
        <v>543.62</v>
      </c>
      <c r="Z27">
        <f>抽蓄水电!Z27+地方水电!Z28</f>
        <v>543.73</v>
      </c>
      <c r="AA27">
        <f>抽蓄水电!AA27+地方水电!AA28</f>
        <v>543.67</v>
      </c>
      <c r="AB27">
        <f>抽蓄水电!AB27+地方水电!AB28</f>
        <v>543.72</v>
      </c>
      <c r="AC27">
        <f>抽蓄水电!AC27+地方水电!AC28</f>
        <v>543.71</v>
      </c>
      <c r="AD27">
        <f>抽蓄水电!AD27+地方水电!AD28</f>
        <v>543.82</v>
      </c>
      <c r="AE27">
        <f>抽蓄水电!AE27+地方水电!AE28</f>
        <v>543.78</v>
      </c>
      <c r="AF27">
        <f>抽蓄水电!AF27+地方水电!AF28</f>
        <v>543.17</v>
      </c>
      <c r="AG27">
        <f>抽蓄水电!AG27+地方水电!AG28</f>
        <v>543.08</v>
      </c>
      <c r="AH27">
        <f>抽蓄水电!AH27+地方水电!AH28</f>
        <v>543.25</v>
      </c>
      <c r="AI27">
        <f>抽蓄水电!AI27+地方水电!AI28</f>
        <v>542.26</v>
      </c>
      <c r="AJ27">
        <f>抽蓄水电!AJ27+地方水电!AJ28</f>
        <v>503.48</v>
      </c>
      <c r="AK27">
        <f>抽蓄水电!AK27+地方水电!AK28</f>
        <v>503.4</v>
      </c>
      <c r="AL27">
        <f>抽蓄水电!AL27+地方水电!AL28</f>
        <v>503.34</v>
      </c>
      <c r="AM27">
        <f>抽蓄水电!AM27+地方水电!AM28</f>
        <v>503.73</v>
      </c>
      <c r="AN27">
        <f>抽蓄水电!AN27+地方水电!AN28</f>
        <v>504.66</v>
      </c>
      <c r="AO27">
        <f>抽蓄水电!AO27+地方水电!AO28</f>
        <v>504.26</v>
      </c>
      <c r="AP27">
        <f>抽蓄水电!AP27+地方水电!AP28</f>
        <v>505.01</v>
      </c>
      <c r="AQ27">
        <f>抽蓄水电!AQ27+地方水电!AQ28</f>
        <v>504.93</v>
      </c>
      <c r="AR27">
        <f>抽蓄水电!AR27+地方水电!AR28</f>
        <v>504.92</v>
      </c>
      <c r="AS27">
        <f>抽蓄水电!AS27+地方水电!AS28</f>
        <v>504.86</v>
      </c>
      <c r="AT27">
        <f>抽蓄水电!AT27+地方水电!AT28</f>
        <v>502.5</v>
      </c>
      <c r="AU27">
        <f>抽蓄水电!AU27+地方水电!AU28</f>
        <v>502.36</v>
      </c>
      <c r="AV27">
        <f>抽蓄水电!AV27+地方水电!AV28</f>
        <v>501.95</v>
      </c>
      <c r="AW27">
        <f>抽蓄水电!AW27+地方水电!AW28</f>
        <v>502.45</v>
      </c>
      <c r="AX27">
        <f>抽蓄水电!AX27+地方水电!AX28</f>
        <v>503.22</v>
      </c>
      <c r="AY27">
        <f>抽蓄水电!AY27+地方水电!AY28</f>
        <v>503.44</v>
      </c>
      <c r="AZ27">
        <f>抽蓄水电!AZ27+地方水电!AZ28</f>
        <v>503.05</v>
      </c>
      <c r="BA27">
        <f>抽蓄水电!BA27+地方水电!BA28</f>
        <v>502.33</v>
      </c>
      <c r="BB27">
        <f>抽蓄水电!BB27+地方水电!BB28</f>
        <v>502.66</v>
      </c>
      <c r="BC27">
        <f>抽蓄水电!BC27+地方水电!BC28</f>
        <v>502.47</v>
      </c>
      <c r="BD27">
        <f>抽蓄水电!BD27+地方水电!BD28</f>
        <v>502.62</v>
      </c>
      <c r="BE27">
        <f>抽蓄水电!BE27+地方水电!BE28</f>
        <v>502.66</v>
      </c>
      <c r="BF27">
        <f>抽蓄水电!BF27+地方水电!BF28</f>
        <v>502.47</v>
      </c>
      <c r="BG27">
        <f>抽蓄水电!BG27+地方水电!BG28</f>
        <v>500.87</v>
      </c>
      <c r="BH27">
        <f>抽蓄水电!BH27+地方水电!BH28</f>
        <v>500.9</v>
      </c>
      <c r="BI27">
        <f>抽蓄水电!BI27+地方水电!BI28</f>
        <v>500.77</v>
      </c>
      <c r="BJ27">
        <f>抽蓄水电!BJ27+地方水电!BJ28</f>
        <v>500.75</v>
      </c>
      <c r="BK27">
        <f>抽蓄水电!BK27+地方水电!BK28</f>
        <v>500.8</v>
      </c>
      <c r="BL27">
        <f>抽蓄水电!BL27+地方水电!BL28</f>
        <v>501</v>
      </c>
      <c r="BM27">
        <f>抽蓄水电!BM27+地方水电!BM28</f>
        <v>501.63</v>
      </c>
      <c r="BN27">
        <f>抽蓄水电!BN27+地方水电!BN28</f>
        <v>503.07</v>
      </c>
      <c r="BO27">
        <f>抽蓄水电!BO27+地方水电!BO28</f>
        <v>503.21</v>
      </c>
      <c r="BP27">
        <f>抽蓄水电!BP27+地方水电!BP28</f>
        <v>502.9</v>
      </c>
      <c r="BQ27">
        <f>抽蓄水电!BQ27+地方水电!BQ28</f>
        <v>502.91</v>
      </c>
      <c r="BR27">
        <f>抽蓄水电!BR27+地方水电!BR28</f>
        <v>504.31</v>
      </c>
      <c r="BS27">
        <f>抽蓄水电!BS27+地方水电!BS28</f>
        <v>504.41</v>
      </c>
      <c r="BT27">
        <f>抽蓄水电!BT27+地方水电!BT28</f>
        <v>506</v>
      </c>
      <c r="BU27">
        <f>抽蓄水电!BU27+地方水电!BU28</f>
        <v>508.65</v>
      </c>
      <c r="BV27">
        <f>抽蓄水电!BV27+地方水电!BV28</f>
        <v>508.59</v>
      </c>
      <c r="BW27">
        <f>抽蓄水电!BW27+地方水电!BW28</f>
        <v>507.14</v>
      </c>
      <c r="BX27">
        <f>抽蓄水电!BX27+地方水电!BX28</f>
        <v>508.15</v>
      </c>
      <c r="BY27">
        <f>抽蓄水电!BY27+地方水电!BY28</f>
        <v>508.21</v>
      </c>
      <c r="BZ27">
        <f>抽蓄水电!BZ27+地方水电!BZ28</f>
        <v>508.02</v>
      </c>
      <c r="CA27">
        <f>抽蓄水电!CA27+地方水电!CA28</f>
        <v>508.52</v>
      </c>
      <c r="CB27">
        <f>抽蓄水电!CB27+地方水电!CB28</f>
        <v>511.4</v>
      </c>
      <c r="CC27">
        <f>抽蓄水电!CC27+地方水电!CC28</f>
        <v>445.46</v>
      </c>
      <c r="CD27">
        <f>抽蓄水电!CD27+地方水电!CD28</f>
        <v>446.5</v>
      </c>
      <c r="CE27">
        <f>抽蓄水电!CE27+地方水电!CE28</f>
        <v>485.49</v>
      </c>
      <c r="CF27">
        <f>抽蓄水电!CF27+地方水电!CF28</f>
        <v>485.35</v>
      </c>
      <c r="CG27">
        <f>抽蓄水电!CG27+地方水电!CG28</f>
        <v>485.52</v>
      </c>
      <c r="CH27">
        <f>抽蓄水电!CH27+地方水电!CH28</f>
        <v>485.46</v>
      </c>
      <c r="CI27">
        <f>抽蓄水电!CI27+地方水电!CI28</f>
        <v>485.52</v>
      </c>
      <c r="CJ27">
        <f>抽蓄水电!CJ27+地方水电!CJ28</f>
        <v>485.55</v>
      </c>
      <c r="CK27">
        <f>抽蓄水电!CK27+地方水电!CK28</f>
        <v>483.52</v>
      </c>
      <c r="CL27">
        <f>抽蓄水电!CL27+地方水电!CL28</f>
        <v>483.57</v>
      </c>
      <c r="CM27">
        <f>抽蓄水电!CM27+地方水电!CM28</f>
        <v>480.49</v>
      </c>
      <c r="CN27">
        <f>抽蓄水电!CN27+地方水电!CN28</f>
        <v>478.86</v>
      </c>
      <c r="CO27">
        <f>抽蓄水电!CO27+地方水电!CO28</f>
        <v>478.79</v>
      </c>
      <c r="CP27">
        <f>抽蓄水电!CP27+地方水电!CP28</f>
        <v>478.72</v>
      </c>
      <c r="CQ27">
        <f>抽蓄水电!CQ27+地方水电!CQ28</f>
        <v>478.57</v>
      </c>
      <c r="CR27">
        <f>抽蓄水电!CR27+地方水电!CR28</f>
        <v>478.52</v>
      </c>
      <c r="CS27">
        <f>抽蓄水电!CS27+地方水电!CS28</f>
        <v>478.32</v>
      </c>
    </row>
    <row r="28" spans="1:97">
      <c r="A28" s="9">
        <v>46261</v>
      </c>
      <c r="B28">
        <f>抽蓄水电!B28+地方水电!B29</f>
        <v>301.45</v>
      </c>
      <c r="C28">
        <f>抽蓄水电!C28+地方水电!C29</f>
        <v>307.86</v>
      </c>
      <c r="D28">
        <f>抽蓄水电!D28+地方水电!D29</f>
        <v>311.67</v>
      </c>
      <c r="E28">
        <f>抽蓄水电!E28+地方水电!E29</f>
        <v>311.63</v>
      </c>
      <c r="F28">
        <f>抽蓄水电!F28+地方水电!F29</f>
        <v>312.41</v>
      </c>
      <c r="G28">
        <f>抽蓄水电!G28+地方水电!G29</f>
        <v>313.22</v>
      </c>
      <c r="H28">
        <f>抽蓄水电!H28+地方水电!H29</f>
        <v>311</v>
      </c>
      <c r="I28">
        <f>抽蓄水电!I28+地方水电!I29</f>
        <v>311.7</v>
      </c>
      <c r="J28">
        <f>抽蓄水电!J28+地方水电!J29</f>
        <v>312.61</v>
      </c>
      <c r="K28">
        <f>抽蓄水电!K28+地方水电!K29</f>
        <v>311</v>
      </c>
      <c r="L28">
        <f>抽蓄水电!L28+地方水电!L29</f>
        <v>311.14</v>
      </c>
      <c r="M28">
        <f>抽蓄水电!M28+地方水电!M29</f>
        <v>310.71</v>
      </c>
      <c r="N28">
        <f>抽蓄水电!N28+地方水电!N29</f>
        <v>309.71</v>
      </c>
      <c r="O28">
        <f>抽蓄水电!O28+地方水电!O29</f>
        <v>309.4</v>
      </c>
      <c r="P28">
        <f>抽蓄水电!P28+地方水电!P29</f>
        <v>309.39</v>
      </c>
      <c r="Q28">
        <f>抽蓄水电!Q28+地方水电!Q29</f>
        <v>309.33</v>
      </c>
      <c r="R28">
        <f>抽蓄水电!R28+地方水电!R29</f>
        <v>309.12</v>
      </c>
      <c r="S28">
        <f>抽蓄水电!S28+地方水电!S29</f>
        <v>309.14</v>
      </c>
      <c r="T28">
        <f>抽蓄水电!T28+地方水电!T29</f>
        <v>309.31</v>
      </c>
      <c r="U28">
        <f>抽蓄水电!U28+地方水电!U29</f>
        <v>308.93</v>
      </c>
      <c r="V28">
        <f>抽蓄水电!V28+地方水电!V29</f>
        <v>308.58</v>
      </c>
      <c r="W28">
        <f>抽蓄水电!W28+地方水电!W29</f>
        <v>308.43</v>
      </c>
      <c r="X28">
        <f>抽蓄水电!X28+地方水电!X29</f>
        <v>308.66</v>
      </c>
      <c r="Y28">
        <f>抽蓄水电!Y28+地方水电!Y29</f>
        <v>308.52</v>
      </c>
      <c r="Z28">
        <f>抽蓄水电!Z28+地方水电!Z29</f>
        <v>308.55</v>
      </c>
      <c r="AA28">
        <f>抽蓄水电!AA28+地方水电!AA29</f>
        <v>308.55</v>
      </c>
      <c r="AB28">
        <f>抽蓄水电!AB28+地方水电!AB29</f>
        <v>308.76</v>
      </c>
      <c r="AC28">
        <f>抽蓄水电!AC28+地方水电!AC29</f>
        <v>308.72</v>
      </c>
      <c r="AD28">
        <f>抽蓄水电!AD28+地方水电!AD29</f>
        <v>308.75</v>
      </c>
      <c r="AE28">
        <f>抽蓄水电!AE28+地方水电!AE29</f>
        <v>308.74</v>
      </c>
      <c r="AF28">
        <f>抽蓄水电!AF28+地方水电!AF29</f>
        <v>308.37</v>
      </c>
      <c r="AG28">
        <f>抽蓄水电!AG28+地方水电!AG29</f>
        <v>308.3</v>
      </c>
      <c r="AH28">
        <f>抽蓄水电!AH28+地方水电!AH29</f>
        <v>308.51</v>
      </c>
      <c r="AI28">
        <f>抽蓄水电!AI28+地方水电!AI29</f>
        <v>307.55</v>
      </c>
      <c r="AJ28">
        <f>抽蓄水电!AJ28+地方水电!AJ29</f>
        <v>242.1</v>
      </c>
      <c r="AK28">
        <f>抽蓄水电!AK28+地方水电!AK29</f>
        <v>242.07</v>
      </c>
      <c r="AL28">
        <f>抽蓄水电!AL28+地方水电!AL29</f>
        <v>242</v>
      </c>
      <c r="AM28">
        <f>抽蓄水电!AM28+地方水电!AM29</f>
        <v>242.36</v>
      </c>
      <c r="AN28">
        <f>抽蓄水电!AN28+地方水电!AN29</f>
        <v>243.35</v>
      </c>
      <c r="AO28">
        <f>抽蓄水电!AO28+地方水电!AO29</f>
        <v>242.69</v>
      </c>
      <c r="AP28">
        <f>抽蓄水电!AP28+地方水电!AP29</f>
        <v>242.64</v>
      </c>
      <c r="AQ28">
        <f>抽蓄水电!AQ28+地方水电!AQ29</f>
        <v>242.53</v>
      </c>
      <c r="AR28">
        <f>抽蓄水电!AR28+地方水电!AR29</f>
        <v>242.51</v>
      </c>
      <c r="AS28">
        <f>抽蓄水电!AS28+地方水电!AS29</f>
        <v>242.55</v>
      </c>
      <c r="AT28">
        <f>抽蓄水电!AT28+地方水电!AT29</f>
        <v>241.39</v>
      </c>
      <c r="AU28">
        <f>抽蓄水电!AU28+地方水电!AU29</f>
        <v>241.25</v>
      </c>
      <c r="AV28">
        <f>抽蓄水电!AV28+地方水电!AV29</f>
        <v>240.8</v>
      </c>
      <c r="AW28">
        <f>抽蓄水电!AW28+地方水电!AW29</f>
        <v>241.27</v>
      </c>
      <c r="AX28">
        <f>抽蓄水电!AX28+地方水电!AX29</f>
        <v>241.98</v>
      </c>
      <c r="AY28">
        <f>抽蓄水电!AY28+地方水电!AY29</f>
        <v>242.16</v>
      </c>
      <c r="AZ28">
        <f>抽蓄水电!AZ28+地方水电!AZ29</f>
        <v>241.74</v>
      </c>
      <c r="BA28">
        <f>抽蓄水电!BA28+地方水电!BA29</f>
        <v>241.04</v>
      </c>
      <c r="BB28">
        <f>抽蓄水电!BB28+地方水电!BB29</f>
        <v>241.39</v>
      </c>
      <c r="BC28">
        <f>抽蓄水电!BC28+地方水电!BC29</f>
        <v>241.16</v>
      </c>
      <c r="BD28">
        <f>抽蓄水电!BD28+地方水电!BD29</f>
        <v>241.34</v>
      </c>
      <c r="BE28">
        <f>抽蓄水电!BE28+地方水电!BE29</f>
        <v>241.36</v>
      </c>
      <c r="BF28">
        <f>抽蓄水电!BF28+地方水电!BF29</f>
        <v>241.15</v>
      </c>
      <c r="BG28">
        <f>抽蓄水电!BG28+地方水电!BG29</f>
        <v>239.56</v>
      </c>
      <c r="BH28">
        <f>抽蓄水电!BH28+地方水电!BH29</f>
        <v>239.55</v>
      </c>
      <c r="BI28">
        <f>抽蓄水电!BI28+地方水电!BI29</f>
        <v>239.35</v>
      </c>
      <c r="BJ28">
        <f>抽蓄水电!BJ28+地方水电!BJ29</f>
        <v>239.39</v>
      </c>
      <c r="BK28">
        <f>抽蓄水电!BK28+地方水电!BK29</f>
        <v>240.85</v>
      </c>
      <c r="BL28">
        <f>抽蓄水电!BL28+地方水电!BL29</f>
        <v>241.02</v>
      </c>
      <c r="BM28">
        <f>抽蓄水电!BM28+地方水电!BM29</f>
        <v>341.65</v>
      </c>
      <c r="BN28">
        <f>抽蓄水电!BN28+地方水电!BN29</f>
        <v>343.14</v>
      </c>
      <c r="BO28">
        <f>抽蓄水电!BO28+地方水电!BO29</f>
        <v>343.19</v>
      </c>
      <c r="BP28">
        <f>抽蓄水电!BP28+地方水电!BP29</f>
        <v>409.1</v>
      </c>
      <c r="BQ28">
        <f>抽蓄水电!BQ28+地方水电!BQ29</f>
        <v>406.39</v>
      </c>
      <c r="BR28">
        <f>抽蓄水电!BR28+地方水电!BR29</f>
        <v>407.43</v>
      </c>
      <c r="BS28">
        <f>抽蓄水电!BS28+地方水电!BS29</f>
        <v>406.51</v>
      </c>
      <c r="BT28">
        <f>抽蓄水电!BT28+地方水电!BT29</f>
        <v>406.28</v>
      </c>
      <c r="BU28">
        <f>抽蓄水电!BU28+地方水电!BU29</f>
        <v>406.42</v>
      </c>
      <c r="BV28">
        <f>抽蓄水电!BV28+地方水电!BV29</f>
        <v>405.57</v>
      </c>
      <c r="BW28">
        <f>抽蓄水电!BW28+地方水电!BW29</f>
        <v>402.72</v>
      </c>
      <c r="BX28">
        <f>抽蓄水电!BX28+地方水电!BX29</f>
        <v>402.69</v>
      </c>
      <c r="BY28">
        <f>抽蓄水电!BY28+地方水电!BY29</f>
        <v>402.83</v>
      </c>
      <c r="BZ28">
        <f>抽蓄水电!BZ28+地方水电!BZ29</f>
        <v>340.52</v>
      </c>
      <c r="CA28">
        <f>抽蓄水电!CA28+地方水电!CA29</f>
        <v>340.58</v>
      </c>
      <c r="CB28">
        <f>抽蓄水电!CB28+地方水电!CB29</f>
        <v>340.55</v>
      </c>
      <c r="CC28">
        <f>抽蓄水电!CC28+地方水电!CC29</f>
        <v>340.5</v>
      </c>
      <c r="CD28">
        <f>抽蓄水电!CD28+地方水电!CD29</f>
        <v>301.29</v>
      </c>
      <c r="CE28">
        <f>抽蓄水电!CE28+地方水电!CE29</f>
        <v>301.32</v>
      </c>
      <c r="CF28">
        <f>抽蓄水电!CF28+地方水电!CF29</f>
        <v>301.13</v>
      </c>
      <c r="CG28">
        <f>抽蓄水电!CG28+地方水电!CG29</f>
        <v>301.12</v>
      </c>
      <c r="CH28">
        <f>抽蓄水电!CH28+地方水电!CH29</f>
        <v>301.06</v>
      </c>
      <c r="CI28">
        <f>抽蓄水电!CI28+地方水电!CI29</f>
        <v>300.95</v>
      </c>
      <c r="CJ28">
        <f>抽蓄水电!CJ28+地方水电!CJ29</f>
        <v>300.97</v>
      </c>
      <c r="CK28">
        <f>抽蓄水电!CK28+地方水电!CK29</f>
        <v>299.82</v>
      </c>
      <c r="CL28">
        <f>抽蓄水电!CL28+地方水电!CL29</f>
        <v>299.34</v>
      </c>
      <c r="CM28">
        <f>抽蓄水电!CM28+地方水电!CM29</f>
        <v>298.96</v>
      </c>
      <c r="CN28">
        <f>抽蓄水电!CN28+地方水电!CN29</f>
        <v>298.94</v>
      </c>
      <c r="CO28">
        <f>抽蓄水电!CO28+地方水电!CO29</f>
        <v>299.01</v>
      </c>
      <c r="CP28">
        <f>抽蓄水电!CP28+地方水电!CP29</f>
        <v>298.94</v>
      </c>
      <c r="CQ28">
        <f>抽蓄水电!CQ28+地方水电!CQ29</f>
        <v>298.85</v>
      </c>
      <c r="CR28">
        <f>抽蓄水电!CR28+地方水电!CR29</f>
        <v>298.95</v>
      </c>
      <c r="CS28">
        <f>抽蓄水电!CS28+地方水电!CS29</f>
        <v>298.86</v>
      </c>
    </row>
    <row r="29" spans="1:97">
      <c r="A29" s="9">
        <v>46262</v>
      </c>
      <c r="B29">
        <f>抽蓄水电!B29+地方水电!B30</f>
        <v>338.2</v>
      </c>
      <c r="C29">
        <f>抽蓄水电!C29+地方水电!C30</f>
        <v>345.62</v>
      </c>
      <c r="D29">
        <f>抽蓄水电!D29+地方水电!D30</f>
        <v>348.26</v>
      </c>
      <c r="E29">
        <f>抽蓄水电!E29+地方水电!E30</f>
        <v>348.39</v>
      </c>
      <c r="F29">
        <f>抽蓄水电!F29+地方水电!F30</f>
        <v>349.13</v>
      </c>
      <c r="G29">
        <f>抽蓄水电!G29+地方水电!G30</f>
        <v>349.99</v>
      </c>
      <c r="H29">
        <f>抽蓄水电!H29+地方水电!H30</f>
        <v>350</v>
      </c>
      <c r="I29">
        <f>抽蓄水电!I29+地方水电!I30</f>
        <v>350.19</v>
      </c>
      <c r="J29">
        <f>抽蓄水电!J29+地方水电!J30</f>
        <v>350.28</v>
      </c>
      <c r="K29">
        <f>抽蓄水电!K29+地方水电!K30</f>
        <v>350.41</v>
      </c>
      <c r="L29">
        <f>抽蓄水电!L29+地方水电!L30</f>
        <v>350.42</v>
      </c>
      <c r="M29">
        <f>抽蓄水电!M29+地方水电!M30</f>
        <v>350.55</v>
      </c>
      <c r="N29">
        <f>抽蓄水电!N29+地方水电!N30</f>
        <v>349.4</v>
      </c>
      <c r="O29">
        <f>抽蓄水电!O29+地方水电!O30</f>
        <v>349.19</v>
      </c>
      <c r="P29">
        <f>抽蓄水电!P29+地方水电!P30</f>
        <v>349.24</v>
      </c>
      <c r="Q29">
        <f>抽蓄水电!Q29+地方水电!Q30</f>
        <v>349.35</v>
      </c>
      <c r="R29">
        <f>抽蓄水电!R29+地方水电!R30</f>
        <v>349.21</v>
      </c>
      <c r="S29">
        <f>抽蓄水电!S29+地方水电!S30</f>
        <v>310.11</v>
      </c>
      <c r="T29">
        <f>抽蓄水电!T29+地方水电!T30</f>
        <v>310.26</v>
      </c>
      <c r="U29">
        <f>抽蓄水电!U29+地方水电!U30</f>
        <v>310.34</v>
      </c>
      <c r="V29">
        <f>抽蓄水电!V29+地方水电!V30</f>
        <v>310.29</v>
      </c>
      <c r="W29">
        <f>抽蓄水电!W29+地方水电!W30</f>
        <v>310.42</v>
      </c>
      <c r="X29">
        <f>抽蓄水电!X29+地方水电!X30</f>
        <v>310.6</v>
      </c>
      <c r="Y29">
        <f>抽蓄水电!Y29+地方水电!Y30</f>
        <v>310.5</v>
      </c>
      <c r="Z29">
        <f>抽蓄水电!Z29+地方水电!Z30</f>
        <v>310.55</v>
      </c>
      <c r="AA29">
        <f>抽蓄水电!AA29+地方水电!AA30</f>
        <v>310.54</v>
      </c>
      <c r="AB29">
        <f>抽蓄水电!AB29+地方水电!AB30</f>
        <v>310.63</v>
      </c>
      <c r="AC29">
        <f>抽蓄水电!AC29+地方水电!AC30</f>
        <v>310.55</v>
      </c>
      <c r="AD29">
        <f>抽蓄水电!AD29+地方水电!AD30</f>
        <v>310.59</v>
      </c>
      <c r="AE29">
        <f>抽蓄水电!AE29+地方水电!AE30</f>
        <v>310.57</v>
      </c>
      <c r="AF29">
        <f>抽蓄水电!AF29+地方水电!AF30</f>
        <v>310.57</v>
      </c>
      <c r="AG29">
        <f>抽蓄水电!AG29+地方水电!AG30</f>
        <v>310.51</v>
      </c>
      <c r="AH29">
        <f>抽蓄水电!AH29+地方水电!AH30</f>
        <v>244.65</v>
      </c>
      <c r="AI29">
        <f>抽蓄水电!AI29+地方水电!AI30</f>
        <v>244.57</v>
      </c>
      <c r="AJ29">
        <f>抽蓄水电!AJ29+地方水电!AJ30</f>
        <v>243.1</v>
      </c>
      <c r="AK29">
        <f>抽蓄水电!AK29+地方水电!AK30</f>
        <v>240.04</v>
      </c>
      <c r="AL29">
        <f>抽蓄水电!AL29+地方水电!AL30</f>
        <v>240.69</v>
      </c>
      <c r="AM29">
        <f>抽蓄水电!AM29+地方水电!AM30</f>
        <v>240.28</v>
      </c>
      <c r="AN29">
        <f>抽蓄水电!AN29+地方水电!AN30</f>
        <v>240.45</v>
      </c>
      <c r="AO29">
        <f>抽蓄水电!AO29+地方水电!AO30</f>
        <v>240.72</v>
      </c>
      <c r="AP29">
        <f>抽蓄水电!AP29+地方水电!AP30</f>
        <v>240.64</v>
      </c>
      <c r="AQ29">
        <f>抽蓄水电!AQ29+地方水电!AQ30</f>
        <v>239.59</v>
      </c>
      <c r="AR29">
        <f>抽蓄水电!AR29+地方水电!AR30</f>
        <v>242.54</v>
      </c>
      <c r="AS29">
        <f>抽蓄水电!AS29+地方水电!AS30</f>
        <v>242.17</v>
      </c>
      <c r="AT29">
        <f>抽蓄水电!AT29+地方水电!AT30</f>
        <v>241.07</v>
      </c>
      <c r="AU29">
        <f>抽蓄水电!AU29+地方水电!AU30</f>
        <v>240.93</v>
      </c>
      <c r="AV29">
        <f>抽蓄水电!AV29+地方水电!AV30</f>
        <v>240.84</v>
      </c>
      <c r="AW29">
        <f>抽蓄水电!AW29+地方水电!AW30</f>
        <v>242.26</v>
      </c>
      <c r="AX29">
        <f>抽蓄水电!AX29+地方水电!AX30</f>
        <v>242.2</v>
      </c>
      <c r="AY29">
        <f>抽蓄水电!AY29+地方水电!AY30</f>
        <v>242.22</v>
      </c>
      <c r="AZ29">
        <f>抽蓄水电!AZ29+地方水电!AZ30</f>
        <v>241.94</v>
      </c>
      <c r="BA29">
        <f>抽蓄水电!BA29+地方水电!BA30</f>
        <v>241.69</v>
      </c>
      <c r="BB29">
        <f>抽蓄水电!BB29+地方水电!BB30</f>
        <v>241.87</v>
      </c>
      <c r="BC29">
        <f>抽蓄水电!BC29+地方水电!BC30</f>
        <v>241.65</v>
      </c>
      <c r="BD29">
        <f>抽蓄水电!BD29+地方水电!BD30</f>
        <v>241.75</v>
      </c>
      <c r="BE29">
        <f>抽蓄水电!BE29+地方水电!BE30</f>
        <v>241.77</v>
      </c>
      <c r="BF29">
        <f>抽蓄水电!BF29+地方水电!BF30</f>
        <v>241.71</v>
      </c>
      <c r="BG29">
        <f>抽蓄水电!BG29+地方水电!BG30</f>
        <v>240.1</v>
      </c>
      <c r="BH29">
        <f>抽蓄水电!BH29+地方水电!BH30</f>
        <v>240.08</v>
      </c>
      <c r="BI29">
        <f>抽蓄水电!BI29+地方水电!BI30</f>
        <v>239.82</v>
      </c>
      <c r="BJ29">
        <f>抽蓄水电!BJ29+地方水电!BJ30</f>
        <v>239.91</v>
      </c>
      <c r="BK29">
        <f>抽蓄水电!BK29+地方水电!BK30</f>
        <v>241.37</v>
      </c>
      <c r="BL29">
        <f>抽蓄水电!BL29+地方水电!BL30</f>
        <v>241.41</v>
      </c>
      <c r="BM29">
        <f>抽蓄水电!BM29+地方水电!BM30</f>
        <v>240.91</v>
      </c>
      <c r="BN29">
        <f>抽蓄水电!BN29+地方水电!BN30</f>
        <v>240.67</v>
      </c>
      <c r="BO29">
        <f>抽蓄水电!BO29+地方水电!BO30</f>
        <v>240.65</v>
      </c>
      <c r="BP29">
        <f>抽蓄水电!BP29+地方水电!BP30</f>
        <v>242.57</v>
      </c>
      <c r="BQ29">
        <f>抽蓄水电!BQ29+地方水电!BQ30</f>
        <v>239.81</v>
      </c>
      <c r="BR29">
        <f>抽蓄水电!BR29+地方水电!BR30</f>
        <v>239.49</v>
      </c>
      <c r="BS29">
        <f>抽蓄水电!BS29+地方水电!BS30</f>
        <v>238.64</v>
      </c>
      <c r="BT29">
        <f>抽蓄水电!BT29+地方水电!BT30</f>
        <v>239.54</v>
      </c>
      <c r="BU29">
        <f>抽蓄水电!BU29+地方水电!BU30</f>
        <v>240.08</v>
      </c>
      <c r="BV29">
        <f>抽蓄水电!BV29+地方水电!BV30</f>
        <v>240.63</v>
      </c>
      <c r="BW29">
        <f>抽蓄水电!BW29+地方水电!BW30</f>
        <v>239.13</v>
      </c>
      <c r="BX29">
        <f>抽蓄水电!BX29+地方水电!BX30</f>
        <v>239</v>
      </c>
      <c r="BY29">
        <f>抽蓄水电!BY29+地方水电!BY30</f>
        <v>239.21</v>
      </c>
      <c r="BZ29">
        <f>抽蓄水电!BZ29+地方水电!BZ30</f>
        <v>239.21</v>
      </c>
      <c r="CA29">
        <f>抽蓄水电!CA29+地方水电!CA30</f>
        <v>239.21</v>
      </c>
      <c r="CB29">
        <f>抽蓄水电!CB29+地方水电!CB30</f>
        <v>239.19</v>
      </c>
      <c r="CC29">
        <f>抽蓄水电!CC29+地方水电!CC30</f>
        <v>239.29</v>
      </c>
      <c r="CD29">
        <f>抽蓄水电!CD29+地方水电!CD30</f>
        <v>240.27</v>
      </c>
      <c r="CE29">
        <f>抽蓄水电!CE29+地方水电!CE30</f>
        <v>240.17</v>
      </c>
      <c r="CF29">
        <f>抽蓄水电!CF29+地方水电!CF30</f>
        <v>240.02</v>
      </c>
      <c r="CG29">
        <f>抽蓄水电!CG29+地方水电!CG30</f>
        <v>240</v>
      </c>
      <c r="CH29">
        <f>抽蓄水电!CH29+地方水电!CH30</f>
        <v>239.9</v>
      </c>
      <c r="CI29">
        <f>抽蓄水电!CI29+地方水电!CI30</f>
        <v>239.96</v>
      </c>
      <c r="CJ29">
        <f>抽蓄水电!CJ29+地方水电!CJ30</f>
        <v>239.93</v>
      </c>
      <c r="CK29">
        <f>抽蓄水电!CK29+地方水电!CK30</f>
        <v>239.07</v>
      </c>
      <c r="CL29">
        <f>抽蓄水电!CL29+地方水电!CL30</f>
        <v>304.56</v>
      </c>
      <c r="CM29">
        <f>抽蓄水电!CM29+地方水电!CM30</f>
        <v>304.02</v>
      </c>
      <c r="CN29">
        <f>抽蓄水电!CN29+地方水电!CN30</f>
        <v>304.27</v>
      </c>
      <c r="CO29">
        <f>抽蓄水电!CO29+地方水电!CO30</f>
        <v>263.3</v>
      </c>
      <c r="CP29">
        <f>抽蓄水电!CP29+地方水电!CP30</f>
        <v>240.28</v>
      </c>
      <c r="CQ29">
        <f>抽蓄水电!CQ29+地方水电!CQ30</f>
        <v>240.55</v>
      </c>
      <c r="CR29">
        <f>抽蓄水电!CR29+地方水电!CR30</f>
        <v>240.5</v>
      </c>
      <c r="CS29">
        <f>抽蓄水电!CS29+地方水电!CS30</f>
        <v>240.37</v>
      </c>
    </row>
    <row r="30" spans="1:97">
      <c r="A30" s="9">
        <v>46263</v>
      </c>
      <c r="B30">
        <f>抽蓄水电!B30+地方水电!B31</f>
        <v>240.15</v>
      </c>
      <c r="C30">
        <f>抽蓄水电!C30+地方水电!C31</f>
        <v>242.81</v>
      </c>
      <c r="D30">
        <f>抽蓄水电!D30+地方水电!D31</f>
        <v>244.09</v>
      </c>
      <c r="E30">
        <f>抽蓄水电!E30+地方水电!E31</f>
        <v>244.29</v>
      </c>
      <c r="F30">
        <f>抽蓄水电!F30+地方水电!F31</f>
        <v>244.02</v>
      </c>
      <c r="G30">
        <f>抽蓄水电!G30+地方水电!G31</f>
        <v>244.22</v>
      </c>
      <c r="H30">
        <f>抽蓄水电!H30+地方水电!H31</f>
        <v>244.22</v>
      </c>
      <c r="I30">
        <f>抽蓄水电!I30+地方水电!I31</f>
        <v>244.26</v>
      </c>
      <c r="J30">
        <f>抽蓄水电!J30+地方水电!J31</f>
        <v>244.22</v>
      </c>
      <c r="K30">
        <f>抽蓄水电!K30+地方水电!K31</f>
        <v>244.33</v>
      </c>
      <c r="L30">
        <f>抽蓄水电!L30+地方水电!L31</f>
        <v>244.18</v>
      </c>
      <c r="M30">
        <f>抽蓄水电!M30+地方水电!M31</f>
        <v>244.34</v>
      </c>
      <c r="N30">
        <f>抽蓄水电!N30+地方水电!N31</f>
        <v>243.03</v>
      </c>
      <c r="O30">
        <f>抽蓄水电!O30+地方水电!O31</f>
        <v>242.84</v>
      </c>
      <c r="P30">
        <f>抽蓄水电!P30+地方水电!P31</f>
        <v>242.83</v>
      </c>
      <c r="Q30">
        <f>抽蓄水电!Q30+地方水电!Q31</f>
        <v>242.85</v>
      </c>
      <c r="R30">
        <f>抽蓄水电!R30+地方水电!R31</f>
        <v>242.75</v>
      </c>
      <c r="S30">
        <f>抽蓄水电!S30+地方水电!S31</f>
        <v>242.71</v>
      </c>
      <c r="T30">
        <f>抽蓄水电!T30+地方水电!T31</f>
        <v>242.7</v>
      </c>
      <c r="U30">
        <f>抽蓄水电!U30+地方水电!U31</f>
        <v>242.68</v>
      </c>
      <c r="V30">
        <f>抽蓄水电!V30+地方水电!V31</f>
        <v>242.86</v>
      </c>
      <c r="W30">
        <f>抽蓄水电!W30+地方水电!W31</f>
        <v>243.06</v>
      </c>
      <c r="X30">
        <f>抽蓄水电!X30+地方水电!X31</f>
        <v>242.97</v>
      </c>
      <c r="Y30">
        <f>抽蓄水电!Y30+地方水电!Y31</f>
        <v>242.81</v>
      </c>
      <c r="Z30">
        <f>抽蓄水电!Z30+地方水电!Z31</f>
        <v>242.93</v>
      </c>
      <c r="AA30">
        <f>抽蓄水电!AA30+地方水电!AA31</f>
        <v>242.9</v>
      </c>
      <c r="AB30">
        <f>抽蓄水电!AB30+地方水电!AB31</f>
        <v>242.87</v>
      </c>
      <c r="AC30">
        <f>抽蓄水电!AC30+地方水电!AC31</f>
        <v>242.83</v>
      </c>
      <c r="AD30">
        <f>抽蓄水电!AD30+地方水电!AD31</f>
        <v>242.86</v>
      </c>
      <c r="AE30">
        <f>抽蓄水电!AE30+地方水电!AE31</f>
        <v>242.74</v>
      </c>
      <c r="AF30">
        <f>抽蓄水电!AF30+地方水电!AF31</f>
        <v>242.77</v>
      </c>
      <c r="AG30">
        <f>抽蓄水电!AG30+地方水电!AG31</f>
        <v>242.71</v>
      </c>
      <c r="AH30">
        <f>抽蓄水电!AH30+地方水电!AH31</f>
        <v>239.98</v>
      </c>
      <c r="AI30">
        <f>抽蓄水电!AI30+地方水电!AI31</f>
        <v>240.11</v>
      </c>
      <c r="AJ30">
        <f>抽蓄水电!AJ30+地方水电!AJ31</f>
        <v>171.1</v>
      </c>
      <c r="AK30">
        <f>抽蓄水电!AK30+地方水电!AK31</f>
        <v>170.58</v>
      </c>
      <c r="AL30">
        <f>抽蓄水电!AL30+地方水电!AL31</f>
        <v>171.22</v>
      </c>
      <c r="AM30">
        <f>抽蓄水电!AM30+地方水电!AM31</f>
        <v>93.64</v>
      </c>
      <c r="AN30">
        <f>抽蓄水电!AN30+地方水电!AN31</f>
        <v>93.81</v>
      </c>
      <c r="AO30">
        <f>抽蓄水电!AO30+地方水电!AO31</f>
        <v>94.03</v>
      </c>
      <c r="AP30">
        <f>抽蓄水电!AP30+地方水电!AP31</f>
        <v>94.06</v>
      </c>
      <c r="AQ30">
        <f>抽蓄水电!AQ30+地方水电!AQ31</f>
        <v>93.09</v>
      </c>
      <c r="AR30">
        <f>抽蓄水电!AR30+地方水电!AR31</f>
        <v>92.65</v>
      </c>
      <c r="AS30">
        <f>抽蓄水电!AS30+地方水电!AS31</f>
        <v>92.44</v>
      </c>
      <c r="AT30">
        <f>抽蓄水电!AT30+地方水电!AT31</f>
        <v>92.31</v>
      </c>
      <c r="AU30">
        <f>抽蓄水电!AU30+地方水电!AU31</f>
        <v>92.33</v>
      </c>
      <c r="AV30">
        <f>抽蓄水电!AV30+地方水电!AV31</f>
        <v>92.48</v>
      </c>
      <c r="AW30">
        <f>抽蓄水电!AW30+地方水电!AW31</f>
        <v>93.63</v>
      </c>
      <c r="AX30">
        <f>抽蓄水电!AX30+地方水电!AX31</f>
        <v>93.63</v>
      </c>
      <c r="AY30">
        <f>抽蓄水电!AY30+地方水电!AY31</f>
        <v>93.52</v>
      </c>
      <c r="AZ30">
        <f>抽蓄水电!AZ30+地方水电!AZ31</f>
        <v>93.26</v>
      </c>
      <c r="BA30">
        <f>抽蓄水电!BA30+地方水电!BA31</f>
        <v>93.28</v>
      </c>
      <c r="BB30">
        <f>抽蓄水电!BB30+地方水电!BB31</f>
        <v>93.29</v>
      </c>
      <c r="BC30">
        <f>抽蓄水电!BC30+地方水电!BC31</f>
        <v>93.26</v>
      </c>
      <c r="BD30">
        <f>抽蓄水电!BD30+地方水电!BD31</f>
        <v>93.27</v>
      </c>
      <c r="BE30">
        <f>抽蓄水电!BE30+地方水电!BE31</f>
        <v>93.33</v>
      </c>
      <c r="BF30">
        <f>抽蓄水电!BF30+地方水电!BF31</f>
        <v>91.92</v>
      </c>
      <c r="BG30">
        <f>抽蓄水电!BG30+地方水电!BG31</f>
        <v>91.89</v>
      </c>
      <c r="BH30">
        <f>抽蓄水电!BH30+地方水电!BH31</f>
        <v>91.84</v>
      </c>
      <c r="BI30">
        <f>抽蓄水电!BI30+地方水电!BI31</f>
        <v>91.68</v>
      </c>
      <c r="BJ30">
        <f>抽蓄水电!BJ30+地方水电!BJ31</f>
        <v>232.81</v>
      </c>
      <c r="BK30">
        <f>抽蓄水电!BK30+地方水电!BK31</f>
        <v>234.18</v>
      </c>
      <c r="BL30">
        <f>抽蓄水电!BL30+地方水电!BL31</f>
        <v>234.17</v>
      </c>
      <c r="BM30">
        <f>抽蓄水电!BM30+地方水电!BM31</f>
        <v>272.85</v>
      </c>
      <c r="BN30">
        <f>抽蓄水电!BN30+地方水电!BN31</f>
        <v>272.52</v>
      </c>
      <c r="BO30">
        <f>抽蓄水电!BO30+地方水电!BO31</f>
        <v>272.5</v>
      </c>
      <c r="BP30">
        <f>抽蓄水电!BP30+地方水电!BP31</f>
        <v>340.42</v>
      </c>
      <c r="BQ30">
        <f>抽蓄水电!BQ30+地方水电!BQ31</f>
        <v>337.66</v>
      </c>
      <c r="BR30">
        <f>抽蓄水电!BR30+地方水电!BR31</f>
        <v>337.38</v>
      </c>
      <c r="BS30">
        <f>抽蓄水电!BS30+地方水电!BS31</f>
        <v>336.49</v>
      </c>
      <c r="BT30">
        <f>抽蓄水电!BT30+地方水电!BT31</f>
        <v>337.45</v>
      </c>
      <c r="BU30">
        <f>抽蓄水电!BU30+地方水电!BU31</f>
        <v>337.8</v>
      </c>
      <c r="BV30">
        <f>抽蓄水电!BV30+地方水电!BV31</f>
        <v>338.33</v>
      </c>
      <c r="BW30">
        <f>抽蓄水电!BW30+地方水电!BW31</f>
        <v>336.85</v>
      </c>
      <c r="BX30">
        <f>抽蓄水电!BX30+地方水电!BX31</f>
        <v>336.58</v>
      </c>
      <c r="BY30">
        <f>抽蓄水电!BY30+地方水电!BY31</f>
        <v>336.71</v>
      </c>
      <c r="BZ30">
        <f>抽蓄水电!BZ30+地方水电!BZ31</f>
        <v>336.61</v>
      </c>
      <c r="CA30">
        <f>抽蓄水电!CA30+地方水电!CA31</f>
        <v>336.62</v>
      </c>
      <c r="CB30">
        <f>抽蓄水电!CB30+地方水电!CB31</f>
        <v>336.63</v>
      </c>
      <c r="CC30">
        <f>抽蓄水电!CC30+地方水电!CC31</f>
        <v>336.64</v>
      </c>
      <c r="CD30">
        <f>抽蓄水电!CD30+地方水电!CD31</f>
        <v>298.66</v>
      </c>
      <c r="CE30">
        <f>抽蓄水电!CE30+地方水电!CE31</f>
        <v>298.57</v>
      </c>
      <c r="CF30">
        <f>抽蓄水电!CF30+地方水电!CF31</f>
        <v>298.46</v>
      </c>
      <c r="CG30">
        <f>抽蓄水电!CG30+地方水电!CG31</f>
        <v>298.44</v>
      </c>
      <c r="CH30">
        <f>抽蓄水电!CH30+地方水电!CH31</f>
        <v>298.4</v>
      </c>
      <c r="CI30">
        <f>抽蓄水电!CI30+地方水电!CI31</f>
        <v>298.39</v>
      </c>
      <c r="CJ30">
        <f>抽蓄水电!CJ30+地方水电!CJ31</f>
        <v>298.35</v>
      </c>
      <c r="CK30">
        <f>抽蓄水电!CK30+地方水电!CK31</f>
        <v>298.69</v>
      </c>
      <c r="CL30">
        <f>抽蓄水电!CL30+地方水电!CL31</f>
        <v>300.58</v>
      </c>
      <c r="CM30">
        <f>抽蓄水电!CM30+地方水电!CM31</f>
        <v>300.43</v>
      </c>
      <c r="CN30">
        <f>抽蓄水电!CN30+地方水电!CN31</f>
        <v>301.1</v>
      </c>
      <c r="CO30">
        <f>抽蓄水电!CO30+地方水电!CO31</f>
        <v>301.44</v>
      </c>
      <c r="CP30">
        <f>抽蓄水电!CP30+地方水电!CP31</f>
        <v>301.48</v>
      </c>
      <c r="CQ30">
        <f>抽蓄水电!CQ30+地方水电!CQ31</f>
        <v>301.79</v>
      </c>
      <c r="CR30">
        <f>抽蓄水电!CR30+地方水电!CR31</f>
        <v>301.62</v>
      </c>
      <c r="CS30">
        <f>抽蓄水电!CS30+地方水电!CS31</f>
        <v>301.63</v>
      </c>
    </row>
    <row r="31" spans="1:97">
      <c r="A31" s="9">
        <v>46264</v>
      </c>
      <c r="B31">
        <f>抽蓄水电!B31+地方水电!B32</f>
        <v>236.48</v>
      </c>
      <c r="C31">
        <f>抽蓄水电!C31+地方水电!C32</f>
        <v>239.14</v>
      </c>
      <c r="D31">
        <f>抽蓄水电!D31+地方水电!D32</f>
        <v>240.39</v>
      </c>
      <c r="E31">
        <f>抽蓄水电!E31+地方水电!E32</f>
        <v>240.61</v>
      </c>
      <c r="F31">
        <f>抽蓄水电!F31+地方水电!F32</f>
        <v>240.56</v>
      </c>
      <c r="G31">
        <f>抽蓄水电!G31+地方水电!G32</f>
        <v>240.76</v>
      </c>
      <c r="H31">
        <f>抽蓄水电!H31+地方水电!H32</f>
        <v>240.76</v>
      </c>
      <c r="I31">
        <f>抽蓄水电!I31+地方水电!I32</f>
        <v>240.75</v>
      </c>
      <c r="J31">
        <f>抽蓄水电!J31+地方水电!J32</f>
        <v>240.83</v>
      </c>
      <c r="K31">
        <f>抽蓄水电!K31+地方水电!K32</f>
        <v>241.01</v>
      </c>
      <c r="L31">
        <f>抽蓄水电!L31+地方水电!L32</f>
        <v>242.32</v>
      </c>
      <c r="M31">
        <f>抽蓄水电!M31+地方水电!M32</f>
        <v>242.55</v>
      </c>
      <c r="N31">
        <f>抽蓄水电!N31+地方水电!N32</f>
        <v>242.19</v>
      </c>
      <c r="O31">
        <f>抽蓄水电!O31+地方水电!O32</f>
        <v>242.33</v>
      </c>
      <c r="P31">
        <f>抽蓄水电!P31+地方水电!P32</f>
        <v>242.28</v>
      </c>
      <c r="Q31">
        <f>抽蓄水电!Q31+地方水电!Q32</f>
        <v>242.35</v>
      </c>
      <c r="R31">
        <f>抽蓄水电!R31+地方水电!R32</f>
        <v>242.32</v>
      </c>
      <c r="S31">
        <f>抽蓄水电!S31+地方水电!S32</f>
        <v>242.28</v>
      </c>
      <c r="T31">
        <f>抽蓄水电!T31+地方水电!T32</f>
        <v>242.28</v>
      </c>
      <c r="U31">
        <f>抽蓄水电!U31+地方水电!U32</f>
        <v>242.12</v>
      </c>
      <c r="V31">
        <f>抽蓄水电!V31+地方水电!V32</f>
        <v>242.37</v>
      </c>
      <c r="W31">
        <f>抽蓄水电!W31+地方水电!W32</f>
        <v>242.52</v>
      </c>
      <c r="X31">
        <f>抽蓄水电!X31+地方水电!X32</f>
        <v>242.46</v>
      </c>
      <c r="Y31">
        <f>抽蓄水电!Y31+地方水电!Y32</f>
        <v>242.22</v>
      </c>
      <c r="Z31">
        <f>抽蓄水电!Z31+地方水电!Z32</f>
        <v>242.37</v>
      </c>
      <c r="AA31">
        <f>抽蓄水电!AA31+地方水电!AA32</f>
        <v>242.35</v>
      </c>
      <c r="AB31">
        <f>抽蓄水电!AB31+地方水电!AB32</f>
        <v>242.33</v>
      </c>
      <c r="AC31">
        <f>抽蓄水电!AC31+地方水电!AC32</f>
        <v>242.24</v>
      </c>
      <c r="AD31">
        <f>抽蓄水电!AD31+地方水电!AD32</f>
        <v>242.26</v>
      </c>
      <c r="AE31">
        <f>抽蓄水电!AE31+地方水电!AE32</f>
        <v>242.11</v>
      </c>
      <c r="AF31">
        <f>抽蓄水电!AF31+地方水电!AF32</f>
        <v>242.21</v>
      </c>
      <c r="AG31">
        <f>抽蓄水电!AG31+地方水电!AG32</f>
        <v>242.01</v>
      </c>
      <c r="AH31">
        <f>抽蓄水电!AH31+地方水电!AH32</f>
        <v>239.23</v>
      </c>
      <c r="AI31">
        <f>抽蓄水电!AI31+地方水电!AI32</f>
        <v>99.36</v>
      </c>
      <c r="AJ31">
        <f>抽蓄水电!AJ31+地方水电!AJ32</f>
        <v>92.97</v>
      </c>
      <c r="AK31">
        <f>抽蓄水电!AK31+地方水电!AK32</f>
        <v>89.24</v>
      </c>
      <c r="AL31">
        <f>抽蓄水电!AL31+地方水电!AL32</f>
        <v>90.67</v>
      </c>
      <c r="AM31">
        <f>抽蓄水电!AM31+地方水电!AM32</f>
        <v>89.42</v>
      </c>
      <c r="AN31">
        <f>抽蓄水电!AN31+地方水电!AN32</f>
        <v>89.68</v>
      </c>
      <c r="AO31">
        <f>抽蓄水电!AO31+地方水电!AO32</f>
        <v>89.64</v>
      </c>
      <c r="AP31">
        <f>抽蓄水电!AP31+地方水电!AP32</f>
        <v>89.7</v>
      </c>
      <c r="AQ31">
        <f>抽蓄水电!AQ31+地方水电!AQ32</f>
        <v>90.22</v>
      </c>
      <c r="AR31">
        <f>抽蓄水电!AR31+地方水电!AR32</f>
        <v>90.86</v>
      </c>
      <c r="AS31">
        <f>抽蓄水电!AS31+地方水电!AS32</f>
        <v>95.39</v>
      </c>
      <c r="AT31">
        <f>抽蓄水电!AT31+地方水电!AT32</f>
        <v>95.25</v>
      </c>
      <c r="AU31">
        <f>抽蓄水电!AU31+地方水电!AU32</f>
        <v>95.2</v>
      </c>
      <c r="AV31">
        <f>抽蓄水电!AV31+地方水电!AV32</f>
        <v>95.54</v>
      </c>
      <c r="AW31">
        <f>抽蓄水电!AW31+地方水电!AW32</f>
        <v>96.67</v>
      </c>
      <c r="AX31">
        <f>抽蓄水电!AX31+地方水电!AX32</f>
        <v>97.51</v>
      </c>
      <c r="AY31">
        <f>抽蓄水电!AY31+地方水电!AY32</f>
        <v>98.12</v>
      </c>
      <c r="AZ31">
        <f>抽蓄水电!AZ31+地方水电!AZ32</f>
        <v>97.95</v>
      </c>
      <c r="BA31">
        <f>抽蓄水电!BA31+地方水电!BA32</f>
        <v>97.98</v>
      </c>
      <c r="BB31">
        <f>抽蓄水电!BB31+地方水电!BB32</f>
        <v>98.02</v>
      </c>
      <c r="BC31">
        <f>抽蓄水电!BC31+地方水电!BC32</f>
        <v>98.04</v>
      </c>
      <c r="BD31">
        <f>抽蓄水电!BD31+地方水电!BD32</f>
        <v>98.07</v>
      </c>
      <c r="BE31">
        <f>抽蓄水电!BE31+地方水电!BE32</f>
        <v>98.11</v>
      </c>
      <c r="BF31">
        <f>抽蓄水电!BF31+地方水电!BF32</f>
        <v>96.68</v>
      </c>
      <c r="BG31">
        <f>抽蓄水电!BG31+地方水电!BG32</f>
        <v>96.63</v>
      </c>
      <c r="BH31">
        <f>抽蓄水电!BH31+地方水电!BH32</f>
        <v>96.71</v>
      </c>
      <c r="BI31">
        <f>抽蓄水电!BI31+地方水电!BI32</f>
        <v>96.66</v>
      </c>
      <c r="BJ31">
        <f>抽蓄水电!BJ31+地方水电!BJ32</f>
        <v>99.69</v>
      </c>
      <c r="BK31">
        <f>抽蓄水电!BK31+地方水电!BK32</f>
        <v>95.78</v>
      </c>
      <c r="BL31">
        <f>抽蓄水电!BL31+地方水电!BL32</f>
        <v>95.8</v>
      </c>
      <c r="BM31">
        <f>抽蓄水电!BM31+地方水电!BM32</f>
        <v>223.94</v>
      </c>
      <c r="BN31">
        <f>抽蓄水电!BN31+地方水电!BN32</f>
        <v>298.55</v>
      </c>
      <c r="BO31">
        <f>抽蓄水电!BO31+地方水电!BO32</f>
        <v>298.48</v>
      </c>
      <c r="BP31">
        <f>抽蓄水电!BP31+地方水电!BP32</f>
        <v>300.5</v>
      </c>
      <c r="BQ31">
        <f>抽蓄水电!BQ31+地方水电!BQ32</f>
        <v>300.39</v>
      </c>
      <c r="BR31">
        <f>抽蓄水电!BR31+地方水电!BR32</f>
        <v>302.65</v>
      </c>
      <c r="BS31">
        <f>抽蓄水电!BS31+地方水电!BS32</f>
        <v>302.74</v>
      </c>
      <c r="BT31">
        <f>抽蓄水电!BT31+地方水电!BT32</f>
        <v>303.82</v>
      </c>
      <c r="BU31">
        <f>抽蓄水电!BU31+地方水电!BU32</f>
        <v>301.26</v>
      </c>
      <c r="BV31">
        <f>抽蓄水电!BV31+地方水电!BV32</f>
        <v>302.91</v>
      </c>
      <c r="BW31">
        <f>抽蓄水电!BW31+地方水电!BW32</f>
        <v>302.32</v>
      </c>
      <c r="BX31">
        <f>抽蓄水电!BX31+地方水电!BX32</f>
        <v>300.54</v>
      </c>
      <c r="BY31">
        <f>抽蓄水电!BY31+地方水电!BY32</f>
        <v>300.92</v>
      </c>
      <c r="BZ31">
        <f>抽蓄水电!BZ31+地方水电!BZ32</f>
        <v>236.83</v>
      </c>
      <c r="CA31">
        <f>抽蓄水电!CA31+地方水电!CA32</f>
        <v>302.82</v>
      </c>
      <c r="CB31">
        <f>抽蓄水电!CB31+地方水电!CB32</f>
        <v>302.73</v>
      </c>
      <c r="CC31">
        <f>抽蓄水电!CC31+地方水电!CC32</f>
        <v>302.63</v>
      </c>
      <c r="CD31">
        <f>抽蓄水电!CD31+地方水电!CD32</f>
        <v>342.69</v>
      </c>
      <c r="CE31">
        <f>抽蓄水电!CE31+地方水电!CE32</f>
        <v>342.67</v>
      </c>
      <c r="CF31">
        <f>抽蓄水电!CF31+地方水电!CF32</f>
        <v>341.73</v>
      </c>
      <c r="CG31">
        <f>抽蓄水电!CG31+地方水电!CG32</f>
        <v>341.76</v>
      </c>
      <c r="CH31">
        <f>抽蓄水电!CH31+地方水电!CH32</f>
        <v>341.64</v>
      </c>
      <c r="CI31">
        <f>抽蓄水电!CI31+地方水电!CI32</f>
        <v>341.59</v>
      </c>
      <c r="CJ31">
        <f>抽蓄水电!CJ31+地方水电!CJ32</f>
        <v>340.65</v>
      </c>
      <c r="CK31">
        <f>抽蓄水电!CK31+地方水电!CK32</f>
        <v>341.07</v>
      </c>
      <c r="CL31">
        <f>抽蓄水电!CL31+地方水电!CL32</f>
        <v>343.49</v>
      </c>
      <c r="CM31">
        <f>抽蓄水电!CM31+地方水电!CM32</f>
        <v>343.6</v>
      </c>
      <c r="CN31">
        <f>抽蓄水电!CN31+地方水电!CN32</f>
        <v>343.46</v>
      </c>
      <c r="CO31">
        <f>抽蓄水电!CO31+地方水电!CO32</f>
        <v>343.68</v>
      </c>
      <c r="CP31">
        <f>抽蓄水电!CP31+地方水电!CP32</f>
        <v>343.78</v>
      </c>
      <c r="CQ31">
        <f>抽蓄水电!CQ31+地方水电!CQ32</f>
        <v>344.15</v>
      </c>
      <c r="CR31">
        <f>抽蓄水电!CR31+地方水电!CR32</f>
        <v>343.91</v>
      </c>
      <c r="CS31">
        <f>抽蓄水电!CS31+地方水电!CS32</f>
        <v>343.91</v>
      </c>
    </row>
    <row r="32" spans="1:97">
      <c r="A32" s="9">
        <v>46265</v>
      </c>
      <c r="B32">
        <f>抽蓄水电!B32+地方水电!B33</f>
        <v>126</v>
      </c>
      <c r="C32">
        <f>抽蓄水电!C32+地方水电!C33</f>
        <v>126</v>
      </c>
      <c r="D32">
        <f>抽蓄水电!D32+地方水电!D33</f>
        <v>126</v>
      </c>
      <c r="E32">
        <f>抽蓄水电!E32+地方水电!E33</f>
        <v>126</v>
      </c>
      <c r="F32">
        <f>抽蓄水电!F32+地方水电!F33</f>
        <v>126</v>
      </c>
      <c r="G32">
        <f>抽蓄水电!G32+地方水电!G33</f>
        <v>126</v>
      </c>
      <c r="H32">
        <f>抽蓄水电!H32+地方水电!H33</f>
        <v>126</v>
      </c>
      <c r="I32">
        <f>抽蓄水电!I32+地方水电!I33</f>
        <v>126</v>
      </c>
      <c r="J32">
        <f>抽蓄水电!J32+地方水电!J33</f>
        <v>167</v>
      </c>
      <c r="K32">
        <f>抽蓄水电!K32+地方水电!K33</f>
        <v>167</v>
      </c>
      <c r="L32">
        <f>抽蓄水电!L32+地方水电!L33</f>
        <v>167</v>
      </c>
      <c r="M32">
        <f>抽蓄水电!M32+地方水电!M33</f>
        <v>167</v>
      </c>
      <c r="N32">
        <f>抽蓄水电!N32+地方水电!N33</f>
        <v>167</v>
      </c>
      <c r="O32">
        <f>抽蓄水电!O32+地方水电!O33</f>
        <v>167</v>
      </c>
      <c r="P32">
        <f>抽蓄水电!P32+地方水电!P33</f>
        <v>167</v>
      </c>
      <c r="Q32">
        <f>抽蓄水电!Q32+地方水电!Q33</f>
        <v>167</v>
      </c>
      <c r="R32">
        <f>抽蓄水电!R32+地方水电!R33</f>
        <v>167</v>
      </c>
      <c r="S32">
        <f>抽蓄水电!S32+地方水电!S33</f>
        <v>167</v>
      </c>
      <c r="T32">
        <f>抽蓄水电!T32+地方水电!T33</f>
        <v>167</v>
      </c>
      <c r="U32">
        <f>抽蓄水电!U32+地方水电!U33</f>
        <v>167</v>
      </c>
      <c r="V32">
        <f>抽蓄水电!V32+地方水电!V33</f>
        <v>167</v>
      </c>
      <c r="W32">
        <f>抽蓄水电!W32+地方水电!W33</f>
        <v>167</v>
      </c>
      <c r="X32">
        <f>抽蓄水电!X32+地方水电!X33</f>
        <v>167</v>
      </c>
      <c r="Y32">
        <f>抽蓄水电!Y32+地方水电!Y33</f>
        <v>167</v>
      </c>
      <c r="Z32">
        <f>抽蓄水电!Z32+地方水电!Z33</f>
        <v>167</v>
      </c>
      <c r="AA32">
        <f>抽蓄水电!AA32+地方水电!AA33</f>
        <v>167</v>
      </c>
      <c r="AB32">
        <f>抽蓄水电!AB32+地方水电!AB33</f>
        <v>167</v>
      </c>
      <c r="AC32">
        <f>抽蓄水电!AC32+地方水电!AC33</f>
        <v>167</v>
      </c>
      <c r="AD32">
        <f>抽蓄水电!AD32+地方水电!AD33</f>
        <v>167</v>
      </c>
      <c r="AE32">
        <f>抽蓄水电!AE32+地方水电!AE33</f>
        <v>167</v>
      </c>
      <c r="AF32">
        <f>抽蓄水电!AF32+地方水电!AF33</f>
        <v>167</v>
      </c>
      <c r="AG32">
        <f>抽蓄水电!AG32+地方水电!AG33</f>
        <v>167</v>
      </c>
      <c r="AH32">
        <f>抽蓄水电!AH32+地方水电!AH33</f>
        <v>167</v>
      </c>
      <c r="AI32">
        <f>抽蓄水电!AI32+地方水电!AI33</f>
        <v>29</v>
      </c>
      <c r="AJ32">
        <f>抽蓄水电!AJ32+地方水电!AJ33</f>
        <v>29</v>
      </c>
      <c r="AK32">
        <f>抽蓄水电!AK32+地方水电!AK33</f>
        <v>29</v>
      </c>
      <c r="AL32">
        <f>抽蓄水电!AL32+地方水电!AL33</f>
        <v>26</v>
      </c>
      <c r="AM32">
        <f>抽蓄水电!AM32+地方水电!AM33</f>
        <v>26</v>
      </c>
      <c r="AN32">
        <f>抽蓄水电!AN32+地方水电!AN33</f>
        <v>26</v>
      </c>
      <c r="AO32">
        <f>抽蓄水电!AO32+地方水电!AO33</f>
        <v>26</v>
      </c>
      <c r="AP32">
        <f>抽蓄水电!AP32+地方水电!AP33</f>
        <v>26</v>
      </c>
      <c r="AQ32">
        <f>抽蓄水电!AQ32+地方水电!AQ33</f>
        <v>26</v>
      </c>
      <c r="AR32">
        <f>抽蓄水电!AR32+地方水电!AR33</f>
        <v>26</v>
      </c>
      <c r="AS32">
        <f>抽蓄水电!AS32+地方水电!AS33</f>
        <v>26</v>
      </c>
      <c r="AT32">
        <f>抽蓄水电!AT32+地方水电!AT33</f>
        <v>26</v>
      </c>
      <c r="AU32">
        <f>抽蓄水电!AU32+地方水电!AU33</f>
        <v>26</v>
      </c>
      <c r="AV32">
        <f>抽蓄水电!AV32+地方水电!AV33</f>
        <v>26</v>
      </c>
      <c r="AW32">
        <f>抽蓄水电!AW32+地方水电!AW33</f>
        <v>26</v>
      </c>
      <c r="AX32">
        <f>抽蓄水电!AX32+地方水电!AX33</f>
        <v>26</v>
      </c>
      <c r="AY32">
        <f>抽蓄水电!AY32+地方水电!AY33</f>
        <v>26</v>
      </c>
      <c r="AZ32">
        <f>抽蓄水电!AZ32+地方水电!AZ33</f>
        <v>26</v>
      </c>
      <c r="BA32">
        <f>抽蓄水电!BA32+地方水电!BA33</f>
        <v>26</v>
      </c>
      <c r="BB32">
        <f>抽蓄水电!BB32+地方水电!BB33</f>
        <v>26</v>
      </c>
      <c r="BC32">
        <f>抽蓄水电!BC32+地方水电!BC33</f>
        <v>26</v>
      </c>
      <c r="BD32">
        <f>抽蓄水电!BD32+地方水电!BD33</f>
        <v>26</v>
      </c>
      <c r="BE32">
        <f>抽蓄水电!BE32+地方水电!BE33</f>
        <v>29</v>
      </c>
      <c r="BF32">
        <f>抽蓄水电!BF32+地方水电!BF33</f>
        <v>29</v>
      </c>
      <c r="BG32">
        <f>抽蓄水电!BG32+地方水电!BG33</f>
        <v>29</v>
      </c>
      <c r="BH32">
        <f>抽蓄水电!BH32+地方水电!BH33</f>
        <v>29</v>
      </c>
      <c r="BI32">
        <f>抽蓄水电!BI32+地方水电!BI33</f>
        <v>29</v>
      </c>
      <c r="BJ32">
        <f>抽蓄水电!BJ32+地方水电!BJ33</f>
        <v>29</v>
      </c>
      <c r="BK32">
        <f>抽蓄水电!BK32+地方水电!BK33</f>
        <v>29</v>
      </c>
      <c r="BL32">
        <f>抽蓄水电!BL32+地方水电!BL33</f>
        <v>29</v>
      </c>
      <c r="BM32">
        <f>抽蓄水电!BM32+地方水电!BM33</f>
        <v>29</v>
      </c>
      <c r="BN32">
        <f>抽蓄水电!BN32+地方水电!BN33</f>
        <v>165</v>
      </c>
      <c r="BO32">
        <f>抽蓄水电!BO32+地方水电!BO33</f>
        <v>165</v>
      </c>
      <c r="BP32">
        <f>抽蓄水电!BP32+地方水电!BP33</f>
        <v>165</v>
      </c>
      <c r="BQ32">
        <f>抽蓄水电!BQ32+地方水电!BQ33</f>
        <v>206</v>
      </c>
      <c r="BR32">
        <f>抽蓄水电!BR32+地方水电!BR33</f>
        <v>206</v>
      </c>
      <c r="BS32">
        <f>抽蓄水电!BS32+地方水电!BS33</f>
        <v>206</v>
      </c>
      <c r="BT32">
        <f>抽蓄水电!BT32+地方水电!BT33</f>
        <v>206</v>
      </c>
      <c r="BU32">
        <f>抽蓄水电!BU32+地方水电!BU33</f>
        <v>206</v>
      </c>
      <c r="BV32">
        <f>抽蓄水电!BV32+地方水电!BV33</f>
        <v>206</v>
      </c>
      <c r="BW32">
        <f>抽蓄水电!BW32+地方水电!BW33</f>
        <v>206</v>
      </c>
      <c r="BX32">
        <f>抽蓄水电!BX32+地方水电!BX33</f>
        <v>206</v>
      </c>
      <c r="BY32">
        <f>抽蓄水电!BY32+地方水电!BY33</f>
        <v>206</v>
      </c>
      <c r="BZ32">
        <f>抽蓄水电!BZ32+地方水电!BZ33</f>
        <v>206</v>
      </c>
      <c r="CA32">
        <f>抽蓄水电!CA32+地方水电!CA33</f>
        <v>206</v>
      </c>
      <c r="CB32">
        <f>抽蓄水电!CB32+地方水电!CB33</f>
        <v>206</v>
      </c>
      <c r="CC32">
        <f>抽蓄水电!CC32+地方水电!CC33</f>
        <v>206</v>
      </c>
      <c r="CD32">
        <f>抽蓄水电!CD32+地方水电!CD33</f>
        <v>206</v>
      </c>
      <c r="CE32">
        <f>抽蓄水电!CE32+地方水电!CE33</f>
        <v>167</v>
      </c>
      <c r="CF32">
        <f>抽蓄水电!CF32+地方水电!CF33</f>
        <v>167</v>
      </c>
      <c r="CG32">
        <f>抽蓄水电!CG32+地方水电!CG33</f>
        <v>167</v>
      </c>
      <c r="CH32">
        <f>抽蓄水电!CH32+地方水电!CH33</f>
        <v>167</v>
      </c>
      <c r="CI32">
        <f>抽蓄水电!CI32+地方水电!CI33</f>
        <v>167</v>
      </c>
      <c r="CJ32">
        <f>抽蓄水电!CJ32+地方水电!CJ33</f>
        <v>167</v>
      </c>
      <c r="CK32">
        <f>抽蓄水电!CK32+地方水电!CK33</f>
        <v>167</v>
      </c>
      <c r="CL32">
        <f>抽蓄水电!CL32+地方水电!CL33</f>
        <v>167</v>
      </c>
      <c r="CM32">
        <f>抽蓄水电!CM32+地方水电!CM33</f>
        <v>167</v>
      </c>
      <c r="CN32">
        <f>抽蓄水电!CN32+地方水电!CN33</f>
        <v>167</v>
      </c>
      <c r="CO32">
        <f>抽蓄水电!CO32+地方水电!CO33</f>
        <v>167</v>
      </c>
      <c r="CP32">
        <f>抽蓄水电!CP32+地方水电!CP33</f>
        <v>188</v>
      </c>
      <c r="CQ32">
        <f>抽蓄水电!CQ32+地方水电!CQ33</f>
        <v>188</v>
      </c>
      <c r="CR32">
        <f>抽蓄水电!CR32+地方水电!CR33</f>
        <v>188</v>
      </c>
      <c r="CS32">
        <f>抽蓄水电!CS32+地方水电!CS33</f>
        <v>188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S32"/>
  <sheetViews>
    <sheetView zoomScale="130" zoomScaleNormal="130" workbookViewId="0">
      <pane xSplit="1" ySplit="1" topLeftCell="BV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6345</v>
      </c>
      <c r="C2">
        <v>6345</v>
      </c>
      <c r="D2">
        <v>6345</v>
      </c>
      <c r="E2">
        <v>6345</v>
      </c>
      <c r="F2">
        <v>6345</v>
      </c>
      <c r="G2">
        <v>6345</v>
      </c>
      <c r="H2">
        <v>6345</v>
      </c>
      <c r="I2">
        <v>6345</v>
      </c>
      <c r="J2">
        <v>6345</v>
      </c>
      <c r="K2">
        <v>6345</v>
      </c>
      <c r="L2">
        <v>6345</v>
      </c>
      <c r="M2">
        <v>6345</v>
      </c>
      <c r="N2">
        <v>6345</v>
      </c>
      <c r="O2">
        <v>6345</v>
      </c>
      <c r="P2">
        <v>6345</v>
      </c>
      <c r="Q2">
        <v>6345</v>
      </c>
      <c r="R2">
        <v>6345</v>
      </c>
      <c r="S2">
        <v>6345</v>
      </c>
      <c r="T2">
        <v>6345</v>
      </c>
      <c r="U2">
        <v>6345</v>
      </c>
      <c r="V2">
        <v>6345</v>
      </c>
      <c r="W2">
        <v>6345</v>
      </c>
      <c r="X2">
        <v>6345</v>
      </c>
      <c r="Y2">
        <v>6345</v>
      </c>
      <c r="Z2">
        <v>6345</v>
      </c>
      <c r="AA2">
        <v>6345</v>
      </c>
      <c r="AB2">
        <v>6345</v>
      </c>
      <c r="AC2">
        <v>6345</v>
      </c>
      <c r="AD2">
        <v>6345</v>
      </c>
      <c r="AE2">
        <v>6345</v>
      </c>
      <c r="AF2">
        <v>6345</v>
      </c>
      <c r="AG2">
        <v>6345</v>
      </c>
      <c r="AH2">
        <v>6345</v>
      </c>
      <c r="AI2">
        <v>6345</v>
      </c>
      <c r="AJ2">
        <v>6345</v>
      </c>
      <c r="AK2">
        <v>6345</v>
      </c>
      <c r="AL2">
        <v>6345</v>
      </c>
      <c r="AM2">
        <v>6345</v>
      </c>
      <c r="AN2">
        <v>6345</v>
      </c>
      <c r="AO2">
        <v>6345</v>
      </c>
      <c r="AP2">
        <v>6345</v>
      </c>
      <c r="AQ2">
        <v>6345</v>
      </c>
      <c r="AR2">
        <v>6345</v>
      </c>
      <c r="AS2">
        <v>6345</v>
      </c>
      <c r="AT2">
        <v>6345</v>
      </c>
      <c r="AU2">
        <v>6345</v>
      </c>
      <c r="AV2">
        <v>6345</v>
      </c>
      <c r="AW2">
        <v>6345</v>
      </c>
      <c r="AX2">
        <v>6345</v>
      </c>
      <c r="AY2">
        <v>6345</v>
      </c>
      <c r="AZ2">
        <v>6345</v>
      </c>
      <c r="BA2">
        <v>6345</v>
      </c>
      <c r="BB2">
        <v>6345</v>
      </c>
      <c r="BC2">
        <v>6345</v>
      </c>
      <c r="BD2">
        <v>6345</v>
      </c>
      <c r="BE2">
        <v>6345</v>
      </c>
      <c r="BF2">
        <v>6345</v>
      </c>
      <c r="BG2">
        <v>6345</v>
      </c>
      <c r="BH2">
        <v>6345</v>
      </c>
      <c r="BI2">
        <v>6345</v>
      </c>
      <c r="BJ2">
        <v>6345</v>
      </c>
      <c r="BK2">
        <v>6345</v>
      </c>
      <c r="BL2">
        <v>6345</v>
      </c>
      <c r="BM2">
        <v>6345</v>
      </c>
      <c r="BN2">
        <v>6345</v>
      </c>
      <c r="BO2">
        <v>6345</v>
      </c>
      <c r="BP2">
        <v>6345</v>
      </c>
      <c r="BQ2">
        <v>6345</v>
      </c>
      <c r="BR2">
        <v>6345</v>
      </c>
      <c r="BS2">
        <v>6345</v>
      </c>
      <c r="BT2">
        <v>6345</v>
      </c>
      <c r="BU2">
        <v>6345</v>
      </c>
      <c r="BV2">
        <v>6345</v>
      </c>
      <c r="BW2">
        <v>6345</v>
      </c>
      <c r="BX2">
        <v>6345</v>
      </c>
      <c r="BY2">
        <v>6345</v>
      </c>
      <c r="BZ2">
        <v>6345</v>
      </c>
      <c r="CA2">
        <v>6345</v>
      </c>
      <c r="CB2">
        <v>6345</v>
      </c>
      <c r="CC2">
        <v>6345</v>
      </c>
      <c r="CD2">
        <v>6345</v>
      </c>
      <c r="CE2">
        <v>6345</v>
      </c>
      <c r="CF2">
        <v>6345</v>
      </c>
      <c r="CG2">
        <v>6345</v>
      </c>
      <c r="CH2">
        <v>6345</v>
      </c>
      <c r="CI2">
        <v>6345</v>
      </c>
      <c r="CJ2">
        <v>6345</v>
      </c>
      <c r="CK2">
        <v>6345</v>
      </c>
      <c r="CL2">
        <v>6345</v>
      </c>
      <c r="CM2">
        <v>6345</v>
      </c>
      <c r="CN2">
        <v>6345</v>
      </c>
      <c r="CO2">
        <v>6345</v>
      </c>
      <c r="CP2">
        <v>6345</v>
      </c>
      <c r="CQ2">
        <v>6345</v>
      </c>
      <c r="CR2">
        <v>6345</v>
      </c>
      <c r="CS2">
        <v>6345</v>
      </c>
    </row>
    <row r="3" spans="1:97">
      <c r="A3" s="9">
        <v>46236</v>
      </c>
      <c r="B3">
        <v>6337</v>
      </c>
      <c r="C3">
        <v>6337</v>
      </c>
      <c r="D3">
        <v>6337</v>
      </c>
      <c r="E3">
        <v>6337</v>
      </c>
      <c r="F3">
        <v>6337</v>
      </c>
      <c r="G3">
        <v>6337</v>
      </c>
      <c r="H3">
        <v>6337</v>
      </c>
      <c r="I3">
        <v>6337</v>
      </c>
      <c r="J3">
        <v>6337</v>
      </c>
      <c r="K3">
        <v>6337</v>
      </c>
      <c r="L3">
        <v>6337</v>
      </c>
      <c r="M3">
        <v>6337</v>
      </c>
      <c r="N3">
        <v>6337</v>
      </c>
      <c r="O3">
        <v>6337</v>
      </c>
      <c r="P3">
        <v>6337</v>
      </c>
      <c r="Q3">
        <v>6337</v>
      </c>
      <c r="R3">
        <v>6337</v>
      </c>
      <c r="S3">
        <v>6337</v>
      </c>
      <c r="T3">
        <v>6337</v>
      </c>
      <c r="U3">
        <v>6337</v>
      </c>
      <c r="V3">
        <v>6337</v>
      </c>
      <c r="W3">
        <v>6337</v>
      </c>
      <c r="X3">
        <v>6337</v>
      </c>
      <c r="Y3">
        <v>6337</v>
      </c>
      <c r="Z3">
        <v>6337</v>
      </c>
      <c r="AA3">
        <v>6337</v>
      </c>
      <c r="AB3">
        <v>6337</v>
      </c>
      <c r="AC3">
        <v>6337</v>
      </c>
      <c r="AD3">
        <v>6337</v>
      </c>
      <c r="AE3">
        <v>6337</v>
      </c>
      <c r="AF3">
        <v>6337</v>
      </c>
      <c r="AG3">
        <v>6337</v>
      </c>
      <c r="AH3">
        <v>6337</v>
      </c>
      <c r="AI3">
        <v>6337</v>
      </c>
      <c r="AJ3">
        <v>6337</v>
      </c>
      <c r="AK3">
        <v>6337</v>
      </c>
      <c r="AL3">
        <v>6337</v>
      </c>
      <c r="AM3">
        <v>6337</v>
      </c>
      <c r="AN3">
        <v>6337</v>
      </c>
      <c r="AO3">
        <v>6337</v>
      </c>
      <c r="AP3">
        <v>6337</v>
      </c>
      <c r="AQ3">
        <v>6337</v>
      </c>
      <c r="AR3">
        <v>6337</v>
      </c>
      <c r="AS3">
        <v>6337</v>
      </c>
      <c r="AT3">
        <v>6337</v>
      </c>
      <c r="AU3">
        <v>6337</v>
      </c>
      <c r="AV3">
        <v>6337</v>
      </c>
      <c r="AW3">
        <v>6337</v>
      </c>
      <c r="AX3">
        <v>6337</v>
      </c>
      <c r="AY3">
        <v>6337</v>
      </c>
      <c r="AZ3">
        <v>6337</v>
      </c>
      <c r="BA3">
        <v>6337</v>
      </c>
      <c r="BB3">
        <v>6337</v>
      </c>
      <c r="BC3">
        <v>6337</v>
      </c>
      <c r="BD3">
        <v>6337</v>
      </c>
      <c r="BE3">
        <v>6337</v>
      </c>
      <c r="BF3">
        <v>6337</v>
      </c>
      <c r="BG3">
        <v>6337</v>
      </c>
      <c r="BH3">
        <v>6337</v>
      </c>
      <c r="BI3">
        <v>6337</v>
      </c>
      <c r="BJ3">
        <v>6337</v>
      </c>
      <c r="BK3">
        <v>6337</v>
      </c>
      <c r="BL3">
        <v>6337</v>
      </c>
      <c r="BM3">
        <v>6337</v>
      </c>
      <c r="BN3">
        <v>6337</v>
      </c>
      <c r="BO3">
        <v>6337</v>
      </c>
      <c r="BP3">
        <v>6337</v>
      </c>
      <c r="BQ3">
        <v>6337</v>
      </c>
      <c r="BR3">
        <v>6337</v>
      </c>
      <c r="BS3">
        <v>6337</v>
      </c>
      <c r="BT3">
        <v>6337</v>
      </c>
      <c r="BU3">
        <v>6337</v>
      </c>
      <c r="BV3">
        <v>6337</v>
      </c>
      <c r="BW3">
        <v>6337</v>
      </c>
      <c r="BX3">
        <v>6337</v>
      </c>
      <c r="BY3">
        <v>6337</v>
      </c>
      <c r="BZ3">
        <v>6337</v>
      </c>
      <c r="CA3">
        <v>6337</v>
      </c>
      <c r="CB3">
        <v>6337</v>
      </c>
      <c r="CC3">
        <v>6337</v>
      </c>
      <c r="CD3">
        <v>6337</v>
      </c>
      <c r="CE3">
        <v>6337</v>
      </c>
      <c r="CF3">
        <v>6337</v>
      </c>
      <c r="CG3">
        <v>6337</v>
      </c>
      <c r="CH3">
        <v>6337</v>
      </c>
      <c r="CI3">
        <v>6337</v>
      </c>
      <c r="CJ3">
        <v>6337</v>
      </c>
      <c r="CK3">
        <v>6337</v>
      </c>
      <c r="CL3">
        <v>6337</v>
      </c>
      <c r="CM3">
        <v>6337</v>
      </c>
      <c r="CN3">
        <v>6337</v>
      </c>
      <c r="CO3">
        <v>6337</v>
      </c>
      <c r="CP3">
        <v>6337</v>
      </c>
      <c r="CQ3">
        <v>6337</v>
      </c>
      <c r="CR3">
        <v>6337</v>
      </c>
      <c r="CS3">
        <v>6337</v>
      </c>
    </row>
    <row r="4" spans="1:97">
      <c r="A4" s="9">
        <v>46237</v>
      </c>
      <c r="B4">
        <v>6326</v>
      </c>
      <c r="C4">
        <v>6326</v>
      </c>
      <c r="D4">
        <v>6326</v>
      </c>
      <c r="E4">
        <v>6326</v>
      </c>
      <c r="F4">
        <v>6326</v>
      </c>
      <c r="G4">
        <v>6326</v>
      </c>
      <c r="H4">
        <v>6326</v>
      </c>
      <c r="I4">
        <v>6326</v>
      </c>
      <c r="J4">
        <v>6326</v>
      </c>
      <c r="K4">
        <v>6326</v>
      </c>
      <c r="L4">
        <v>6326</v>
      </c>
      <c r="M4">
        <v>6326</v>
      </c>
      <c r="N4">
        <v>6326</v>
      </c>
      <c r="O4">
        <v>6326</v>
      </c>
      <c r="P4">
        <v>6326</v>
      </c>
      <c r="Q4">
        <v>6326</v>
      </c>
      <c r="R4">
        <v>6326</v>
      </c>
      <c r="S4">
        <v>6326</v>
      </c>
      <c r="T4">
        <v>6326</v>
      </c>
      <c r="U4">
        <v>6326</v>
      </c>
      <c r="V4">
        <v>6326</v>
      </c>
      <c r="W4">
        <v>6326</v>
      </c>
      <c r="X4">
        <v>6326</v>
      </c>
      <c r="Y4">
        <v>6326</v>
      </c>
      <c r="Z4">
        <v>6326</v>
      </c>
      <c r="AA4">
        <v>6326</v>
      </c>
      <c r="AB4">
        <v>6326</v>
      </c>
      <c r="AC4">
        <v>6326</v>
      </c>
      <c r="AD4">
        <v>6326</v>
      </c>
      <c r="AE4">
        <v>6326</v>
      </c>
      <c r="AF4">
        <v>6326</v>
      </c>
      <c r="AG4">
        <v>6326</v>
      </c>
      <c r="AH4">
        <v>6326</v>
      </c>
      <c r="AI4">
        <v>6326</v>
      </c>
      <c r="AJ4">
        <v>6326</v>
      </c>
      <c r="AK4">
        <v>6326</v>
      </c>
      <c r="AL4">
        <v>6326</v>
      </c>
      <c r="AM4">
        <v>6326</v>
      </c>
      <c r="AN4">
        <v>6326</v>
      </c>
      <c r="AO4">
        <v>6326</v>
      </c>
      <c r="AP4">
        <v>6326</v>
      </c>
      <c r="AQ4">
        <v>6326</v>
      </c>
      <c r="AR4">
        <v>6326</v>
      </c>
      <c r="AS4">
        <v>6326</v>
      </c>
      <c r="AT4">
        <v>6326</v>
      </c>
      <c r="AU4">
        <v>6326</v>
      </c>
      <c r="AV4">
        <v>6326</v>
      </c>
      <c r="AW4">
        <v>6326</v>
      </c>
      <c r="AX4">
        <v>6326</v>
      </c>
      <c r="AY4">
        <v>6326</v>
      </c>
      <c r="AZ4">
        <v>6326</v>
      </c>
      <c r="BA4">
        <v>6326</v>
      </c>
      <c r="BB4">
        <v>6326</v>
      </c>
      <c r="BC4">
        <v>6326</v>
      </c>
      <c r="BD4">
        <v>6326</v>
      </c>
      <c r="BE4">
        <v>6326</v>
      </c>
      <c r="BF4">
        <v>6326</v>
      </c>
      <c r="BG4">
        <v>6326</v>
      </c>
      <c r="BH4">
        <v>6326</v>
      </c>
      <c r="BI4">
        <v>6326</v>
      </c>
      <c r="BJ4">
        <v>6326</v>
      </c>
      <c r="BK4">
        <v>6326</v>
      </c>
      <c r="BL4">
        <v>6326</v>
      </c>
      <c r="BM4">
        <v>6326</v>
      </c>
      <c r="BN4">
        <v>6326</v>
      </c>
      <c r="BO4">
        <v>6326</v>
      </c>
      <c r="BP4">
        <v>6326</v>
      </c>
      <c r="BQ4">
        <v>6326</v>
      </c>
      <c r="BR4">
        <v>6326</v>
      </c>
      <c r="BS4">
        <v>6326</v>
      </c>
      <c r="BT4">
        <v>6326</v>
      </c>
      <c r="BU4">
        <v>6326</v>
      </c>
      <c r="BV4">
        <v>6326</v>
      </c>
      <c r="BW4">
        <v>6326</v>
      </c>
      <c r="BX4">
        <v>6326</v>
      </c>
      <c r="BY4">
        <v>6326</v>
      </c>
      <c r="BZ4">
        <v>6326</v>
      </c>
      <c r="CA4">
        <v>6326</v>
      </c>
      <c r="CB4">
        <v>6326</v>
      </c>
      <c r="CC4">
        <v>6326</v>
      </c>
      <c r="CD4">
        <v>6326</v>
      </c>
      <c r="CE4">
        <v>6326</v>
      </c>
      <c r="CF4">
        <v>6326</v>
      </c>
      <c r="CG4">
        <v>6326</v>
      </c>
      <c r="CH4">
        <v>6326</v>
      </c>
      <c r="CI4">
        <v>6326</v>
      </c>
      <c r="CJ4">
        <v>6326</v>
      </c>
      <c r="CK4">
        <v>6326</v>
      </c>
      <c r="CL4">
        <v>6326</v>
      </c>
      <c r="CM4">
        <v>6326</v>
      </c>
      <c r="CN4">
        <v>6326</v>
      </c>
      <c r="CO4">
        <v>6326</v>
      </c>
      <c r="CP4">
        <v>6326</v>
      </c>
      <c r="CQ4">
        <v>6326</v>
      </c>
      <c r="CR4">
        <v>6326</v>
      </c>
      <c r="CS4">
        <v>6326</v>
      </c>
    </row>
    <row r="5" spans="1:97">
      <c r="A5" s="9">
        <v>46238</v>
      </c>
      <c r="B5">
        <v>6298</v>
      </c>
      <c r="C5">
        <v>6298</v>
      </c>
      <c r="D5">
        <v>6298</v>
      </c>
      <c r="E5">
        <v>6298</v>
      </c>
      <c r="F5">
        <v>6298</v>
      </c>
      <c r="G5">
        <v>6298</v>
      </c>
      <c r="H5">
        <v>6298</v>
      </c>
      <c r="I5">
        <v>6298</v>
      </c>
      <c r="J5">
        <v>6298</v>
      </c>
      <c r="K5">
        <v>6298</v>
      </c>
      <c r="L5">
        <v>6298</v>
      </c>
      <c r="M5">
        <v>6298</v>
      </c>
      <c r="N5">
        <v>6298</v>
      </c>
      <c r="O5">
        <v>6298</v>
      </c>
      <c r="P5">
        <v>6298</v>
      </c>
      <c r="Q5">
        <v>6298</v>
      </c>
      <c r="R5">
        <v>6298</v>
      </c>
      <c r="S5">
        <v>6298</v>
      </c>
      <c r="T5">
        <v>6298</v>
      </c>
      <c r="U5">
        <v>6298</v>
      </c>
      <c r="V5">
        <v>6298</v>
      </c>
      <c r="W5">
        <v>6298</v>
      </c>
      <c r="X5">
        <v>6298</v>
      </c>
      <c r="Y5">
        <v>6298</v>
      </c>
      <c r="Z5">
        <v>6298</v>
      </c>
      <c r="AA5">
        <v>6298</v>
      </c>
      <c r="AB5">
        <v>6298</v>
      </c>
      <c r="AC5">
        <v>6298</v>
      </c>
      <c r="AD5">
        <v>6298</v>
      </c>
      <c r="AE5">
        <v>6298</v>
      </c>
      <c r="AF5">
        <v>6298</v>
      </c>
      <c r="AG5">
        <v>6298</v>
      </c>
      <c r="AH5">
        <v>6298</v>
      </c>
      <c r="AI5">
        <v>6298</v>
      </c>
      <c r="AJ5">
        <v>6298</v>
      </c>
      <c r="AK5">
        <v>6298</v>
      </c>
      <c r="AL5">
        <v>6298</v>
      </c>
      <c r="AM5">
        <v>6298</v>
      </c>
      <c r="AN5">
        <v>6298</v>
      </c>
      <c r="AO5">
        <v>6298</v>
      </c>
      <c r="AP5">
        <v>6298</v>
      </c>
      <c r="AQ5">
        <v>6298</v>
      </c>
      <c r="AR5">
        <v>6298</v>
      </c>
      <c r="AS5">
        <v>6298</v>
      </c>
      <c r="AT5">
        <v>6298</v>
      </c>
      <c r="AU5">
        <v>6298</v>
      </c>
      <c r="AV5">
        <v>6298</v>
      </c>
      <c r="AW5">
        <v>6298</v>
      </c>
      <c r="AX5">
        <v>6298</v>
      </c>
      <c r="AY5">
        <v>6298</v>
      </c>
      <c r="AZ5">
        <v>6298</v>
      </c>
      <c r="BA5">
        <v>6298</v>
      </c>
      <c r="BB5">
        <v>6298</v>
      </c>
      <c r="BC5">
        <v>6298</v>
      </c>
      <c r="BD5">
        <v>6298</v>
      </c>
      <c r="BE5">
        <v>6298</v>
      </c>
      <c r="BF5">
        <v>6298</v>
      </c>
      <c r="BG5">
        <v>6298</v>
      </c>
      <c r="BH5">
        <v>6298</v>
      </c>
      <c r="BI5">
        <v>6298</v>
      </c>
      <c r="BJ5">
        <v>6298</v>
      </c>
      <c r="BK5">
        <v>6298</v>
      </c>
      <c r="BL5">
        <v>6298</v>
      </c>
      <c r="BM5">
        <v>6298</v>
      </c>
      <c r="BN5">
        <v>6298</v>
      </c>
      <c r="BO5">
        <v>6298</v>
      </c>
      <c r="BP5">
        <v>6298</v>
      </c>
      <c r="BQ5">
        <v>6298</v>
      </c>
      <c r="BR5">
        <v>6298</v>
      </c>
      <c r="BS5">
        <v>6298</v>
      </c>
      <c r="BT5">
        <v>6298</v>
      </c>
      <c r="BU5">
        <v>6298</v>
      </c>
      <c r="BV5">
        <v>6298</v>
      </c>
      <c r="BW5">
        <v>6298</v>
      </c>
      <c r="BX5">
        <v>6298</v>
      </c>
      <c r="BY5">
        <v>6298</v>
      </c>
      <c r="BZ5">
        <v>6298</v>
      </c>
      <c r="CA5">
        <v>6298</v>
      </c>
      <c r="CB5">
        <v>6298</v>
      </c>
      <c r="CC5">
        <v>6298</v>
      </c>
      <c r="CD5">
        <v>6298</v>
      </c>
      <c r="CE5">
        <v>6298</v>
      </c>
      <c r="CF5">
        <v>6298</v>
      </c>
      <c r="CG5">
        <v>6298</v>
      </c>
      <c r="CH5">
        <v>6298</v>
      </c>
      <c r="CI5">
        <v>6298</v>
      </c>
      <c r="CJ5">
        <v>6298</v>
      </c>
      <c r="CK5">
        <v>6298</v>
      </c>
      <c r="CL5">
        <v>6298</v>
      </c>
      <c r="CM5">
        <v>6298</v>
      </c>
      <c r="CN5">
        <v>6298</v>
      </c>
      <c r="CO5">
        <v>6298</v>
      </c>
      <c r="CP5">
        <v>6298</v>
      </c>
      <c r="CQ5">
        <v>6298</v>
      </c>
      <c r="CR5">
        <v>6298</v>
      </c>
      <c r="CS5">
        <v>6298</v>
      </c>
    </row>
    <row r="6" spans="1:97">
      <c r="A6" s="9">
        <v>46239</v>
      </c>
      <c r="B6">
        <v>6289</v>
      </c>
      <c r="C6">
        <v>6289</v>
      </c>
      <c r="D6">
        <v>6289</v>
      </c>
      <c r="E6">
        <v>6289</v>
      </c>
      <c r="F6">
        <v>6289</v>
      </c>
      <c r="G6">
        <v>6289</v>
      </c>
      <c r="H6">
        <v>6289</v>
      </c>
      <c r="I6">
        <v>6289</v>
      </c>
      <c r="J6">
        <v>6289</v>
      </c>
      <c r="K6">
        <v>6289</v>
      </c>
      <c r="L6">
        <v>6289</v>
      </c>
      <c r="M6">
        <v>6289</v>
      </c>
      <c r="N6">
        <v>6289</v>
      </c>
      <c r="O6">
        <v>6289</v>
      </c>
      <c r="P6">
        <v>6289</v>
      </c>
      <c r="Q6">
        <v>6289</v>
      </c>
      <c r="R6">
        <v>6289</v>
      </c>
      <c r="S6">
        <v>6289</v>
      </c>
      <c r="T6">
        <v>6289</v>
      </c>
      <c r="U6">
        <v>6289</v>
      </c>
      <c r="V6">
        <v>6289</v>
      </c>
      <c r="W6">
        <v>6289</v>
      </c>
      <c r="X6">
        <v>6289</v>
      </c>
      <c r="Y6">
        <v>6289</v>
      </c>
      <c r="Z6">
        <v>6289</v>
      </c>
      <c r="AA6">
        <v>6289</v>
      </c>
      <c r="AB6">
        <v>6289</v>
      </c>
      <c r="AC6">
        <v>6289</v>
      </c>
      <c r="AD6">
        <v>6289</v>
      </c>
      <c r="AE6">
        <v>6289</v>
      </c>
      <c r="AF6">
        <v>6289</v>
      </c>
      <c r="AG6">
        <v>6289</v>
      </c>
      <c r="AH6">
        <v>6289</v>
      </c>
      <c r="AI6">
        <v>6289</v>
      </c>
      <c r="AJ6">
        <v>6289</v>
      </c>
      <c r="AK6">
        <v>6289</v>
      </c>
      <c r="AL6">
        <v>6289</v>
      </c>
      <c r="AM6">
        <v>6289</v>
      </c>
      <c r="AN6">
        <v>6289</v>
      </c>
      <c r="AO6">
        <v>6289</v>
      </c>
      <c r="AP6">
        <v>6289</v>
      </c>
      <c r="AQ6">
        <v>6289</v>
      </c>
      <c r="AR6">
        <v>6289</v>
      </c>
      <c r="AS6">
        <v>6289</v>
      </c>
      <c r="AT6">
        <v>6289</v>
      </c>
      <c r="AU6">
        <v>6289</v>
      </c>
      <c r="AV6">
        <v>6289</v>
      </c>
      <c r="AW6">
        <v>6289</v>
      </c>
      <c r="AX6">
        <v>6289</v>
      </c>
      <c r="AY6">
        <v>6289</v>
      </c>
      <c r="AZ6">
        <v>6289</v>
      </c>
      <c r="BA6">
        <v>6289</v>
      </c>
      <c r="BB6">
        <v>6289</v>
      </c>
      <c r="BC6">
        <v>6289</v>
      </c>
      <c r="BD6">
        <v>6289</v>
      </c>
      <c r="BE6">
        <v>6289</v>
      </c>
      <c r="BF6">
        <v>6289</v>
      </c>
      <c r="BG6">
        <v>6289</v>
      </c>
      <c r="BH6">
        <v>6289</v>
      </c>
      <c r="BI6">
        <v>6289</v>
      </c>
      <c r="BJ6">
        <v>6289</v>
      </c>
      <c r="BK6">
        <v>6289</v>
      </c>
      <c r="BL6">
        <v>6289</v>
      </c>
      <c r="BM6">
        <v>6289</v>
      </c>
      <c r="BN6">
        <v>6289</v>
      </c>
      <c r="BO6">
        <v>6289</v>
      </c>
      <c r="BP6">
        <v>6289</v>
      </c>
      <c r="BQ6">
        <v>6289</v>
      </c>
      <c r="BR6">
        <v>6289</v>
      </c>
      <c r="BS6">
        <v>6289</v>
      </c>
      <c r="BT6">
        <v>6289</v>
      </c>
      <c r="BU6">
        <v>6289</v>
      </c>
      <c r="BV6">
        <v>6289</v>
      </c>
      <c r="BW6">
        <v>6289</v>
      </c>
      <c r="BX6">
        <v>6289</v>
      </c>
      <c r="BY6">
        <v>6289</v>
      </c>
      <c r="BZ6">
        <v>6289</v>
      </c>
      <c r="CA6">
        <v>6289</v>
      </c>
      <c r="CB6">
        <v>6289</v>
      </c>
      <c r="CC6">
        <v>6289</v>
      </c>
      <c r="CD6">
        <v>6289</v>
      </c>
      <c r="CE6">
        <v>6289</v>
      </c>
      <c r="CF6">
        <v>6289</v>
      </c>
      <c r="CG6">
        <v>6289</v>
      </c>
      <c r="CH6">
        <v>6289</v>
      </c>
      <c r="CI6">
        <v>6289</v>
      </c>
      <c r="CJ6">
        <v>6289</v>
      </c>
      <c r="CK6">
        <v>6289</v>
      </c>
      <c r="CL6">
        <v>6289</v>
      </c>
      <c r="CM6">
        <v>6289</v>
      </c>
      <c r="CN6">
        <v>6289</v>
      </c>
      <c r="CO6">
        <v>6289</v>
      </c>
      <c r="CP6">
        <v>6289</v>
      </c>
      <c r="CQ6">
        <v>6289</v>
      </c>
      <c r="CR6">
        <v>6289</v>
      </c>
      <c r="CS6">
        <v>6289</v>
      </c>
    </row>
    <row r="7" spans="1:97">
      <c r="A7" s="9">
        <v>46240</v>
      </c>
      <c r="B7">
        <v>6277</v>
      </c>
      <c r="C7">
        <v>6277</v>
      </c>
      <c r="D7">
        <v>6277</v>
      </c>
      <c r="E7">
        <v>6277</v>
      </c>
      <c r="F7">
        <v>6277</v>
      </c>
      <c r="G7">
        <v>6277</v>
      </c>
      <c r="H7">
        <v>6277</v>
      </c>
      <c r="I7">
        <v>6277</v>
      </c>
      <c r="J7">
        <v>6277</v>
      </c>
      <c r="K7">
        <v>6277</v>
      </c>
      <c r="L7">
        <v>6277</v>
      </c>
      <c r="M7">
        <v>6277</v>
      </c>
      <c r="N7">
        <v>6277</v>
      </c>
      <c r="O7">
        <v>6277</v>
      </c>
      <c r="P7">
        <v>6277</v>
      </c>
      <c r="Q7">
        <v>6277</v>
      </c>
      <c r="R7">
        <v>6277</v>
      </c>
      <c r="S7">
        <v>6277</v>
      </c>
      <c r="T7">
        <v>6277</v>
      </c>
      <c r="U7">
        <v>6277</v>
      </c>
      <c r="V7">
        <v>6277</v>
      </c>
      <c r="W7">
        <v>6277</v>
      </c>
      <c r="X7">
        <v>6277</v>
      </c>
      <c r="Y7">
        <v>6277</v>
      </c>
      <c r="Z7">
        <v>6277</v>
      </c>
      <c r="AA7">
        <v>6277</v>
      </c>
      <c r="AB7">
        <v>6277</v>
      </c>
      <c r="AC7">
        <v>6277</v>
      </c>
      <c r="AD7">
        <v>6277</v>
      </c>
      <c r="AE7">
        <v>6277</v>
      </c>
      <c r="AF7">
        <v>6277</v>
      </c>
      <c r="AG7">
        <v>6277</v>
      </c>
      <c r="AH7">
        <v>6277</v>
      </c>
      <c r="AI7">
        <v>6277</v>
      </c>
      <c r="AJ7">
        <v>6277</v>
      </c>
      <c r="AK7">
        <v>6277</v>
      </c>
      <c r="AL7">
        <v>6277</v>
      </c>
      <c r="AM7">
        <v>6277</v>
      </c>
      <c r="AN7">
        <v>6277</v>
      </c>
      <c r="AO7">
        <v>6277</v>
      </c>
      <c r="AP7">
        <v>6277</v>
      </c>
      <c r="AQ7">
        <v>6277</v>
      </c>
      <c r="AR7">
        <v>6277</v>
      </c>
      <c r="AS7">
        <v>6277</v>
      </c>
      <c r="AT7">
        <v>6277</v>
      </c>
      <c r="AU7">
        <v>6277</v>
      </c>
      <c r="AV7">
        <v>6277</v>
      </c>
      <c r="AW7">
        <v>6277</v>
      </c>
      <c r="AX7">
        <v>6277</v>
      </c>
      <c r="AY7">
        <v>6277</v>
      </c>
      <c r="AZ7">
        <v>6277</v>
      </c>
      <c r="BA7">
        <v>6277</v>
      </c>
      <c r="BB7">
        <v>6277</v>
      </c>
      <c r="BC7">
        <v>6277</v>
      </c>
      <c r="BD7">
        <v>6277</v>
      </c>
      <c r="BE7">
        <v>6277</v>
      </c>
      <c r="BF7">
        <v>6277</v>
      </c>
      <c r="BG7">
        <v>6277</v>
      </c>
      <c r="BH7">
        <v>6277</v>
      </c>
      <c r="BI7">
        <v>6277</v>
      </c>
      <c r="BJ7">
        <v>6267</v>
      </c>
      <c r="BK7">
        <v>6267</v>
      </c>
      <c r="BL7">
        <v>6257</v>
      </c>
      <c r="BM7">
        <v>6257</v>
      </c>
      <c r="BN7">
        <v>6257</v>
      </c>
      <c r="BO7">
        <v>6277</v>
      </c>
      <c r="BP7">
        <v>6277</v>
      </c>
      <c r="BQ7">
        <v>6277</v>
      </c>
      <c r="BR7">
        <v>6277</v>
      </c>
      <c r="BS7">
        <v>6277</v>
      </c>
      <c r="BT7">
        <v>6277</v>
      </c>
      <c r="BU7">
        <v>6277</v>
      </c>
      <c r="BV7">
        <v>6277</v>
      </c>
      <c r="BW7">
        <v>6277</v>
      </c>
      <c r="BX7">
        <v>6277</v>
      </c>
      <c r="BY7">
        <v>6277</v>
      </c>
      <c r="BZ7">
        <v>6277</v>
      </c>
      <c r="CA7">
        <v>6277</v>
      </c>
      <c r="CB7">
        <v>6277</v>
      </c>
      <c r="CC7">
        <v>6277</v>
      </c>
      <c r="CD7">
        <v>6277</v>
      </c>
      <c r="CE7">
        <v>6277</v>
      </c>
      <c r="CF7">
        <v>6277</v>
      </c>
      <c r="CG7">
        <v>6277</v>
      </c>
      <c r="CH7">
        <v>6277</v>
      </c>
      <c r="CI7">
        <v>6277</v>
      </c>
      <c r="CJ7">
        <v>6277</v>
      </c>
      <c r="CK7">
        <v>6277</v>
      </c>
      <c r="CL7">
        <v>6277</v>
      </c>
      <c r="CM7">
        <v>6277</v>
      </c>
      <c r="CN7">
        <v>6277</v>
      </c>
      <c r="CO7">
        <v>6277</v>
      </c>
      <c r="CP7">
        <v>6277</v>
      </c>
      <c r="CQ7">
        <v>6277</v>
      </c>
      <c r="CR7">
        <v>6277</v>
      </c>
      <c r="CS7">
        <v>6277</v>
      </c>
    </row>
    <row r="8" spans="1:97">
      <c r="A8" s="9">
        <v>46241</v>
      </c>
      <c r="B8">
        <v>6277</v>
      </c>
      <c r="C8">
        <v>6277</v>
      </c>
      <c r="D8">
        <v>6277</v>
      </c>
      <c r="E8">
        <v>6277</v>
      </c>
      <c r="F8">
        <v>6277</v>
      </c>
      <c r="G8">
        <v>6277</v>
      </c>
      <c r="H8">
        <v>6277</v>
      </c>
      <c r="I8">
        <v>6277</v>
      </c>
      <c r="J8">
        <v>6277</v>
      </c>
      <c r="K8">
        <v>6277</v>
      </c>
      <c r="L8">
        <v>6277</v>
      </c>
      <c r="M8">
        <v>6277</v>
      </c>
      <c r="N8">
        <v>6277</v>
      </c>
      <c r="O8">
        <v>6277</v>
      </c>
      <c r="P8">
        <v>6277</v>
      </c>
      <c r="Q8">
        <v>6277</v>
      </c>
      <c r="R8">
        <v>6277</v>
      </c>
      <c r="S8">
        <v>6277</v>
      </c>
      <c r="T8">
        <v>6277</v>
      </c>
      <c r="U8">
        <v>6277</v>
      </c>
      <c r="V8">
        <v>6277</v>
      </c>
      <c r="W8">
        <v>6277</v>
      </c>
      <c r="X8">
        <v>6277</v>
      </c>
      <c r="Y8">
        <v>6277</v>
      </c>
      <c r="Z8">
        <v>6277</v>
      </c>
      <c r="AA8">
        <v>6277</v>
      </c>
      <c r="AB8">
        <v>6277</v>
      </c>
      <c r="AC8">
        <v>6277</v>
      </c>
      <c r="AD8">
        <v>6277</v>
      </c>
      <c r="AE8">
        <v>6277</v>
      </c>
      <c r="AF8">
        <v>6277</v>
      </c>
      <c r="AG8">
        <v>6277</v>
      </c>
      <c r="AH8">
        <v>6277</v>
      </c>
      <c r="AI8">
        <v>6277</v>
      </c>
      <c r="AJ8">
        <v>6277</v>
      </c>
      <c r="AK8">
        <v>6277</v>
      </c>
      <c r="AL8">
        <v>6277</v>
      </c>
      <c r="AM8">
        <v>6277</v>
      </c>
      <c r="AN8">
        <v>6277</v>
      </c>
      <c r="AO8">
        <v>6277</v>
      </c>
      <c r="AP8">
        <v>6277</v>
      </c>
      <c r="AQ8">
        <v>6277</v>
      </c>
      <c r="AR8">
        <v>6277</v>
      </c>
      <c r="AS8">
        <v>6277</v>
      </c>
      <c r="AT8">
        <v>6277</v>
      </c>
      <c r="AU8">
        <v>6277</v>
      </c>
      <c r="AV8">
        <v>6277</v>
      </c>
      <c r="AW8">
        <v>6277</v>
      </c>
      <c r="AX8">
        <v>6277</v>
      </c>
      <c r="AY8">
        <v>6277</v>
      </c>
      <c r="AZ8">
        <v>6277</v>
      </c>
      <c r="BA8">
        <v>6277</v>
      </c>
      <c r="BB8">
        <v>6277</v>
      </c>
      <c r="BC8">
        <v>6277</v>
      </c>
      <c r="BD8">
        <v>6277</v>
      </c>
      <c r="BE8">
        <v>6277</v>
      </c>
      <c r="BF8">
        <v>6277</v>
      </c>
      <c r="BG8">
        <v>6277</v>
      </c>
      <c r="BH8">
        <v>6277</v>
      </c>
      <c r="BI8">
        <v>6277</v>
      </c>
      <c r="BJ8">
        <v>6277</v>
      </c>
      <c r="BK8">
        <v>6277</v>
      </c>
      <c r="BL8">
        <v>6277</v>
      </c>
      <c r="BM8">
        <v>6277</v>
      </c>
      <c r="BN8">
        <v>6277</v>
      </c>
      <c r="BO8">
        <v>6277</v>
      </c>
      <c r="BP8">
        <v>6277</v>
      </c>
      <c r="BQ8">
        <v>6277</v>
      </c>
      <c r="BR8">
        <v>6277</v>
      </c>
      <c r="BS8">
        <v>6277</v>
      </c>
      <c r="BT8">
        <v>6277</v>
      </c>
      <c r="BU8">
        <v>6277</v>
      </c>
      <c r="BV8">
        <v>6277</v>
      </c>
      <c r="BW8">
        <v>6277</v>
      </c>
      <c r="BX8">
        <v>6277</v>
      </c>
      <c r="BY8">
        <v>6277</v>
      </c>
      <c r="BZ8">
        <v>6277</v>
      </c>
      <c r="CA8">
        <v>6277</v>
      </c>
      <c r="CB8">
        <v>6277</v>
      </c>
      <c r="CC8">
        <v>6277</v>
      </c>
      <c r="CD8">
        <v>6277</v>
      </c>
      <c r="CE8">
        <v>6277</v>
      </c>
      <c r="CF8">
        <v>6277</v>
      </c>
      <c r="CG8">
        <v>6277</v>
      </c>
      <c r="CH8">
        <v>6277</v>
      </c>
      <c r="CI8">
        <v>6277</v>
      </c>
      <c r="CJ8">
        <v>6277</v>
      </c>
      <c r="CK8">
        <v>6277</v>
      </c>
      <c r="CL8">
        <v>6277</v>
      </c>
      <c r="CM8">
        <v>6277</v>
      </c>
      <c r="CN8">
        <v>6277</v>
      </c>
      <c r="CO8">
        <v>6277</v>
      </c>
      <c r="CP8">
        <v>6277</v>
      </c>
      <c r="CQ8">
        <v>6277</v>
      </c>
      <c r="CR8">
        <v>6277</v>
      </c>
      <c r="CS8">
        <v>6277</v>
      </c>
    </row>
    <row r="9" spans="1:97">
      <c r="A9" s="9">
        <v>46242</v>
      </c>
      <c r="B9">
        <v>6277</v>
      </c>
      <c r="C9">
        <v>6277</v>
      </c>
      <c r="D9">
        <v>6277</v>
      </c>
      <c r="E9">
        <v>6277</v>
      </c>
      <c r="F9">
        <v>6277</v>
      </c>
      <c r="G9">
        <v>6277</v>
      </c>
      <c r="H9">
        <v>6277</v>
      </c>
      <c r="I9">
        <v>6277</v>
      </c>
      <c r="J9">
        <v>6277</v>
      </c>
      <c r="K9">
        <v>6277</v>
      </c>
      <c r="L9">
        <v>6277</v>
      </c>
      <c r="M9">
        <v>6277</v>
      </c>
      <c r="N9">
        <v>6277</v>
      </c>
      <c r="O9">
        <v>6277</v>
      </c>
      <c r="P9">
        <v>6277</v>
      </c>
      <c r="Q9">
        <v>6277</v>
      </c>
      <c r="R9">
        <v>6277</v>
      </c>
      <c r="S9">
        <v>6277</v>
      </c>
      <c r="T9">
        <v>6277</v>
      </c>
      <c r="U9">
        <v>6277</v>
      </c>
      <c r="V9">
        <v>6277</v>
      </c>
      <c r="W9">
        <v>6277</v>
      </c>
      <c r="X9">
        <v>6277</v>
      </c>
      <c r="Y9">
        <v>6277</v>
      </c>
      <c r="Z9">
        <v>6277</v>
      </c>
      <c r="AA9">
        <v>6277</v>
      </c>
      <c r="AB9">
        <v>6277</v>
      </c>
      <c r="AC9">
        <v>6277</v>
      </c>
      <c r="AD9">
        <v>6277</v>
      </c>
      <c r="AE9">
        <v>6277</v>
      </c>
      <c r="AF9">
        <v>6277</v>
      </c>
      <c r="AG9">
        <v>6277</v>
      </c>
      <c r="AH9">
        <v>6277</v>
      </c>
      <c r="AI9">
        <v>6277</v>
      </c>
      <c r="AJ9">
        <v>6277</v>
      </c>
      <c r="AK9">
        <v>6277</v>
      </c>
      <c r="AL9">
        <v>6277</v>
      </c>
      <c r="AM9">
        <v>6277</v>
      </c>
      <c r="AN9">
        <v>6277</v>
      </c>
      <c r="AO9">
        <v>6277</v>
      </c>
      <c r="AP9">
        <v>6277</v>
      </c>
      <c r="AQ9">
        <v>6277</v>
      </c>
      <c r="AR9">
        <v>6277</v>
      </c>
      <c r="AS9">
        <v>6277</v>
      </c>
      <c r="AT9">
        <v>6277</v>
      </c>
      <c r="AU9">
        <v>6277</v>
      </c>
      <c r="AV9">
        <v>6277</v>
      </c>
      <c r="AW9">
        <v>6277</v>
      </c>
      <c r="AX9">
        <v>6277</v>
      </c>
      <c r="AY9">
        <v>6277</v>
      </c>
      <c r="AZ9">
        <v>6277</v>
      </c>
      <c r="BA9">
        <v>6277</v>
      </c>
      <c r="BB9">
        <v>6277</v>
      </c>
      <c r="BC9">
        <v>6277</v>
      </c>
      <c r="BD9">
        <v>6277</v>
      </c>
      <c r="BE9">
        <v>6277</v>
      </c>
      <c r="BF9">
        <v>6277</v>
      </c>
      <c r="BG9">
        <v>6277</v>
      </c>
      <c r="BH9">
        <v>6277</v>
      </c>
      <c r="BI9">
        <v>6277</v>
      </c>
      <c r="BJ9">
        <v>6277</v>
      </c>
      <c r="BK9">
        <v>6277</v>
      </c>
      <c r="BL9">
        <v>6277</v>
      </c>
      <c r="BM9">
        <v>6277</v>
      </c>
      <c r="BN9">
        <v>6277</v>
      </c>
      <c r="BO9">
        <v>6277</v>
      </c>
      <c r="BP9">
        <v>6277</v>
      </c>
      <c r="BQ9">
        <v>6277</v>
      </c>
      <c r="BR9">
        <v>6277</v>
      </c>
      <c r="BS9">
        <v>6277</v>
      </c>
      <c r="BT9">
        <v>6277</v>
      </c>
      <c r="BU9">
        <v>6277</v>
      </c>
      <c r="BV9">
        <v>6277</v>
      </c>
      <c r="BW9">
        <v>6277</v>
      </c>
      <c r="BX9">
        <v>6277</v>
      </c>
      <c r="BY9">
        <v>6277</v>
      </c>
      <c r="BZ9">
        <v>6277</v>
      </c>
      <c r="CA9">
        <v>6277</v>
      </c>
      <c r="CB9">
        <v>6277</v>
      </c>
      <c r="CC9">
        <v>6277</v>
      </c>
      <c r="CD9">
        <v>6277</v>
      </c>
      <c r="CE9">
        <v>6277</v>
      </c>
      <c r="CF9">
        <v>6277</v>
      </c>
      <c r="CG9">
        <v>6277</v>
      </c>
      <c r="CH9">
        <v>6277</v>
      </c>
      <c r="CI9">
        <v>6277</v>
      </c>
      <c r="CJ9">
        <v>6277</v>
      </c>
      <c r="CK9">
        <v>6277</v>
      </c>
      <c r="CL9">
        <v>6277</v>
      </c>
      <c r="CM9">
        <v>6277</v>
      </c>
      <c r="CN9">
        <v>6277</v>
      </c>
      <c r="CO9">
        <v>6277</v>
      </c>
      <c r="CP9">
        <v>6277</v>
      </c>
      <c r="CQ9">
        <v>6277</v>
      </c>
      <c r="CR9">
        <v>6277</v>
      </c>
      <c r="CS9">
        <v>6277</v>
      </c>
    </row>
    <row r="10" spans="1:97">
      <c r="A10" s="9">
        <v>46243</v>
      </c>
      <c r="B10">
        <v>6271</v>
      </c>
      <c r="C10">
        <v>6271</v>
      </c>
      <c r="D10">
        <v>6271</v>
      </c>
      <c r="E10">
        <v>6271</v>
      </c>
      <c r="F10">
        <v>6271</v>
      </c>
      <c r="G10">
        <v>6271</v>
      </c>
      <c r="H10">
        <v>6271</v>
      </c>
      <c r="I10">
        <v>6271</v>
      </c>
      <c r="J10">
        <v>6271</v>
      </c>
      <c r="K10">
        <v>6271</v>
      </c>
      <c r="L10">
        <v>6271</v>
      </c>
      <c r="M10">
        <v>6271</v>
      </c>
      <c r="N10">
        <v>6271</v>
      </c>
      <c r="O10">
        <v>6271</v>
      </c>
      <c r="P10">
        <v>6271</v>
      </c>
      <c r="Q10">
        <v>6271</v>
      </c>
      <c r="R10">
        <v>6271</v>
      </c>
      <c r="S10">
        <v>6271</v>
      </c>
      <c r="T10">
        <v>6271</v>
      </c>
      <c r="U10">
        <v>6271</v>
      </c>
      <c r="V10">
        <v>6271</v>
      </c>
      <c r="W10">
        <v>6271</v>
      </c>
      <c r="X10">
        <v>6271</v>
      </c>
      <c r="Y10">
        <v>6271</v>
      </c>
      <c r="Z10">
        <v>6271</v>
      </c>
      <c r="AA10">
        <v>6271</v>
      </c>
      <c r="AB10">
        <v>6271</v>
      </c>
      <c r="AC10">
        <v>6271</v>
      </c>
      <c r="AD10">
        <v>6271</v>
      </c>
      <c r="AE10">
        <v>6271</v>
      </c>
      <c r="AF10">
        <v>6271</v>
      </c>
      <c r="AG10">
        <v>6271</v>
      </c>
      <c r="AH10">
        <v>6271</v>
      </c>
      <c r="AI10">
        <v>6271</v>
      </c>
      <c r="AJ10">
        <v>6271</v>
      </c>
      <c r="AK10">
        <v>6271</v>
      </c>
      <c r="AL10">
        <v>6271</v>
      </c>
      <c r="AM10">
        <v>6271</v>
      </c>
      <c r="AN10">
        <v>6271</v>
      </c>
      <c r="AO10">
        <v>6271</v>
      </c>
      <c r="AP10">
        <v>6271</v>
      </c>
      <c r="AQ10">
        <v>6271</v>
      </c>
      <c r="AR10">
        <v>6271</v>
      </c>
      <c r="AS10">
        <v>6271</v>
      </c>
      <c r="AT10">
        <v>6271</v>
      </c>
      <c r="AU10">
        <v>6271</v>
      </c>
      <c r="AV10">
        <v>6271</v>
      </c>
      <c r="AW10">
        <v>6271</v>
      </c>
      <c r="AX10">
        <v>6271</v>
      </c>
      <c r="AY10">
        <v>6271</v>
      </c>
      <c r="AZ10">
        <v>6271</v>
      </c>
      <c r="BA10">
        <v>6271</v>
      </c>
      <c r="BB10">
        <v>6271</v>
      </c>
      <c r="BC10">
        <v>6271</v>
      </c>
      <c r="BD10">
        <v>6271</v>
      </c>
      <c r="BE10">
        <v>6271</v>
      </c>
      <c r="BF10">
        <v>6271</v>
      </c>
      <c r="BG10">
        <v>6271</v>
      </c>
      <c r="BH10">
        <v>6271</v>
      </c>
      <c r="BI10">
        <v>6271</v>
      </c>
      <c r="BJ10">
        <v>6271</v>
      </c>
      <c r="BK10">
        <v>6271</v>
      </c>
      <c r="BL10">
        <v>6271</v>
      </c>
      <c r="BM10">
        <v>6271</v>
      </c>
      <c r="BN10">
        <v>6271</v>
      </c>
      <c r="BO10">
        <v>6271</v>
      </c>
      <c r="BP10">
        <v>6271</v>
      </c>
      <c r="BQ10">
        <v>6271</v>
      </c>
      <c r="BR10">
        <v>6271</v>
      </c>
      <c r="BS10">
        <v>6271</v>
      </c>
      <c r="BT10">
        <v>6271</v>
      </c>
      <c r="BU10">
        <v>6271</v>
      </c>
      <c r="BV10">
        <v>6271</v>
      </c>
      <c r="BW10">
        <v>6271</v>
      </c>
      <c r="BX10">
        <v>6271</v>
      </c>
      <c r="BY10">
        <v>6271</v>
      </c>
      <c r="BZ10">
        <v>6271</v>
      </c>
      <c r="CA10">
        <v>6271</v>
      </c>
      <c r="CB10">
        <v>6271</v>
      </c>
      <c r="CC10">
        <v>6271</v>
      </c>
      <c r="CD10">
        <v>6271</v>
      </c>
      <c r="CE10">
        <v>6271</v>
      </c>
      <c r="CF10">
        <v>6271</v>
      </c>
      <c r="CG10">
        <v>6271</v>
      </c>
      <c r="CH10">
        <v>6271</v>
      </c>
      <c r="CI10">
        <v>6271</v>
      </c>
      <c r="CJ10">
        <v>6271</v>
      </c>
      <c r="CK10">
        <v>6271</v>
      </c>
      <c r="CL10">
        <v>6271</v>
      </c>
      <c r="CM10">
        <v>6271</v>
      </c>
      <c r="CN10">
        <v>6271</v>
      </c>
      <c r="CO10">
        <v>6271</v>
      </c>
      <c r="CP10">
        <v>6271</v>
      </c>
      <c r="CQ10">
        <v>6271</v>
      </c>
      <c r="CR10">
        <v>6271</v>
      </c>
      <c r="CS10">
        <v>6271</v>
      </c>
    </row>
    <row r="11" spans="1:97">
      <c r="A11" s="9">
        <v>46244</v>
      </c>
      <c r="B11">
        <v>6285</v>
      </c>
      <c r="C11">
        <v>6285</v>
      </c>
      <c r="D11">
        <v>6285</v>
      </c>
      <c r="E11">
        <v>6285</v>
      </c>
      <c r="F11">
        <v>6285</v>
      </c>
      <c r="G11">
        <v>6285</v>
      </c>
      <c r="H11">
        <v>6285</v>
      </c>
      <c r="I11">
        <v>6285</v>
      </c>
      <c r="J11">
        <v>6285</v>
      </c>
      <c r="K11">
        <v>6285</v>
      </c>
      <c r="L11">
        <v>6285</v>
      </c>
      <c r="M11">
        <v>6285</v>
      </c>
      <c r="N11">
        <v>6285</v>
      </c>
      <c r="O11">
        <v>6285</v>
      </c>
      <c r="P11">
        <v>6285</v>
      </c>
      <c r="Q11">
        <v>6285</v>
      </c>
      <c r="R11">
        <v>6285</v>
      </c>
      <c r="S11">
        <v>6285</v>
      </c>
      <c r="T11">
        <v>6285</v>
      </c>
      <c r="U11">
        <v>6285</v>
      </c>
      <c r="V11">
        <v>6285</v>
      </c>
      <c r="W11">
        <v>6285</v>
      </c>
      <c r="X11">
        <v>6285</v>
      </c>
      <c r="Y11">
        <v>6285</v>
      </c>
      <c r="Z11">
        <v>6285</v>
      </c>
      <c r="AA11">
        <v>6285</v>
      </c>
      <c r="AB11">
        <v>6285</v>
      </c>
      <c r="AC11">
        <v>6285</v>
      </c>
      <c r="AD11">
        <v>6285</v>
      </c>
      <c r="AE11">
        <v>6285</v>
      </c>
      <c r="AF11">
        <v>6285</v>
      </c>
      <c r="AG11">
        <v>6285</v>
      </c>
      <c r="AH11">
        <v>6285</v>
      </c>
      <c r="AI11">
        <v>6285</v>
      </c>
      <c r="AJ11">
        <v>6285</v>
      </c>
      <c r="AK11">
        <v>6285</v>
      </c>
      <c r="AL11">
        <v>6285</v>
      </c>
      <c r="AM11">
        <v>6285</v>
      </c>
      <c r="AN11">
        <v>6285</v>
      </c>
      <c r="AO11">
        <v>6285</v>
      </c>
      <c r="AP11">
        <v>6285</v>
      </c>
      <c r="AQ11">
        <v>6285</v>
      </c>
      <c r="AR11">
        <v>6285</v>
      </c>
      <c r="AS11">
        <v>6285</v>
      </c>
      <c r="AT11">
        <v>6285</v>
      </c>
      <c r="AU11">
        <v>6285</v>
      </c>
      <c r="AV11">
        <v>6285</v>
      </c>
      <c r="AW11">
        <v>6285</v>
      </c>
      <c r="AX11">
        <v>6285</v>
      </c>
      <c r="AY11">
        <v>6285</v>
      </c>
      <c r="AZ11">
        <v>6285</v>
      </c>
      <c r="BA11">
        <v>6285</v>
      </c>
      <c r="BB11">
        <v>6285</v>
      </c>
      <c r="BC11">
        <v>6285</v>
      </c>
      <c r="BD11">
        <v>6285</v>
      </c>
      <c r="BE11">
        <v>6285</v>
      </c>
      <c r="BF11">
        <v>6285</v>
      </c>
      <c r="BG11">
        <v>6285</v>
      </c>
      <c r="BH11">
        <v>6285</v>
      </c>
      <c r="BI11">
        <v>6285</v>
      </c>
      <c r="BJ11">
        <v>6285</v>
      </c>
      <c r="BK11">
        <v>6285</v>
      </c>
      <c r="BL11">
        <v>6285</v>
      </c>
      <c r="BM11">
        <v>6285</v>
      </c>
      <c r="BN11">
        <v>6285</v>
      </c>
      <c r="BO11">
        <v>6285</v>
      </c>
      <c r="BP11">
        <v>6285</v>
      </c>
      <c r="BQ11">
        <v>6285</v>
      </c>
      <c r="BR11">
        <v>6285</v>
      </c>
      <c r="BS11">
        <v>6285</v>
      </c>
      <c r="BT11">
        <v>6285</v>
      </c>
      <c r="BU11">
        <v>6285</v>
      </c>
      <c r="BV11">
        <v>6285</v>
      </c>
      <c r="BW11">
        <v>6285</v>
      </c>
      <c r="BX11">
        <v>6285</v>
      </c>
      <c r="BY11">
        <v>6285</v>
      </c>
      <c r="BZ11">
        <v>6285</v>
      </c>
      <c r="CA11">
        <v>6285</v>
      </c>
      <c r="CB11">
        <v>6285</v>
      </c>
      <c r="CC11">
        <v>6285</v>
      </c>
      <c r="CD11">
        <v>6285</v>
      </c>
      <c r="CE11">
        <v>6285</v>
      </c>
      <c r="CF11">
        <v>6285</v>
      </c>
      <c r="CG11">
        <v>6285</v>
      </c>
      <c r="CH11">
        <v>6285</v>
      </c>
      <c r="CI11">
        <v>6285</v>
      </c>
      <c r="CJ11">
        <v>6285</v>
      </c>
      <c r="CK11">
        <v>6285</v>
      </c>
      <c r="CL11">
        <v>6285</v>
      </c>
      <c r="CM11">
        <v>6285</v>
      </c>
      <c r="CN11">
        <v>6285</v>
      </c>
      <c r="CO11">
        <v>6285</v>
      </c>
      <c r="CP11">
        <v>6285</v>
      </c>
      <c r="CQ11">
        <v>6285</v>
      </c>
      <c r="CR11">
        <v>6285</v>
      </c>
      <c r="CS11">
        <v>6285</v>
      </c>
    </row>
    <row r="12" spans="1:97">
      <c r="A12" s="9">
        <v>46245</v>
      </c>
      <c r="B12">
        <v>6314</v>
      </c>
      <c r="C12">
        <v>6314</v>
      </c>
      <c r="D12">
        <v>6314</v>
      </c>
      <c r="E12">
        <v>6314</v>
      </c>
      <c r="F12">
        <v>6314</v>
      </c>
      <c r="G12">
        <v>6314</v>
      </c>
      <c r="H12">
        <v>6314</v>
      </c>
      <c r="I12">
        <v>6314</v>
      </c>
      <c r="J12">
        <v>6314</v>
      </c>
      <c r="K12">
        <v>6314</v>
      </c>
      <c r="L12">
        <v>6314</v>
      </c>
      <c r="M12">
        <v>6314</v>
      </c>
      <c r="N12">
        <v>6314</v>
      </c>
      <c r="O12">
        <v>6314</v>
      </c>
      <c r="P12">
        <v>6314</v>
      </c>
      <c r="Q12">
        <v>6314</v>
      </c>
      <c r="R12">
        <v>6314</v>
      </c>
      <c r="S12">
        <v>6314</v>
      </c>
      <c r="T12">
        <v>6314</v>
      </c>
      <c r="U12">
        <v>6314</v>
      </c>
      <c r="V12">
        <v>6314</v>
      </c>
      <c r="W12">
        <v>6314</v>
      </c>
      <c r="X12">
        <v>6314</v>
      </c>
      <c r="Y12">
        <v>6314</v>
      </c>
      <c r="Z12">
        <v>6314</v>
      </c>
      <c r="AA12">
        <v>6314</v>
      </c>
      <c r="AB12">
        <v>6314</v>
      </c>
      <c r="AC12">
        <v>6314</v>
      </c>
      <c r="AD12">
        <v>6314</v>
      </c>
      <c r="AE12">
        <v>6314</v>
      </c>
      <c r="AF12">
        <v>6314</v>
      </c>
      <c r="AG12">
        <v>6314</v>
      </c>
      <c r="AH12">
        <v>6314</v>
      </c>
      <c r="AI12">
        <v>6314</v>
      </c>
      <c r="AJ12">
        <v>6314</v>
      </c>
      <c r="AK12">
        <v>6314</v>
      </c>
      <c r="AL12">
        <v>6314</v>
      </c>
      <c r="AM12">
        <v>6314</v>
      </c>
      <c r="AN12">
        <v>6314</v>
      </c>
      <c r="AO12">
        <v>6314</v>
      </c>
      <c r="AP12">
        <v>6314</v>
      </c>
      <c r="AQ12">
        <v>6314</v>
      </c>
      <c r="AR12">
        <v>6314</v>
      </c>
      <c r="AS12">
        <v>6314</v>
      </c>
      <c r="AT12">
        <v>6314</v>
      </c>
      <c r="AU12">
        <v>6314</v>
      </c>
      <c r="AV12">
        <v>6314</v>
      </c>
      <c r="AW12">
        <v>6314</v>
      </c>
      <c r="AX12">
        <v>6314</v>
      </c>
      <c r="AY12">
        <v>6314</v>
      </c>
      <c r="AZ12">
        <v>6314</v>
      </c>
      <c r="BA12">
        <v>6314</v>
      </c>
      <c r="BB12">
        <v>6314</v>
      </c>
      <c r="BC12">
        <v>6314</v>
      </c>
      <c r="BD12">
        <v>6314</v>
      </c>
      <c r="BE12">
        <v>6314</v>
      </c>
      <c r="BF12">
        <v>6314</v>
      </c>
      <c r="BG12">
        <v>6314</v>
      </c>
      <c r="BH12">
        <v>6314</v>
      </c>
      <c r="BI12">
        <v>6314</v>
      </c>
      <c r="BJ12">
        <v>6314</v>
      </c>
      <c r="BK12">
        <v>6314</v>
      </c>
      <c r="BL12">
        <v>6314</v>
      </c>
      <c r="BM12">
        <v>6314</v>
      </c>
      <c r="BN12">
        <v>6314</v>
      </c>
      <c r="BO12">
        <v>6314</v>
      </c>
      <c r="BP12">
        <v>6314</v>
      </c>
      <c r="BQ12">
        <v>6314</v>
      </c>
      <c r="BR12">
        <v>6314</v>
      </c>
      <c r="BS12">
        <v>6314</v>
      </c>
      <c r="BT12">
        <v>6314</v>
      </c>
      <c r="BU12">
        <v>6314</v>
      </c>
      <c r="BV12">
        <v>6314</v>
      </c>
      <c r="BW12">
        <v>6314</v>
      </c>
      <c r="BX12">
        <v>6314</v>
      </c>
      <c r="BY12">
        <v>6314</v>
      </c>
      <c r="BZ12">
        <v>6314</v>
      </c>
      <c r="CA12">
        <v>6314</v>
      </c>
      <c r="CB12">
        <v>6314</v>
      </c>
      <c r="CC12">
        <v>6314</v>
      </c>
      <c r="CD12">
        <v>6314</v>
      </c>
      <c r="CE12">
        <v>6314</v>
      </c>
      <c r="CF12">
        <v>6314</v>
      </c>
      <c r="CG12">
        <v>6314</v>
      </c>
      <c r="CH12">
        <v>6314</v>
      </c>
      <c r="CI12">
        <v>6314</v>
      </c>
      <c r="CJ12">
        <v>6314</v>
      </c>
      <c r="CK12">
        <v>6314</v>
      </c>
      <c r="CL12">
        <v>6314</v>
      </c>
      <c r="CM12">
        <v>6314</v>
      </c>
      <c r="CN12">
        <v>6314</v>
      </c>
      <c r="CO12">
        <v>6314</v>
      </c>
      <c r="CP12">
        <v>6314</v>
      </c>
      <c r="CQ12">
        <v>6314</v>
      </c>
      <c r="CR12">
        <v>6314</v>
      </c>
      <c r="CS12">
        <v>6314</v>
      </c>
    </row>
    <row r="13" spans="1:97">
      <c r="A13" s="9">
        <v>46246</v>
      </c>
      <c r="B13">
        <v>6362</v>
      </c>
      <c r="C13">
        <v>6362</v>
      </c>
      <c r="D13">
        <v>6362</v>
      </c>
      <c r="E13">
        <v>6362</v>
      </c>
      <c r="F13">
        <v>6362</v>
      </c>
      <c r="G13">
        <v>6362</v>
      </c>
      <c r="H13">
        <v>6362</v>
      </c>
      <c r="I13">
        <v>6362</v>
      </c>
      <c r="J13">
        <v>6362</v>
      </c>
      <c r="K13">
        <v>6362</v>
      </c>
      <c r="L13">
        <v>6362</v>
      </c>
      <c r="M13">
        <v>6362</v>
      </c>
      <c r="N13">
        <v>6362</v>
      </c>
      <c r="O13">
        <v>6362</v>
      </c>
      <c r="P13">
        <v>6362</v>
      </c>
      <c r="Q13">
        <v>6362</v>
      </c>
      <c r="R13">
        <v>6362</v>
      </c>
      <c r="S13">
        <v>6362</v>
      </c>
      <c r="T13">
        <v>6362</v>
      </c>
      <c r="U13">
        <v>6362</v>
      </c>
      <c r="V13">
        <v>6362</v>
      </c>
      <c r="W13">
        <v>6362</v>
      </c>
      <c r="X13">
        <v>6362</v>
      </c>
      <c r="Y13">
        <v>6362</v>
      </c>
      <c r="Z13">
        <v>6362</v>
      </c>
      <c r="AA13">
        <v>6362</v>
      </c>
      <c r="AB13">
        <v>6362</v>
      </c>
      <c r="AC13">
        <v>6362</v>
      </c>
      <c r="AD13">
        <v>6362</v>
      </c>
      <c r="AE13">
        <v>6362</v>
      </c>
      <c r="AF13">
        <v>6362</v>
      </c>
      <c r="AG13">
        <v>6362</v>
      </c>
      <c r="AH13">
        <v>6362</v>
      </c>
      <c r="AI13">
        <v>6362</v>
      </c>
      <c r="AJ13">
        <v>6362</v>
      </c>
      <c r="AK13">
        <v>6362</v>
      </c>
      <c r="AL13">
        <v>6362</v>
      </c>
      <c r="AM13">
        <v>6362</v>
      </c>
      <c r="AN13">
        <v>6362</v>
      </c>
      <c r="AO13">
        <v>6362</v>
      </c>
      <c r="AP13">
        <v>6355</v>
      </c>
      <c r="AQ13">
        <v>6355</v>
      </c>
      <c r="AR13">
        <v>6355</v>
      </c>
      <c r="AS13">
        <v>6342</v>
      </c>
      <c r="AT13">
        <v>6342</v>
      </c>
      <c r="AU13">
        <v>6342</v>
      </c>
      <c r="AV13">
        <v>6342</v>
      </c>
      <c r="AW13">
        <v>6362</v>
      </c>
      <c r="AX13">
        <v>6362</v>
      </c>
      <c r="AY13">
        <v>6362</v>
      </c>
      <c r="AZ13">
        <v>6362</v>
      </c>
      <c r="BA13">
        <v>6362</v>
      </c>
      <c r="BB13">
        <v>6362</v>
      </c>
      <c r="BC13">
        <v>6362</v>
      </c>
      <c r="BD13">
        <v>6362</v>
      </c>
      <c r="BE13">
        <v>6362</v>
      </c>
      <c r="BF13">
        <v>6362</v>
      </c>
      <c r="BG13">
        <v>6362</v>
      </c>
      <c r="BH13">
        <v>6362</v>
      </c>
      <c r="BI13">
        <v>6362</v>
      </c>
      <c r="BJ13">
        <v>6352</v>
      </c>
      <c r="BK13">
        <v>6352</v>
      </c>
      <c r="BL13">
        <v>6342</v>
      </c>
      <c r="BM13">
        <v>6342</v>
      </c>
      <c r="BN13">
        <v>6342</v>
      </c>
      <c r="BO13">
        <v>6362</v>
      </c>
      <c r="BP13">
        <v>6362</v>
      </c>
      <c r="BQ13">
        <v>6362</v>
      </c>
      <c r="BR13">
        <v>6362</v>
      </c>
      <c r="BS13">
        <v>6362</v>
      </c>
      <c r="BT13">
        <v>6362</v>
      </c>
      <c r="BU13">
        <v>6362</v>
      </c>
      <c r="BV13">
        <v>6362</v>
      </c>
      <c r="BW13">
        <v>6362</v>
      </c>
      <c r="BX13">
        <v>6362</v>
      </c>
      <c r="BY13">
        <v>6362</v>
      </c>
      <c r="BZ13">
        <v>6362</v>
      </c>
      <c r="CA13">
        <v>6362</v>
      </c>
      <c r="CB13">
        <v>6362</v>
      </c>
      <c r="CC13">
        <v>6362</v>
      </c>
      <c r="CD13">
        <v>6362</v>
      </c>
      <c r="CE13">
        <v>6362</v>
      </c>
      <c r="CF13">
        <v>6362</v>
      </c>
      <c r="CG13">
        <v>6362</v>
      </c>
      <c r="CH13">
        <v>6362</v>
      </c>
      <c r="CI13">
        <v>6362</v>
      </c>
      <c r="CJ13">
        <v>6362</v>
      </c>
      <c r="CK13">
        <v>6362</v>
      </c>
      <c r="CL13">
        <v>6362</v>
      </c>
      <c r="CM13">
        <v>6362</v>
      </c>
      <c r="CN13">
        <v>6362</v>
      </c>
      <c r="CO13">
        <v>6362</v>
      </c>
      <c r="CP13">
        <v>6362</v>
      </c>
      <c r="CQ13">
        <v>6362</v>
      </c>
      <c r="CR13">
        <v>6362</v>
      </c>
      <c r="CS13">
        <v>6362</v>
      </c>
    </row>
    <row r="14" spans="1:97">
      <c r="A14" s="9">
        <v>46247</v>
      </c>
      <c r="B14">
        <v>6361</v>
      </c>
      <c r="C14">
        <v>6361</v>
      </c>
      <c r="D14">
        <v>6361</v>
      </c>
      <c r="E14">
        <v>6361</v>
      </c>
      <c r="F14">
        <v>6361</v>
      </c>
      <c r="G14">
        <v>6361</v>
      </c>
      <c r="H14">
        <v>6361</v>
      </c>
      <c r="I14">
        <v>6361</v>
      </c>
      <c r="J14">
        <v>6361</v>
      </c>
      <c r="K14">
        <v>6361</v>
      </c>
      <c r="L14">
        <v>6361</v>
      </c>
      <c r="M14">
        <v>6361</v>
      </c>
      <c r="N14">
        <v>6361</v>
      </c>
      <c r="O14">
        <v>6361</v>
      </c>
      <c r="P14">
        <v>6361</v>
      </c>
      <c r="Q14">
        <v>6361</v>
      </c>
      <c r="R14">
        <v>6361</v>
      </c>
      <c r="S14">
        <v>6361</v>
      </c>
      <c r="T14">
        <v>6361</v>
      </c>
      <c r="U14">
        <v>6361</v>
      </c>
      <c r="V14">
        <v>6361</v>
      </c>
      <c r="W14">
        <v>6361</v>
      </c>
      <c r="X14">
        <v>6361</v>
      </c>
      <c r="Y14">
        <v>6361</v>
      </c>
      <c r="Z14">
        <v>6361</v>
      </c>
      <c r="AA14">
        <v>6361</v>
      </c>
      <c r="AB14">
        <v>6361</v>
      </c>
      <c r="AC14">
        <v>6361</v>
      </c>
      <c r="AD14">
        <v>6361</v>
      </c>
      <c r="AE14">
        <v>6361</v>
      </c>
      <c r="AF14">
        <v>6361</v>
      </c>
      <c r="AG14">
        <v>6361</v>
      </c>
      <c r="AH14">
        <v>6361</v>
      </c>
      <c r="AI14">
        <v>6361</v>
      </c>
      <c r="AJ14">
        <v>6361</v>
      </c>
      <c r="AK14">
        <v>6361</v>
      </c>
      <c r="AL14">
        <v>6361</v>
      </c>
      <c r="AM14">
        <v>6361</v>
      </c>
      <c r="AN14">
        <v>6361</v>
      </c>
      <c r="AO14">
        <v>6361</v>
      </c>
      <c r="AP14">
        <v>6354</v>
      </c>
      <c r="AQ14">
        <v>6354</v>
      </c>
      <c r="AR14">
        <v>6341</v>
      </c>
      <c r="AS14">
        <v>6341</v>
      </c>
      <c r="AT14">
        <v>6341</v>
      </c>
      <c r="AU14">
        <v>6341</v>
      </c>
      <c r="AV14">
        <v>6361</v>
      </c>
      <c r="AW14">
        <v>6361</v>
      </c>
      <c r="AX14">
        <v>6361</v>
      </c>
      <c r="AY14">
        <v>6361</v>
      </c>
      <c r="AZ14">
        <v>6361</v>
      </c>
      <c r="BA14">
        <v>6361</v>
      </c>
      <c r="BB14">
        <v>6361</v>
      </c>
      <c r="BC14">
        <v>6361</v>
      </c>
      <c r="BD14">
        <v>6361</v>
      </c>
      <c r="BE14">
        <v>6361</v>
      </c>
      <c r="BF14">
        <v>6361</v>
      </c>
      <c r="BG14">
        <v>6361</v>
      </c>
      <c r="BH14">
        <v>6361</v>
      </c>
      <c r="BI14">
        <v>6361</v>
      </c>
      <c r="BJ14">
        <v>6361</v>
      </c>
      <c r="BK14">
        <v>6361</v>
      </c>
      <c r="BL14">
        <v>6361</v>
      </c>
      <c r="BM14">
        <v>6361</v>
      </c>
      <c r="BN14">
        <v>6361</v>
      </c>
      <c r="BO14">
        <v>6361</v>
      </c>
      <c r="BP14">
        <v>6361</v>
      </c>
      <c r="BQ14">
        <v>6361</v>
      </c>
      <c r="BR14">
        <v>6361</v>
      </c>
      <c r="BS14">
        <v>6361</v>
      </c>
      <c r="BT14">
        <v>6361</v>
      </c>
      <c r="BU14">
        <v>6361</v>
      </c>
      <c r="BV14">
        <v>6361</v>
      </c>
      <c r="BW14">
        <v>6361</v>
      </c>
      <c r="BX14">
        <v>6361</v>
      </c>
      <c r="BY14">
        <v>6361</v>
      </c>
      <c r="BZ14">
        <v>6361</v>
      </c>
      <c r="CA14">
        <v>6361</v>
      </c>
      <c r="CB14">
        <v>6361</v>
      </c>
      <c r="CC14">
        <v>6361</v>
      </c>
      <c r="CD14">
        <v>6361</v>
      </c>
      <c r="CE14">
        <v>6361</v>
      </c>
      <c r="CF14">
        <v>6361</v>
      </c>
      <c r="CG14">
        <v>6361</v>
      </c>
      <c r="CH14">
        <v>6361</v>
      </c>
      <c r="CI14">
        <v>6361</v>
      </c>
      <c r="CJ14">
        <v>6361</v>
      </c>
      <c r="CK14">
        <v>6361</v>
      </c>
      <c r="CL14">
        <v>6361</v>
      </c>
      <c r="CM14">
        <v>6361</v>
      </c>
      <c r="CN14">
        <v>6361</v>
      </c>
      <c r="CO14">
        <v>6361</v>
      </c>
      <c r="CP14">
        <v>6361</v>
      </c>
      <c r="CQ14">
        <v>6361</v>
      </c>
      <c r="CR14">
        <v>6361</v>
      </c>
      <c r="CS14">
        <v>6361</v>
      </c>
    </row>
    <row r="15" spans="1:97">
      <c r="A15" s="9">
        <v>46248</v>
      </c>
      <c r="B15">
        <v>6361</v>
      </c>
      <c r="C15">
        <v>6361</v>
      </c>
      <c r="D15">
        <v>6361</v>
      </c>
      <c r="E15">
        <v>6361</v>
      </c>
      <c r="F15">
        <v>6361</v>
      </c>
      <c r="G15">
        <v>6361</v>
      </c>
      <c r="H15">
        <v>6361</v>
      </c>
      <c r="I15">
        <v>6361</v>
      </c>
      <c r="J15">
        <v>6361</v>
      </c>
      <c r="K15">
        <v>6361</v>
      </c>
      <c r="L15">
        <v>6361</v>
      </c>
      <c r="M15">
        <v>6361</v>
      </c>
      <c r="N15">
        <v>6361</v>
      </c>
      <c r="O15">
        <v>6361</v>
      </c>
      <c r="P15">
        <v>6361</v>
      </c>
      <c r="Q15">
        <v>6361</v>
      </c>
      <c r="R15">
        <v>6361</v>
      </c>
      <c r="S15">
        <v>6361</v>
      </c>
      <c r="T15">
        <v>6361</v>
      </c>
      <c r="U15">
        <v>6361</v>
      </c>
      <c r="V15">
        <v>6361</v>
      </c>
      <c r="W15">
        <v>6361</v>
      </c>
      <c r="X15">
        <v>6361</v>
      </c>
      <c r="Y15">
        <v>6361</v>
      </c>
      <c r="Z15">
        <v>6361</v>
      </c>
      <c r="AA15">
        <v>6361</v>
      </c>
      <c r="AB15">
        <v>6361</v>
      </c>
      <c r="AC15">
        <v>6361</v>
      </c>
      <c r="AD15">
        <v>6361</v>
      </c>
      <c r="AE15">
        <v>6361</v>
      </c>
      <c r="AF15">
        <v>6361</v>
      </c>
      <c r="AG15">
        <v>6361</v>
      </c>
      <c r="AH15">
        <v>6361</v>
      </c>
      <c r="AI15">
        <v>6361</v>
      </c>
      <c r="AJ15">
        <v>6361</v>
      </c>
      <c r="AK15">
        <v>6361</v>
      </c>
      <c r="AL15">
        <v>6361</v>
      </c>
      <c r="AM15">
        <v>6361</v>
      </c>
      <c r="AN15">
        <v>6361</v>
      </c>
      <c r="AO15">
        <v>6361</v>
      </c>
      <c r="AP15">
        <v>6361</v>
      </c>
      <c r="AQ15">
        <v>6361</v>
      </c>
      <c r="AR15">
        <v>6361</v>
      </c>
      <c r="AS15">
        <v>6361</v>
      </c>
      <c r="AT15">
        <v>6361</v>
      </c>
      <c r="AU15">
        <v>6361</v>
      </c>
      <c r="AV15">
        <v>6361</v>
      </c>
      <c r="AW15">
        <v>6361</v>
      </c>
      <c r="AX15">
        <v>6361</v>
      </c>
      <c r="AY15">
        <v>6361</v>
      </c>
      <c r="AZ15">
        <v>6361</v>
      </c>
      <c r="BA15">
        <v>6361</v>
      </c>
      <c r="BB15">
        <v>6361</v>
      </c>
      <c r="BC15">
        <v>6361</v>
      </c>
      <c r="BD15">
        <v>6361</v>
      </c>
      <c r="BE15">
        <v>6361</v>
      </c>
      <c r="BF15">
        <v>6361</v>
      </c>
      <c r="BG15">
        <v>6361</v>
      </c>
      <c r="BH15">
        <v>6361</v>
      </c>
      <c r="BI15">
        <v>6361</v>
      </c>
      <c r="BJ15">
        <v>6361</v>
      </c>
      <c r="BK15">
        <v>6361</v>
      </c>
      <c r="BL15">
        <v>6361</v>
      </c>
      <c r="BM15">
        <v>6361</v>
      </c>
      <c r="BN15">
        <v>6361</v>
      </c>
      <c r="BO15">
        <v>6361</v>
      </c>
      <c r="BP15">
        <v>6361</v>
      </c>
      <c r="BQ15">
        <v>6361</v>
      </c>
      <c r="BR15">
        <v>6361</v>
      </c>
      <c r="BS15">
        <v>6361</v>
      </c>
      <c r="BT15">
        <v>6361</v>
      </c>
      <c r="BU15">
        <v>6361</v>
      </c>
      <c r="BV15">
        <v>6361</v>
      </c>
      <c r="BW15">
        <v>6361</v>
      </c>
      <c r="BX15">
        <v>6361</v>
      </c>
      <c r="BY15">
        <v>6361</v>
      </c>
      <c r="BZ15">
        <v>6361</v>
      </c>
      <c r="CA15">
        <v>6361</v>
      </c>
      <c r="CB15">
        <v>6361</v>
      </c>
      <c r="CC15">
        <v>6361</v>
      </c>
      <c r="CD15">
        <v>6361</v>
      </c>
      <c r="CE15">
        <v>6361</v>
      </c>
      <c r="CF15">
        <v>6361</v>
      </c>
      <c r="CG15">
        <v>6361</v>
      </c>
      <c r="CH15">
        <v>6361</v>
      </c>
      <c r="CI15">
        <v>6361</v>
      </c>
      <c r="CJ15">
        <v>6361</v>
      </c>
      <c r="CK15">
        <v>6361</v>
      </c>
      <c r="CL15">
        <v>6361</v>
      </c>
      <c r="CM15">
        <v>6361</v>
      </c>
      <c r="CN15">
        <v>6361</v>
      </c>
      <c r="CO15">
        <v>6361</v>
      </c>
      <c r="CP15">
        <v>6361</v>
      </c>
      <c r="CQ15">
        <v>6361</v>
      </c>
      <c r="CR15">
        <v>6361</v>
      </c>
      <c r="CS15">
        <v>6361</v>
      </c>
    </row>
    <row r="16" spans="1:97">
      <c r="A16" s="9">
        <v>46249</v>
      </c>
      <c r="B16">
        <v>6351</v>
      </c>
      <c r="C16">
        <v>6351</v>
      </c>
      <c r="D16">
        <v>6351</v>
      </c>
      <c r="E16">
        <v>6351</v>
      </c>
      <c r="F16">
        <v>6351</v>
      </c>
      <c r="G16">
        <v>6351</v>
      </c>
      <c r="H16">
        <v>6351</v>
      </c>
      <c r="I16">
        <v>6351</v>
      </c>
      <c r="J16">
        <v>6351</v>
      </c>
      <c r="K16">
        <v>6351</v>
      </c>
      <c r="L16">
        <v>6351</v>
      </c>
      <c r="M16">
        <v>6351</v>
      </c>
      <c r="N16">
        <v>6351</v>
      </c>
      <c r="O16">
        <v>6351</v>
      </c>
      <c r="P16">
        <v>6351</v>
      </c>
      <c r="Q16">
        <v>6351</v>
      </c>
      <c r="R16">
        <v>6351</v>
      </c>
      <c r="S16">
        <v>6351</v>
      </c>
      <c r="T16">
        <v>6351</v>
      </c>
      <c r="U16">
        <v>6351</v>
      </c>
      <c r="V16">
        <v>6351</v>
      </c>
      <c r="W16">
        <v>6351</v>
      </c>
      <c r="X16">
        <v>6351</v>
      </c>
      <c r="Y16">
        <v>6351</v>
      </c>
      <c r="Z16">
        <v>6351</v>
      </c>
      <c r="AA16">
        <v>6351</v>
      </c>
      <c r="AB16">
        <v>6351</v>
      </c>
      <c r="AC16">
        <v>6351</v>
      </c>
      <c r="AD16">
        <v>6351</v>
      </c>
      <c r="AE16">
        <v>6351</v>
      </c>
      <c r="AF16">
        <v>6351</v>
      </c>
      <c r="AG16">
        <v>6351</v>
      </c>
      <c r="AH16">
        <v>6351</v>
      </c>
      <c r="AI16">
        <v>6351</v>
      </c>
      <c r="AJ16">
        <v>6351</v>
      </c>
      <c r="AK16">
        <v>6351</v>
      </c>
      <c r="AL16">
        <v>6351</v>
      </c>
      <c r="AM16">
        <v>6351</v>
      </c>
      <c r="AN16">
        <v>6351</v>
      </c>
      <c r="AO16">
        <v>6351</v>
      </c>
      <c r="AP16">
        <v>6351</v>
      </c>
      <c r="AQ16">
        <v>6351</v>
      </c>
      <c r="AR16">
        <v>6351</v>
      </c>
      <c r="AS16">
        <v>6351</v>
      </c>
      <c r="AT16">
        <v>6351</v>
      </c>
      <c r="AU16">
        <v>6351</v>
      </c>
      <c r="AV16">
        <v>6351</v>
      </c>
      <c r="AW16">
        <v>6351</v>
      </c>
      <c r="AX16">
        <v>6351</v>
      </c>
      <c r="AY16">
        <v>6351</v>
      </c>
      <c r="AZ16">
        <v>6351</v>
      </c>
      <c r="BA16">
        <v>6351</v>
      </c>
      <c r="BB16">
        <v>6351</v>
      </c>
      <c r="BC16">
        <v>6351</v>
      </c>
      <c r="BD16">
        <v>6351</v>
      </c>
      <c r="BE16">
        <v>6351</v>
      </c>
      <c r="BF16">
        <v>6351</v>
      </c>
      <c r="BG16">
        <v>6351</v>
      </c>
      <c r="BH16">
        <v>6351</v>
      </c>
      <c r="BI16">
        <v>6351</v>
      </c>
      <c r="BJ16">
        <v>6351</v>
      </c>
      <c r="BK16">
        <v>6351</v>
      </c>
      <c r="BL16">
        <v>6351</v>
      </c>
      <c r="BM16">
        <v>6351</v>
      </c>
      <c r="BN16">
        <v>6351</v>
      </c>
      <c r="BO16">
        <v>6351</v>
      </c>
      <c r="BP16">
        <v>6351</v>
      </c>
      <c r="BQ16">
        <v>6351</v>
      </c>
      <c r="BR16">
        <v>6351</v>
      </c>
      <c r="BS16">
        <v>6351</v>
      </c>
      <c r="BT16">
        <v>6351</v>
      </c>
      <c r="BU16">
        <v>6351</v>
      </c>
      <c r="BV16">
        <v>6351</v>
      </c>
      <c r="BW16">
        <v>6351</v>
      </c>
      <c r="BX16">
        <v>6351</v>
      </c>
      <c r="BY16">
        <v>6351</v>
      </c>
      <c r="BZ16">
        <v>6351</v>
      </c>
      <c r="CA16">
        <v>6351</v>
      </c>
      <c r="CB16">
        <v>6351</v>
      </c>
      <c r="CC16">
        <v>6351</v>
      </c>
      <c r="CD16">
        <v>6351</v>
      </c>
      <c r="CE16">
        <v>6351</v>
      </c>
      <c r="CF16">
        <v>6351</v>
      </c>
      <c r="CG16">
        <v>6351</v>
      </c>
      <c r="CH16">
        <v>6351</v>
      </c>
      <c r="CI16">
        <v>6351</v>
      </c>
      <c r="CJ16">
        <v>6351</v>
      </c>
      <c r="CK16">
        <v>6351</v>
      </c>
      <c r="CL16">
        <v>6351</v>
      </c>
      <c r="CM16">
        <v>6351</v>
      </c>
      <c r="CN16">
        <v>6351</v>
      </c>
      <c r="CO16">
        <v>6351</v>
      </c>
      <c r="CP16">
        <v>6351</v>
      </c>
      <c r="CQ16">
        <v>6351</v>
      </c>
      <c r="CR16">
        <v>6351</v>
      </c>
      <c r="CS16">
        <v>6351</v>
      </c>
    </row>
    <row r="17" spans="1:97">
      <c r="A17" s="9">
        <v>46250</v>
      </c>
      <c r="B17">
        <v>6354</v>
      </c>
      <c r="C17">
        <v>6354</v>
      </c>
      <c r="D17">
        <v>6354</v>
      </c>
      <c r="E17">
        <v>6354</v>
      </c>
      <c r="F17">
        <v>6354</v>
      </c>
      <c r="G17">
        <v>6354</v>
      </c>
      <c r="H17">
        <v>6354</v>
      </c>
      <c r="I17">
        <v>6354</v>
      </c>
      <c r="J17">
        <v>6354</v>
      </c>
      <c r="K17">
        <v>6354</v>
      </c>
      <c r="L17">
        <v>6354</v>
      </c>
      <c r="M17">
        <v>6354</v>
      </c>
      <c r="N17">
        <v>6354</v>
      </c>
      <c r="O17">
        <v>6354</v>
      </c>
      <c r="P17">
        <v>6354</v>
      </c>
      <c r="Q17">
        <v>6354</v>
      </c>
      <c r="R17">
        <v>6354</v>
      </c>
      <c r="S17">
        <v>6354</v>
      </c>
      <c r="T17">
        <v>6354</v>
      </c>
      <c r="U17">
        <v>6354</v>
      </c>
      <c r="V17">
        <v>6354</v>
      </c>
      <c r="W17">
        <v>6354</v>
      </c>
      <c r="X17">
        <v>6354</v>
      </c>
      <c r="Y17">
        <v>6354</v>
      </c>
      <c r="Z17">
        <v>6354</v>
      </c>
      <c r="AA17">
        <v>6354</v>
      </c>
      <c r="AB17">
        <v>6354</v>
      </c>
      <c r="AC17">
        <v>6354</v>
      </c>
      <c r="AD17">
        <v>6354</v>
      </c>
      <c r="AE17">
        <v>6354</v>
      </c>
      <c r="AF17">
        <v>6354</v>
      </c>
      <c r="AG17">
        <v>6354</v>
      </c>
      <c r="AH17">
        <v>6354</v>
      </c>
      <c r="AI17">
        <v>6354</v>
      </c>
      <c r="AJ17">
        <v>6354</v>
      </c>
      <c r="AK17">
        <v>6354</v>
      </c>
      <c r="AL17">
        <v>6354</v>
      </c>
      <c r="AM17">
        <v>6354</v>
      </c>
      <c r="AN17">
        <v>6354</v>
      </c>
      <c r="AO17">
        <v>6354</v>
      </c>
      <c r="AP17">
        <v>6354</v>
      </c>
      <c r="AQ17">
        <v>6354</v>
      </c>
      <c r="AR17">
        <v>6354</v>
      </c>
      <c r="AS17">
        <v>6354</v>
      </c>
      <c r="AT17">
        <v>6354</v>
      </c>
      <c r="AU17">
        <v>6354</v>
      </c>
      <c r="AV17">
        <v>6354</v>
      </c>
      <c r="AW17">
        <v>6354</v>
      </c>
      <c r="AX17">
        <v>6354</v>
      </c>
      <c r="AY17">
        <v>6354</v>
      </c>
      <c r="AZ17">
        <v>6354</v>
      </c>
      <c r="BA17">
        <v>6354</v>
      </c>
      <c r="BB17">
        <v>6354</v>
      </c>
      <c r="BC17">
        <v>6354</v>
      </c>
      <c r="BD17">
        <v>6354</v>
      </c>
      <c r="BE17">
        <v>6354</v>
      </c>
      <c r="BF17">
        <v>6354</v>
      </c>
      <c r="BG17">
        <v>6354</v>
      </c>
      <c r="BH17">
        <v>6354</v>
      </c>
      <c r="BI17">
        <v>6354</v>
      </c>
      <c r="BJ17">
        <v>6354</v>
      </c>
      <c r="BK17">
        <v>6354</v>
      </c>
      <c r="BL17">
        <v>6354</v>
      </c>
      <c r="BM17">
        <v>6354</v>
      </c>
      <c r="BN17">
        <v>6354</v>
      </c>
      <c r="BO17">
        <v>6354</v>
      </c>
      <c r="BP17">
        <v>6354</v>
      </c>
      <c r="BQ17">
        <v>6354</v>
      </c>
      <c r="BR17">
        <v>6354</v>
      </c>
      <c r="BS17">
        <v>6354</v>
      </c>
      <c r="BT17">
        <v>6354</v>
      </c>
      <c r="BU17">
        <v>6354</v>
      </c>
      <c r="BV17">
        <v>6354</v>
      </c>
      <c r="BW17">
        <v>6354</v>
      </c>
      <c r="BX17">
        <v>6354</v>
      </c>
      <c r="BY17">
        <v>6354</v>
      </c>
      <c r="BZ17">
        <v>6354</v>
      </c>
      <c r="CA17">
        <v>6354</v>
      </c>
      <c r="CB17">
        <v>6354</v>
      </c>
      <c r="CC17">
        <v>6354</v>
      </c>
      <c r="CD17">
        <v>6354</v>
      </c>
      <c r="CE17">
        <v>6354</v>
      </c>
      <c r="CF17">
        <v>6354</v>
      </c>
      <c r="CG17">
        <v>6354</v>
      </c>
      <c r="CH17">
        <v>6354</v>
      </c>
      <c r="CI17">
        <v>6354</v>
      </c>
      <c r="CJ17">
        <v>6354</v>
      </c>
      <c r="CK17">
        <v>6354</v>
      </c>
      <c r="CL17">
        <v>6354</v>
      </c>
      <c r="CM17">
        <v>6354</v>
      </c>
      <c r="CN17">
        <v>6354</v>
      </c>
      <c r="CO17">
        <v>6354</v>
      </c>
      <c r="CP17">
        <v>6354</v>
      </c>
      <c r="CQ17">
        <v>6354</v>
      </c>
      <c r="CR17">
        <v>6354</v>
      </c>
      <c r="CS17">
        <v>6354</v>
      </c>
    </row>
    <row r="18" spans="1:97">
      <c r="A18" s="9">
        <v>46251</v>
      </c>
      <c r="B18">
        <v>6345</v>
      </c>
      <c r="C18">
        <v>6345</v>
      </c>
      <c r="D18">
        <v>6345</v>
      </c>
      <c r="E18">
        <v>6345</v>
      </c>
      <c r="F18">
        <v>6345</v>
      </c>
      <c r="G18">
        <v>6345</v>
      </c>
      <c r="H18">
        <v>6345</v>
      </c>
      <c r="I18">
        <v>6345</v>
      </c>
      <c r="J18">
        <v>6345</v>
      </c>
      <c r="K18">
        <v>6345</v>
      </c>
      <c r="L18">
        <v>6345</v>
      </c>
      <c r="M18">
        <v>6345</v>
      </c>
      <c r="N18">
        <v>6345</v>
      </c>
      <c r="O18">
        <v>6345</v>
      </c>
      <c r="P18">
        <v>6345</v>
      </c>
      <c r="Q18">
        <v>6345</v>
      </c>
      <c r="R18">
        <v>6345</v>
      </c>
      <c r="S18">
        <v>6345</v>
      </c>
      <c r="T18">
        <v>6345</v>
      </c>
      <c r="U18">
        <v>6345</v>
      </c>
      <c r="V18">
        <v>6345</v>
      </c>
      <c r="W18">
        <v>6345</v>
      </c>
      <c r="X18">
        <v>6345</v>
      </c>
      <c r="Y18">
        <v>6345</v>
      </c>
      <c r="Z18">
        <v>6345</v>
      </c>
      <c r="AA18">
        <v>6345</v>
      </c>
      <c r="AB18">
        <v>6345</v>
      </c>
      <c r="AC18">
        <v>6345</v>
      </c>
      <c r="AD18">
        <v>6345</v>
      </c>
      <c r="AE18">
        <v>6345</v>
      </c>
      <c r="AF18">
        <v>6345</v>
      </c>
      <c r="AG18">
        <v>6345</v>
      </c>
      <c r="AH18">
        <v>6345</v>
      </c>
      <c r="AI18">
        <v>6345</v>
      </c>
      <c r="AJ18">
        <v>6345</v>
      </c>
      <c r="AK18">
        <v>6345</v>
      </c>
      <c r="AL18">
        <v>6345</v>
      </c>
      <c r="AM18">
        <v>6345</v>
      </c>
      <c r="AN18">
        <v>6345</v>
      </c>
      <c r="AO18">
        <v>6345</v>
      </c>
      <c r="AP18">
        <v>6345</v>
      </c>
      <c r="AQ18">
        <v>6345</v>
      </c>
      <c r="AR18">
        <v>6345</v>
      </c>
      <c r="AS18">
        <v>6345</v>
      </c>
      <c r="AT18">
        <v>6345</v>
      </c>
      <c r="AU18">
        <v>6345</v>
      </c>
      <c r="AV18">
        <v>6345</v>
      </c>
      <c r="AW18">
        <v>6345</v>
      </c>
      <c r="AX18">
        <v>6345</v>
      </c>
      <c r="AY18">
        <v>6345</v>
      </c>
      <c r="AZ18">
        <v>6345</v>
      </c>
      <c r="BA18">
        <v>6345</v>
      </c>
      <c r="BB18">
        <v>6345</v>
      </c>
      <c r="BC18">
        <v>6345</v>
      </c>
      <c r="BD18">
        <v>6345</v>
      </c>
      <c r="BE18">
        <v>6345</v>
      </c>
      <c r="BF18">
        <v>6345</v>
      </c>
      <c r="BG18">
        <v>6345</v>
      </c>
      <c r="BH18">
        <v>6345</v>
      </c>
      <c r="BI18">
        <v>6345</v>
      </c>
      <c r="BJ18">
        <v>6345</v>
      </c>
      <c r="BK18">
        <v>6345</v>
      </c>
      <c r="BL18">
        <v>6345</v>
      </c>
      <c r="BM18">
        <v>6345</v>
      </c>
      <c r="BN18">
        <v>6345</v>
      </c>
      <c r="BO18">
        <v>6345</v>
      </c>
      <c r="BP18">
        <v>6345</v>
      </c>
      <c r="BQ18">
        <v>6345</v>
      </c>
      <c r="BR18">
        <v>6345</v>
      </c>
      <c r="BS18">
        <v>6345</v>
      </c>
      <c r="BT18">
        <v>6345</v>
      </c>
      <c r="BU18">
        <v>6345</v>
      </c>
      <c r="BV18">
        <v>6345</v>
      </c>
      <c r="BW18">
        <v>6345</v>
      </c>
      <c r="BX18">
        <v>6345</v>
      </c>
      <c r="BY18">
        <v>6345</v>
      </c>
      <c r="BZ18">
        <v>6345</v>
      </c>
      <c r="CA18">
        <v>6345</v>
      </c>
      <c r="CB18">
        <v>6345</v>
      </c>
      <c r="CC18">
        <v>6345</v>
      </c>
      <c r="CD18">
        <v>6345</v>
      </c>
      <c r="CE18">
        <v>6345</v>
      </c>
      <c r="CF18">
        <v>6345</v>
      </c>
      <c r="CG18">
        <v>6345</v>
      </c>
      <c r="CH18">
        <v>6345</v>
      </c>
      <c r="CI18">
        <v>6345</v>
      </c>
      <c r="CJ18">
        <v>6345</v>
      </c>
      <c r="CK18">
        <v>6345</v>
      </c>
      <c r="CL18">
        <v>6345</v>
      </c>
      <c r="CM18">
        <v>6345</v>
      </c>
      <c r="CN18">
        <v>6345</v>
      </c>
      <c r="CO18">
        <v>6345</v>
      </c>
      <c r="CP18">
        <v>6345</v>
      </c>
      <c r="CQ18">
        <v>6345</v>
      </c>
      <c r="CR18">
        <v>6345</v>
      </c>
      <c r="CS18">
        <v>6345</v>
      </c>
    </row>
    <row r="19" spans="1:97">
      <c r="A19" s="9">
        <v>46252</v>
      </c>
      <c r="B19">
        <v>6344</v>
      </c>
      <c r="C19">
        <v>6344</v>
      </c>
      <c r="D19">
        <v>6344</v>
      </c>
      <c r="E19">
        <v>6344</v>
      </c>
      <c r="F19">
        <v>6344</v>
      </c>
      <c r="G19">
        <v>6344</v>
      </c>
      <c r="H19">
        <v>6344</v>
      </c>
      <c r="I19">
        <v>6344</v>
      </c>
      <c r="J19">
        <v>6344</v>
      </c>
      <c r="K19">
        <v>6344</v>
      </c>
      <c r="L19">
        <v>6344</v>
      </c>
      <c r="M19">
        <v>6344</v>
      </c>
      <c r="N19">
        <v>6344</v>
      </c>
      <c r="O19">
        <v>6344</v>
      </c>
      <c r="P19">
        <v>6344</v>
      </c>
      <c r="Q19">
        <v>6344</v>
      </c>
      <c r="R19">
        <v>6344</v>
      </c>
      <c r="S19">
        <v>6344</v>
      </c>
      <c r="T19">
        <v>6344</v>
      </c>
      <c r="U19">
        <v>6344</v>
      </c>
      <c r="V19">
        <v>6344</v>
      </c>
      <c r="W19">
        <v>6344</v>
      </c>
      <c r="X19">
        <v>6344</v>
      </c>
      <c r="Y19">
        <v>6344</v>
      </c>
      <c r="Z19">
        <v>6344</v>
      </c>
      <c r="AA19">
        <v>6344</v>
      </c>
      <c r="AB19">
        <v>6344</v>
      </c>
      <c r="AC19">
        <v>6344</v>
      </c>
      <c r="AD19">
        <v>6344</v>
      </c>
      <c r="AE19">
        <v>6344</v>
      </c>
      <c r="AF19">
        <v>6344</v>
      </c>
      <c r="AG19">
        <v>6344</v>
      </c>
      <c r="AH19">
        <v>6344</v>
      </c>
      <c r="AI19">
        <v>6344</v>
      </c>
      <c r="AJ19">
        <v>6344</v>
      </c>
      <c r="AK19">
        <v>6344</v>
      </c>
      <c r="AL19">
        <v>6344</v>
      </c>
      <c r="AM19">
        <v>6344</v>
      </c>
      <c r="AN19">
        <v>6344</v>
      </c>
      <c r="AO19">
        <v>6344</v>
      </c>
      <c r="AP19">
        <v>6344</v>
      </c>
      <c r="AQ19">
        <v>6344</v>
      </c>
      <c r="AR19">
        <v>6344</v>
      </c>
      <c r="AS19">
        <v>6344</v>
      </c>
      <c r="AT19">
        <v>6344</v>
      </c>
      <c r="AU19">
        <v>6344</v>
      </c>
      <c r="AV19">
        <v>6344</v>
      </c>
      <c r="AW19">
        <v>6344</v>
      </c>
      <c r="AX19">
        <v>6344</v>
      </c>
      <c r="AY19">
        <v>6344</v>
      </c>
      <c r="AZ19">
        <v>6344</v>
      </c>
      <c r="BA19">
        <v>6344</v>
      </c>
      <c r="BB19">
        <v>6344</v>
      </c>
      <c r="BC19">
        <v>6344</v>
      </c>
      <c r="BD19">
        <v>6344</v>
      </c>
      <c r="BE19">
        <v>6344</v>
      </c>
      <c r="BF19">
        <v>6344</v>
      </c>
      <c r="BG19">
        <v>6344</v>
      </c>
      <c r="BH19">
        <v>6344</v>
      </c>
      <c r="BI19">
        <v>6344</v>
      </c>
      <c r="BJ19">
        <v>6344</v>
      </c>
      <c r="BK19">
        <v>6344</v>
      </c>
      <c r="BL19">
        <v>6344</v>
      </c>
      <c r="BM19">
        <v>6344</v>
      </c>
      <c r="BN19">
        <v>6344</v>
      </c>
      <c r="BO19">
        <v>6344</v>
      </c>
      <c r="BP19">
        <v>6344</v>
      </c>
      <c r="BQ19">
        <v>6344</v>
      </c>
      <c r="BR19">
        <v>6344</v>
      </c>
      <c r="BS19">
        <v>6344</v>
      </c>
      <c r="BT19">
        <v>6344</v>
      </c>
      <c r="BU19">
        <v>6344</v>
      </c>
      <c r="BV19">
        <v>6344</v>
      </c>
      <c r="BW19">
        <v>6344</v>
      </c>
      <c r="BX19">
        <v>6344</v>
      </c>
      <c r="BY19">
        <v>6344</v>
      </c>
      <c r="BZ19">
        <v>6344</v>
      </c>
      <c r="CA19">
        <v>6344</v>
      </c>
      <c r="CB19">
        <v>6344</v>
      </c>
      <c r="CC19">
        <v>6344</v>
      </c>
      <c r="CD19">
        <v>6344</v>
      </c>
      <c r="CE19">
        <v>6344</v>
      </c>
      <c r="CF19">
        <v>6344</v>
      </c>
      <c r="CG19">
        <v>6344</v>
      </c>
      <c r="CH19">
        <v>6344</v>
      </c>
      <c r="CI19">
        <v>6344</v>
      </c>
      <c r="CJ19">
        <v>6344</v>
      </c>
      <c r="CK19">
        <v>6344</v>
      </c>
      <c r="CL19">
        <v>6344</v>
      </c>
      <c r="CM19">
        <v>6344</v>
      </c>
      <c r="CN19">
        <v>6344</v>
      </c>
      <c r="CO19">
        <v>6344</v>
      </c>
      <c r="CP19">
        <v>6344</v>
      </c>
      <c r="CQ19">
        <v>6344</v>
      </c>
      <c r="CR19">
        <v>6344</v>
      </c>
      <c r="CS19">
        <v>6344</v>
      </c>
    </row>
    <row r="20" spans="1:97">
      <c r="A20" s="9">
        <v>46253</v>
      </c>
      <c r="B20">
        <v>6345</v>
      </c>
      <c r="C20">
        <v>6345</v>
      </c>
      <c r="D20">
        <v>6345</v>
      </c>
      <c r="E20">
        <v>6345</v>
      </c>
      <c r="F20">
        <v>6345</v>
      </c>
      <c r="G20">
        <v>6345</v>
      </c>
      <c r="H20">
        <v>6345</v>
      </c>
      <c r="I20">
        <v>6345</v>
      </c>
      <c r="J20">
        <v>6345</v>
      </c>
      <c r="K20">
        <v>6345</v>
      </c>
      <c r="L20">
        <v>6345</v>
      </c>
      <c r="M20">
        <v>6345</v>
      </c>
      <c r="N20">
        <v>6345</v>
      </c>
      <c r="O20">
        <v>6345</v>
      </c>
      <c r="P20">
        <v>6345</v>
      </c>
      <c r="Q20">
        <v>6345</v>
      </c>
      <c r="R20">
        <v>6345</v>
      </c>
      <c r="S20">
        <v>6345</v>
      </c>
      <c r="T20">
        <v>6345</v>
      </c>
      <c r="U20">
        <v>6345</v>
      </c>
      <c r="V20">
        <v>6345</v>
      </c>
      <c r="W20">
        <v>6345</v>
      </c>
      <c r="X20">
        <v>6345</v>
      </c>
      <c r="Y20">
        <v>6345</v>
      </c>
      <c r="Z20">
        <v>6345</v>
      </c>
      <c r="AA20">
        <v>6345</v>
      </c>
      <c r="AB20">
        <v>6345</v>
      </c>
      <c r="AC20">
        <v>6345</v>
      </c>
      <c r="AD20">
        <v>6345</v>
      </c>
      <c r="AE20">
        <v>6345</v>
      </c>
      <c r="AF20">
        <v>6345</v>
      </c>
      <c r="AG20">
        <v>6345</v>
      </c>
      <c r="AH20">
        <v>6345</v>
      </c>
      <c r="AI20">
        <v>6345</v>
      </c>
      <c r="AJ20">
        <v>6345</v>
      </c>
      <c r="AK20">
        <v>6345</v>
      </c>
      <c r="AL20">
        <v>6345</v>
      </c>
      <c r="AM20">
        <v>6345</v>
      </c>
      <c r="AN20">
        <v>6345</v>
      </c>
      <c r="AO20">
        <v>6345</v>
      </c>
      <c r="AP20">
        <v>6345</v>
      </c>
      <c r="AQ20">
        <v>6345</v>
      </c>
      <c r="AR20">
        <v>6345</v>
      </c>
      <c r="AS20">
        <v>6345</v>
      </c>
      <c r="AT20">
        <v>6345</v>
      </c>
      <c r="AU20">
        <v>6345</v>
      </c>
      <c r="AV20">
        <v>6345</v>
      </c>
      <c r="AW20">
        <v>6345</v>
      </c>
      <c r="AX20">
        <v>6345</v>
      </c>
      <c r="AY20">
        <v>6345</v>
      </c>
      <c r="AZ20">
        <v>6345</v>
      </c>
      <c r="BA20">
        <v>6345</v>
      </c>
      <c r="BB20">
        <v>6345</v>
      </c>
      <c r="BC20">
        <v>6345</v>
      </c>
      <c r="BD20">
        <v>6345</v>
      </c>
      <c r="BE20">
        <v>6345</v>
      </c>
      <c r="BF20">
        <v>6345</v>
      </c>
      <c r="BG20">
        <v>6345</v>
      </c>
      <c r="BH20">
        <v>6345</v>
      </c>
      <c r="BI20">
        <v>6345</v>
      </c>
      <c r="BJ20">
        <v>6345</v>
      </c>
      <c r="BK20">
        <v>6345</v>
      </c>
      <c r="BL20">
        <v>6345</v>
      </c>
      <c r="BM20">
        <v>6345</v>
      </c>
      <c r="BN20">
        <v>6345</v>
      </c>
      <c r="BO20">
        <v>6345</v>
      </c>
      <c r="BP20">
        <v>6345</v>
      </c>
      <c r="BQ20">
        <v>6345</v>
      </c>
      <c r="BR20">
        <v>6345</v>
      </c>
      <c r="BS20">
        <v>6345</v>
      </c>
      <c r="BT20">
        <v>6345</v>
      </c>
      <c r="BU20">
        <v>6345</v>
      </c>
      <c r="BV20">
        <v>6345</v>
      </c>
      <c r="BW20">
        <v>6345</v>
      </c>
      <c r="BX20">
        <v>6345</v>
      </c>
      <c r="BY20">
        <v>6345</v>
      </c>
      <c r="BZ20">
        <v>6345</v>
      </c>
      <c r="CA20">
        <v>6345</v>
      </c>
      <c r="CB20">
        <v>6345</v>
      </c>
      <c r="CC20">
        <v>6345</v>
      </c>
      <c r="CD20">
        <v>6345</v>
      </c>
      <c r="CE20">
        <v>6345</v>
      </c>
      <c r="CF20">
        <v>6345</v>
      </c>
      <c r="CG20">
        <v>6345</v>
      </c>
      <c r="CH20">
        <v>6345</v>
      </c>
      <c r="CI20">
        <v>6345</v>
      </c>
      <c r="CJ20">
        <v>6345</v>
      </c>
      <c r="CK20">
        <v>6345</v>
      </c>
      <c r="CL20">
        <v>6345</v>
      </c>
      <c r="CM20">
        <v>6345</v>
      </c>
      <c r="CN20">
        <v>6345</v>
      </c>
      <c r="CO20">
        <v>6345</v>
      </c>
      <c r="CP20">
        <v>6345</v>
      </c>
      <c r="CQ20">
        <v>6345</v>
      </c>
      <c r="CR20">
        <v>6345</v>
      </c>
      <c r="CS20">
        <v>6345</v>
      </c>
    </row>
    <row r="21" spans="1:97">
      <c r="A21" s="9">
        <v>46254</v>
      </c>
      <c r="B21">
        <v>6340</v>
      </c>
      <c r="C21">
        <v>6340</v>
      </c>
      <c r="D21">
        <v>6340</v>
      </c>
      <c r="E21">
        <v>6340</v>
      </c>
      <c r="F21">
        <v>6340</v>
      </c>
      <c r="G21">
        <v>6340</v>
      </c>
      <c r="H21">
        <v>6340</v>
      </c>
      <c r="I21">
        <v>6340</v>
      </c>
      <c r="J21">
        <v>6340</v>
      </c>
      <c r="K21">
        <v>6340</v>
      </c>
      <c r="L21">
        <v>6340</v>
      </c>
      <c r="M21">
        <v>6340</v>
      </c>
      <c r="N21">
        <v>6340</v>
      </c>
      <c r="O21">
        <v>6340</v>
      </c>
      <c r="P21">
        <v>6340</v>
      </c>
      <c r="Q21">
        <v>6340</v>
      </c>
      <c r="R21">
        <v>6340</v>
      </c>
      <c r="S21">
        <v>6340</v>
      </c>
      <c r="T21">
        <v>6340</v>
      </c>
      <c r="U21">
        <v>6340</v>
      </c>
      <c r="V21">
        <v>6340</v>
      </c>
      <c r="W21">
        <v>6340</v>
      </c>
      <c r="X21">
        <v>6340</v>
      </c>
      <c r="Y21">
        <v>6340</v>
      </c>
      <c r="Z21">
        <v>6340</v>
      </c>
      <c r="AA21">
        <v>6340</v>
      </c>
      <c r="AB21">
        <v>6340</v>
      </c>
      <c r="AC21">
        <v>6340</v>
      </c>
      <c r="AD21">
        <v>6340</v>
      </c>
      <c r="AE21">
        <v>6340</v>
      </c>
      <c r="AF21">
        <v>6340</v>
      </c>
      <c r="AG21">
        <v>6340</v>
      </c>
      <c r="AH21">
        <v>6340</v>
      </c>
      <c r="AI21">
        <v>6340</v>
      </c>
      <c r="AJ21">
        <v>6340</v>
      </c>
      <c r="AK21">
        <v>6340</v>
      </c>
      <c r="AL21">
        <v>6340</v>
      </c>
      <c r="AM21">
        <v>6340</v>
      </c>
      <c r="AN21">
        <v>6340</v>
      </c>
      <c r="AO21">
        <v>6340</v>
      </c>
      <c r="AP21">
        <v>6333</v>
      </c>
      <c r="AQ21">
        <v>6333</v>
      </c>
      <c r="AR21">
        <v>6320</v>
      </c>
      <c r="AS21">
        <v>6320</v>
      </c>
      <c r="AT21">
        <v>6323</v>
      </c>
      <c r="AU21">
        <v>6323</v>
      </c>
      <c r="AV21">
        <v>6340</v>
      </c>
      <c r="AW21">
        <v>6340</v>
      </c>
      <c r="AX21">
        <v>6340</v>
      </c>
      <c r="AY21">
        <v>6340</v>
      </c>
      <c r="AZ21">
        <v>6340</v>
      </c>
      <c r="BA21">
        <v>6340</v>
      </c>
      <c r="BB21">
        <v>6340</v>
      </c>
      <c r="BC21">
        <v>6340</v>
      </c>
      <c r="BD21">
        <v>6340</v>
      </c>
      <c r="BE21">
        <v>6340</v>
      </c>
      <c r="BF21">
        <v>6340</v>
      </c>
      <c r="BG21">
        <v>6340</v>
      </c>
      <c r="BH21">
        <v>6340</v>
      </c>
      <c r="BI21">
        <v>6340</v>
      </c>
      <c r="BJ21">
        <v>6340</v>
      </c>
      <c r="BK21">
        <v>6340</v>
      </c>
      <c r="BL21">
        <v>6340</v>
      </c>
      <c r="BM21">
        <v>6340</v>
      </c>
      <c r="BN21">
        <v>6340</v>
      </c>
      <c r="BO21">
        <v>6340</v>
      </c>
      <c r="BP21">
        <v>6340</v>
      </c>
      <c r="BQ21">
        <v>6340</v>
      </c>
      <c r="BR21">
        <v>6340</v>
      </c>
      <c r="BS21">
        <v>6340</v>
      </c>
      <c r="BT21">
        <v>6340</v>
      </c>
      <c r="BU21">
        <v>6340</v>
      </c>
      <c r="BV21">
        <v>6340</v>
      </c>
      <c r="BW21">
        <v>6340</v>
      </c>
      <c r="BX21">
        <v>6340</v>
      </c>
      <c r="BY21">
        <v>6340</v>
      </c>
      <c r="BZ21">
        <v>6340</v>
      </c>
      <c r="CA21">
        <v>6340</v>
      </c>
      <c r="CB21">
        <v>6340</v>
      </c>
      <c r="CC21">
        <v>6340</v>
      </c>
      <c r="CD21">
        <v>6340</v>
      </c>
      <c r="CE21">
        <v>6340</v>
      </c>
      <c r="CF21">
        <v>6340</v>
      </c>
      <c r="CG21">
        <v>6340</v>
      </c>
      <c r="CH21">
        <v>6340</v>
      </c>
      <c r="CI21">
        <v>6340</v>
      </c>
      <c r="CJ21">
        <v>6340</v>
      </c>
      <c r="CK21">
        <v>6340</v>
      </c>
      <c r="CL21">
        <v>6340</v>
      </c>
      <c r="CM21">
        <v>6340</v>
      </c>
      <c r="CN21">
        <v>6340</v>
      </c>
      <c r="CO21">
        <v>6340</v>
      </c>
      <c r="CP21">
        <v>6340</v>
      </c>
      <c r="CQ21">
        <v>6340</v>
      </c>
      <c r="CR21">
        <v>6340</v>
      </c>
      <c r="CS21">
        <v>6340</v>
      </c>
    </row>
    <row r="22" spans="1:97">
      <c r="A22" s="9">
        <v>46255</v>
      </c>
      <c r="B22">
        <v>6344</v>
      </c>
      <c r="C22">
        <v>6344</v>
      </c>
      <c r="D22">
        <v>6344</v>
      </c>
      <c r="E22">
        <v>6344</v>
      </c>
      <c r="F22">
        <v>6344</v>
      </c>
      <c r="G22">
        <v>6344</v>
      </c>
      <c r="H22">
        <v>6344</v>
      </c>
      <c r="I22">
        <v>6344</v>
      </c>
      <c r="J22">
        <v>6344</v>
      </c>
      <c r="K22">
        <v>6344</v>
      </c>
      <c r="L22">
        <v>6344</v>
      </c>
      <c r="M22">
        <v>6344</v>
      </c>
      <c r="N22">
        <v>6344</v>
      </c>
      <c r="O22">
        <v>6344</v>
      </c>
      <c r="P22">
        <v>6344</v>
      </c>
      <c r="Q22">
        <v>6344</v>
      </c>
      <c r="R22">
        <v>6344</v>
      </c>
      <c r="S22">
        <v>6344</v>
      </c>
      <c r="T22">
        <v>6344</v>
      </c>
      <c r="U22">
        <v>6344</v>
      </c>
      <c r="V22">
        <v>6344</v>
      </c>
      <c r="W22">
        <v>6344</v>
      </c>
      <c r="X22">
        <v>6344</v>
      </c>
      <c r="Y22">
        <v>6344</v>
      </c>
      <c r="Z22">
        <v>6344</v>
      </c>
      <c r="AA22">
        <v>6344</v>
      </c>
      <c r="AB22">
        <v>6344</v>
      </c>
      <c r="AC22">
        <v>6344</v>
      </c>
      <c r="AD22">
        <v>6344</v>
      </c>
      <c r="AE22">
        <v>6344</v>
      </c>
      <c r="AF22">
        <v>6344</v>
      </c>
      <c r="AG22">
        <v>6344</v>
      </c>
      <c r="AH22">
        <v>6344</v>
      </c>
      <c r="AI22">
        <v>6344</v>
      </c>
      <c r="AJ22">
        <v>6344</v>
      </c>
      <c r="AK22">
        <v>6344</v>
      </c>
      <c r="AL22">
        <v>6344</v>
      </c>
      <c r="AM22">
        <v>6344</v>
      </c>
      <c r="AN22">
        <v>6344</v>
      </c>
      <c r="AO22">
        <v>6344</v>
      </c>
      <c r="AP22">
        <v>6344</v>
      </c>
      <c r="AQ22">
        <v>6344</v>
      </c>
      <c r="AR22">
        <v>6344</v>
      </c>
      <c r="AS22">
        <v>6344</v>
      </c>
      <c r="AT22">
        <v>6344</v>
      </c>
      <c r="AU22">
        <v>6344</v>
      </c>
      <c r="AV22">
        <v>6344</v>
      </c>
      <c r="AW22">
        <v>6344</v>
      </c>
      <c r="AX22">
        <v>6344</v>
      </c>
      <c r="AY22">
        <v>6344</v>
      </c>
      <c r="AZ22">
        <v>6344</v>
      </c>
      <c r="BA22">
        <v>6344</v>
      </c>
      <c r="BB22">
        <v>6344</v>
      </c>
      <c r="BC22">
        <v>6344</v>
      </c>
      <c r="BD22">
        <v>6344</v>
      </c>
      <c r="BE22">
        <v>6344</v>
      </c>
      <c r="BF22">
        <v>6344</v>
      </c>
      <c r="BG22">
        <v>6344</v>
      </c>
      <c r="BH22">
        <v>6344</v>
      </c>
      <c r="BI22">
        <v>6344</v>
      </c>
      <c r="BJ22">
        <v>6344</v>
      </c>
      <c r="BK22">
        <v>6344</v>
      </c>
      <c r="BL22">
        <v>6344</v>
      </c>
      <c r="BM22">
        <v>6344</v>
      </c>
      <c r="BN22">
        <v>6344</v>
      </c>
      <c r="BO22">
        <v>6344</v>
      </c>
      <c r="BP22">
        <v>6344</v>
      </c>
      <c r="BQ22">
        <v>6344</v>
      </c>
      <c r="BR22">
        <v>6344</v>
      </c>
      <c r="BS22">
        <v>6344</v>
      </c>
      <c r="BT22">
        <v>6344</v>
      </c>
      <c r="BU22">
        <v>6344</v>
      </c>
      <c r="BV22">
        <v>6344</v>
      </c>
      <c r="BW22">
        <v>6344</v>
      </c>
      <c r="BX22">
        <v>6344</v>
      </c>
      <c r="BY22">
        <v>6344</v>
      </c>
      <c r="BZ22">
        <v>6344</v>
      </c>
      <c r="CA22">
        <v>6344</v>
      </c>
      <c r="CB22">
        <v>6344</v>
      </c>
      <c r="CC22">
        <v>6344</v>
      </c>
      <c r="CD22">
        <v>6344</v>
      </c>
      <c r="CE22">
        <v>6344</v>
      </c>
      <c r="CF22">
        <v>6344</v>
      </c>
      <c r="CG22">
        <v>6344</v>
      </c>
      <c r="CH22">
        <v>6344</v>
      </c>
      <c r="CI22">
        <v>6344</v>
      </c>
      <c r="CJ22">
        <v>6344</v>
      </c>
      <c r="CK22">
        <v>6344</v>
      </c>
      <c r="CL22">
        <v>6344</v>
      </c>
      <c r="CM22">
        <v>6344</v>
      </c>
      <c r="CN22">
        <v>6344</v>
      </c>
      <c r="CO22">
        <v>6344</v>
      </c>
      <c r="CP22">
        <v>6344</v>
      </c>
      <c r="CQ22">
        <v>6344</v>
      </c>
      <c r="CR22">
        <v>6344</v>
      </c>
      <c r="CS22">
        <v>6344</v>
      </c>
    </row>
    <row r="23" spans="1:97">
      <c r="A23" s="9">
        <v>46256</v>
      </c>
      <c r="B23">
        <v>6349</v>
      </c>
      <c r="C23">
        <v>6349</v>
      </c>
      <c r="D23">
        <v>6349</v>
      </c>
      <c r="E23">
        <v>6349</v>
      </c>
      <c r="F23">
        <v>6349</v>
      </c>
      <c r="G23">
        <v>6349</v>
      </c>
      <c r="H23">
        <v>6349</v>
      </c>
      <c r="I23">
        <v>6349</v>
      </c>
      <c r="J23">
        <v>6349</v>
      </c>
      <c r="K23">
        <v>6349</v>
      </c>
      <c r="L23">
        <v>6349</v>
      </c>
      <c r="M23">
        <v>6349</v>
      </c>
      <c r="N23">
        <v>6349</v>
      </c>
      <c r="O23">
        <v>6349</v>
      </c>
      <c r="P23">
        <v>6349</v>
      </c>
      <c r="Q23">
        <v>6349</v>
      </c>
      <c r="R23">
        <v>6349</v>
      </c>
      <c r="S23">
        <v>6349</v>
      </c>
      <c r="T23">
        <v>6349</v>
      </c>
      <c r="U23">
        <v>6349</v>
      </c>
      <c r="V23">
        <v>6349</v>
      </c>
      <c r="W23">
        <v>6349</v>
      </c>
      <c r="X23">
        <v>6349</v>
      </c>
      <c r="Y23">
        <v>6349</v>
      </c>
      <c r="Z23">
        <v>6349</v>
      </c>
      <c r="AA23">
        <v>6349</v>
      </c>
      <c r="AB23">
        <v>6349</v>
      </c>
      <c r="AC23">
        <v>6349</v>
      </c>
      <c r="AD23">
        <v>6349</v>
      </c>
      <c r="AE23">
        <v>6349</v>
      </c>
      <c r="AF23">
        <v>6349</v>
      </c>
      <c r="AG23">
        <v>6349</v>
      </c>
      <c r="AH23">
        <v>6349</v>
      </c>
      <c r="AI23">
        <v>6349</v>
      </c>
      <c r="AJ23">
        <v>6349</v>
      </c>
      <c r="AK23">
        <v>6349</v>
      </c>
      <c r="AL23">
        <v>6349</v>
      </c>
      <c r="AM23">
        <v>6349</v>
      </c>
      <c r="AN23">
        <v>6349</v>
      </c>
      <c r="AO23">
        <v>6349</v>
      </c>
      <c r="AP23">
        <v>6349</v>
      </c>
      <c r="AQ23">
        <v>6349</v>
      </c>
      <c r="AR23">
        <v>6349</v>
      </c>
      <c r="AS23">
        <v>6349</v>
      </c>
      <c r="AT23">
        <v>6349</v>
      </c>
      <c r="AU23">
        <v>6349</v>
      </c>
      <c r="AV23">
        <v>6349</v>
      </c>
      <c r="AW23">
        <v>6349</v>
      </c>
      <c r="AX23">
        <v>6349</v>
      </c>
      <c r="AY23">
        <v>6349</v>
      </c>
      <c r="AZ23">
        <v>6349</v>
      </c>
      <c r="BA23">
        <v>6349</v>
      </c>
      <c r="BB23">
        <v>6349</v>
      </c>
      <c r="BC23">
        <v>6349</v>
      </c>
      <c r="BD23">
        <v>6349</v>
      </c>
      <c r="BE23">
        <v>6349</v>
      </c>
      <c r="BF23">
        <v>6349</v>
      </c>
      <c r="BG23">
        <v>6349</v>
      </c>
      <c r="BH23">
        <v>6349</v>
      </c>
      <c r="BI23">
        <v>6349</v>
      </c>
      <c r="BJ23">
        <v>6349</v>
      </c>
      <c r="BK23">
        <v>6349</v>
      </c>
      <c r="BL23">
        <v>6349</v>
      </c>
      <c r="BM23">
        <v>6349</v>
      </c>
      <c r="BN23">
        <v>6349</v>
      </c>
      <c r="BO23">
        <v>6349</v>
      </c>
      <c r="BP23">
        <v>6349</v>
      </c>
      <c r="BQ23">
        <v>6349</v>
      </c>
      <c r="BR23">
        <v>6349</v>
      </c>
      <c r="BS23">
        <v>6349</v>
      </c>
      <c r="BT23">
        <v>6349</v>
      </c>
      <c r="BU23">
        <v>6349</v>
      </c>
      <c r="BV23">
        <v>6349</v>
      </c>
      <c r="BW23">
        <v>6349</v>
      </c>
      <c r="BX23">
        <v>6349</v>
      </c>
      <c r="BY23">
        <v>6349</v>
      </c>
      <c r="BZ23">
        <v>6349</v>
      </c>
      <c r="CA23">
        <v>6349</v>
      </c>
      <c r="CB23">
        <v>6349</v>
      </c>
      <c r="CC23">
        <v>6349</v>
      </c>
      <c r="CD23">
        <v>6349</v>
      </c>
      <c r="CE23">
        <v>6349</v>
      </c>
      <c r="CF23">
        <v>6349</v>
      </c>
      <c r="CG23">
        <v>6349</v>
      </c>
      <c r="CH23">
        <v>6349</v>
      </c>
      <c r="CI23">
        <v>6349</v>
      </c>
      <c r="CJ23">
        <v>6349</v>
      </c>
      <c r="CK23">
        <v>6349</v>
      </c>
      <c r="CL23">
        <v>6349</v>
      </c>
      <c r="CM23">
        <v>6349</v>
      </c>
      <c r="CN23">
        <v>6349</v>
      </c>
      <c r="CO23">
        <v>6349</v>
      </c>
      <c r="CP23">
        <v>6349</v>
      </c>
      <c r="CQ23">
        <v>6349</v>
      </c>
      <c r="CR23">
        <v>6349</v>
      </c>
      <c r="CS23">
        <v>6349</v>
      </c>
    </row>
    <row r="24" spans="1:97">
      <c r="A24" s="9">
        <v>46257</v>
      </c>
      <c r="B24">
        <v>6350</v>
      </c>
      <c r="C24">
        <v>6350</v>
      </c>
      <c r="D24">
        <v>6350</v>
      </c>
      <c r="E24">
        <v>6350</v>
      </c>
      <c r="F24">
        <v>6350</v>
      </c>
      <c r="G24">
        <v>6350</v>
      </c>
      <c r="H24">
        <v>6350</v>
      </c>
      <c r="I24">
        <v>6350</v>
      </c>
      <c r="J24">
        <v>6350</v>
      </c>
      <c r="K24">
        <v>6350</v>
      </c>
      <c r="L24">
        <v>6350</v>
      </c>
      <c r="M24">
        <v>6350</v>
      </c>
      <c r="N24">
        <v>6350</v>
      </c>
      <c r="O24">
        <v>6350</v>
      </c>
      <c r="P24">
        <v>6350</v>
      </c>
      <c r="Q24">
        <v>6350</v>
      </c>
      <c r="R24">
        <v>6350</v>
      </c>
      <c r="S24">
        <v>6350</v>
      </c>
      <c r="T24">
        <v>6350</v>
      </c>
      <c r="U24">
        <v>6350</v>
      </c>
      <c r="V24">
        <v>6350</v>
      </c>
      <c r="W24">
        <v>6350</v>
      </c>
      <c r="X24">
        <v>6350</v>
      </c>
      <c r="Y24">
        <v>6350</v>
      </c>
      <c r="Z24">
        <v>6350</v>
      </c>
      <c r="AA24">
        <v>6350</v>
      </c>
      <c r="AB24">
        <v>6350</v>
      </c>
      <c r="AC24">
        <v>6350</v>
      </c>
      <c r="AD24">
        <v>6350</v>
      </c>
      <c r="AE24">
        <v>6350</v>
      </c>
      <c r="AF24">
        <v>6350</v>
      </c>
      <c r="AG24">
        <v>6350</v>
      </c>
      <c r="AH24">
        <v>6350</v>
      </c>
      <c r="AI24">
        <v>6350</v>
      </c>
      <c r="AJ24">
        <v>6350</v>
      </c>
      <c r="AK24">
        <v>6350</v>
      </c>
      <c r="AL24">
        <v>6350</v>
      </c>
      <c r="AM24">
        <v>6350</v>
      </c>
      <c r="AN24">
        <v>6350</v>
      </c>
      <c r="AO24">
        <v>6350</v>
      </c>
      <c r="AP24">
        <v>6350</v>
      </c>
      <c r="AQ24">
        <v>6350</v>
      </c>
      <c r="AR24">
        <v>6350</v>
      </c>
      <c r="AS24">
        <v>6350</v>
      </c>
      <c r="AT24">
        <v>6350</v>
      </c>
      <c r="AU24">
        <v>6350</v>
      </c>
      <c r="AV24">
        <v>6350</v>
      </c>
      <c r="AW24">
        <v>6350</v>
      </c>
      <c r="AX24">
        <v>6350</v>
      </c>
      <c r="AY24">
        <v>6350</v>
      </c>
      <c r="AZ24">
        <v>6350</v>
      </c>
      <c r="BA24">
        <v>6350</v>
      </c>
      <c r="BB24">
        <v>6350</v>
      </c>
      <c r="BC24">
        <v>6350</v>
      </c>
      <c r="BD24">
        <v>6350</v>
      </c>
      <c r="BE24">
        <v>6350</v>
      </c>
      <c r="BF24">
        <v>6350</v>
      </c>
      <c r="BG24">
        <v>6350</v>
      </c>
      <c r="BH24">
        <v>6350</v>
      </c>
      <c r="BI24">
        <v>6350</v>
      </c>
      <c r="BJ24">
        <v>6350</v>
      </c>
      <c r="BK24">
        <v>6350</v>
      </c>
      <c r="BL24">
        <v>6350</v>
      </c>
      <c r="BM24">
        <v>6350</v>
      </c>
      <c r="BN24">
        <v>6350</v>
      </c>
      <c r="BO24">
        <v>6350</v>
      </c>
      <c r="BP24">
        <v>6350</v>
      </c>
      <c r="BQ24">
        <v>6350</v>
      </c>
      <c r="BR24">
        <v>6350</v>
      </c>
      <c r="BS24">
        <v>6350</v>
      </c>
      <c r="BT24">
        <v>6350</v>
      </c>
      <c r="BU24">
        <v>6350</v>
      </c>
      <c r="BV24">
        <v>6350</v>
      </c>
      <c r="BW24">
        <v>6350</v>
      </c>
      <c r="BX24">
        <v>6350</v>
      </c>
      <c r="BY24">
        <v>6350</v>
      </c>
      <c r="BZ24">
        <v>6350</v>
      </c>
      <c r="CA24">
        <v>6350</v>
      </c>
      <c r="CB24">
        <v>6350</v>
      </c>
      <c r="CC24">
        <v>6350</v>
      </c>
      <c r="CD24">
        <v>6350</v>
      </c>
      <c r="CE24">
        <v>6350</v>
      </c>
      <c r="CF24">
        <v>6350</v>
      </c>
      <c r="CG24">
        <v>6350</v>
      </c>
      <c r="CH24">
        <v>6350</v>
      </c>
      <c r="CI24">
        <v>6350</v>
      </c>
      <c r="CJ24">
        <v>6350</v>
      </c>
      <c r="CK24">
        <v>6350</v>
      </c>
      <c r="CL24">
        <v>6350</v>
      </c>
      <c r="CM24">
        <v>6350</v>
      </c>
      <c r="CN24">
        <v>6350</v>
      </c>
      <c r="CO24">
        <v>6350</v>
      </c>
      <c r="CP24">
        <v>6350</v>
      </c>
      <c r="CQ24">
        <v>6350</v>
      </c>
      <c r="CR24">
        <v>6350</v>
      </c>
      <c r="CS24">
        <v>6350</v>
      </c>
    </row>
    <row r="25" spans="1:97">
      <c r="A25" s="9">
        <v>46258</v>
      </c>
      <c r="B25">
        <v>6363</v>
      </c>
      <c r="C25">
        <v>6363</v>
      </c>
      <c r="D25">
        <v>6363</v>
      </c>
      <c r="E25">
        <v>6363</v>
      </c>
      <c r="F25">
        <v>6363</v>
      </c>
      <c r="G25">
        <v>6363</v>
      </c>
      <c r="H25">
        <v>6363</v>
      </c>
      <c r="I25">
        <v>6363</v>
      </c>
      <c r="J25">
        <v>6363</v>
      </c>
      <c r="K25">
        <v>6363</v>
      </c>
      <c r="L25">
        <v>6363</v>
      </c>
      <c r="M25">
        <v>6363</v>
      </c>
      <c r="N25">
        <v>6363</v>
      </c>
      <c r="O25">
        <v>6363</v>
      </c>
      <c r="P25">
        <v>6363</v>
      </c>
      <c r="Q25">
        <v>6363</v>
      </c>
      <c r="R25">
        <v>6363</v>
      </c>
      <c r="S25">
        <v>6363</v>
      </c>
      <c r="T25">
        <v>6363</v>
      </c>
      <c r="U25">
        <v>6363</v>
      </c>
      <c r="V25">
        <v>6363</v>
      </c>
      <c r="W25">
        <v>6363</v>
      </c>
      <c r="X25">
        <v>6363</v>
      </c>
      <c r="Y25">
        <v>6363</v>
      </c>
      <c r="Z25">
        <v>6363</v>
      </c>
      <c r="AA25">
        <v>6363</v>
      </c>
      <c r="AB25">
        <v>6363</v>
      </c>
      <c r="AC25">
        <v>6363</v>
      </c>
      <c r="AD25">
        <v>6363</v>
      </c>
      <c r="AE25">
        <v>6363</v>
      </c>
      <c r="AF25">
        <v>6363</v>
      </c>
      <c r="AG25">
        <v>6363</v>
      </c>
      <c r="AH25">
        <v>6363</v>
      </c>
      <c r="AI25">
        <v>6363</v>
      </c>
      <c r="AJ25">
        <v>6363</v>
      </c>
      <c r="AK25">
        <v>6363</v>
      </c>
      <c r="AL25">
        <v>6363</v>
      </c>
      <c r="AM25">
        <v>6363</v>
      </c>
      <c r="AN25">
        <v>6363</v>
      </c>
      <c r="AO25">
        <v>6363</v>
      </c>
      <c r="AP25">
        <v>6363</v>
      </c>
      <c r="AQ25">
        <v>6363</v>
      </c>
      <c r="AR25">
        <v>6363</v>
      </c>
      <c r="AS25">
        <v>6363</v>
      </c>
      <c r="AT25">
        <v>6363</v>
      </c>
      <c r="AU25">
        <v>6363</v>
      </c>
      <c r="AV25">
        <v>6363</v>
      </c>
      <c r="AW25">
        <v>6363</v>
      </c>
      <c r="AX25">
        <v>6363</v>
      </c>
      <c r="AY25">
        <v>6363</v>
      </c>
      <c r="AZ25">
        <v>6363</v>
      </c>
      <c r="BA25">
        <v>6363</v>
      </c>
      <c r="BB25">
        <v>6363</v>
      </c>
      <c r="BC25">
        <v>6363</v>
      </c>
      <c r="BD25">
        <v>6363</v>
      </c>
      <c r="BE25">
        <v>6363</v>
      </c>
      <c r="BF25">
        <v>6363</v>
      </c>
      <c r="BG25">
        <v>6363</v>
      </c>
      <c r="BH25">
        <v>6363</v>
      </c>
      <c r="BI25">
        <v>6363</v>
      </c>
      <c r="BJ25">
        <v>6363</v>
      </c>
      <c r="BK25">
        <v>6363</v>
      </c>
      <c r="BL25">
        <v>6363</v>
      </c>
      <c r="BM25">
        <v>6363</v>
      </c>
      <c r="BN25">
        <v>6363</v>
      </c>
      <c r="BO25">
        <v>6363</v>
      </c>
      <c r="BP25">
        <v>6363</v>
      </c>
      <c r="BQ25">
        <v>6363</v>
      </c>
      <c r="BR25">
        <v>6363</v>
      </c>
      <c r="BS25">
        <v>6363</v>
      </c>
      <c r="BT25">
        <v>6363</v>
      </c>
      <c r="BU25">
        <v>6363</v>
      </c>
      <c r="BV25">
        <v>6363</v>
      </c>
      <c r="BW25">
        <v>6363</v>
      </c>
      <c r="BX25">
        <v>6363</v>
      </c>
      <c r="BY25">
        <v>6363</v>
      </c>
      <c r="BZ25">
        <v>6363</v>
      </c>
      <c r="CA25">
        <v>6363</v>
      </c>
      <c r="CB25">
        <v>6363</v>
      </c>
      <c r="CC25">
        <v>6363</v>
      </c>
      <c r="CD25">
        <v>6363</v>
      </c>
      <c r="CE25">
        <v>6363</v>
      </c>
      <c r="CF25">
        <v>6363</v>
      </c>
      <c r="CG25">
        <v>6363</v>
      </c>
      <c r="CH25">
        <v>6363</v>
      </c>
      <c r="CI25">
        <v>6363</v>
      </c>
      <c r="CJ25">
        <v>6363</v>
      </c>
      <c r="CK25">
        <v>6363</v>
      </c>
      <c r="CL25">
        <v>6363</v>
      </c>
      <c r="CM25">
        <v>6363</v>
      </c>
      <c r="CN25">
        <v>6363</v>
      </c>
      <c r="CO25">
        <v>6363</v>
      </c>
      <c r="CP25">
        <v>6363</v>
      </c>
      <c r="CQ25">
        <v>6363</v>
      </c>
      <c r="CR25">
        <v>6363</v>
      </c>
      <c r="CS25">
        <v>6363</v>
      </c>
    </row>
    <row r="26" spans="1:97">
      <c r="A26" s="9">
        <v>46259</v>
      </c>
      <c r="B26">
        <v>6365</v>
      </c>
      <c r="C26">
        <v>6365</v>
      </c>
      <c r="D26">
        <v>6365</v>
      </c>
      <c r="E26">
        <v>6365</v>
      </c>
      <c r="F26">
        <v>6365</v>
      </c>
      <c r="G26">
        <v>6365</v>
      </c>
      <c r="H26">
        <v>6365</v>
      </c>
      <c r="I26">
        <v>6365</v>
      </c>
      <c r="J26">
        <v>6365</v>
      </c>
      <c r="K26">
        <v>6365</v>
      </c>
      <c r="L26">
        <v>6365</v>
      </c>
      <c r="M26">
        <v>6365</v>
      </c>
      <c r="N26">
        <v>6365</v>
      </c>
      <c r="O26">
        <v>6365</v>
      </c>
      <c r="P26">
        <v>6365</v>
      </c>
      <c r="Q26">
        <v>6365</v>
      </c>
      <c r="R26">
        <v>6365</v>
      </c>
      <c r="S26">
        <v>6365</v>
      </c>
      <c r="T26">
        <v>6365</v>
      </c>
      <c r="U26">
        <v>6365</v>
      </c>
      <c r="V26">
        <v>6365</v>
      </c>
      <c r="W26">
        <v>6365</v>
      </c>
      <c r="X26">
        <v>6365</v>
      </c>
      <c r="Y26">
        <v>6365</v>
      </c>
      <c r="Z26">
        <v>6365</v>
      </c>
      <c r="AA26">
        <v>6365</v>
      </c>
      <c r="AB26">
        <v>6365</v>
      </c>
      <c r="AC26">
        <v>6365</v>
      </c>
      <c r="AD26">
        <v>6365</v>
      </c>
      <c r="AE26">
        <v>6365</v>
      </c>
      <c r="AF26">
        <v>6365</v>
      </c>
      <c r="AG26">
        <v>6365</v>
      </c>
      <c r="AH26">
        <v>6365</v>
      </c>
      <c r="AI26">
        <v>6365</v>
      </c>
      <c r="AJ26">
        <v>6365</v>
      </c>
      <c r="AK26">
        <v>6365</v>
      </c>
      <c r="AL26">
        <v>6365</v>
      </c>
      <c r="AM26">
        <v>6365</v>
      </c>
      <c r="AN26">
        <v>6365</v>
      </c>
      <c r="AO26">
        <v>6365</v>
      </c>
      <c r="AP26">
        <v>6358</v>
      </c>
      <c r="AQ26">
        <v>6358</v>
      </c>
      <c r="AR26">
        <v>6358</v>
      </c>
      <c r="AS26">
        <v>6345</v>
      </c>
      <c r="AT26">
        <v>6345</v>
      </c>
      <c r="AU26">
        <v>6345</v>
      </c>
      <c r="AV26">
        <v>6345</v>
      </c>
      <c r="AW26">
        <v>6365</v>
      </c>
      <c r="AX26">
        <v>6365</v>
      </c>
      <c r="AY26">
        <v>6365</v>
      </c>
      <c r="AZ26">
        <v>6365</v>
      </c>
      <c r="BA26">
        <v>6365</v>
      </c>
      <c r="BB26">
        <v>6365</v>
      </c>
      <c r="BC26">
        <v>6365</v>
      </c>
      <c r="BD26">
        <v>6365</v>
      </c>
      <c r="BE26">
        <v>6365</v>
      </c>
      <c r="BF26">
        <v>6365</v>
      </c>
      <c r="BG26">
        <v>6365</v>
      </c>
      <c r="BH26">
        <v>6365</v>
      </c>
      <c r="BI26">
        <v>6365</v>
      </c>
      <c r="BJ26">
        <v>6365</v>
      </c>
      <c r="BK26">
        <v>6365</v>
      </c>
      <c r="BL26">
        <v>6365</v>
      </c>
      <c r="BM26">
        <v>6365</v>
      </c>
      <c r="BN26">
        <v>6365</v>
      </c>
      <c r="BO26">
        <v>6365</v>
      </c>
      <c r="BP26">
        <v>6365</v>
      </c>
      <c r="BQ26">
        <v>6365</v>
      </c>
      <c r="BR26">
        <v>6365</v>
      </c>
      <c r="BS26">
        <v>6365</v>
      </c>
      <c r="BT26">
        <v>6365</v>
      </c>
      <c r="BU26">
        <v>6365</v>
      </c>
      <c r="BV26">
        <v>6365</v>
      </c>
      <c r="BW26">
        <v>6365</v>
      </c>
      <c r="BX26">
        <v>6365</v>
      </c>
      <c r="BY26">
        <v>6365</v>
      </c>
      <c r="BZ26">
        <v>6365</v>
      </c>
      <c r="CA26">
        <v>6365</v>
      </c>
      <c r="CB26">
        <v>6365</v>
      </c>
      <c r="CC26">
        <v>6365</v>
      </c>
      <c r="CD26">
        <v>6365</v>
      </c>
      <c r="CE26">
        <v>6365</v>
      </c>
      <c r="CF26">
        <v>6365</v>
      </c>
      <c r="CG26">
        <v>6365</v>
      </c>
      <c r="CH26">
        <v>6365</v>
      </c>
      <c r="CI26">
        <v>6365</v>
      </c>
      <c r="CJ26">
        <v>6365</v>
      </c>
      <c r="CK26">
        <v>6365</v>
      </c>
      <c r="CL26">
        <v>6365</v>
      </c>
      <c r="CM26">
        <v>6365</v>
      </c>
      <c r="CN26">
        <v>6365</v>
      </c>
      <c r="CO26">
        <v>6365</v>
      </c>
      <c r="CP26">
        <v>6365</v>
      </c>
      <c r="CQ26">
        <v>6365</v>
      </c>
      <c r="CR26">
        <v>6365</v>
      </c>
      <c r="CS26">
        <v>6365</v>
      </c>
    </row>
    <row r="27" spans="1:97">
      <c r="A27" s="9">
        <v>46260</v>
      </c>
      <c r="B27">
        <v>6361</v>
      </c>
      <c r="C27">
        <v>6361</v>
      </c>
      <c r="D27">
        <v>6361</v>
      </c>
      <c r="E27">
        <v>6361</v>
      </c>
      <c r="F27">
        <v>6361</v>
      </c>
      <c r="G27">
        <v>6361</v>
      </c>
      <c r="H27">
        <v>6361</v>
      </c>
      <c r="I27">
        <v>6361</v>
      </c>
      <c r="J27">
        <v>6361</v>
      </c>
      <c r="K27">
        <v>6361</v>
      </c>
      <c r="L27">
        <v>6361</v>
      </c>
      <c r="M27">
        <v>6361</v>
      </c>
      <c r="N27">
        <v>6361</v>
      </c>
      <c r="O27">
        <v>6361</v>
      </c>
      <c r="P27">
        <v>6361</v>
      </c>
      <c r="Q27">
        <v>6361</v>
      </c>
      <c r="R27">
        <v>6361</v>
      </c>
      <c r="S27">
        <v>6361</v>
      </c>
      <c r="T27">
        <v>6361</v>
      </c>
      <c r="U27">
        <v>6361</v>
      </c>
      <c r="V27">
        <v>6361</v>
      </c>
      <c r="W27">
        <v>6361</v>
      </c>
      <c r="X27">
        <v>6361</v>
      </c>
      <c r="Y27">
        <v>6361</v>
      </c>
      <c r="Z27">
        <v>6361</v>
      </c>
      <c r="AA27">
        <v>6361</v>
      </c>
      <c r="AB27">
        <v>6361</v>
      </c>
      <c r="AC27">
        <v>6361</v>
      </c>
      <c r="AD27">
        <v>6361</v>
      </c>
      <c r="AE27">
        <v>6361</v>
      </c>
      <c r="AF27">
        <v>6361</v>
      </c>
      <c r="AG27">
        <v>6361</v>
      </c>
      <c r="AH27">
        <v>6361</v>
      </c>
      <c r="AI27">
        <v>6361</v>
      </c>
      <c r="AJ27">
        <v>6361</v>
      </c>
      <c r="AK27">
        <v>6361</v>
      </c>
      <c r="AL27">
        <v>6361</v>
      </c>
      <c r="AM27">
        <v>6361</v>
      </c>
      <c r="AN27">
        <v>6361</v>
      </c>
      <c r="AO27">
        <v>6361</v>
      </c>
      <c r="AP27">
        <v>6361</v>
      </c>
      <c r="AQ27">
        <v>6361</v>
      </c>
      <c r="AR27">
        <v>6361</v>
      </c>
      <c r="AS27">
        <v>6361</v>
      </c>
      <c r="AT27">
        <v>6361</v>
      </c>
      <c r="AU27">
        <v>6361</v>
      </c>
      <c r="AV27">
        <v>6361</v>
      </c>
      <c r="AW27">
        <v>6361</v>
      </c>
      <c r="AX27">
        <v>6361</v>
      </c>
      <c r="AY27">
        <v>6361</v>
      </c>
      <c r="AZ27">
        <v>6361</v>
      </c>
      <c r="BA27">
        <v>6361</v>
      </c>
      <c r="BB27">
        <v>6361</v>
      </c>
      <c r="BC27">
        <v>6361</v>
      </c>
      <c r="BD27">
        <v>6361</v>
      </c>
      <c r="BE27">
        <v>6361</v>
      </c>
      <c r="BF27">
        <v>6361</v>
      </c>
      <c r="BG27">
        <v>6361</v>
      </c>
      <c r="BH27">
        <v>6361</v>
      </c>
      <c r="BI27">
        <v>6361</v>
      </c>
      <c r="BJ27">
        <v>6361</v>
      </c>
      <c r="BK27">
        <v>6361</v>
      </c>
      <c r="BL27">
        <v>6361</v>
      </c>
      <c r="BM27">
        <v>6361</v>
      </c>
      <c r="BN27">
        <v>6361</v>
      </c>
      <c r="BO27">
        <v>6361</v>
      </c>
      <c r="BP27">
        <v>6361</v>
      </c>
      <c r="BQ27">
        <v>6361</v>
      </c>
      <c r="BR27">
        <v>6361</v>
      </c>
      <c r="BS27">
        <v>6361</v>
      </c>
      <c r="BT27">
        <v>6361</v>
      </c>
      <c r="BU27">
        <v>6361</v>
      </c>
      <c r="BV27">
        <v>6361</v>
      </c>
      <c r="BW27">
        <v>6361</v>
      </c>
      <c r="BX27">
        <v>6361</v>
      </c>
      <c r="BY27">
        <v>6361</v>
      </c>
      <c r="BZ27">
        <v>6361</v>
      </c>
      <c r="CA27">
        <v>6361</v>
      </c>
      <c r="CB27">
        <v>6361</v>
      </c>
      <c r="CC27">
        <v>6361</v>
      </c>
      <c r="CD27">
        <v>6361</v>
      </c>
      <c r="CE27">
        <v>6361</v>
      </c>
      <c r="CF27">
        <v>6361</v>
      </c>
      <c r="CG27">
        <v>6361</v>
      </c>
      <c r="CH27">
        <v>6361</v>
      </c>
      <c r="CI27">
        <v>6361</v>
      </c>
      <c r="CJ27">
        <v>6361</v>
      </c>
      <c r="CK27">
        <v>6361</v>
      </c>
      <c r="CL27">
        <v>6361</v>
      </c>
      <c r="CM27">
        <v>6361</v>
      </c>
      <c r="CN27">
        <v>6361</v>
      </c>
      <c r="CO27">
        <v>6361</v>
      </c>
      <c r="CP27">
        <v>6361</v>
      </c>
      <c r="CQ27">
        <v>6361</v>
      </c>
      <c r="CR27">
        <v>6361</v>
      </c>
      <c r="CS27">
        <v>6361</v>
      </c>
    </row>
    <row r="28" spans="1:97">
      <c r="A28" s="9">
        <v>46261</v>
      </c>
      <c r="B28">
        <v>6363</v>
      </c>
      <c r="C28">
        <v>6363</v>
      </c>
      <c r="D28">
        <v>6363</v>
      </c>
      <c r="E28">
        <v>6363</v>
      </c>
      <c r="F28">
        <v>6363</v>
      </c>
      <c r="G28">
        <v>6363</v>
      </c>
      <c r="H28">
        <v>6363</v>
      </c>
      <c r="I28">
        <v>6363</v>
      </c>
      <c r="J28">
        <v>6363</v>
      </c>
      <c r="K28">
        <v>6363</v>
      </c>
      <c r="L28">
        <v>6363</v>
      </c>
      <c r="M28">
        <v>6363</v>
      </c>
      <c r="N28">
        <v>6363</v>
      </c>
      <c r="O28">
        <v>6363</v>
      </c>
      <c r="P28">
        <v>6363</v>
      </c>
      <c r="Q28">
        <v>6363</v>
      </c>
      <c r="R28">
        <v>6363</v>
      </c>
      <c r="S28">
        <v>6363</v>
      </c>
      <c r="T28">
        <v>6363</v>
      </c>
      <c r="U28">
        <v>6363</v>
      </c>
      <c r="V28">
        <v>6363</v>
      </c>
      <c r="W28">
        <v>6363</v>
      </c>
      <c r="X28">
        <v>6363</v>
      </c>
      <c r="Y28">
        <v>6363</v>
      </c>
      <c r="Z28">
        <v>6363</v>
      </c>
      <c r="AA28">
        <v>6363</v>
      </c>
      <c r="AB28">
        <v>6363</v>
      </c>
      <c r="AC28">
        <v>6363</v>
      </c>
      <c r="AD28">
        <v>6363</v>
      </c>
      <c r="AE28">
        <v>6363</v>
      </c>
      <c r="AF28">
        <v>6363</v>
      </c>
      <c r="AG28">
        <v>6363</v>
      </c>
      <c r="AH28">
        <v>6363</v>
      </c>
      <c r="AI28">
        <v>6363</v>
      </c>
      <c r="AJ28">
        <v>6363</v>
      </c>
      <c r="AK28">
        <v>6363</v>
      </c>
      <c r="AL28">
        <v>6363</v>
      </c>
      <c r="AM28">
        <v>6363</v>
      </c>
      <c r="AN28">
        <v>6363</v>
      </c>
      <c r="AO28">
        <v>6363</v>
      </c>
      <c r="AP28">
        <v>6353</v>
      </c>
      <c r="AQ28">
        <v>6353</v>
      </c>
      <c r="AR28">
        <v>6343</v>
      </c>
      <c r="AS28">
        <v>6343</v>
      </c>
      <c r="AT28">
        <v>6343</v>
      </c>
      <c r="AU28">
        <v>6363</v>
      </c>
      <c r="AV28">
        <v>6363</v>
      </c>
      <c r="AW28">
        <v>6363</v>
      </c>
      <c r="AX28">
        <v>6363</v>
      </c>
      <c r="AY28">
        <v>6363</v>
      </c>
      <c r="AZ28">
        <v>6363</v>
      </c>
      <c r="BA28">
        <v>6363</v>
      </c>
      <c r="BB28">
        <v>6363</v>
      </c>
      <c r="BC28">
        <v>6363</v>
      </c>
      <c r="BD28">
        <v>6363</v>
      </c>
      <c r="BE28">
        <v>6363</v>
      </c>
      <c r="BF28">
        <v>6363</v>
      </c>
      <c r="BG28">
        <v>6363</v>
      </c>
      <c r="BH28">
        <v>6363</v>
      </c>
      <c r="BI28">
        <v>6363</v>
      </c>
      <c r="BJ28">
        <v>6363</v>
      </c>
      <c r="BK28">
        <v>6363</v>
      </c>
      <c r="BL28">
        <v>6363</v>
      </c>
      <c r="BM28">
        <v>6363</v>
      </c>
      <c r="BN28">
        <v>6363</v>
      </c>
      <c r="BO28">
        <v>6363</v>
      </c>
      <c r="BP28">
        <v>6363</v>
      </c>
      <c r="BQ28">
        <v>6363</v>
      </c>
      <c r="BR28">
        <v>6363</v>
      </c>
      <c r="BS28">
        <v>6363</v>
      </c>
      <c r="BT28">
        <v>6363</v>
      </c>
      <c r="BU28">
        <v>6363</v>
      </c>
      <c r="BV28">
        <v>6363</v>
      </c>
      <c r="BW28">
        <v>6363</v>
      </c>
      <c r="BX28">
        <v>6363</v>
      </c>
      <c r="BY28">
        <v>6363</v>
      </c>
      <c r="BZ28">
        <v>6363</v>
      </c>
      <c r="CA28">
        <v>6363</v>
      </c>
      <c r="CB28">
        <v>6363</v>
      </c>
      <c r="CC28">
        <v>6363</v>
      </c>
      <c r="CD28">
        <v>6363</v>
      </c>
      <c r="CE28">
        <v>6363</v>
      </c>
      <c r="CF28">
        <v>6363</v>
      </c>
      <c r="CG28">
        <v>6363</v>
      </c>
      <c r="CH28">
        <v>6363</v>
      </c>
      <c r="CI28">
        <v>6363</v>
      </c>
      <c r="CJ28">
        <v>6363</v>
      </c>
      <c r="CK28">
        <v>6363</v>
      </c>
      <c r="CL28">
        <v>6363</v>
      </c>
      <c r="CM28">
        <v>6363</v>
      </c>
      <c r="CN28">
        <v>6363</v>
      </c>
      <c r="CO28">
        <v>6363</v>
      </c>
      <c r="CP28">
        <v>6363</v>
      </c>
      <c r="CQ28">
        <v>6363</v>
      </c>
      <c r="CR28">
        <v>6363</v>
      </c>
      <c r="CS28">
        <v>6363</v>
      </c>
    </row>
    <row r="29" spans="1:97">
      <c r="A29" s="9">
        <v>46262</v>
      </c>
      <c r="B29">
        <v>6366</v>
      </c>
      <c r="C29">
        <v>6366</v>
      </c>
      <c r="D29">
        <v>6366</v>
      </c>
      <c r="E29">
        <v>6366</v>
      </c>
      <c r="F29">
        <v>6366</v>
      </c>
      <c r="G29">
        <v>6366</v>
      </c>
      <c r="H29">
        <v>6366</v>
      </c>
      <c r="I29">
        <v>6366</v>
      </c>
      <c r="J29">
        <v>6366</v>
      </c>
      <c r="K29">
        <v>6366</v>
      </c>
      <c r="L29">
        <v>6366</v>
      </c>
      <c r="M29">
        <v>6366</v>
      </c>
      <c r="N29">
        <v>6366</v>
      </c>
      <c r="O29">
        <v>6366</v>
      </c>
      <c r="P29">
        <v>6366</v>
      </c>
      <c r="Q29">
        <v>6366</v>
      </c>
      <c r="R29">
        <v>6366</v>
      </c>
      <c r="S29">
        <v>6366</v>
      </c>
      <c r="T29">
        <v>6366</v>
      </c>
      <c r="U29">
        <v>6366</v>
      </c>
      <c r="V29">
        <v>6366</v>
      </c>
      <c r="W29">
        <v>6366</v>
      </c>
      <c r="X29">
        <v>6366</v>
      </c>
      <c r="Y29">
        <v>6366</v>
      </c>
      <c r="Z29">
        <v>6366</v>
      </c>
      <c r="AA29">
        <v>6366</v>
      </c>
      <c r="AB29">
        <v>6366</v>
      </c>
      <c r="AC29">
        <v>6366</v>
      </c>
      <c r="AD29">
        <v>6366</v>
      </c>
      <c r="AE29">
        <v>6366</v>
      </c>
      <c r="AF29">
        <v>6366</v>
      </c>
      <c r="AG29">
        <v>6366</v>
      </c>
      <c r="AH29">
        <v>6366</v>
      </c>
      <c r="AI29">
        <v>6366</v>
      </c>
      <c r="AJ29">
        <v>6366</v>
      </c>
      <c r="AK29">
        <v>6366</v>
      </c>
      <c r="AL29">
        <v>6366</v>
      </c>
      <c r="AM29">
        <v>6366</v>
      </c>
      <c r="AN29">
        <v>6366</v>
      </c>
      <c r="AO29">
        <v>6366</v>
      </c>
      <c r="AP29">
        <v>6366</v>
      </c>
      <c r="AQ29">
        <v>6366</v>
      </c>
      <c r="AR29">
        <v>6366</v>
      </c>
      <c r="AS29">
        <v>6366</v>
      </c>
      <c r="AT29">
        <v>6366</v>
      </c>
      <c r="AU29">
        <v>6366</v>
      </c>
      <c r="AV29">
        <v>6366</v>
      </c>
      <c r="AW29">
        <v>6366</v>
      </c>
      <c r="AX29">
        <v>6366</v>
      </c>
      <c r="AY29">
        <v>6366</v>
      </c>
      <c r="AZ29">
        <v>6366</v>
      </c>
      <c r="BA29">
        <v>6366</v>
      </c>
      <c r="BB29">
        <v>6366</v>
      </c>
      <c r="BC29">
        <v>6366</v>
      </c>
      <c r="BD29">
        <v>6366</v>
      </c>
      <c r="BE29">
        <v>6366</v>
      </c>
      <c r="BF29">
        <v>6366</v>
      </c>
      <c r="BG29">
        <v>6366</v>
      </c>
      <c r="BH29">
        <v>6366</v>
      </c>
      <c r="BI29">
        <v>6366</v>
      </c>
      <c r="BJ29">
        <v>6366</v>
      </c>
      <c r="BK29">
        <v>6366</v>
      </c>
      <c r="BL29">
        <v>6366</v>
      </c>
      <c r="BM29">
        <v>6366</v>
      </c>
      <c r="BN29">
        <v>6366</v>
      </c>
      <c r="BO29">
        <v>6366</v>
      </c>
      <c r="BP29">
        <v>6366</v>
      </c>
      <c r="BQ29">
        <v>6366</v>
      </c>
      <c r="BR29">
        <v>6366</v>
      </c>
      <c r="BS29">
        <v>6366</v>
      </c>
      <c r="BT29">
        <v>6366</v>
      </c>
      <c r="BU29">
        <v>6366</v>
      </c>
      <c r="BV29">
        <v>6366</v>
      </c>
      <c r="BW29">
        <v>6366</v>
      </c>
      <c r="BX29">
        <v>6366</v>
      </c>
      <c r="BY29">
        <v>6366</v>
      </c>
      <c r="BZ29">
        <v>6366</v>
      </c>
      <c r="CA29">
        <v>6366</v>
      </c>
      <c r="CB29">
        <v>6366</v>
      </c>
      <c r="CC29">
        <v>6366</v>
      </c>
      <c r="CD29">
        <v>6366</v>
      </c>
      <c r="CE29">
        <v>6366</v>
      </c>
      <c r="CF29">
        <v>6366</v>
      </c>
      <c r="CG29">
        <v>6366</v>
      </c>
      <c r="CH29">
        <v>6366</v>
      </c>
      <c r="CI29">
        <v>6366</v>
      </c>
      <c r="CJ29">
        <v>6366</v>
      </c>
      <c r="CK29">
        <v>6366</v>
      </c>
      <c r="CL29">
        <v>6366</v>
      </c>
      <c r="CM29">
        <v>6366</v>
      </c>
      <c r="CN29">
        <v>6366</v>
      </c>
      <c r="CO29">
        <v>6366</v>
      </c>
      <c r="CP29">
        <v>6366</v>
      </c>
      <c r="CQ29">
        <v>6366</v>
      </c>
      <c r="CR29">
        <v>6366</v>
      </c>
      <c r="CS29">
        <v>6366</v>
      </c>
    </row>
    <row r="30" spans="1:97">
      <c r="A30" s="9">
        <v>46263</v>
      </c>
      <c r="B30">
        <v>6362</v>
      </c>
      <c r="C30">
        <v>6362</v>
      </c>
      <c r="D30">
        <v>6362</v>
      </c>
      <c r="E30">
        <v>6362</v>
      </c>
      <c r="F30">
        <v>6362</v>
      </c>
      <c r="G30">
        <v>6362</v>
      </c>
      <c r="H30">
        <v>6362</v>
      </c>
      <c r="I30">
        <v>6362</v>
      </c>
      <c r="J30">
        <v>6362</v>
      </c>
      <c r="K30">
        <v>6362</v>
      </c>
      <c r="L30">
        <v>6362</v>
      </c>
      <c r="M30">
        <v>6362</v>
      </c>
      <c r="N30">
        <v>6362</v>
      </c>
      <c r="O30">
        <v>6362</v>
      </c>
      <c r="P30">
        <v>6362</v>
      </c>
      <c r="Q30">
        <v>6362</v>
      </c>
      <c r="R30">
        <v>6362</v>
      </c>
      <c r="S30">
        <v>6362</v>
      </c>
      <c r="T30">
        <v>6362</v>
      </c>
      <c r="U30">
        <v>6362</v>
      </c>
      <c r="V30">
        <v>6362</v>
      </c>
      <c r="W30">
        <v>6362</v>
      </c>
      <c r="X30">
        <v>6362</v>
      </c>
      <c r="Y30">
        <v>6362</v>
      </c>
      <c r="Z30">
        <v>6362</v>
      </c>
      <c r="AA30">
        <v>6362</v>
      </c>
      <c r="AB30">
        <v>6362</v>
      </c>
      <c r="AC30">
        <v>6362</v>
      </c>
      <c r="AD30">
        <v>6362</v>
      </c>
      <c r="AE30">
        <v>6362</v>
      </c>
      <c r="AF30">
        <v>6362</v>
      </c>
      <c r="AG30">
        <v>6362</v>
      </c>
      <c r="AH30">
        <v>6362</v>
      </c>
      <c r="AI30">
        <v>6362</v>
      </c>
      <c r="AJ30">
        <v>6362</v>
      </c>
      <c r="AK30">
        <v>6362</v>
      </c>
      <c r="AL30">
        <v>6362</v>
      </c>
      <c r="AM30">
        <v>6362</v>
      </c>
      <c r="AN30">
        <v>6362</v>
      </c>
      <c r="AO30">
        <v>6362</v>
      </c>
      <c r="AP30">
        <v>6362</v>
      </c>
      <c r="AQ30">
        <v>6362</v>
      </c>
      <c r="AR30">
        <v>6362</v>
      </c>
      <c r="AS30">
        <v>6362</v>
      </c>
      <c r="AT30">
        <v>6362</v>
      </c>
      <c r="AU30">
        <v>6362</v>
      </c>
      <c r="AV30">
        <v>6362</v>
      </c>
      <c r="AW30">
        <v>6362</v>
      </c>
      <c r="AX30">
        <v>6362</v>
      </c>
      <c r="AY30">
        <v>6362</v>
      </c>
      <c r="AZ30">
        <v>6362</v>
      </c>
      <c r="BA30">
        <v>6362</v>
      </c>
      <c r="BB30">
        <v>6362</v>
      </c>
      <c r="BC30">
        <v>6362</v>
      </c>
      <c r="BD30">
        <v>6362</v>
      </c>
      <c r="BE30">
        <v>6362</v>
      </c>
      <c r="BF30">
        <v>6362</v>
      </c>
      <c r="BG30">
        <v>6362</v>
      </c>
      <c r="BH30">
        <v>6362</v>
      </c>
      <c r="BI30">
        <v>6362</v>
      </c>
      <c r="BJ30">
        <v>6362</v>
      </c>
      <c r="BK30">
        <v>6362</v>
      </c>
      <c r="BL30">
        <v>6362</v>
      </c>
      <c r="BM30">
        <v>6362</v>
      </c>
      <c r="BN30">
        <v>6362</v>
      </c>
      <c r="BO30">
        <v>6362</v>
      </c>
      <c r="BP30">
        <v>6362</v>
      </c>
      <c r="BQ30">
        <v>6362</v>
      </c>
      <c r="BR30">
        <v>6362</v>
      </c>
      <c r="BS30">
        <v>6362</v>
      </c>
      <c r="BT30">
        <v>6362</v>
      </c>
      <c r="BU30">
        <v>6362</v>
      </c>
      <c r="BV30">
        <v>6362</v>
      </c>
      <c r="BW30">
        <v>6362</v>
      </c>
      <c r="BX30">
        <v>6362</v>
      </c>
      <c r="BY30">
        <v>6362</v>
      </c>
      <c r="BZ30">
        <v>6362</v>
      </c>
      <c r="CA30">
        <v>6362</v>
      </c>
      <c r="CB30">
        <v>6362</v>
      </c>
      <c r="CC30">
        <v>6362</v>
      </c>
      <c r="CD30">
        <v>6362</v>
      </c>
      <c r="CE30">
        <v>6362</v>
      </c>
      <c r="CF30">
        <v>6362</v>
      </c>
      <c r="CG30">
        <v>6362</v>
      </c>
      <c r="CH30">
        <v>6362</v>
      </c>
      <c r="CI30">
        <v>6362</v>
      </c>
      <c r="CJ30">
        <v>6362</v>
      </c>
      <c r="CK30">
        <v>6362</v>
      </c>
      <c r="CL30">
        <v>6362</v>
      </c>
      <c r="CM30">
        <v>6362</v>
      </c>
      <c r="CN30">
        <v>6362</v>
      </c>
      <c r="CO30">
        <v>6362</v>
      </c>
      <c r="CP30">
        <v>6362</v>
      </c>
      <c r="CQ30">
        <v>6362</v>
      </c>
      <c r="CR30">
        <v>6362</v>
      </c>
      <c r="CS30">
        <v>6362</v>
      </c>
    </row>
    <row r="31" spans="1:97">
      <c r="A31" s="9">
        <v>46264</v>
      </c>
      <c r="B31">
        <v>6361</v>
      </c>
      <c r="C31">
        <v>6361</v>
      </c>
      <c r="D31">
        <v>6361</v>
      </c>
      <c r="E31">
        <v>6361</v>
      </c>
      <c r="F31">
        <v>6361</v>
      </c>
      <c r="G31">
        <v>6361</v>
      </c>
      <c r="H31">
        <v>6361</v>
      </c>
      <c r="I31">
        <v>6361</v>
      </c>
      <c r="J31">
        <v>6361</v>
      </c>
      <c r="K31">
        <v>6361</v>
      </c>
      <c r="L31">
        <v>6361</v>
      </c>
      <c r="M31">
        <v>6361</v>
      </c>
      <c r="N31">
        <v>6361</v>
      </c>
      <c r="O31">
        <v>6361</v>
      </c>
      <c r="P31">
        <v>6361</v>
      </c>
      <c r="Q31">
        <v>6361</v>
      </c>
      <c r="R31">
        <v>6361</v>
      </c>
      <c r="S31">
        <v>6361</v>
      </c>
      <c r="T31">
        <v>6361</v>
      </c>
      <c r="U31">
        <v>6361</v>
      </c>
      <c r="V31">
        <v>6361</v>
      </c>
      <c r="W31">
        <v>6361</v>
      </c>
      <c r="X31">
        <v>6361</v>
      </c>
      <c r="Y31">
        <v>6361</v>
      </c>
      <c r="Z31">
        <v>6361</v>
      </c>
      <c r="AA31">
        <v>6361</v>
      </c>
      <c r="AB31">
        <v>6361</v>
      </c>
      <c r="AC31">
        <v>6361</v>
      </c>
      <c r="AD31">
        <v>6361</v>
      </c>
      <c r="AE31">
        <v>6361</v>
      </c>
      <c r="AF31">
        <v>6361</v>
      </c>
      <c r="AG31">
        <v>6361</v>
      </c>
      <c r="AH31">
        <v>6361</v>
      </c>
      <c r="AI31">
        <v>6361</v>
      </c>
      <c r="AJ31">
        <v>6361</v>
      </c>
      <c r="AK31">
        <v>6361</v>
      </c>
      <c r="AL31">
        <v>6361</v>
      </c>
      <c r="AM31">
        <v>6361</v>
      </c>
      <c r="AN31">
        <v>6361</v>
      </c>
      <c r="AO31">
        <v>6361</v>
      </c>
      <c r="AP31">
        <v>6361</v>
      </c>
      <c r="AQ31">
        <v>6361</v>
      </c>
      <c r="AR31">
        <v>6361</v>
      </c>
      <c r="AS31">
        <v>6361</v>
      </c>
      <c r="AT31">
        <v>6361</v>
      </c>
      <c r="AU31">
        <v>6361</v>
      </c>
      <c r="AV31">
        <v>6361</v>
      </c>
      <c r="AW31">
        <v>6361</v>
      </c>
      <c r="AX31">
        <v>6361</v>
      </c>
      <c r="AY31">
        <v>6361</v>
      </c>
      <c r="AZ31">
        <v>6361</v>
      </c>
      <c r="BA31">
        <v>6361</v>
      </c>
      <c r="BB31">
        <v>6361</v>
      </c>
      <c r="BC31">
        <v>6361</v>
      </c>
      <c r="BD31">
        <v>6361</v>
      </c>
      <c r="BE31">
        <v>6361</v>
      </c>
      <c r="BF31">
        <v>6361</v>
      </c>
      <c r="BG31">
        <v>6361</v>
      </c>
      <c r="BH31">
        <v>6361</v>
      </c>
      <c r="BI31">
        <v>6361</v>
      </c>
      <c r="BJ31">
        <v>6361</v>
      </c>
      <c r="BK31">
        <v>6361</v>
      </c>
      <c r="BL31">
        <v>6361</v>
      </c>
      <c r="BM31">
        <v>6361</v>
      </c>
      <c r="BN31">
        <v>6361</v>
      </c>
      <c r="BO31">
        <v>6361</v>
      </c>
      <c r="BP31">
        <v>6361</v>
      </c>
      <c r="BQ31">
        <v>6361</v>
      </c>
      <c r="BR31">
        <v>6361</v>
      </c>
      <c r="BS31">
        <v>6361</v>
      </c>
      <c r="BT31">
        <v>6361</v>
      </c>
      <c r="BU31">
        <v>6361</v>
      </c>
      <c r="BV31">
        <v>6361</v>
      </c>
      <c r="BW31">
        <v>6361</v>
      </c>
      <c r="BX31">
        <v>6361</v>
      </c>
      <c r="BY31">
        <v>6361</v>
      </c>
      <c r="BZ31">
        <v>6361</v>
      </c>
      <c r="CA31">
        <v>6361</v>
      </c>
      <c r="CB31">
        <v>6361</v>
      </c>
      <c r="CC31">
        <v>6361</v>
      </c>
      <c r="CD31">
        <v>6361</v>
      </c>
      <c r="CE31">
        <v>6361</v>
      </c>
      <c r="CF31">
        <v>6361</v>
      </c>
      <c r="CG31">
        <v>6361</v>
      </c>
      <c r="CH31">
        <v>6361</v>
      </c>
      <c r="CI31">
        <v>6361</v>
      </c>
      <c r="CJ31">
        <v>6361</v>
      </c>
      <c r="CK31">
        <v>6361</v>
      </c>
      <c r="CL31">
        <v>6361</v>
      </c>
      <c r="CM31">
        <v>6361</v>
      </c>
      <c r="CN31">
        <v>6361</v>
      </c>
      <c r="CO31">
        <v>6361</v>
      </c>
      <c r="CP31">
        <v>6361</v>
      </c>
      <c r="CQ31">
        <v>6361</v>
      </c>
      <c r="CR31">
        <v>6361</v>
      </c>
      <c r="CS31">
        <v>6361</v>
      </c>
    </row>
    <row r="32" spans="1:97">
      <c r="A32" s="9">
        <v>46265</v>
      </c>
      <c r="B32">
        <v>6361</v>
      </c>
      <c r="C32">
        <v>6361</v>
      </c>
      <c r="D32">
        <v>6361</v>
      </c>
      <c r="E32">
        <v>6361</v>
      </c>
      <c r="F32">
        <v>6361</v>
      </c>
      <c r="G32">
        <v>6361</v>
      </c>
      <c r="H32">
        <v>6361</v>
      </c>
      <c r="I32">
        <v>6361</v>
      </c>
      <c r="J32">
        <v>6361</v>
      </c>
      <c r="K32">
        <v>6361</v>
      </c>
      <c r="L32">
        <v>6361</v>
      </c>
      <c r="M32">
        <v>6361</v>
      </c>
      <c r="N32">
        <v>6361</v>
      </c>
      <c r="O32">
        <v>6361</v>
      </c>
      <c r="P32">
        <v>6361</v>
      </c>
      <c r="Q32">
        <v>6361</v>
      </c>
      <c r="R32">
        <v>6361</v>
      </c>
      <c r="S32">
        <v>6361</v>
      </c>
      <c r="T32">
        <v>6361</v>
      </c>
      <c r="U32">
        <v>6361</v>
      </c>
      <c r="V32">
        <v>6361</v>
      </c>
      <c r="W32">
        <v>6361</v>
      </c>
      <c r="X32">
        <v>6361</v>
      </c>
      <c r="Y32">
        <v>6361</v>
      </c>
      <c r="Z32">
        <v>6361</v>
      </c>
      <c r="AA32">
        <v>6361</v>
      </c>
      <c r="AB32">
        <v>6361</v>
      </c>
      <c r="AC32">
        <v>6361</v>
      </c>
      <c r="AD32">
        <v>6361</v>
      </c>
      <c r="AE32">
        <v>6361</v>
      </c>
      <c r="AF32">
        <v>6361</v>
      </c>
      <c r="AG32">
        <v>6361</v>
      </c>
      <c r="AH32">
        <v>6361</v>
      </c>
      <c r="AI32">
        <v>6361</v>
      </c>
      <c r="AJ32">
        <v>6361</v>
      </c>
      <c r="AK32">
        <v>6361</v>
      </c>
      <c r="AL32">
        <v>6361</v>
      </c>
      <c r="AM32">
        <v>6361</v>
      </c>
      <c r="AN32">
        <v>6361</v>
      </c>
      <c r="AO32">
        <v>6361</v>
      </c>
      <c r="AP32">
        <v>6361</v>
      </c>
      <c r="AQ32">
        <v>6361</v>
      </c>
      <c r="AR32">
        <v>6361</v>
      </c>
      <c r="AS32">
        <v>6361</v>
      </c>
      <c r="AT32">
        <v>6361</v>
      </c>
      <c r="AU32">
        <v>6361</v>
      </c>
      <c r="AV32">
        <v>6361</v>
      </c>
      <c r="AW32">
        <v>6361</v>
      </c>
      <c r="AX32">
        <v>6361</v>
      </c>
      <c r="AY32">
        <v>6361</v>
      </c>
      <c r="AZ32">
        <v>6361</v>
      </c>
      <c r="BA32">
        <v>6361</v>
      </c>
      <c r="BB32">
        <v>6361</v>
      </c>
      <c r="BC32">
        <v>6361</v>
      </c>
      <c r="BD32">
        <v>6361</v>
      </c>
      <c r="BE32">
        <v>6361</v>
      </c>
      <c r="BF32">
        <v>6361</v>
      </c>
      <c r="BG32">
        <v>6361</v>
      </c>
      <c r="BH32">
        <v>6361</v>
      </c>
      <c r="BI32">
        <v>6361</v>
      </c>
      <c r="BJ32">
        <v>6361</v>
      </c>
      <c r="BK32">
        <v>6361</v>
      </c>
      <c r="BL32">
        <v>6361</v>
      </c>
      <c r="BM32">
        <v>6361</v>
      </c>
      <c r="BN32">
        <v>6361</v>
      </c>
      <c r="BO32">
        <v>6361</v>
      </c>
      <c r="BP32">
        <v>6361</v>
      </c>
      <c r="BQ32">
        <v>6361</v>
      </c>
      <c r="BR32">
        <v>6361</v>
      </c>
      <c r="BS32">
        <v>6361</v>
      </c>
      <c r="BT32">
        <v>6361</v>
      </c>
      <c r="BU32">
        <v>6361</v>
      </c>
      <c r="BV32">
        <v>6361</v>
      </c>
      <c r="BW32">
        <v>6361</v>
      </c>
      <c r="BX32">
        <v>6361</v>
      </c>
      <c r="BY32">
        <v>6361</v>
      </c>
      <c r="BZ32">
        <v>6361</v>
      </c>
      <c r="CA32">
        <v>6361</v>
      </c>
      <c r="CB32">
        <v>6361</v>
      </c>
      <c r="CC32">
        <v>6361</v>
      </c>
      <c r="CD32">
        <v>6361</v>
      </c>
      <c r="CE32">
        <v>6361</v>
      </c>
      <c r="CF32">
        <v>6361</v>
      </c>
      <c r="CG32">
        <v>6361</v>
      </c>
      <c r="CH32">
        <v>6361</v>
      </c>
      <c r="CI32">
        <v>6361</v>
      </c>
      <c r="CJ32">
        <v>6361</v>
      </c>
      <c r="CK32">
        <v>6361</v>
      </c>
      <c r="CL32">
        <v>6361</v>
      </c>
      <c r="CM32">
        <v>6361</v>
      </c>
      <c r="CN32">
        <v>6361</v>
      </c>
      <c r="CO32">
        <v>6361</v>
      </c>
      <c r="CP32">
        <v>6361</v>
      </c>
      <c r="CQ32">
        <v>6361</v>
      </c>
      <c r="CR32">
        <v>6361</v>
      </c>
      <c r="CS32">
        <v>6361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S32"/>
  <sheetViews>
    <sheetView zoomScale="115" zoomScaleNormal="115" topLeftCell="A4"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313.19</v>
      </c>
      <c r="C2">
        <v>313.19</v>
      </c>
      <c r="D2">
        <v>313.19</v>
      </c>
      <c r="E2">
        <v>313.19</v>
      </c>
      <c r="F2">
        <v>303.12</v>
      </c>
      <c r="G2">
        <v>303.12</v>
      </c>
      <c r="H2">
        <v>303.12</v>
      </c>
      <c r="I2">
        <v>303.12</v>
      </c>
      <c r="J2">
        <v>304.24</v>
      </c>
      <c r="K2">
        <v>304.24</v>
      </c>
      <c r="L2">
        <v>304.24</v>
      </c>
      <c r="M2">
        <v>304.24</v>
      </c>
      <c r="N2">
        <v>314.89</v>
      </c>
      <c r="O2">
        <v>314.89</v>
      </c>
      <c r="P2">
        <v>314.89</v>
      </c>
      <c r="Q2">
        <v>314.89</v>
      </c>
      <c r="R2">
        <v>313.99</v>
      </c>
      <c r="S2">
        <v>313.99</v>
      </c>
      <c r="T2">
        <v>313.99</v>
      </c>
      <c r="U2">
        <v>313.99</v>
      </c>
      <c r="V2">
        <v>314.34</v>
      </c>
      <c r="W2">
        <v>314.34</v>
      </c>
      <c r="X2">
        <v>314.34</v>
      </c>
      <c r="Y2">
        <v>314.34</v>
      </c>
      <c r="Z2">
        <v>314.11</v>
      </c>
      <c r="AA2">
        <v>314.11</v>
      </c>
      <c r="AB2">
        <v>314.11</v>
      </c>
      <c r="AC2">
        <v>314.11</v>
      </c>
      <c r="AD2">
        <v>314.77</v>
      </c>
      <c r="AE2">
        <v>314.77</v>
      </c>
      <c r="AF2">
        <v>314.77</v>
      </c>
      <c r="AG2">
        <v>314.77</v>
      </c>
      <c r="AH2">
        <v>313.48</v>
      </c>
      <c r="AI2">
        <v>313.48</v>
      </c>
      <c r="AJ2">
        <v>313.48</v>
      </c>
      <c r="AK2">
        <v>313.48</v>
      </c>
      <c r="AL2">
        <v>312.58</v>
      </c>
      <c r="AM2">
        <v>312.58</v>
      </c>
      <c r="AN2">
        <v>312.58</v>
      </c>
      <c r="AO2">
        <v>312.58</v>
      </c>
      <c r="AP2">
        <v>323.64</v>
      </c>
      <c r="AQ2">
        <v>323.64</v>
      </c>
      <c r="AR2">
        <v>323.64</v>
      </c>
      <c r="AS2">
        <v>323.64</v>
      </c>
      <c r="AT2">
        <v>324.76</v>
      </c>
      <c r="AU2">
        <v>324.76</v>
      </c>
      <c r="AV2">
        <v>324.76</v>
      </c>
      <c r="AW2">
        <v>324.76</v>
      </c>
      <c r="AX2">
        <v>325.3</v>
      </c>
      <c r="AY2">
        <v>325.3</v>
      </c>
      <c r="AZ2">
        <v>325.3</v>
      </c>
      <c r="BA2">
        <v>325.3</v>
      </c>
      <c r="BB2">
        <v>315.72</v>
      </c>
      <c r="BC2">
        <v>315.72</v>
      </c>
      <c r="BD2">
        <v>315.72</v>
      </c>
      <c r="BE2">
        <v>315.72</v>
      </c>
      <c r="BF2">
        <v>315.37</v>
      </c>
      <c r="BG2">
        <v>315.37</v>
      </c>
      <c r="BH2">
        <v>315.37</v>
      </c>
      <c r="BI2">
        <v>315.37</v>
      </c>
      <c r="BJ2">
        <v>314.4</v>
      </c>
      <c r="BK2">
        <v>314.4</v>
      </c>
      <c r="BL2">
        <v>314.4</v>
      </c>
      <c r="BM2">
        <v>314.4</v>
      </c>
      <c r="BN2">
        <v>315.09</v>
      </c>
      <c r="BO2">
        <v>315.09</v>
      </c>
      <c r="BP2">
        <v>315.09</v>
      </c>
      <c r="BQ2">
        <v>315.09</v>
      </c>
      <c r="BR2">
        <v>305.88</v>
      </c>
      <c r="BS2">
        <v>305.88</v>
      </c>
      <c r="BT2">
        <v>305.88</v>
      </c>
      <c r="BU2">
        <v>305.88</v>
      </c>
      <c r="BV2">
        <v>305.96</v>
      </c>
      <c r="BW2">
        <v>305.96</v>
      </c>
      <c r="BX2">
        <v>305.96</v>
      </c>
      <c r="BY2">
        <v>305.96</v>
      </c>
      <c r="BZ2">
        <v>316.35</v>
      </c>
      <c r="CA2">
        <v>316.35</v>
      </c>
      <c r="CB2">
        <v>316.35</v>
      </c>
      <c r="CC2">
        <v>316.35</v>
      </c>
      <c r="CD2">
        <v>329.79</v>
      </c>
      <c r="CE2">
        <v>329.79</v>
      </c>
      <c r="CF2">
        <v>329.79</v>
      </c>
      <c r="CG2">
        <v>329.79</v>
      </c>
      <c r="CH2">
        <v>330.62</v>
      </c>
      <c r="CI2">
        <v>330.62</v>
      </c>
      <c r="CJ2">
        <v>330.62</v>
      </c>
      <c r="CK2">
        <v>330.62</v>
      </c>
      <c r="CL2">
        <v>315.49</v>
      </c>
      <c r="CM2">
        <v>315.49</v>
      </c>
      <c r="CN2">
        <v>315.49</v>
      </c>
      <c r="CO2">
        <v>315.49</v>
      </c>
      <c r="CP2">
        <v>317.79</v>
      </c>
      <c r="CQ2">
        <v>317.79</v>
      </c>
      <c r="CR2">
        <v>317.79</v>
      </c>
      <c r="CS2">
        <v>317.79</v>
      </c>
    </row>
    <row r="3" spans="1:97">
      <c r="A3" s="9">
        <v>46236</v>
      </c>
      <c r="B3">
        <v>311.69</v>
      </c>
      <c r="C3">
        <v>311.69</v>
      </c>
      <c r="D3">
        <v>311.69</v>
      </c>
      <c r="E3">
        <v>311.69</v>
      </c>
      <c r="F3">
        <v>301.62</v>
      </c>
      <c r="G3">
        <v>301.62</v>
      </c>
      <c r="H3">
        <v>301.62</v>
      </c>
      <c r="I3">
        <v>301.62</v>
      </c>
      <c r="J3">
        <v>302.74</v>
      </c>
      <c r="K3">
        <v>302.74</v>
      </c>
      <c r="L3">
        <v>302.74</v>
      </c>
      <c r="M3">
        <v>302.74</v>
      </c>
      <c r="N3">
        <v>313.39</v>
      </c>
      <c r="O3">
        <v>313.39</v>
      </c>
      <c r="P3">
        <v>313.39</v>
      </c>
      <c r="Q3">
        <v>313.39</v>
      </c>
      <c r="R3">
        <v>312.49</v>
      </c>
      <c r="S3">
        <v>312.49</v>
      </c>
      <c r="T3">
        <v>312.49</v>
      </c>
      <c r="U3">
        <v>312.49</v>
      </c>
      <c r="V3">
        <v>312.84</v>
      </c>
      <c r="W3">
        <v>312.84</v>
      </c>
      <c r="X3">
        <v>312.84</v>
      </c>
      <c r="Y3">
        <v>312.84</v>
      </c>
      <c r="Z3">
        <v>312.61</v>
      </c>
      <c r="AA3">
        <v>312.61</v>
      </c>
      <c r="AB3">
        <v>312.61</v>
      </c>
      <c r="AC3">
        <v>312.61</v>
      </c>
      <c r="AD3">
        <v>313.27</v>
      </c>
      <c r="AE3">
        <v>313.27</v>
      </c>
      <c r="AF3">
        <v>313.27</v>
      </c>
      <c r="AG3">
        <v>313.27</v>
      </c>
      <c r="AH3">
        <v>311.98</v>
      </c>
      <c r="AI3">
        <v>311.98</v>
      </c>
      <c r="AJ3">
        <v>311.98</v>
      </c>
      <c r="AK3">
        <v>311.98</v>
      </c>
      <c r="AL3">
        <v>311.08</v>
      </c>
      <c r="AM3">
        <v>311.08</v>
      </c>
      <c r="AN3">
        <v>311.08</v>
      </c>
      <c r="AO3">
        <v>311.08</v>
      </c>
      <c r="AP3">
        <v>322.14</v>
      </c>
      <c r="AQ3">
        <v>322.14</v>
      </c>
      <c r="AR3">
        <v>322.14</v>
      </c>
      <c r="AS3">
        <v>322.14</v>
      </c>
      <c r="AT3">
        <v>323.26</v>
      </c>
      <c r="AU3">
        <v>323.26</v>
      </c>
      <c r="AV3">
        <v>323.26</v>
      </c>
      <c r="AW3">
        <v>323.26</v>
      </c>
      <c r="AX3">
        <v>323.8</v>
      </c>
      <c r="AY3">
        <v>323.8</v>
      </c>
      <c r="AZ3">
        <v>323.8</v>
      </c>
      <c r="BA3">
        <v>323.8</v>
      </c>
      <c r="BB3">
        <v>314.22</v>
      </c>
      <c r="BC3">
        <v>314.22</v>
      </c>
      <c r="BD3">
        <v>314.22</v>
      </c>
      <c r="BE3">
        <v>314.22</v>
      </c>
      <c r="BF3">
        <v>313.87</v>
      </c>
      <c r="BG3">
        <v>313.87</v>
      </c>
      <c r="BH3">
        <v>313.87</v>
      </c>
      <c r="BI3">
        <v>313.87</v>
      </c>
      <c r="BJ3">
        <v>312.9</v>
      </c>
      <c r="BK3">
        <v>312.9</v>
      </c>
      <c r="BL3">
        <v>312.9</v>
      </c>
      <c r="BM3">
        <v>312.9</v>
      </c>
      <c r="BN3">
        <v>313.59</v>
      </c>
      <c r="BO3">
        <v>313.59</v>
      </c>
      <c r="BP3">
        <v>313.59</v>
      </c>
      <c r="BQ3">
        <v>313.59</v>
      </c>
      <c r="BR3">
        <v>304.38</v>
      </c>
      <c r="BS3">
        <v>304.38</v>
      </c>
      <c r="BT3">
        <v>304.38</v>
      </c>
      <c r="BU3">
        <v>304.38</v>
      </c>
      <c r="BV3">
        <v>304.46</v>
      </c>
      <c r="BW3">
        <v>304.46</v>
      </c>
      <c r="BX3">
        <v>304.46</v>
      </c>
      <c r="BY3">
        <v>304.46</v>
      </c>
      <c r="BZ3">
        <v>314.85</v>
      </c>
      <c r="CA3">
        <v>314.85</v>
      </c>
      <c r="CB3">
        <v>314.85</v>
      </c>
      <c r="CC3">
        <v>314.85</v>
      </c>
      <c r="CD3">
        <v>328.29</v>
      </c>
      <c r="CE3">
        <v>328.29</v>
      </c>
      <c r="CF3">
        <v>328.29</v>
      </c>
      <c r="CG3">
        <v>328.29</v>
      </c>
      <c r="CH3">
        <v>329.12</v>
      </c>
      <c r="CI3">
        <v>329.12</v>
      </c>
      <c r="CJ3">
        <v>329.12</v>
      </c>
      <c r="CK3">
        <v>329.12</v>
      </c>
      <c r="CL3">
        <v>313.99</v>
      </c>
      <c r="CM3">
        <v>313.99</v>
      </c>
      <c r="CN3">
        <v>313.99</v>
      </c>
      <c r="CO3">
        <v>313.99</v>
      </c>
      <c r="CP3">
        <v>316.29</v>
      </c>
      <c r="CQ3">
        <v>316.29</v>
      </c>
      <c r="CR3">
        <v>316.29</v>
      </c>
      <c r="CS3">
        <v>316.29</v>
      </c>
    </row>
    <row r="4" spans="1:97">
      <c r="A4" s="9">
        <v>46237</v>
      </c>
      <c r="B4">
        <v>309.35</v>
      </c>
      <c r="C4">
        <v>309.35</v>
      </c>
      <c r="D4">
        <v>309.35</v>
      </c>
      <c r="E4">
        <v>309.35</v>
      </c>
      <c r="F4">
        <v>296.52</v>
      </c>
      <c r="G4">
        <v>296.52</v>
      </c>
      <c r="H4">
        <v>296.52</v>
      </c>
      <c r="I4">
        <v>296.52</v>
      </c>
      <c r="J4">
        <v>298.19</v>
      </c>
      <c r="K4">
        <v>298.19</v>
      </c>
      <c r="L4">
        <v>298.19</v>
      </c>
      <c r="M4">
        <v>298.19</v>
      </c>
      <c r="N4">
        <v>310.95</v>
      </c>
      <c r="O4">
        <v>310.95</v>
      </c>
      <c r="P4">
        <v>310.95</v>
      </c>
      <c r="Q4">
        <v>310.95</v>
      </c>
      <c r="R4">
        <v>311.12</v>
      </c>
      <c r="S4">
        <v>311.12</v>
      </c>
      <c r="T4">
        <v>311.12</v>
      </c>
      <c r="U4">
        <v>311.12</v>
      </c>
      <c r="V4">
        <v>311.61</v>
      </c>
      <c r="W4">
        <v>311.61</v>
      </c>
      <c r="X4">
        <v>311.61</v>
      </c>
      <c r="Y4">
        <v>311.61</v>
      </c>
      <c r="Z4">
        <v>312.06</v>
      </c>
      <c r="AA4">
        <v>312.06</v>
      </c>
      <c r="AB4">
        <v>312.06</v>
      </c>
      <c r="AC4">
        <v>312.06</v>
      </c>
      <c r="AD4">
        <v>312.4</v>
      </c>
      <c r="AE4">
        <v>312.4</v>
      </c>
      <c r="AF4">
        <v>312.4</v>
      </c>
      <c r="AG4">
        <v>312.4</v>
      </c>
      <c r="AH4">
        <v>310.2</v>
      </c>
      <c r="AI4">
        <v>310.2</v>
      </c>
      <c r="AJ4">
        <v>310.2</v>
      </c>
      <c r="AK4">
        <v>310.2</v>
      </c>
      <c r="AL4">
        <v>308.85</v>
      </c>
      <c r="AM4">
        <v>308.85</v>
      </c>
      <c r="AN4">
        <v>308.85</v>
      </c>
      <c r="AO4">
        <v>308.85</v>
      </c>
      <c r="AP4">
        <v>318.56</v>
      </c>
      <c r="AQ4">
        <v>318.56</v>
      </c>
      <c r="AR4">
        <v>318.56</v>
      </c>
      <c r="AS4">
        <v>318.56</v>
      </c>
      <c r="AT4">
        <v>318.65</v>
      </c>
      <c r="AU4">
        <v>318.65</v>
      </c>
      <c r="AV4">
        <v>318.65</v>
      </c>
      <c r="AW4">
        <v>318.65</v>
      </c>
      <c r="AX4">
        <v>321.58</v>
      </c>
      <c r="AY4">
        <v>321.58</v>
      </c>
      <c r="AZ4">
        <v>321.58</v>
      </c>
      <c r="BA4">
        <v>321.58</v>
      </c>
      <c r="BB4">
        <v>307.15</v>
      </c>
      <c r="BC4">
        <v>307.15</v>
      </c>
      <c r="BD4">
        <v>307.15</v>
      </c>
      <c r="BE4">
        <v>307.15</v>
      </c>
      <c r="BF4">
        <v>307.05</v>
      </c>
      <c r="BG4">
        <v>307.05</v>
      </c>
      <c r="BH4">
        <v>307.05</v>
      </c>
      <c r="BI4">
        <v>307.05</v>
      </c>
      <c r="BJ4">
        <v>307.11</v>
      </c>
      <c r="BK4">
        <v>307.11</v>
      </c>
      <c r="BL4">
        <v>307.11</v>
      </c>
      <c r="BM4">
        <v>307.11</v>
      </c>
      <c r="BN4">
        <v>311.05</v>
      </c>
      <c r="BO4">
        <v>311.05</v>
      </c>
      <c r="BP4">
        <v>311.05</v>
      </c>
      <c r="BQ4">
        <v>311.05</v>
      </c>
      <c r="BR4">
        <v>302.72</v>
      </c>
      <c r="BS4">
        <v>302.72</v>
      </c>
      <c r="BT4">
        <v>302.72</v>
      </c>
      <c r="BU4">
        <v>302.72</v>
      </c>
      <c r="BV4">
        <v>302.44</v>
      </c>
      <c r="BW4">
        <v>302.44</v>
      </c>
      <c r="BX4">
        <v>302.44</v>
      </c>
      <c r="BY4">
        <v>302.44</v>
      </c>
      <c r="BZ4">
        <v>313.44</v>
      </c>
      <c r="CA4">
        <v>313.44</v>
      </c>
      <c r="CB4">
        <v>313.44</v>
      </c>
      <c r="CC4">
        <v>313.44</v>
      </c>
      <c r="CD4">
        <v>327.13</v>
      </c>
      <c r="CE4">
        <v>327.13</v>
      </c>
      <c r="CF4">
        <v>327.13</v>
      </c>
      <c r="CG4">
        <v>327.13</v>
      </c>
      <c r="CH4">
        <v>326.09</v>
      </c>
      <c r="CI4">
        <v>326.09</v>
      </c>
      <c r="CJ4">
        <v>326.09</v>
      </c>
      <c r="CK4">
        <v>326.09</v>
      </c>
      <c r="CL4">
        <v>312.42</v>
      </c>
      <c r="CM4">
        <v>312.42</v>
      </c>
      <c r="CN4">
        <v>312.42</v>
      </c>
      <c r="CO4">
        <v>312.42</v>
      </c>
      <c r="CP4">
        <v>311.97</v>
      </c>
      <c r="CQ4">
        <v>311.97</v>
      </c>
      <c r="CR4">
        <v>311.97</v>
      </c>
      <c r="CS4">
        <v>311.97</v>
      </c>
    </row>
    <row r="5" spans="1:97">
      <c r="A5" s="9">
        <v>46238</v>
      </c>
      <c r="B5">
        <v>309.35</v>
      </c>
      <c r="C5">
        <v>309.35</v>
      </c>
      <c r="D5">
        <v>309.35</v>
      </c>
      <c r="E5">
        <v>309.35</v>
      </c>
      <c r="F5">
        <v>296.52</v>
      </c>
      <c r="G5">
        <v>296.52</v>
      </c>
      <c r="H5">
        <v>296.52</v>
      </c>
      <c r="I5">
        <v>296.52</v>
      </c>
      <c r="J5">
        <v>298.19</v>
      </c>
      <c r="K5">
        <v>298.19</v>
      </c>
      <c r="L5">
        <v>298.19</v>
      </c>
      <c r="M5">
        <v>298.19</v>
      </c>
      <c r="N5">
        <v>310.95</v>
      </c>
      <c r="O5">
        <v>310.95</v>
      </c>
      <c r="P5">
        <v>310.95</v>
      </c>
      <c r="Q5">
        <v>310.95</v>
      </c>
      <c r="R5">
        <v>311.12</v>
      </c>
      <c r="S5">
        <v>311.12</v>
      </c>
      <c r="T5">
        <v>311.12</v>
      </c>
      <c r="U5">
        <v>311.12</v>
      </c>
      <c r="V5">
        <v>311.61</v>
      </c>
      <c r="W5">
        <v>311.61</v>
      </c>
      <c r="X5">
        <v>311.61</v>
      </c>
      <c r="Y5">
        <v>311.61</v>
      </c>
      <c r="Z5">
        <v>312.06</v>
      </c>
      <c r="AA5">
        <v>312.06</v>
      </c>
      <c r="AB5">
        <v>312.06</v>
      </c>
      <c r="AC5">
        <v>312.06</v>
      </c>
      <c r="AD5">
        <v>312.4</v>
      </c>
      <c r="AE5">
        <v>312.4</v>
      </c>
      <c r="AF5">
        <v>312.4</v>
      </c>
      <c r="AG5">
        <v>312.4</v>
      </c>
      <c r="AH5">
        <v>310.2</v>
      </c>
      <c r="AI5">
        <v>310.2</v>
      </c>
      <c r="AJ5">
        <v>310.2</v>
      </c>
      <c r="AK5">
        <v>310.2</v>
      </c>
      <c r="AL5">
        <v>308.85</v>
      </c>
      <c r="AM5">
        <v>308.85</v>
      </c>
      <c r="AN5">
        <v>308.85</v>
      </c>
      <c r="AO5">
        <v>308.85</v>
      </c>
      <c r="AP5">
        <v>318.56</v>
      </c>
      <c r="AQ5">
        <v>318.56</v>
      </c>
      <c r="AR5">
        <v>318.56</v>
      </c>
      <c r="AS5">
        <v>318.56</v>
      </c>
      <c r="AT5">
        <v>318.65</v>
      </c>
      <c r="AU5">
        <v>318.65</v>
      </c>
      <c r="AV5">
        <v>318.65</v>
      </c>
      <c r="AW5">
        <v>318.65</v>
      </c>
      <c r="AX5">
        <v>321.58</v>
      </c>
      <c r="AY5">
        <v>321.58</v>
      </c>
      <c r="AZ5">
        <v>321.58</v>
      </c>
      <c r="BA5">
        <v>321.58</v>
      </c>
      <c r="BB5">
        <v>307.15</v>
      </c>
      <c r="BC5">
        <v>307.15</v>
      </c>
      <c r="BD5">
        <v>307.15</v>
      </c>
      <c r="BE5">
        <v>307.15</v>
      </c>
      <c r="BF5">
        <v>307.05</v>
      </c>
      <c r="BG5">
        <v>307.05</v>
      </c>
      <c r="BH5">
        <v>307.05</v>
      </c>
      <c r="BI5">
        <v>307.05</v>
      </c>
      <c r="BJ5">
        <v>307.11</v>
      </c>
      <c r="BK5">
        <v>307.11</v>
      </c>
      <c r="BL5">
        <v>307.11</v>
      </c>
      <c r="BM5">
        <v>307.11</v>
      </c>
      <c r="BN5">
        <v>311.05</v>
      </c>
      <c r="BO5">
        <v>311.05</v>
      </c>
      <c r="BP5">
        <v>311.05</v>
      </c>
      <c r="BQ5">
        <v>311.05</v>
      </c>
      <c r="BR5">
        <v>302.72</v>
      </c>
      <c r="BS5">
        <v>302.72</v>
      </c>
      <c r="BT5">
        <v>302.72</v>
      </c>
      <c r="BU5">
        <v>302.72</v>
      </c>
      <c r="BV5">
        <v>302.44</v>
      </c>
      <c r="BW5">
        <v>302.44</v>
      </c>
      <c r="BX5">
        <v>302.44</v>
      </c>
      <c r="BY5">
        <v>302.44</v>
      </c>
      <c r="BZ5">
        <v>313.44</v>
      </c>
      <c r="CA5">
        <v>313.44</v>
      </c>
      <c r="CB5">
        <v>313.44</v>
      </c>
      <c r="CC5">
        <v>313.44</v>
      </c>
      <c r="CD5">
        <v>327.13</v>
      </c>
      <c r="CE5">
        <v>327.13</v>
      </c>
      <c r="CF5">
        <v>327.13</v>
      </c>
      <c r="CG5">
        <v>327.13</v>
      </c>
      <c r="CH5">
        <v>326.09</v>
      </c>
      <c r="CI5">
        <v>326.09</v>
      </c>
      <c r="CJ5">
        <v>326.09</v>
      </c>
      <c r="CK5">
        <v>326.09</v>
      </c>
      <c r="CL5">
        <v>312.42</v>
      </c>
      <c r="CM5">
        <v>312.42</v>
      </c>
      <c r="CN5">
        <v>312.42</v>
      </c>
      <c r="CO5">
        <v>312.42</v>
      </c>
      <c r="CP5">
        <v>311.97</v>
      </c>
      <c r="CQ5">
        <v>311.97</v>
      </c>
      <c r="CR5">
        <v>311.97</v>
      </c>
      <c r="CS5">
        <v>311.97</v>
      </c>
    </row>
    <row r="6" spans="1:97">
      <c r="A6" s="9">
        <v>46239</v>
      </c>
      <c r="B6">
        <v>309.35</v>
      </c>
      <c r="C6">
        <v>309.35</v>
      </c>
      <c r="D6">
        <v>309.35</v>
      </c>
      <c r="E6">
        <v>309.35</v>
      </c>
      <c r="F6">
        <v>296.52</v>
      </c>
      <c r="G6">
        <v>296.52</v>
      </c>
      <c r="H6">
        <v>296.52</v>
      </c>
      <c r="I6">
        <v>296.52</v>
      </c>
      <c r="J6">
        <v>298.19</v>
      </c>
      <c r="K6">
        <v>298.19</v>
      </c>
      <c r="L6">
        <v>298.19</v>
      </c>
      <c r="M6">
        <v>298.19</v>
      </c>
      <c r="N6">
        <v>310.95</v>
      </c>
      <c r="O6">
        <v>310.95</v>
      </c>
      <c r="P6">
        <v>310.95</v>
      </c>
      <c r="Q6">
        <v>310.95</v>
      </c>
      <c r="R6">
        <v>311.12</v>
      </c>
      <c r="S6">
        <v>311.12</v>
      </c>
      <c r="T6">
        <v>311.12</v>
      </c>
      <c r="U6">
        <v>311.12</v>
      </c>
      <c r="V6">
        <v>311.61</v>
      </c>
      <c r="W6">
        <v>311.61</v>
      </c>
      <c r="X6">
        <v>311.61</v>
      </c>
      <c r="Y6">
        <v>311.61</v>
      </c>
      <c r="Z6">
        <v>312.06</v>
      </c>
      <c r="AA6">
        <v>312.06</v>
      </c>
      <c r="AB6">
        <v>312.06</v>
      </c>
      <c r="AC6">
        <v>312.06</v>
      </c>
      <c r="AD6">
        <v>312.4</v>
      </c>
      <c r="AE6">
        <v>312.4</v>
      </c>
      <c r="AF6">
        <v>312.4</v>
      </c>
      <c r="AG6">
        <v>312.4</v>
      </c>
      <c r="AH6">
        <v>310.2</v>
      </c>
      <c r="AI6">
        <v>310.2</v>
      </c>
      <c r="AJ6">
        <v>310.2</v>
      </c>
      <c r="AK6">
        <v>310.2</v>
      </c>
      <c r="AL6">
        <v>308.85</v>
      </c>
      <c r="AM6">
        <v>308.85</v>
      </c>
      <c r="AN6">
        <v>308.85</v>
      </c>
      <c r="AO6">
        <v>308.85</v>
      </c>
      <c r="AP6">
        <v>318.56</v>
      </c>
      <c r="AQ6">
        <v>318.56</v>
      </c>
      <c r="AR6">
        <v>318.56</v>
      </c>
      <c r="AS6">
        <v>318.56</v>
      </c>
      <c r="AT6">
        <v>318.65</v>
      </c>
      <c r="AU6">
        <v>318.65</v>
      </c>
      <c r="AV6">
        <v>318.65</v>
      </c>
      <c r="AW6">
        <v>318.65</v>
      </c>
      <c r="AX6">
        <v>321.58</v>
      </c>
      <c r="AY6">
        <v>321.58</v>
      </c>
      <c r="AZ6">
        <v>321.58</v>
      </c>
      <c r="BA6">
        <v>321.58</v>
      </c>
      <c r="BB6">
        <v>307.15</v>
      </c>
      <c r="BC6">
        <v>307.15</v>
      </c>
      <c r="BD6">
        <v>307.15</v>
      </c>
      <c r="BE6">
        <v>307.15</v>
      </c>
      <c r="BF6">
        <v>307.05</v>
      </c>
      <c r="BG6">
        <v>307.05</v>
      </c>
      <c r="BH6">
        <v>307.05</v>
      </c>
      <c r="BI6">
        <v>307.05</v>
      </c>
      <c r="BJ6">
        <v>307.11</v>
      </c>
      <c r="BK6">
        <v>307.11</v>
      </c>
      <c r="BL6">
        <v>307.11</v>
      </c>
      <c r="BM6">
        <v>307.11</v>
      </c>
      <c r="BN6">
        <v>311.05</v>
      </c>
      <c r="BO6">
        <v>311.05</v>
      </c>
      <c r="BP6">
        <v>311.05</v>
      </c>
      <c r="BQ6">
        <v>311.05</v>
      </c>
      <c r="BR6">
        <v>302.72</v>
      </c>
      <c r="BS6">
        <v>302.72</v>
      </c>
      <c r="BT6">
        <v>302.72</v>
      </c>
      <c r="BU6">
        <v>302.72</v>
      </c>
      <c r="BV6">
        <v>302.44</v>
      </c>
      <c r="BW6">
        <v>302.44</v>
      </c>
      <c r="BX6">
        <v>302.44</v>
      </c>
      <c r="BY6">
        <v>302.44</v>
      </c>
      <c r="BZ6">
        <v>313.44</v>
      </c>
      <c r="CA6">
        <v>313.44</v>
      </c>
      <c r="CB6">
        <v>313.44</v>
      </c>
      <c r="CC6">
        <v>313.44</v>
      </c>
      <c r="CD6">
        <v>327.13</v>
      </c>
      <c r="CE6">
        <v>327.13</v>
      </c>
      <c r="CF6">
        <v>327.13</v>
      </c>
      <c r="CG6">
        <v>327.13</v>
      </c>
      <c r="CH6">
        <v>326.09</v>
      </c>
      <c r="CI6">
        <v>326.09</v>
      </c>
      <c r="CJ6">
        <v>326.09</v>
      </c>
      <c r="CK6">
        <v>326.09</v>
      </c>
      <c r="CL6">
        <v>312.42</v>
      </c>
      <c r="CM6">
        <v>312.42</v>
      </c>
      <c r="CN6">
        <v>312.42</v>
      </c>
      <c r="CO6">
        <v>312.42</v>
      </c>
      <c r="CP6">
        <v>311.97</v>
      </c>
      <c r="CQ6">
        <v>311.97</v>
      </c>
      <c r="CR6">
        <v>311.97</v>
      </c>
      <c r="CS6">
        <v>311.97</v>
      </c>
    </row>
    <row r="7" spans="1:97">
      <c r="A7" s="9">
        <v>46240</v>
      </c>
      <c r="B7">
        <v>318.15</v>
      </c>
      <c r="C7">
        <v>318.15</v>
      </c>
      <c r="D7">
        <v>318.15</v>
      </c>
      <c r="E7">
        <v>318.15</v>
      </c>
      <c r="F7">
        <v>305.32</v>
      </c>
      <c r="G7">
        <v>305.32</v>
      </c>
      <c r="H7">
        <v>305.32</v>
      </c>
      <c r="I7">
        <v>305.32</v>
      </c>
      <c r="J7">
        <v>306.99</v>
      </c>
      <c r="K7">
        <v>306.99</v>
      </c>
      <c r="L7">
        <v>306.99</v>
      </c>
      <c r="M7">
        <v>306.99</v>
      </c>
      <c r="N7">
        <v>319.75</v>
      </c>
      <c r="O7">
        <v>319.75</v>
      </c>
      <c r="P7">
        <v>319.75</v>
      </c>
      <c r="Q7">
        <v>319.75</v>
      </c>
      <c r="R7">
        <v>319.92</v>
      </c>
      <c r="S7">
        <v>319.92</v>
      </c>
      <c r="T7">
        <v>319.92</v>
      </c>
      <c r="U7">
        <v>319.92</v>
      </c>
      <c r="V7">
        <v>320.41</v>
      </c>
      <c r="W7">
        <v>320.41</v>
      </c>
      <c r="X7">
        <v>320.41</v>
      </c>
      <c r="Y7">
        <v>320.41</v>
      </c>
      <c r="Z7">
        <v>320.86</v>
      </c>
      <c r="AA7">
        <v>320.86</v>
      </c>
      <c r="AB7">
        <v>320.86</v>
      </c>
      <c r="AC7">
        <v>320.86</v>
      </c>
      <c r="AD7">
        <v>321.2</v>
      </c>
      <c r="AE7">
        <v>321.2</v>
      </c>
      <c r="AF7">
        <v>321.2</v>
      </c>
      <c r="AG7">
        <v>321.2</v>
      </c>
      <c r="AH7">
        <v>319</v>
      </c>
      <c r="AI7">
        <v>319</v>
      </c>
      <c r="AJ7">
        <v>319</v>
      </c>
      <c r="AK7">
        <v>319</v>
      </c>
      <c r="AL7">
        <v>317.65</v>
      </c>
      <c r="AM7">
        <v>317.65</v>
      </c>
      <c r="AN7">
        <v>317.65</v>
      </c>
      <c r="AO7">
        <v>317.65</v>
      </c>
      <c r="AP7">
        <v>327.36</v>
      </c>
      <c r="AQ7">
        <v>327.36</v>
      </c>
      <c r="AR7">
        <v>327.36</v>
      </c>
      <c r="AS7">
        <v>327.36</v>
      </c>
      <c r="AT7">
        <v>327.45</v>
      </c>
      <c r="AU7">
        <v>327.45</v>
      </c>
      <c r="AV7">
        <v>327.45</v>
      </c>
      <c r="AW7">
        <v>327.45</v>
      </c>
      <c r="AX7">
        <v>330.38</v>
      </c>
      <c r="AY7">
        <v>330.38</v>
      </c>
      <c r="AZ7">
        <v>330.38</v>
      </c>
      <c r="BA7">
        <v>330.38</v>
      </c>
      <c r="BB7">
        <v>315.95</v>
      </c>
      <c r="BC7">
        <v>315.95</v>
      </c>
      <c r="BD7">
        <v>315.95</v>
      </c>
      <c r="BE7">
        <v>315.95</v>
      </c>
      <c r="BF7">
        <v>315.85</v>
      </c>
      <c r="BG7">
        <v>315.85</v>
      </c>
      <c r="BH7">
        <v>315.85</v>
      </c>
      <c r="BI7">
        <v>315.85</v>
      </c>
      <c r="BJ7">
        <v>315.91</v>
      </c>
      <c r="BK7">
        <v>315.91</v>
      </c>
      <c r="BL7">
        <v>315.91</v>
      </c>
      <c r="BM7">
        <v>315.91</v>
      </c>
      <c r="BN7">
        <v>319.85</v>
      </c>
      <c r="BO7">
        <v>319.85</v>
      </c>
      <c r="BP7">
        <v>319.85</v>
      </c>
      <c r="BQ7">
        <v>319.85</v>
      </c>
      <c r="BR7">
        <v>311.52</v>
      </c>
      <c r="BS7">
        <v>311.52</v>
      </c>
      <c r="BT7">
        <v>311.52</v>
      </c>
      <c r="BU7">
        <v>311.52</v>
      </c>
      <c r="BV7">
        <v>311.24</v>
      </c>
      <c r="BW7">
        <v>311.24</v>
      </c>
      <c r="BX7">
        <v>311.24</v>
      </c>
      <c r="BY7">
        <v>311.24</v>
      </c>
      <c r="BZ7">
        <v>322.24</v>
      </c>
      <c r="CA7">
        <v>322.24</v>
      </c>
      <c r="CB7">
        <v>322.24</v>
      </c>
      <c r="CC7">
        <v>322.24</v>
      </c>
      <c r="CD7">
        <v>335.93</v>
      </c>
      <c r="CE7">
        <v>335.93</v>
      </c>
      <c r="CF7">
        <v>335.93</v>
      </c>
      <c r="CG7">
        <v>335.93</v>
      </c>
      <c r="CH7">
        <v>334.89</v>
      </c>
      <c r="CI7">
        <v>334.89</v>
      </c>
      <c r="CJ7">
        <v>334.89</v>
      </c>
      <c r="CK7">
        <v>334.89</v>
      </c>
      <c r="CL7">
        <v>321.22</v>
      </c>
      <c r="CM7">
        <v>321.22</v>
      </c>
      <c r="CN7">
        <v>321.22</v>
      </c>
      <c r="CO7">
        <v>321.22</v>
      </c>
      <c r="CP7">
        <v>320.77</v>
      </c>
      <c r="CQ7">
        <v>320.77</v>
      </c>
      <c r="CR7">
        <v>320.77</v>
      </c>
      <c r="CS7">
        <v>320.77</v>
      </c>
    </row>
    <row r="8" spans="1:97">
      <c r="A8" s="9">
        <v>46241</v>
      </c>
      <c r="B8">
        <v>319.65</v>
      </c>
      <c r="C8">
        <v>319.65</v>
      </c>
      <c r="D8">
        <v>319.65</v>
      </c>
      <c r="E8">
        <v>319.65</v>
      </c>
      <c r="F8">
        <v>308</v>
      </c>
      <c r="G8">
        <v>308</v>
      </c>
      <c r="H8">
        <v>308</v>
      </c>
      <c r="I8">
        <v>308</v>
      </c>
      <c r="J8">
        <v>307.68</v>
      </c>
      <c r="K8">
        <v>307.68</v>
      </c>
      <c r="L8">
        <v>307.68</v>
      </c>
      <c r="M8">
        <v>307.68</v>
      </c>
      <c r="N8">
        <v>319.42</v>
      </c>
      <c r="O8">
        <v>319.42</v>
      </c>
      <c r="P8">
        <v>319.42</v>
      </c>
      <c r="Q8">
        <v>319.42</v>
      </c>
      <c r="R8">
        <v>319.65</v>
      </c>
      <c r="S8">
        <v>319.65</v>
      </c>
      <c r="T8">
        <v>319.65</v>
      </c>
      <c r="U8">
        <v>319.65</v>
      </c>
      <c r="V8">
        <v>318.48</v>
      </c>
      <c r="W8">
        <v>318.48</v>
      </c>
      <c r="X8">
        <v>318.48</v>
      </c>
      <c r="Y8">
        <v>318.48</v>
      </c>
      <c r="Z8">
        <v>319.05</v>
      </c>
      <c r="AA8">
        <v>319.05</v>
      </c>
      <c r="AB8">
        <v>319.05</v>
      </c>
      <c r="AC8">
        <v>319.05</v>
      </c>
      <c r="AD8">
        <v>319.05</v>
      </c>
      <c r="AE8">
        <v>319.05</v>
      </c>
      <c r="AF8">
        <v>319.05</v>
      </c>
      <c r="AG8">
        <v>319.05</v>
      </c>
      <c r="AH8">
        <v>319.6</v>
      </c>
      <c r="AI8">
        <v>319.6</v>
      </c>
      <c r="AJ8">
        <v>319.6</v>
      </c>
      <c r="AK8">
        <v>319.6</v>
      </c>
      <c r="AL8">
        <v>318.71</v>
      </c>
      <c r="AM8">
        <v>318.71</v>
      </c>
      <c r="AN8">
        <v>318.71</v>
      </c>
      <c r="AO8">
        <v>318.71</v>
      </c>
      <c r="AP8">
        <v>329.1</v>
      </c>
      <c r="AQ8">
        <v>329.1</v>
      </c>
      <c r="AR8">
        <v>329.1</v>
      </c>
      <c r="AS8">
        <v>329.1</v>
      </c>
      <c r="AT8">
        <v>325.33</v>
      </c>
      <c r="AU8">
        <v>325.33</v>
      </c>
      <c r="AV8">
        <v>325.33</v>
      </c>
      <c r="AW8">
        <v>325.33</v>
      </c>
      <c r="AX8">
        <v>324.12</v>
      </c>
      <c r="AY8">
        <v>324.12</v>
      </c>
      <c r="AZ8">
        <v>324.12</v>
      </c>
      <c r="BA8">
        <v>324.12</v>
      </c>
      <c r="BB8">
        <v>317.84</v>
      </c>
      <c r="BC8">
        <v>317.84</v>
      </c>
      <c r="BD8">
        <v>317.84</v>
      </c>
      <c r="BE8">
        <v>317.84</v>
      </c>
      <c r="BF8">
        <v>318.82</v>
      </c>
      <c r="BG8">
        <v>318.82</v>
      </c>
      <c r="BH8">
        <v>318.82</v>
      </c>
      <c r="BI8">
        <v>318.82</v>
      </c>
      <c r="BJ8">
        <v>316.78</v>
      </c>
      <c r="BK8">
        <v>316.78</v>
      </c>
      <c r="BL8">
        <v>316.78</v>
      </c>
      <c r="BM8">
        <v>316.78</v>
      </c>
      <c r="BN8">
        <v>318.39</v>
      </c>
      <c r="BO8">
        <v>318.39</v>
      </c>
      <c r="BP8">
        <v>318.39</v>
      </c>
      <c r="BQ8">
        <v>318.39</v>
      </c>
      <c r="BR8">
        <v>309.35</v>
      </c>
      <c r="BS8">
        <v>309.35</v>
      </c>
      <c r="BT8">
        <v>309.35</v>
      </c>
      <c r="BU8">
        <v>309.35</v>
      </c>
      <c r="BV8">
        <v>306.19</v>
      </c>
      <c r="BW8">
        <v>306.19</v>
      </c>
      <c r="BX8">
        <v>306.19</v>
      </c>
      <c r="BY8">
        <v>306.19</v>
      </c>
      <c r="BZ8">
        <v>322.36</v>
      </c>
      <c r="CA8">
        <v>322.36</v>
      </c>
      <c r="CB8">
        <v>322.36</v>
      </c>
      <c r="CC8">
        <v>322.36</v>
      </c>
      <c r="CD8">
        <v>331.39</v>
      </c>
      <c r="CE8">
        <v>331.39</v>
      </c>
      <c r="CF8">
        <v>331.39</v>
      </c>
      <c r="CG8">
        <v>331.39</v>
      </c>
      <c r="CH8">
        <v>330.82</v>
      </c>
      <c r="CI8">
        <v>330.82</v>
      </c>
      <c r="CJ8">
        <v>330.82</v>
      </c>
      <c r="CK8">
        <v>330.82</v>
      </c>
      <c r="CL8">
        <v>319.17</v>
      </c>
      <c r="CM8">
        <v>319.17</v>
      </c>
      <c r="CN8">
        <v>319.17</v>
      </c>
      <c r="CO8">
        <v>319.17</v>
      </c>
      <c r="CP8">
        <v>318.65</v>
      </c>
      <c r="CQ8">
        <v>318.65</v>
      </c>
      <c r="CR8">
        <v>318.65</v>
      </c>
      <c r="CS8">
        <v>318.65</v>
      </c>
    </row>
    <row r="9" spans="1:97">
      <c r="A9" s="9">
        <v>46242</v>
      </c>
      <c r="B9">
        <v>319.65</v>
      </c>
      <c r="C9">
        <v>319.65</v>
      </c>
      <c r="D9">
        <v>319.65</v>
      </c>
      <c r="E9">
        <v>319.65</v>
      </c>
      <c r="F9">
        <v>308</v>
      </c>
      <c r="G9">
        <v>308</v>
      </c>
      <c r="H9">
        <v>308</v>
      </c>
      <c r="I9">
        <v>308</v>
      </c>
      <c r="J9">
        <v>307.68</v>
      </c>
      <c r="K9">
        <v>307.68</v>
      </c>
      <c r="L9">
        <v>307.68</v>
      </c>
      <c r="M9">
        <v>307.68</v>
      </c>
      <c r="N9">
        <v>319.42</v>
      </c>
      <c r="O9">
        <v>319.42</v>
      </c>
      <c r="P9">
        <v>319.42</v>
      </c>
      <c r="Q9">
        <v>319.42</v>
      </c>
      <c r="R9">
        <v>319.65</v>
      </c>
      <c r="S9">
        <v>319.65</v>
      </c>
      <c r="T9">
        <v>319.65</v>
      </c>
      <c r="U9">
        <v>319.65</v>
      </c>
      <c r="V9">
        <v>318.48</v>
      </c>
      <c r="W9">
        <v>318.48</v>
      </c>
      <c r="X9">
        <v>318.48</v>
      </c>
      <c r="Y9">
        <v>318.48</v>
      </c>
      <c r="Z9">
        <v>319.05</v>
      </c>
      <c r="AA9">
        <v>319.05</v>
      </c>
      <c r="AB9">
        <v>319.05</v>
      </c>
      <c r="AC9">
        <v>319.05</v>
      </c>
      <c r="AD9">
        <v>319.05</v>
      </c>
      <c r="AE9">
        <v>319.05</v>
      </c>
      <c r="AF9">
        <v>319.05</v>
      </c>
      <c r="AG9">
        <v>319.05</v>
      </c>
      <c r="AH9">
        <v>319.6</v>
      </c>
      <c r="AI9">
        <v>319.6</v>
      </c>
      <c r="AJ9">
        <v>319.6</v>
      </c>
      <c r="AK9">
        <v>319.6</v>
      </c>
      <c r="AL9">
        <v>318.71</v>
      </c>
      <c r="AM9">
        <v>318.71</v>
      </c>
      <c r="AN9">
        <v>318.71</v>
      </c>
      <c r="AO9">
        <v>318.71</v>
      </c>
      <c r="AP9">
        <v>329.1</v>
      </c>
      <c r="AQ9">
        <v>329.1</v>
      </c>
      <c r="AR9">
        <v>329.1</v>
      </c>
      <c r="AS9">
        <v>329.1</v>
      </c>
      <c r="AT9">
        <v>325.33</v>
      </c>
      <c r="AU9">
        <v>325.33</v>
      </c>
      <c r="AV9">
        <v>325.33</v>
      </c>
      <c r="AW9">
        <v>325.33</v>
      </c>
      <c r="AX9">
        <v>324.12</v>
      </c>
      <c r="AY9">
        <v>324.12</v>
      </c>
      <c r="AZ9">
        <v>324.12</v>
      </c>
      <c r="BA9">
        <v>324.12</v>
      </c>
      <c r="BB9">
        <v>317.84</v>
      </c>
      <c r="BC9">
        <v>317.84</v>
      </c>
      <c r="BD9">
        <v>317.84</v>
      </c>
      <c r="BE9">
        <v>317.84</v>
      </c>
      <c r="BF9">
        <v>318.82</v>
      </c>
      <c r="BG9">
        <v>318.82</v>
      </c>
      <c r="BH9">
        <v>318.82</v>
      </c>
      <c r="BI9">
        <v>318.82</v>
      </c>
      <c r="BJ9">
        <v>316.78</v>
      </c>
      <c r="BK9">
        <v>316.78</v>
      </c>
      <c r="BL9">
        <v>316.78</v>
      </c>
      <c r="BM9">
        <v>316.78</v>
      </c>
      <c r="BN9">
        <v>318.39</v>
      </c>
      <c r="BO9">
        <v>318.39</v>
      </c>
      <c r="BP9">
        <v>318.39</v>
      </c>
      <c r="BQ9">
        <v>318.39</v>
      </c>
      <c r="BR9">
        <v>309.35</v>
      </c>
      <c r="BS9">
        <v>309.35</v>
      </c>
      <c r="BT9">
        <v>309.35</v>
      </c>
      <c r="BU9">
        <v>309.35</v>
      </c>
      <c r="BV9">
        <v>306.19</v>
      </c>
      <c r="BW9">
        <v>306.19</v>
      </c>
      <c r="BX9">
        <v>306.19</v>
      </c>
      <c r="BY9">
        <v>306.19</v>
      </c>
      <c r="BZ9">
        <v>322.36</v>
      </c>
      <c r="CA9">
        <v>322.36</v>
      </c>
      <c r="CB9">
        <v>322.36</v>
      </c>
      <c r="CC9">
        <v>322.36</v>
      </c>
      <c r="CD9">
        <v>331.39</v>
      </c>
      <c r="CE9">
        <v>331.39</v>
      </c>
      <c r="CF9">
        <v>331.39</v>
      </c>
      <c r="CG9">
        <v>331.39</v>
      </c>
      <c r="CH9">
        <v>330.82</v>
      </c>
      <c r="CI9">
        <v>330.82</v>
      </c>
      <c r="CJ9">
        <v>330.82</v>
      </c>
      <c r="CK9">
        <v>330.82</v>
      </c>
      <c r="CL9">
        <v>319.17</v>
      </c>
      <c r="CM9">
        <v>319.17</v>
      </c>
      <c r="CN9">
        <v>319.17</v>
      </c>
      <c r="CO9">
        <v>319.17</v>
      </c>
      <c r="CP9">
        <v>318.65</v>
      </c>
      <c r="CQ9">
        <v>318.65</v>
      </c>
      <c r="CR9">
        <v>318.65</v>
      </c>
      <c r="CS9">
        <v>318.65</v>
      </c>
    </row>
    <row r="10" spans="1:97">
      <c r="A10" s="9">
        <v>46243</v>
      </c>
      <c r="B10">
        <v>310.18</v>
      </c>
      <c r="C10">
        <v>310.18</v>
      </c>
      <c r="D10">
        <v>310.18</v>
      </c>
      <c r="E10">
        <v>310.18</v>
      </c>
      <c r="F10">
        <v>299.38</v>
      </c>
      <c r="G10">
        <v>299.38</v>
      </c>
      <c r="H10">
        <v>299.38</v>
      </c>
      <c r="I10">
        <v>299.38</v>
      </c>
      <c r="J10">
        <v>300.65</v>
      </c>
      <c r="K10">
        <v>300.65</v>
      </c>
      <c r="L10">
        <v>300.65</v>
      </c>
      <c r="M10">
        <v>300.65</v>
      </c>
      <c r="N10">
        <v>310.18</v>
      </c>
      <c r="O10">
        <v>310.18</v>
      </c>
      <c r="P10">
        <v>310.18</v>
      </c>
      <c r="Q10">
        <v>310.18</v>
      </c>
      <c r="R10">
        <v>309.86</v>
      </c>
      <c r="S10">
        <v>309.86</v>
      </c>
      <c r="T10">
        <v>309.86</v>
      </c>
      <c r="U10">
        <v>309.86</v>
      </c>
      <c r="V10">
        <v>311.12</v>
      </c>
      <c r="W10">
        <v>311.12</v>
      </c>
      <c r="X10">
        <v>311.12</v>
      </c>
      <c r="Y10">
        <v>311.12</v>
      </c>
      <c r="Z10">
        <v>310.18</v>
      </c>
      <c r="AA10">
        <v>310.18</v>
      </c>
      <c r="AB10">
        <v>310.18</v>
      </c>
      <c r="AC10">
        <v>310.18</v>
      </c>
      <c r="AD10">
        <v>309.86</v>
      </c>
      <c r="AE10">
        <v>309.86</v>
      </c>
      <c r="AF10">
        <v>309.86</v>
      </c>
      <c r="AG10">
        <v>309.86</v>
      </c>
      <c r="AH10">
        <v>311.12</v>
      </c>
      <c r="AI10">
        <v>311.12</v>
      </c>
      <c r="AJ10">
        <v>311.12</v>
      </c>
      <c r="AK10">
        <v>311.12</v>
      </c>
      <c r="AL10">
        <v>310.18</v>
      </c>
      <c r="AM10">
        <v>310.18</v>
      </c>
      <c r="AN10">
        <v>310.18</v>
      </c>
      <c r="AO10">
        <v>310.18</v>
      </c>
      <c r="AP10">
        <v>318.96</v>
      </c>
      <c r="AQ10">
        <v>318.96</v>
      </c>
      <c r="AR10">
        <v>318.96</v>
      </c>
      <c r="AS10">
        <v>318.96</v>
      </c>
      <c r="AT10">
        <v>320.57</v>
      </c>
      <c r="AU10">
        <v>320.57</v>
      </c>
      <c r="AV10">
        <v>320.57</v>
      </c>
      <c r="AW10">
        <v>320.57</v>
      </c>
      <c r="AX10">
        <v>318.96</v>
      </c>
      <c r="AY10">
        <v>318.96</v>
      </c>
      <c r="AZ10">
        <v>318.96</v>
      </c>
      <c r="BA10">
        <v>318.96</v>
      </c>
      <c r="BB10">
        <v>310.09</v>
      </c>
      <c r="BC10">
        <v>310.09</v>
      </c>
      <c r="BD10">
        <v>310.09</v>
      </c>
      <c r="BE10">
        <v>310.09</v>
      </c>
      <c r="BF10">
        <v>310.18</v>
      </c>
      <c r="BG10">
        <v>310.18</v>
      </c>
      <c r="BH10">
        <v>310.18</v>
      </c>
      <c r="BI10">
        <v>310.18</v>
      </c>
      <c r="BJ10">
        <v>309.86</v>
      </c>
      <c r="BK10">
        <v>309.86</v>
      </c>
      <c r="BL10">
        <v>309.86</v>
      </c>
      <c r="BM10">
        <v>309.86</v>
      </c>
      <c r="BN10">
        <v>311.12</v>
      </c>
      <c r="BO10">
        <v>311.12</v>
      </c>
      <c r="BP10">
        <v>311.12</v>
      </c>
      <c r="BQ10">
        <v>311.12</v>
      </c>
      <c r="BR10">
        <v>299.7</v>
      </c>
      <c r="BS10">
        <v>299.7</v>
      </c>
      <c r="BT10">
        <v>299.7</v>
      </c>
      <c r="BU10">
        <v>299.7</v>
      </c>
      <c r="BV10">
        <v>299.7</v>
      </c>
      <c r="BW10">
        <v>299.7</v>
      </c>
      <c r="BX10">
        <v>299.7</v>
      </c>
      <c r="BY10">
        <v>299.7</v>
      </c>
      <c r="BZ10">
        <v>309.86</v>
      </c>
      <c r="CA10">
        <v>309.86</v>
      </c>
      <c r="CB10">
        <v>309.86</v>
      </c>
      <c r="CC10">
        <v>309.86</v>
      </c>
      <c r="CD10">
        <v>324.47</v>
      </c>
      <c r="CE10">
        <v>324.47</v>
      </c>
      <c r="CF10">
        <v>324.47</v>
      </c>
      <c r="CG10">
        <v>324.47</v>
      </c>
      <c r="CH10">
        <v>323.53</v>
      </c>
      <c r="CI10">
        <v>323.53</v>
      </c>
      <c r="CJ10">
        <v>323.53</v>
      </c>
      <c r="CK10">
        <v>323.53</v>
      </c>
      <c r="CL10">
        <v>310.18</v>
      </c>
      <c r="CM10">
        <v>310.18</v>
      </c>
      <c r="CN10">
        <v>310.18</v>
      </c>
      <c r="CO10">
        <v>310.18</v>
      </c>
      <c r="CP10">
        <v>310.18</v>
      </c>
      <c r="CQ10">
        <v>310.18</v>
      </c>
      <c r="CR10">
        <v>310.18</v>
      </c>
      <c r="CS10">
        <v>310.18</v>
      </c>
    </row>
    <row r="11" spans="1:97">
      <c r="A11" s="9">
        <v>46244</v>
      </c>
      <c r="B11">
        <v>309.68</v>
      </c>
      <c r="C11">
        <v>309.68</v>
      </c>
      <c r="D11">
        <v>309.68</v>
      </c>
      <c r="E11">
        <v>309.68</v>
      </c>
      <c r="F11">
        <v>298.88</v>
      </c>
      <c r="G11">
        <v>298.88</v>
      </c>
      <c r="H11">
        <v>298.88</v>
      </c>
      <c r="I11">
        <v>298.88</v>
      </c>
      <c r="J11">
        <v>300.15</v>
      </c>
      <c r="K11">
        <v>300.15</v>
      </c>
      <c r="L11">
        <v>300.15</v>
      </c>
      <c r="M11">
        <v>300.15</v>
      </c>
      <c r="N11">
        <v>309.68</v>
      </c>
      <c r="O11">
        <v>309.68</v>
      </c>
      <c r="P11">
        <v>309.68</v>
      </c>
      <c r="Q11">
        <v>309.68</v>
      </c>
      <c r="R11">
        <v>309.36</v>
      </c>
      <c r="S11">
        <v>309.36</v>
      </c>
      <c r="T11">
        <v>309.36</v>
      </c>
      <c r="U11">
        <v>309.36</v>
      </c>
      <c r="V11">
        <v>310.62</v>
      </c>
      <c r="W11">
        <v>310.62</v>
      </c>
      <c r="X11">
        <v>310.62</v>
      </c>
      <c r="Y11">
        <v>310.62</v>
      </c>
      <c r="Z11">
        <v>309.68</v>
      </c>
      <c r="AA11">
        <v>309.68</v>
      </c>
      <c r="AB11">
        <v>309.68</v>
      </c>
      <c r="AC11">
        <v>309.68</v>
      </c>
      <c r="AD11">
        <v>309.36</v>
      </c>
      <c r="AE11">
        <v>309.36</v>
      </c>
      <c r="AF11">
        <v>309.36</v>
      </c>
      <c r="AG11">
        <v>309.36</v>
      </c>
      <c r="AH11">
        <v>310.62</v>
      </c>
      <c r="AI11">
        <v>310.62</v>
      </c>
      <c r="AJ11">
        <v>310.62</v>
      </c>
      <c r="AK11">
        <v>310.62</v>
      </c>
      <c r="AL11">
        <v>309.68</v>
      </c>
      <c r="AM11">
        <v>309.68</v>
      </c>
      <c r="AN11">
        <v>309.68</v>
      </c>
      <c r="AO11">
        <v>309.68</v>
      </c>
      <c r="AP11">
        <v>318.46</v>
      </c>
      <c r="AQ11">
        <v>318.46</v>
      </c>
      <c r="AR11">
        <v>318.46</v>
      </c>
      <c r="AS11">
        <v>318.46</v>
      </c>
      <c r="AT11">
        <v>320.07</v>
      </c>
      <c r="AU11">
        <v>320.07</v>
      </c>
      <c r="AV11">
        <v>320.07</v>
      </c>
      <c r="AW11">
        <v>320.07</v>
      </c>
      <c r="AX11">
        <v>318.46</v>
      </c>
      <c r="AY11">
        <v>318.46</v>
      </c>
      <c r="AZ11">
        <v>318.46</v>
      </c>
      <c r="BA11">
        <v>318.46</v>
      </c>
      <c r="BB11">
        <v>309.59</v>
      </c>
      <c r="BC11">
        <v>309.59</v>
      </c>
      <c r="BD11">
        <v>309.59</v>
      </c>
      <c r="BE11">
        <v>309.59</v>
      </c>
      <c r="BF11">
        <v>309.68</v>
      </c>
      <c r="BG11">
        <v>309.68</v>
      </c>
      <c r="BH11">
        <v>309.68</v>
      </c>
      <c r="BI11">
        <v>309.68</v>
      </c>
      <c r="BJ11">
        <v>309.36</v>
      </c>
      <c r="BK11">
        <v>309.36</v>
      </c>
      <c r="BL11">
        <v>309.36</v>
      </c>
      <c r="BM11">
        <v>309.36</v>
      </c>
      <c r="BN11">
        <v>310.62</v>
      </c>
      <c r="BO11">
        <v>310.62</v>
      </c>
      <c r="BP11">
        <v>310.62</v>
      </c>
      <c r="BQ11">
        <v>310.62</v>
      </c>
      <c r="BR11">
        <v>299.2</v>
      </c>
      <c r="BS11">
        <v>299.2</v>
      </c>
      <c r="BT11">
        <v>299.2</v>
      </c>
      <c r="BU11">
        <v>299.2</v>
      </c>
      <c r="BV11">
        <v>299.2</v>
      </c>
      <c r="BW11">
        <v>299.2</v>
      </c>
      <c r="BX11">
        <v>299.2</v>
      </c>
      <c r="BY11">
        <v>299.2</v>
      </c>
      <c r="BZ11">
        <v>309.36</v>
      </c>
      <c r="CA11">
        <v>309.36</v>
      </c>
      <c r="CB11">
        <v>309.36</v>
      </c>
      <c r="CC11">
        <v>309.36</v>
      </c>
      <c r="CD11">
        <v>323.97</v>
      </c>
      <c r="CE11">
        <v>323.97</v>
      </c>
      <c r="CF11">
        <v>323.97</v>
      </c>
      <c r="CG11">
        <v>323.97</v>
      </c>
      <c r="CH11">
        <v>323.03</v>
      </c>
      <c r="CI11">
        <v>323.03</v>
      </c>
      <c r="CJ11">
        <v>323.03</v>
      </c>
      <c r="CK11">
        <v>323.03</v>
      </c>
      <c r="CL11">
        <v>309.68</v>
      </c>
      <c r="CM11">
        <v>309.68</v>
      </c>
      <c r="CN11">
        <v>309.68</v>
      </c>
      <c r="CO11">
        <v>309.68</v>
      </c>
      <c r="CP11">
        <v>309.68</v>
      </c>
      <c r="CQ11">
        <v>309.68</v>
      </c>
      <c r="CR11">
        <v>309.68</v>
      </c>
      <c r="CS11">
        <v>309.68</v>
      </c>
    </row>
    <row r="12" spans="1:97">
      <c r="A12" s="9">
        <v>46245</v>
      </c>
      <c r="B12">
        <v>310.85</v>
      </c>
      <c r="C12">
        <v>310.85</v>
      </c>
      <c r="D12">
        <v>310.85</v>
      </c>
      <c r="E12">
        <v>310.85</v>
      </c>
      <c r="F12">
        <v>299.2</v>
      </c>
      <c r="G12">
        <v>299.2</v>
      </c>
      <c r="H12">
        <v>299.2</v>
      </c>
      <c r="I12">
        <v>299.2</v>
      </c>
      <c r="J12">
        <v>298.88</v>
      </c>
      <c r="K12">
        <v>298.88</v>
      </c>
      <c r="L12">
        <v>298.88</v>
      </c>
      <c r="M12">
        <v>298.88</v>
      </c>
      <c r="N12">
        <v>310.62</v>
      </c>
      <c r="O12">
        <v>310.62</v>
      </c>
      <c r="P12">
        <v>310.62</v>
      </c>
      <c r="Q12">
        <v>310.62</v>
      </c>
      <c r="R12">
        <v>310.85</v>
      </c>
      <c r="S12">
        <v>310.85</v>
      </c>
      <c r="T12">
        <v>310.85</v>
      </c>
      <c r="U12">
        <v>310.85</v>
      </c>
      <c r="V12">
        <v>309.68</v>
      </c>
      <c r="W12">
        <v>309.68</v>
      </c>
      <c r="X12">
        <v>309.68</v>
      </c>
      <c r="Y12">
        <v>309.68</v>
      </c>
      <c r="Z12">
        <v>310.25</v>
      </c>
      <c r="AA12">
        <v>310.25</v>
      </c>
      <c r="AB12">
        <v>310.25</v>
      </c>
      <c r="AC12">
        <v>310.25</v>
      </c>
      <c r="AD12">
        <v>310.25</v>
      </c>
      <c r="AE12">
        <v>310.25</v>
      </c>
      <c r="AF12">
        <v>310.25</v>
      </c>
      <c r="AG12">
        <v>310.25</v>
      </c>
      <c r="AH12">
        <v>310.8</v>
      </c>
      <c r="AI12">
        <v>310.8</v>
      </c>
      <c r="AJ12">
        <v>310.8</v>
      </c>
      <c r="AK12">
        <v>310.8</v>
      </c>
      <c r="AL12">
        <v>309.91</v>
      </c>
      <c r="AM12">
        <v>309.91</v>
      </c>
      <c r="AN12">
        <v>309.91</v>
      </c>
      <c r="AO12">
        <v>309.91</v>
      </c>
      <c r="AP12">
        <v>320.3</v>
      </c>
      <c r="AQ12">
        <v>320.3</v>
      </c>
      <c r="AR12">
        <v>320.3</v>
      </c>
      <c r="AS12">
        <v>320.3</v>
      </c>
      <c r="AT12">
        <v>316.53</v>
      </c>
      <c r="AU12">
        <v>316.53</v>
      </c>
      <c r="AV12">
        <v>316.53</v>
      </c>
      <c r="AW12">
        <v>316.53</v>
      </c>
      <c r="AX12">
        <v>315.32</v>
      </c>
      <c r="AY12">
        <v>315.32</v>
      </c>
      <c r="AZ12">
        <v>315.32</v>
      </c>
      <c r="BA12">
        <v>315.32</v>
      </c>
      <c r="BB12">
        <v>309.04</v>
      </c>
      <c r="BC12">
        <v>309.04</v>
      </c>
      <c r="BD12">
        <v>309.04</v>
      </c>
      <c r="BE12">
        <v>309.04</v>
      </c>
      <c r="BF12">
        <v>310.02</v>
      </c>
      <c r="BG12">
        <v>310.02</v>
      </c>
      <c r="BH12">
        <v>310.02</v>
      </c>
      <c r="BI12">
        <v>310.02</v>
      </c>
      <c r="BJ12">
        <v>307.98</v>
      </c>
      <c r="BK12">
        <v>307.98</v>
      </c>
      <c r="BL12">
        <v>307.98</v>
      </c>
      <c r="BM12">
        <v>307.98</v>
      </c>
      <c r="BN12">
        <v>309.59</v>
      </c>
      <c r="BO12">
        <v>309.59</v>
      </c>
      <c r="BP12">
        <v>309.59</v>
      </c>
      <c r="BQ12">
        <v>309.59</v>
      </c>
      <c r="BR12">
        <v>300.55</v>
      </c>
      <c r="BS12">
        <v>300.55</v>
      </c>
      <c r="BT12">
        <v>300.55</v>
      </c>
      <c r="BU12">
        <v>300.55</v>
      </c>
      <c r="BV12">
        <v>297.39</v>
      </c>
      <c r="BW12">
        <v>297.39</v>
      </c>
      <c r="BX12">
        <v>297.39</v>
      </c>
      <c r="BY12">
        <v>297.39</v>
      </c>
      <c r="BZ12">
        <v>313.56</v>
      </c>
      <c r="CA12">
        <v>313.56</v>
      </c>
      <c r="CB12">
        <v>313.56</v>
      </c>
      <c r="CC12">
        <v>313.56</v>
      </c>
      <c r="CD12">
        <v>322.59</v>
      </c>
      <c r="CE12">
        <v>322.59</v>
      </c>
      <c r="CF12">
        <v>322.59</v>
      </c>
      <c r="CG12">
        <v>322.59</v>
      </c>
      <c r="CH12">
        <v>322.02</v>
      </c>
      <c r="CI12">
        <v>322.02</v>
      </c>
      <c r="CJ12">
        <v>322.02</v>
      </c>
      <c r="CK12">
        <v>322.02</v>
      </c>
      <c r="CL12">
        <v>310.37</v>
      </c>
      <c r="CM12">
        <v>310.37</v>
      </c>
      <c r="CN12">
        <v>310.37</v>
      </c>
      <c r="CO12">
        <v>310.37</v>
      </c>
      <c r="CP12">
        <v>309.85</v>
      </c>
      <c r="CQ12">
        <v>309.85</v>
      </c>
      <c r="CR12">
        <v>309.85</v>
      </c>
      <c r="CS12">
        <v>309.85</v>
      </c>
    </row>
    <row r="13" spans="1:97">
      <c r="A13" s="9">
        <v>46246</v>
      </c>
      <c r="B13">
        <v>308.85</v>
      </c>
      <c r="C13">
        <v>308.85</v>
      </c>
      <c r="D13">
        <v>308.85</v>
      </c>
      <c r="E13">
        <v>308.85</v>
      </c>
      <c r="F13">
        <v>296.02</v>
      </c>
      <c r="G13">
        <v>296.02</v>
      </c>
      <c r="H13">
        <v>296.02</v>
      </c>
      <c r="I13">
        <v>296.02</v>
      </c>
      <c r="J13">
        <v>297.69</v>
      </c>
      <c r="K13">
        <v>297.69</v>
      </c>
      <c r="L13">
        <v>297.69</v>
      </c>
      <c r="M13">
        <v>297.69</v>
      </c>
      <c r="N13">
        <v>310.45</v>
      </c>
      <c r="O13">
        <v>310.45</v>
      </c>
      <c r="P13">
        <v>310.45</v>
      </c>
      <c r="Q13">
        <v>310.45</v>
      </c>
      <c r="R13">
        <v>310.62</v>
      </c>
      <c r="S13">
        <v>310.62</v>
      </c>
      <c r="T13">
        <v>310.62</v>
      </c>
      <c r="U13">
        <v>310.62</v>
      </c>
      <c r="V13">
        <v>311.11</v>
      </c>
      <c r="W13">
        <v>311.11</v>
      </c>
      <c r="X13">
        <v>311.11</v>
      </c>
      <c r="Y13">
        <v>311.11</v>
      </c>
      <c r="Z13">
        <v>311.56</v>
      </c>
      <c r="AA13">
        <v>311.56</v>
      </c>
      <c r="AB13">
        <v>311.56</v>
      </c>
      <c r="AC13">
        <v>311.56</v>
      </c>
      <c r="AD13">
        <v>311.9</v>
      </c>
      <c r="AE13">
        <v>311.9</v>
      </c>
      <c r="AF13">
        <v>311.9</v>
      </c>
      <c r="AG13">
        <v>311.9</v>
      </c>
      <c r="AH13">
        <v>309.7</v>
      </c>
      <c r="AI13">
        <v>309.7</v>
      </c>
      <c r="AJ13">
        <v>309.7</v>
      </c>
      <c r="AK13">
        <v>309.7</v>
      </c>
      <c r="AL13">
        <v>308.35</v>
      </c>
      <c r="AM13">
        <v>308.35</v>
      </c>
      <c r="AN13">
        <v>308.35</v>
      </c>
      <c r="AO13">
        <v>308.35</v>
      </c>
      <c r="AP13">
        <v>318.06</v>
      </c>
      <c r="AQ13">
        <v>318.06</v>
      </c>
      <c r="AR13">
        <v>318.06</v>
      </c>
      <c r="AS13">
        <v>318.06</v>
      </c>
      <c r="AT13">
        <v>318.15</v>
      </c>
      <c r="AU13">
        <v>318.15</v>
      </c>
      <c r="AV13">
        <v>318.15</v>
      </c>
      <c r="AW13">
        <v>318.15</v>
      </c>
      <c r="AX13">
        <v>321.08</v>
      </c>
      <c r="AY13">
        <v>321.08</v>
      </c>
      <c r="AZ13">
        <v>321.08</v>
      </c>
      <c r="BA13">
        <v>321.08</v>
      </c>
      <c r="BB13">
        <v>306.65</v>
      </c>
      <c r="BC13">
        <v>306.65</v>
      </c>
      <c r="BD13">
        <v>306.65</v>
      </c>
      <c r="BE13">
        <v>306.65</v>
      </c>
      <c r="BF13">
        <v>306.55</v>
      </c>
      <c r="BG13">
        <v>306.55</v>
      </c>
      <c r="BH13">
        <v>306.55</v>
      </c>
      <c r="BI13">
        <v>306.55</v>
      </c>
      <c r="BJ13">
        <v>306.61</v>
      </c>
      <c r="BK13">
        <v>306.61</v>
      </c>
      <c r="BL13">
        <v>306.61</v>
      </c>
      <c r="BM13">
        <v>306.61</v>
      </c>
      <c r="BN13">
        <v>310.55</v>
      </c>
      <c r="BO13">
        <v>310.55</v>
      </c>
      <c r="BP13">
        <v>310.55</v>
      </c>
      <c r="BQ13">
        <v>310.55</v>
      </c>
      <c r="BR13">
        <v>298.27</v>
      </c>
      <c r="BS13">
        <v>298.27</v>
      </c>
      <c r="BT13">
        <v>298.27</v>
      </c>
      <c r="BU13">
        <v>298.27</v>
      </c>
      <c r="BV13">
        <v>297.69</v>
      </c>
      <c r="BW13">
        <v>297.69</v>
      </c>
      <c r="BX13">
        <v>297.69</v>
      </c>
      <c r="BY13">
        <v>297.69</v>
      </c>
      <c r="BZ13">
        <v>309.87</v>
      </c>
      <c r="CA13">
        <v>309.87</v>
      </c>
      <c r="CB13">
        <v>309.87</v>
      </c>
      <c r="CC13">
        <v>309.87</v>
      </c>
      <c r="CD13">
        <v>322.7</v>
      </c>
      <c r="CE13">
        <v>322.7</v>
      </c>
      <c r="CF13">
        <v>322.7</v>
      </c>
      <c r="CG13">
        <v>322.7</v>
      </c>
      <c r="CH13">
        <v>322.09</v>
      </c>
      <c r="CI13">
        <v>322.09</v>
      </c>
      <c r="CJ13">
        <v>322.09</v>
      </c>
      <c r="CK13">
        <v>322.09</v>
      </c>
      <c r="CL13">
        <v>308.17</v>
      </c>
      <c r="CM13">
        <v>308.17</v>
      </c>
      <c r="CN13">
        <v>308.17</v>
      </c>
      <c r="CO13">
        <v>308.17</v>
      </c>
      <c r="CP13">
        <v>309.87</v>
      </c>
      <c r="CQ13">
        <v>309.87</v>
      </c>
      <c r="CR13">
        <v>309.87</v>
      </c>
      <c r="CS13">
        <v>309.87</v>
      </c>
    </row>
    <row r="14" spans="1:97">
      <c r="A14" s="9">
        <v>46247</v>
      </c>
      <c r="B14">
        <v>312.35</v>
      </c>
      <c r="C14">
        <v>312.35</v>
      </c>
      <c r="D14">
        <v>312.35</v>
      </c>
      <c r="E14">
        <v>312.35</v>
      </c>
      <c r="F14">
        <v>301.7</v>
      </c>
      <c r="G14">
        <v>301.7</v>
      </c>
      <c r="H14">
        <v>301.7</v>
      </c>
      <c r="I14">
        <v>301.7</v>
      </c>
      <c r="J14">
        <v>302.34</v>
      </c>
      <c r="K14">
        <v>302.34</v>
      </c>
      <c r="L14">
        <v>302.34</v>
      </c>
      <c r="M14">
        <v>302.34</v>
      </c>
      <c r="N14">
        <v>313.73</v>
      </c>
      <c r="O14">
        <v>313.73</v>
      </c>
      <c r="P14">
        <v>313.73</v>
      </c>
      <c r="Q14">
        <v>313.73</v>
      </c>
      <c r="R14">
        <v>313.96</v>
      </c>
      <c r="S14">
        <v>313.96</v>
      </c>
      <c r="T14">
        <v>313.96</v>
      </c>
      <c r="U14">
        <v>313.96</v>
      </c>
      <c r="V14">
        <v>312.93</v>
      </c>
      <c r="W14">
        <v>312.93</v>
      </c>
      <c r="X14">
        <v>312.93</v>
      </c>
      <c r="Y14">
        <v>312.93</v>
      </c>
      <c r="Z14">
        <v>314.62</v>
      </c>
      <c r="AA14">
        <v>314.62</v>
      </c>
      <c r="AB14">
        <v>314.62</v>
      </c>
      <c r="AC14">
        <v>314.62</v>
      </c>
      <c r="AD14">
        <v>313.21</v>
      </c>
      <c r="AE14">
        <v>313.21</v>
      </c>
      <c r="AF14">
        <v>313.21</v>
      </c>
      <c r="AG14">
        <v>313.21</v>
      </c>
      <c r="AH14">
        <v>315.25</v>
      </c>
      <c r="AI14">
        <v>315.25</v>
      </c>
      <c r="AJ14">
        <v>315.25</v>
      </c>
      <c r="AK14">
        <v>315.25</v>
      </c>
      <c r="AL14">
        <v>311.08</v>
      </c>
      <c r="AM14">
        <v>311.08</v>
      </c>
      <c r="AN14">
        <v>311.08</v>
      </c>
      <c r="AO14">
        <v>311.08</v>
      </c>
      <c r="AP14">
        <v>319.23</v>
      </c>
      <c r="AQ14">
        <v>319.23</v>
      </c>
      <c r="AR14">
        <v>319.23</v>
      </c>
      <c r="AS14">
        <v>319.23</v>
      </c>
      <c r="AT14">
        <v>319.32</v>
      </c>
      <c r="AU14">
        <v>319.32</v>
      </c>
      <c r="AV14">
        <v>319.32</v>
      </c>
      <c r="AW14">
        <v>319.32</v>
      </c>
      <c r="AX14">
        <v>318.02</v>
      </c>
      <c r="AY14">
        <v>318.02</v>
      </c>
      <c r="AZ14">
        <v>318.02</v>
      </c>
      <c r="BA14">
        <v>318.02</v>
      </c>
      <c r="BB14">
        <v>309.24</v>
      </c>
      <c r="BC14">
        <v>309.24</v>
      </c>
      <c r="BD14">
        <v>309.24</v>
      </c>
      <c r="BE14">
        <v>309.24</v>
      </c>
      <c r="BF14">
        <v>308.32</v>
      </c>
      <c r="BG14">
        <v>308.32</v>
      </c>
      <c r="BH14">
        <v>308.32</v>
      </c>
      <c r="BI14">
        <v>308.32</v>
      </c>
      <c r="BJ14">
        <v>313.79</v>
      </c>
      <c r="BK14">
        <v>313.79</v>
      </c>
      <c r="BL14">
        <v>313.79</v>
      </c>
      <c r="BM14">
        <v>313.79</v>
      </c>
      <c r="BN14">
        <v>316.23</v>
      </c>
      <c r="BO14">
        <v>316.23</v>
      </c>
      <c r="BP14">
        <v>316.23</v>
      </c>
      <c r="BQ14">
        <v>316.23</v>
      </c>
      <c r="BR14">
        <v>306.5</v>
      </c>
      <c r="BS14">
        <v>306.5</v>
      </c>
      <c r="BT14">
        <v>306.5</v>
      </c>
      <c r="BU14">
        <v>306.5</v>
      </c>
      <c r="BV14">
        <v>308.72</v>
      </c>
      <c r="BW14">
        <v>308.72</v>
      </c>
      <c r="BX14">
        <v>308.72</v>
      </c>
      <c r="BY14">
        <v>308.72</v>
      </c>
      <c r="BZ14">
        <v>318.16</v>
      </c>
      <c r="CA14">
        <v>318.16</v>
      </c>
      <c r="CB14">
        <v>318.16</v>
      </c>
      <c r="CC14">
        <v>318.16</v>
      </c>
      <c r="CD14">
        <v>330.82</v>
      </c>
      <c r="CE14">
        <v>330.82</v>
      </c>
      <c r="CF14">
        <v>330.82</v>
      </c>
      <c r="CG14">
        <v>330.82</v>
      </c>
      <c r="CH14">
        <v>328.37</v>
      </c>
      <c r="CI14">
        <v>328.37</v>
      </c>
      <c r="CJ14">
        <v>328.37</v>
      </c>
      <c r="CK14">
        <v>328.37</v>
      </c>
      <c r="CL14">
        <v>315.05</v>
      </c>
      <c r="CM14">
        <v>315.05</v>
      </c>
      <c r="CN14">
        <v>315.05</v>
      </c>
      <c r="CO14">
        <v>315.05</v>
      </c>
      <c r="CP14">
        <v>314.62</v>
      </c>
      <c r="CQ14">
        <v>314.62</v>
      </c>
      <c r="CR14">
        <v>314.62</v>
      </c>
      <c r="CS14">
        <v>314.62</v>
      </c>
    </row>
    <row r="15" spans="1:97">
      <c r="A15" s="9">
        <v>46248</v>
      </c>
      <c r="B15">
        <v>312.35</v>
      </c>
      <c r="C15">
        <v>312.35</v>
      </c>
      <c r="D15">
        <v>312.35</v>
      </c>
      <c r="E15">
        <v>312.35</v>
      </c>
      <c r="F15">
        <v>301.7</v>
      </c>
      <c r="G15">
        <v>301.7</v>
      </c>
      <c r="H15">
        <v>301.7</v>
      </c>
      <c r="I15">
        <v>301.7</v>
      </c>
      <c r="J15">
        <v>302.34</v>
      </c>
      <c r="K15">
        <v>302.34</v>
      </c>
      <c r="L15">
        <v>302.34</v>
      </c>
      <c r="M15">
        <v>302.34</v>
      </c>
      <c r="N15">
        <v>313.73</v>
      </c>
      <c r="O15">
        <v>313.73</v>
      </c>
      <c r="P15">
        <v>313.73</v>
      </c>
      <c r="Q15">
        <v>313.73</v>
      </c>
      <c r="R15">
        <v>313.96</v>
      </c>
      <c r="S15">
        <v>313.96</v>
      </c>
      <c r="T15">
        <v>313.96</v>
      </c>
      <c r="U15">
        <v>313.96</v>
      </c>
      <c r="V15">
        <v>312.93</v>
      </c>
      <c r="W15">
        <v>312.93</v>
      </c>
      <c r="X15">
        <v>312.93</v>
      </c>
      <c r="Y15">
        <v>312.93</v>
      </c>
      <c r="Z15">
        <v>314.62</v>
      </c>
      <c r="AA15">
        <v>314.62</v>
      </c>
      <c r="AB15">
        <v>314.62</v>
      </c>
      <c r="AC15">
        <v>314.62</v>
      </c>
      <c r="AD15">
        <v>313.21</v>
      </c>
      <c r="AE15">
        <v>313.21</v>
      </c>
      <c r="AF15">
        <v>313.21</v>
      </c>
      <c r="AG15">
        <v>313.21</v>
      </c>
      <c r="AH15">
        <v>315.25</v>
      </c>
      <c r="AI15">
        <v>315.25</v>
      </c>
      <c r="AJ15">
        <v>315.25</v>
      </c>
      <c r="AK15">
        <v>315.25</v>
      </c>
      <c r="AL15">
        <v>311.08</v>
      </c>
      <c r="AM15">
        <v>311.08</v>
      </c>
      <c r="AN15">
        <v>311.08</v>
      </c>
      <c r="AO15">
        <v>311.08</v>
      </c>
      <c r="AP15">
        <v>319.23</v>
      </c>
      <c r="AQ15">
        <v>319.23</v>
      </c>
      <c r="AR15">
        <v>319.23</v>
      </c>
      <c r="AS15">
        <v>319.23</v>
      </c>
      <c r="AT15">
        <v>319.32</v>
      </c>
      <c r="AU15">
        <v>319.32</v>
      </c>
      <c r="AV15">
        <v>319.32</v>
      </c>
      <c r="AW15">
        <v>319.32</v>
      </c>
      <c r="AX15">
        <v>318.02</v>
      </c>
      <c r="AY15">
        <v>318.02</v>
      </c>
      <c r="AZ15">
        <v>318.02</v>
      </c>
      <c r="BA15">
        <v>318.02</v>
      </c>
      <c r="BB15">
        <v>309.24</v>
      </c>
      <c r="BC15">
        <v>309.24</v>
      </c>
      <c r="BD15">
        <v>309.24</v>
      </c>
      <c r="BE15">
        <v>309.24</v>
      </c>
      <c r="BF15">
        <v>308.32</v>
      </c>
      <c r="BG15">
        <v>308.32</v>
      </c>
      <c r="BH15">
        <v>308.32</v>
      </c>
      <c r="BI15">
        <v>308.32</v>
      </c>
      <c r="BJ15">
        <v>313.79</v>
      </c>
      <c r="BK15">
        <v>313.79</v>
      </c>
      <c r="BL15">
        <v>313.79</v>
      </c>
      <c r="BM15">
        <v>313.79</v>
      </c>
      <c r="BN15">
        <v>316.23</v>
      </c>
      <c r="BO15">
        <v>316.23</v>
      </c>
      <c r="BP15">
        <v>316.23</v>
      </c>
      <c r="BQ15">
        <v>316.23</v>
      </c>
      <c r="BR15">
        <v>306.5</v>
      </c>
      <c r="BS15">
        <v>306.5</v>
      </c>
      <c r="BT15">
        <v>306.5</v>
      </c>
      <c r="BU15">
        <v>306.5</v>
      </c>
      <c r="BV15">
        <v>308.72</v>
      </c>
      <c r="BW15">
        <v>308.72</v>
      </c>
      <c r="BX15">
        <v>308.72</v>
      </c>
      <c r="BY15">
        <v>308.72</v>
      </c>
      <c r="BZ15">
        <v>318.16</v>
      </c>
      <c r="CA15">
        <v>318.16</v>
      </c>
      <c r="CB15">
        <v>318.16</v>
      </c>
      <c r="CC15">
        <v>318.16</v>
      </c>
      <c r="CD15">
        <v>330.82</v>
      </c>
      <c r="CE15">
        <v>330.82</v>
      </c>
      <c r="CF15">
        <v>330.82</v>
      </c>
      <c r="CG15">
        <v>330.82</v>
      </c>
      <c r="CH15">
        <v>328.37</v>
      </c>
      <c r="CI15">
        <v>328.37</v>
      </c>
      <c r="CJ15">
        <v>328.37</v>
      </c>
      <c r="CK15">
        <v>328.37</v>
      </c>
      <c r="CL15">
        <v>315.05</v>
      </c>
      <c r="CM15">
        <v>315.05</v>
      </c>
      <c r="CN15">
        <v>315.05</v>
      </c>
      <c r="CO15">
        <v>315.05</v>
      </c>
      <c r="CP15">
        <v>314.62</v>
      </c>
      <c r="CQ15">
        <v>314.62</v>
      </c>
      <c r="CR15">
        <v>314.62</v>
      </c>
      <c r="CS15">
        <v>314.62</v>
      </c>
    </row>
    <row r="16" spans="1:97">
      <c r="A16" s="9">
        <v>46249</v>
      </c>
      <c r="B16">
        <v>309.47</v>
      </c>
      <c r="C16">
        <v>309.47</v>
      </c>
      <c r="D16">
        <v>309.47</v>
      </c>
      <c r="E16">
        <v>309.47</v>
      </c>
      <c r="F16">
        <v>299.52</v>
      </c>
      <c r="G16">
        <v>299.52</v>
      </c>
      <c r="H16">
        <v>299.52</v>
      </c>
      <c r="I16">
        <v>299.52</v>
      </c>
      <c r="J16">
        <v>298.54</v>
      </c>
      <c r="K16">
        <v>298.54</v>
      </c>
      <c r="L16">
        <v>298.54</v>
      </c>
      <c r="M16">
        <v>298.54</v>
      </c>
      <c r="N16">
        <v>309.93</v>
      </c>
      <c r="O16">
        <v>309.93</v>
      </c>
      <c r="P16">
        <v>309.93</v>
      </c>
      <c r="Q16">
        <v>309.93</v>
      </c>
      <c r="R16">
        <v>310.19</v>
      </c>
      <c r="S16">
        <v>310.19</v>
      </c>
      <c r="T16">
        <v>310.19</v>
      </c>
      <c r="U16">
        <v>310.19</v>
      </c>
      <c r="V16">
        <v>310.16</v>
      </c>
      <c r="W16">
        <v>310.16</v>
      </c>
      <c r="X16">
        <v>310.16</v>
      </c>
      <c r="Y16">
        <v>310.16</v>
      </c>
      <c r="Z16">
        <v>309.93</v>
      </c>
      <c r="AA16">
        <v>309.93</v>
      </c>
      <c r="AB16">
        <v>309.93</v>
      </c>
      <c r="AC16">
        <v>309.93</v>
      </c>
      <c r="AD16">
        <v>310.08</v>
      </c>
      <c r="AE16">
        <v>310.08</v>
      </c>
      <c r="AF16">
        <v>310.08</v>
      </c>
      <c r="AG16">
        <v>310.08</v>
      </c>
      <c r="AH16">
        <v>310.34</v>
      </c>
      <c r="AI16">
        <v>310.34</v>
      </c>
      <c r="AJ16">
        <v>310.34</v>
      </c>
      <c r="AK16">
        <v>310.34</v>
      </c>
      <c r="AL16">
        <v>309.45</v>
      </c>
      <c r="AM16">
        <v>309.45</v>
      </c>
      <c r="AN16">
        <v>309.45</v>
      </c>
      <c r="AO16">
        <v>309.45</v>
      </c>
      <c r="AP16">
        <v>318.83</v>
      </c>
      <c r="AQ16">
        <v>318.83</v>
      </c>
      <c r="AR16">
        <v>318.83</v>
      </c>
      <c r="AS16">
        <v>318.83</v>
      </c>
      <c r="AT16">
        <v>318.48</v>
      </c>
      <c r="AU16">
        <v>318.48</v>
      </c>
      <c r="AV16">
        <v>318.48</v>
      </c>
      <c r="AW16">
        <v>318.48</v>
      </c>
      <c r="AX16">
        <v>318.23</v>
      </c>
      <c r="AY16">
        <v>318.23</v>
      </c>
      <c r="AZ16">
        <v>318.23</v>
      </c>
      <c r="BA16">
        <v>318.23</v>
      </c>
      <c r="BB16">
        <v>308.47</v>
      </c>
      <c r="BC16">
        <v>308.47</v>
      </c>
      <c r="BD16">
        <v>308.47</v>
      </c>
      <c r="BE16">
        <v>308.47</v>
      </c>
      <c r="BF16">
        <v>308.78</v>
      </c>
      <c r="BG16">
        <v>308.78</v>
      </c>
      <c r="BH16">
        <v>308.78</v>
      </c>
      <c r="BI16">
        <v>308.78</v>
      </c>
      <c r="BJ16">
        <v>308.38</v>
      </c>
      <c r="BK16">
        <v>308.38</v>
      </c>
      <c r="BL16">
        <v>308.38</v>
      </c>
      <c r="BM16">
        <v>308.38</v>
      </c>
      <c r="BN16">
        <v>309.16</v>
      </c>
      <c r="BO16">
        <v>309.16</v>
      </c>
      <c r="BP16">
        <v>309.16</v>
      </c>
      <c r="BQ16">
        <v>309.16</v>
      </c>
      <c r="BR16">
        <v>300.47</v>
      </c>
      <c r="BS16">
        <v>300.47</v>
      </c>
      <c r="BT16">
        <v>300.47</v>
      </c>
      <c r="BU16">
        <v>300.47</v>
      </c>
      <c r="BV16">
        <v>300.9</v>
      </c>
      <c r="BW16">
        <v>300.9</v>
      </c>
      <c r="BX16">
        <v>300.9</v>
      </c>
      <c r="BY16">
        <v>300.9</v>
      </c>
      <c r="BZ16">
        <v>312.81</v>
      </c>
      <c r="CA16">
        <v>312.81</v>
      </c>
      <c r="CB16">
        <v>312.81</v>
      </c>
      <c r="CC16">
        <v>312.81</v>
      </c>
      <c r="CD16">
        <v>323.57</v>
      </c>
      <c r="CE16">
        <v>323.57</v>
      </c>
      <c r="CF16">
        <v>323.57</v>
      </c>
      <c r="CG16">
        <v>323.57</v>
      </c>
      <c r="CH16">
        <v>322.71</v>
      </c>
      <c r="CI16">
        <v>322.71</v>
      </c>
      <c r="CJ16">
        <v>322.71</v>
      </c>
      <c r="CK16">
        <v>322.71</v>
      </c>
      <c r="CL16">
        <v>310.97</v>
      </c>
      <c r="CM16">
        <v>310.97</v>
      </c>
      <c r="CN16">
        <v>310.97</v>
      </c>
      <c r="CO16">
        <v>310.97</v>
      </c>
      <c r="CP16">
        <v>310.88</v>
      </c>
      <c r="CQ16">
        <v>310.88</v>
      </c>
      <c r="CR16">
        <v>310.88</v>
      </c>
      <c r="CS16">
        <v>310.88</v>
      </c>
    </row>
    <row r="17" spans="1:97">
      <c r="A17" s="9">
        <v>46250</v>
      </c>
      <c r="B17">
        <v>310.47</v>
      </c>
      <c r="C17">
        <v>310.47</v>
      </c>
      <c r="D17">
        <v>310.47</v>
      </c>
      <c r="E17">
        <v>310.47</v>
      </c>
      <c r="F17">
        <v>300.52</v>
      </c>
      <c r="G17">
        <v>300.52</v>
      </c>
      <c r="H17">
        <v>300.52</v>
      </c>
      <c r="I17">
        <v>300.52</v>
      </c>
      <c r="J17">
        <v>299.54</v>
      </c>
      <c r="K17">
        <v>299.54</v>
      </c>
      <c r="L17">
        <v>299.54</v>
      </c>
      <c r="M17">
        <v>299.54</v>
      </c>
      <c r="N17">
        <v>310.93</v>
      </c>
      <c r="O17">
        <v>310.93</v>
      </c>
      <c r="P17">
        <v>310.93</v>
      </c>
      <c r="Q17">
        <v>310.93</v>
      </c>
      <c r="R17">
        <v>311.19</v>
      </c>
      <c r="S17">
        <v>311.19</v>
      </c>
      <c r="T17">
        <v>311.19</v>
      </c>
      <c r="U17">
        <v>311.19</v>
      </c>
      <c r="V17">
        <v>311.16</v>
      </c>
      <c r="W17">
        <v>311.16</v>
      </c>
      <c r="X17">
        <v>311.16</v>
      </c>
      <c r="Y17">
        <v>311.16</v>
      </c>
      <c r="Z17">
        <v>310.93</v>
      </c>
      <c r="AA17">
        <v>310.93</v>
      </c>
      <c r="AB17">
        <v>310.93</v>
      </c>
      <c r="AC17">
        <v>310.93</v>
      </c>
      <c r="AD17">
        <v>311.08</v>
      </c>
      <c r="AE17">
        <v>311.08</v>
      </c>
      <c r="AF17">
        <v>311.08</v>
      </c>
      <c r="AG17">
        <v>311.08</v>
      </c>
      <c r="AH17">
        <v>311.34</v>
      </c>
      <c r="AI17">
        <v>311.34</v>
      </c>
      <c r="AJ17">
        <v>311.34</v>
      </c>
      <c r="AK17">
        <v>311.34</v>
      </c>
      <c r="AL17">
        <v>310.45</v>
      </c>
      <c r="AM17">
        <v>310.45</v>
      </c>
      <c r="AN17">
        <v>310.45</v>
      </c>
      <c r="AO17">
        <v>310.45</v>
      </c>
      <c r="AP17">
        <v>319.83</v>
      </c>
      <c r="AQ17">
        <v>319.83</v>
      </c>
      <c r="AR17">
        <v>319.83</v>
      </c>
      <c r="AS17">
        <v>319.83</v>
      </c>
      <c r="AT17">
        <v>319.48</v>
      </c>
      <c r="AU17">
        <v>319.48</v>
      </c>
      <c r="AV17">
        <v>319.48</v>
      </c>
      <c r="AW17">
        <v>319.48</v>
      </c>
      <c r="AX17">
        <v>319.23</v>
      </c>
      <c r="AY17">
        <v>319.23</v>
      </c>
      <c r="AZ17">
        <v>319.23</v>
      </c>
      <c r="BA17">
        <v>319.23</v>
      </c>
      <c r="BB17">
        <v>309.47</v>
      </c>
      <c r="BC17">
        <v>309.47</v>
      </c>
      <c r="BD17">
        <v>309.47</v>
      </c>
      <c r="BE17">
        <v>309.47</v>
      </c>
      <c r="BF17">
        <v>309.78</v>
      </c>
      <c r="BG17">
        <v>309.78</v>
      </c>
      <c r="BH17">
        <v>309.78</v>
      </c>
      <c r="BI17">
        <v>309.78</v>
      </c>
      <c r="BJ17">
        <v>309.38</v>
      </c>
      <c r="BK17">
        <v>309.38</v>
      </c>
      <c r="BL17">
        <v>309.38</v>
      </c>
      <c r="BM17">
        <v>309.38</v>
      </c>
      <c r="BN17">
        <v>310.16</v>
      </c>
      <c r="BO17">
        <v>310.16</v>
      </c>
      <c r="BP17">
        <v>310.16</v>
      </c>
      <c r="BQ17">
        <v>310.16</v>
      </c>
      <c r="BR17">
        <v>301.47</v>
      </c>
      <c r="BS17">
        <v>301.47</v>
      </c>
      <c r="BT17">
        <v>301.47</v>
      </c>
      <c r="BU17">
        <v>301.47</v>
      </c>
      <c r="BV17">
        <v>301.9</v>
      </c>
      <c r="BW17">
        <v>301.9</v>
      </c>
      <c r="BX17">
        <v>301.9</v>
      </c>
      <c r="BY17">
        <v>301.9</v>
      </c>
      <c r="BZ17">
        <v>313.81</v>
      </c>
      <c r="CA17">
        <v>313.81</v>
      </c>
      <c r="CB17">
        <v>313.81</v>
      </c>
      <c r="CC17">
        <v>313.81</v>
      </c>
      <c r="CD17">
        <v>324.57</v>
      </c>
      <c r="CE17">
        <v>324.57</v>
      </c>
      <c r="CF17">
        <v>324.57</v>
      </c>
      <c r="CG17">
        <v>324.57</v>
      </c>
      <c r="CH17">
        <v>323.71</v>
      </c>
      <c r="CI17">
        <v>323.71</v>
      </c>
      <c r="CJ17">
        <v>323.71</v>
      </c>
      <c r="CK17">
        <v>323.71</v>
      </c>
      <c r="CL17">
        <v>311.97</v>
      </c>
      <c r="CM17">
        <v>311.97</v>
      </c>
      <c r="CN17">
        <v>311.97</v>
      </c>
      <c r="CO17">
        <v>311.97</v>
      </c>
      <c r="CP17">
        <v>311.88</v>
      </c>
      <c r="CQ17">
        <v>311.88</v>
      </c>
      <c r="CR17">
        <v>311.88</v>
      </c>
      <c r="CS17">
        <v>311.88</v>
      </c>
    </row>
    <row r="18" spans="1:97">
      <c r="A18" s="9">
        <v>46251</v>
      </c>
      <c r="B18">
        <v>315.85</v>
      </c>
      <c r="C18">
        <v>315.85</v>
      </c>
      <c r="D18">
        <v>315.85</v>
      </c>
      <c r="E18">
        <v>315.85</v>
      </c>
      <c r="F18">
        <v>304.51</v>
      </c>
      <c r="G18">
        <v>304.51</v>
      </c>
      <c r="H18">
        <v>304.51</v>
      </c>
      <c r="I18">
        <v>304.51</v>
      </c>
      <c r="J18">
        <v>304.15</v>
      </c>
      <c r="K18">
        <v>304.15</v>
      </c>
      <c r="L18">
        <v>304.15</v>
      </c>
      <c r="M18">
        <v>304.15</v>
      </c>
      <c r="N18">
        <v>314.42</v>
      </c>
      <c r="O18">
        <v>314.42</v>
      </c>
      <c r="P18">
        <v>314.42</v>
      </c>
      <c r="Q18">
        <v>314.42</v>
      </c>
      <c r="R18">
        <v>314.87</v>
      </c>
      <c r="S18">
        <v>314.87</v>
      </c>
      <c r="T18">
        <v>314.87</v>
      </c>
      <c r="U18">
        <v>314.87</v>
      </c>
      <c r="V18">
        <v>314.83</v>
      </c>
      <c r="W18">
        <v>314.83</v>
      </c>
      <c r="X18">
        <v>314.83</v>
      </c>
      <c r="Y18">
        <v>314.83</v>
      </c>
      <c r="Z18">
        <v>314.36</v>
      </c>
      <c r="AA18">
        <v>314.36</v>
      </c>
      <c r="AB18">
        <v>314.36</v>
      </c>
      <c r="AC18">
        <v>314.36</v>
      </c>
      <c r="AD18">
        <v>315.4</v>
      </c>
      <c r="AE18">
        <v>315.4</v>
      </c>
      <c r="AF18">
        <v>315.4</v>
      </c>
      <c r="AG18">
        <v>315.4</v>
      </c>
      <c r="AH18">
        <v>316.46</v>
      </c>
      <c r="AI18">
        <v>316.46</v>
      </c>
      <c r="AJ18">
        <v>316.46</v>
      </c>
      <c r="AK18">
        <v>316.46</v>
      </c>
      <c r="AL18">
        <v>317.88</v>
      </c>
      <c r="AM18">
        <v>317.88</v>
      </c>
      <c r="AN18">
        <v>317.88</v>
      </c>
      <c r="AO18">
        <v>317.88</v>
      </c>
      <c r="AP18">
        <v>327.71</v>
      </c>
      <c r="AQ18">
        <v>327.71</v>
      </c>
      <c r="AR18">
        <v>327.71</v>
      </c>
      <c r="AS18">
        <v>327.71</v>
      </c>
      <c r="AT18">
        <v>327.51</v>
      </c>
      <c r="AU18">
        <v>327.51</v>
      </c>
      <c r="AV18">
        <v>327.51</v>
      </c>
      <c r="AW18">
        <v>327.51</v>
      </c>
      <c r="AX18">
        <v>326.58</v>
      </c>
      <c r="AY18">
        <v>326.58</v>
      </c>
      <c r="AZ18">
        <v>326.58</v>
      </c>
      <c r="BA18">
        <v>326.58</v>
      </c>
      <c r="BB18">
        <v>315.14</v>
      </c>
      <c r="BC18">
        <v>315.14</v>
      </c>
      <c r="BD18">
        <v>315.14</v>
      </c>
      <c r="BE18">
        <v>315.14</v>
      </c>
      <c r="BF18">
        <v>315.72</v>
      </c>
      <c r="BG18">
        <v>315.72</v>
      </c>
      <c r="BH18">
        <v>315.72</v>
      </c>
      <c r="BI18">
        <v>315.72</v>
      </c>
      <c r="BJ18">
        <v>315.63</v>
      </c>
      <c r="BK18">
        <v>315.63</v>
      </c>
      <c r="BL18">
        <v>315.63</v>
      </c>
      <c r="BM18">
        <v>315.63</v>
      </c>
      <c r="BN18">
        <v>316.99</v>
      </c>
      <c r="BO18">
        <v>316.99</v>
      </c>
      <c r="BP18">
        <v>316.99</v>
      </c>
      <c r="BQ18">
        <v>316.99</v>
      </c>
      <c r="BR18">
        <v>307.14</v>
      </c>
      <c r="BS18">
        <v>307.14</v>
      </c>
      <c r="BT18">
        <v>307.14</v>
      </c>
      <c r="BU18">
        <v>307.14</v>
      </c>
      <c r="BV18">
        <v>307.14</v>
      </c>
      <c r="BW18">
        <v>307.14</v>
      </c>
      <c r="BX18">
        <v>307.14</v>
      </c>
      <c r="BY18">
        <v>307.14</v>
      </c>
      <c r="BZ18">
        <v>317.61</v>
      </c>
      <c r="CA18">
        <v>317.61</v>
      </c>
      <c r="CB18">
        <v>317.61</v>
      </c>
      <c r="CC18">
        <v>317.61</v>
      </c>
      <c r="CD18">
        <v>331.87</v>
      </c>
      <c r="CE18">
        <v>331.87</v>
      </c>
      <c r="CF18">
        <v>331.87</v>
      </c>
      <c r="CG18">
        <v>331.87</v>
      </c>
      <c r="CH18">
        <v>329.83</v>
      </c>
      <c r="CI18">
        <v>329.83</v>
      </c>
      <c r="CJ18">
        <v>329.83</v>
      </c>
      <c r="CK18">
        <v>329.83</v>
      </c>
      <c r="CL18">
        <v>315.83</v>
      </c>
      <c r="CM18">
        <v>315.83</v>
      </c>
      <c r="CN18">
        <v>315.83</v>
      </c>
      <c r="CO18">
        <v>315.83</v>
      </c>
      <c r="CP18">
        <v>315.68</v>
      </c>
      <c r="CQ18">
        <v>315.68</v>
      </c>
      <c r="CR18">
        <v>315.68</v>
      </c>
      <c r="CS18">
        <v>315.68</v>
      </c>
    </row>
    <row r="19" spans="1:97">
      <c r="A19" s="9">
        <v>46252</v>
      </c>
      <c r="B19">
        <v>315.85</v>
      </c>
      <c r="C19">
        <v>315.85</v>
      </c>
      <c r="D19">
        <v>315.85</v>
      </c>
      <c r="E19">
        <v>315.85</v>
      </c>
      <c r="F19">
        <v>304.51</v>
      </c>
      <c r="G19">
        <v>304.51</v>
      </c>
      <c r="H19">
        <v>304.51</v>
      </c>
      <c r="I19">
        <v>304.51</v>
      </c>
      <c r="J19">
        <v>304.15</v>
      </c>
      <c r="K19">
        <v>304.15</v>
      </c>
      <c r="L19">
        <v>304.15</v>
      </c>
      <c r="M19">
        <v>304.15</v>
      </c>
      <c r="N19">
        <v>314.42</v>
      </c>
      <c r="O19">
        <v>314.42</v>
      </c>
      <c r="P19">
        <v>314.42</v>
      </c>
      <c r="Q19">
        <v>314.42</v>
      </c>
      <c r="R19">
        <v>314.87</v>
      </c>
      <c r="S19">
        <v>314.87</v>
      </c>
      <c r="T19">
        <v>314.87</v>
      </c>
      <c r="U19">
        <v>314.87</v>
      </c>
      <c r="V19">
        <v>314.83</v>
      </c>
      <c r="W19">
        <v>314.83</v>
      </c>
      <c r="X19">
        <v>314.83</v>
      </c>
      <c r="Y19">
        <v>314.83</v>
      </c>
      <c r="Z19">
        <v>314.36</v>
      </c>
      <c r="AA19">
        <v>314.36</v>
      </c>
      <c r="AB19">
        <v>314.36</v>
      </c>
      <c r="AC19">
        <v>314.36</v>
      </c>
      <c r="AD19">
        <v>315.4</v>
      </c>
      <c r="AE19">
        <v>315.4</v>
      </c>
      <c r="AF19">
        <v>315.4</v>
      </c>
      <c r="AG19">
        <v>315.4</v>
      </c>
      <c r="AH19">
        <v>316.46</v>
      </c>
      <c r="AI19">
        <v>316.46</v>
      </c>
      <c r="AJ19">
        <v>316.46</v>
      </c>
      <c r="AK19">
        <v>316.46</v>
      </c>
      <c r="AL19">
        <v>317.88</v>
      </c>
      <c r="AM19">
        <v>317.88</v>
      </c>
      <c r="AN19">
        <v>317.88</v>
      </c>
      <c r="AO19">
        <v>317.88</v>
      </c>
      <c r="AP19">
        <v>327.71</v>
      </c>
      <c r="AQ19">
        <v>327.71</v>
      </c>
      <c r="AR19">
        <v>327.71</v>
      </c>
      <c r="AS19">
        <v>327.71</v>
      </c>
      <c r="AT19">
        <v>327.51</v>
      </c>
      <c r="AU19">
        <v>327.51</v>
      </c>
      <c r="AV19">
        <v>327.51</v>
      </c>
      <c r="AW19">
        <v>327.51</v>
      </c>
      <c r="AX19">
        <v>326.58</v>
      </c>
      <c r="AY19">
        <v>326.58</v>
      </c>
      <c r="AZ19">
        <v>326.58</v>
      </c>
      <c r="BA19">
        <v>326.58</v>
      </c>
      <c r="BB19">
        <v>315.14</v>
      </c>
      <c r="BC19">
        <v>315.14</v>
      </c>
      <c r="BD19">
        <v>315.14</v>
      </c>
      <c r="BE19">
        <v>315.14</v>
      </c>
      <c r="BF19">
        <v>315.72</v>
      </c>
      <c r="BG19">
        <v>315.72</v>
      </c>
      <c r="BH19">
        <v>315.72</v>
      </c>
      <c r="BI19">
        <v>315.72</v>
      </c>
      <c r="BJ19">
        <v>315.63</v>
      </c>
      <c r="BK19">
        <v>315.63</v>
      </c>
      <c r="BL19">
        <v>315.63</v>
      </c>
      <c r="BM19">
        <v>315.63</v>
      </c>
      <c r="BN19">
        <v>316.99</v>
      </c>
      <c r="BO19">
        <v>316.99</v>
      </c>
      <c r="BP19">
        <v>316.99</v>
      </c>
      <c r="BQ19">
        <v>316.99</v>
      </c>
      <c r="BR19">
        <v>307.14</v>
      </c>
      <c r="BS19">
        <v>307.14</v>
      </c>
      <c r="BT19">
        <v>307.14</v>
      </c>
      <c r="BU19">
        <v>307.14</v>
      </c>
      <c r="BV19">
        <v>307.14</v>
      </c>
      <c r="BW19">
        <v>307.14</v>
      </c>
      <c r="BX19">
        <v>307.14</v>
      </c>
      <c r="BY19">
        <v>307.14</v>
      </c>
      <c r="BZ19">
        <v>317.61</v>
      </c>
      <c r="CA19">
        <v>317.61</v>
      </c>
      <c r="CB19">
        <v>317.61</v>
      </c>
      <c r="CC19">
        <v>317.61</v>
      </c>
      <c r="CD19">
        <v>331.87</v>
      </c>
      <c r="CE19">
        <v>331.87</v>
      </c>
      <c r="CF19">
        <v>331.87</v>
      </c>
      <c r="CG19">
        <v>331.87</v>
      </c>
      <c r="CH19">
        <v>329.83</v>
      </c>
      <c r="CI19">
        <v>329.83</v>
      </c>
      <c r="CJ19">
        <v>329.83</v>
      </c>
      <c r="CK19">
        <v>329.83</v>
      </c>
      <c r="CL19">
        <v>315.83</v>
      </c>
      <c r="CM19">
        <v>315.83</v>
      </c>
      <c r="CN19">
        <v>315.83</v>
      </c>
      <c r="CO19">
        <v>315.83</v>
      </c>
      <c r="CP19">
        <v>315.68</v>
      </c>
      <c r="CQ19">
        <v>315.68</v>
      </c>
      <c r="CR19">
        <v>315.68</v>
      </c>
      <c r="CS19">
        <v>315.68</v>
      </c>
    </row>
    <row r="20" spans="1:97">
      <c r="A20" s="9">
        <v>46253</v>
      </c>
      <c r="B20">
        <v>315.85</v>
      </c>
      <c r="C20">
        <v>315.85</v>
      </c>
      <c r="D20">
        <v>315.85</v>
      </c>
      <c r="E20">
        <v>315.85</v>
      </c>
      <c r="F20">
        <v>304.51</v>
      </c>
      <c r="G20">
        <v>304.51</v>
      </c>
      <c r="H20">
        <v>304.51</v>
      </c>
      <c r="I20">
        <v>304.51</v>
      </c>
      <c r="J20">
        <v>304.15</v>
      </c>
      <c r="K20">
        <v>304.15</v>
      </c>
      <c r="L20">
        <v>304.15</v>
      </c>
      <c r="M20">
        <v>304.15</v>
      </c>
      <c r="N20">
        <v>314.42</v>
      </c>
      <c r="O20">
        <v>314.42</v>
      </c>
      <c r="P20">
        <v>314.42</v>
      </c>
      <c r="Q20">
        <v>314.42</v>
      </c>
      <c r="R20">
        <v>314.87</v>
      </c>
      <c r="S20">
        <v>314.87</v>
      </c>
      <c r="T20">
        <v>314.87</v>
      </c>
      <c r="U20">
        <v>314.87</v>
      </c>
      <c r="V20">
        <v>314.83</v>
      </c>
      <c r="W20">
        <v>314.83</v>
      </c>
      <c r="X20">
        <v>314.83</v>
      </c>
      <c r="Y20">
        <v>314.83</v>
      </c>
      <c r="Z20">
        <v>314.36</v>
      </c>
      <c r="AA20">
        <v>314.36</v>
      </c>
      <c r="AB20">
        <v>314.36</v>
      </c>
      <c r="AC20">
        <v>314.36</v>
      </c>
      <c r="AD20">
        <v>315.4</v>
      </c>
      <c r="AE20">
        <v>315.4</v>
      </c>
      <c r="AF20">
        <v>315.4</v>
      </c>
      <c r="AG20">
        <v>315.4</v>
      </c>
      <c r="AH20">
        <v>316.46</v>
      </c>
      <c r="AI20">
        <v>316.46</v>
      </c>
      <c r="AJ20">
        <v>316.46</v>
      </c>
      <c r="AK20">
        <v>316.46</v>
      </c>
      <c r="AL20">
        <v>317.88</v>
      </c>
      <c r="AM20">
        <v>317.88</v>
      </c>
      <c r="AN20">
        <v>317.88</v>
      </c>
      <c r="AO20">
        <v>317.88</v>
      </c>
      <c r="AP20">
        <v>327.71</v>
      </c>
      <c r="AQ20">
        <v>327.71</v>
      </c>
      <c r="AR20">
        <v>327.71</v>
      </c>
      <c r="AS20">
        <v>327.71</v>
      </c>
      <c r="AT20">
        <v>327.51</v>
      </c>
      <c r="AU20">
        <v>327.51</v>
      </c>
      <c r="AV20">
        <v>327.51</v>
      </c>
      <c r="AW20">
        <v>327.51</v>
      </c>
      <c r="AX20">
        <v>326.58</v>
      </c>
      <c r="AY20">
        <v>326.58</v>
      </c>
      <c r="AZ20">
        <v>326.58</v>
      </c>
      <c r="BA20">
        <v>326.58</v>
      </c>
      <c r="BB20">
        <v>315.14</v>
      </c>
      <c r="BC20">
        <v>315.14</v>
      </c>
      <c r="BD20">
        <v>315.14</v>
      </c>
      <c r="BE20">
        <v>315.14</v>
      </c>
      <c r="BF20">
        <v>315.72</v>
      </c>
      <c r="BG20">
        <v>315.72</v>
      </c>
      <c r="BH20">
        <v>315.72</v>
      </c>
      <c r="BI20">
        <v>315.72</v>
      </c>
      <c r="BJ20">
        <v>315.63</v>
      </c>
      <c r="BK20">
        <v>315.63</v>
      </c>
      <c r="BL20">
        <v>315.63</v>
      </c>
      <c r="BM20">
        <v>315.63</v>
      </c>
      <c r="BN20">
        <v>316.99</v>
      </c>
      <c r="BO20">
        <v>316.99</v>
      </c>
      <c r="BP20">
        <v>316.99</v>
      </c>
      <c r="BQ20">
        <v>316.99</v>
      </c>
      <c r="BR20">
        <v>307.14</v>
      </c>
      <c r="BS20">
        <v>307.14</v>
      </c>
      <c r="BT20">
        <v>307.14</v>
      </c>
      <c r="BU20">
        <v>307.14</v>
      </c>
      <c r="BV20">
        <v>307.14</v>
      </c>
      <c r="BW20">
        <v>307.14</v>
      </c>
      <c r="BX20">
        <v>307.14</v>
      </c>
      <c r="BY20">
        <v>307.14</v>
      </c>
      <c r="BZ20">
        <v>317.61</v>
      </c>
      <c r="CA20">
        <v>317.61</v>
      </c>
      <c r="CB20">
        <v>317.61</v>
      </c>
      <c r="CC20">
        <v>317.61</v>
      </c>
      <c r="CD20">
        <v>331.87</v>
      </c>
      <c r="CE20">
        <v>331.87</v>
      </c>
      <c r="CF20">
        <v>331.87</v>
      </c>
      <c r="CG20">
        <v>331.87</v>
      </c>
      <c r="CH20">
        <v>329.83</v>
      </c>
      <c r="CI20">
        <v>329.83</v>
      </c>
      <c r="CJ20">
        <v>329.83</v>
      </c>
      <c r="CK20">
        <v>329.83</v>
      </c>
      <c r="CL20">
        <v>315.83</v>
      </c>
      <c r="CM20">
        <v>315.83</v>
      </c>
      <c r="CN20">
        <v>315.83</v>
      </c>
      <c r="CO20">
        <v>315.83</v>
      </c>
      <c r="CP20">
        <v>315.68</v>
      </c>
      <c r="CQ20">
        <v>315.68</v>
      </c>
      <c r="CR20">
        <v>315.68</v>
      </c>
      <c r="CS20">
        <v>315.68</v>
      </c>
    </row>
    <row r="21" spans="1:97">
      <c r="A21" s="9">
        <v>46254</v>
      </c>
      <c r="B21">
        <v>315.33</v>
      </c>
      <c r="C21">
        <v>315.33</v>
      </c>
      <c r="D21">
        <v>315.33</v>
      </c>
      <c r="E21">
        <v>315.33</v>
      </c>
      <c r="F21">
        <v>304.28</v>
      </c>
      <c r="G21">
        <v>304.28</v>
      </c>
      <c r="H21">
        <v>304.28</v>
      </c>
      <c r="I21">
        <v>304.28</v>
      </c>
      <c r="J21">
        <v>305.58</v>
      </c>
      <c r="K21">
        <v>305.58</v>
      </c>
      <c r="L21">
        <v>305.58</v>
      </c>
      <c r="M21">
        <v>305.58</v>
      </c>
      <c r="N21">
        <v>315.59</v>
      </c>
      <c r="O21">
        <v>315.59</v>
      </c>
      <c r="P21">
        <v>315.59</v>
      </c>
      <c r="Q21">
        <v>315.59</v>
      </c>
      <c r="R21">
        <v>315.79</v>
      </c>
      <c r="S21">
        <v>315.79</v>
      </c>
      <c r="T21">
        <v>315.79</v>
      </c>
      <c r="U21">
        <v>315.79</v>
      </c>
      <c r="V21">
        <v>316</v>
      </c>
      <c r="W21">
        <v>316</v>
      </c>
      <c r="X21">
        <v>316</v>
      </c>
      <c r="Y21">
        <v>316</v>
      </c>
      <c r="Z21">
        <v>316.14</v>
      </c>
      <c r="AA21">
        <v>316.14</v>
      </c>
      <c r="AB21">
        <v>316.14</v>
      </c>
      <c r="AC21">
        <v>316.14</v>
      </c>
      <c r="AD21">
        <v>317.35</v>
      </c>
      <c r="AE21">
        <v>317.35</v>
      </c>
      <c r="AF21">
        <v>317.35</v>
      </c>
      <c r="AG21">
        <v>317.35</v>
      </c>
      <c r="AH21">
        <v>317.2</v>
      </c>
      <c r="AI21">
        <v>317.2</v>
      </c>
      <c r="AJ21">
        <v>317.2</v>
      </c>
      <c r="AK21">
        <v>317.2</v>
      </c>
      <c r="AL21">
        <v>317.58</v>
      </c>
      <c r="AM21">
        <v>317.58</v>
      </c>
      <c r="AN21">
        <v>317.58</v>
      </c>
      <c r="AO21">
        <v>317.58</v>
      </c>
      <c r="AP21">
        <v>328.14</v>
      </c>
      <c r="AQ21">
        <v>328.14</v>
      </c>
      <c r="AR21">
        <v>328.14</v>
      </c>
      <c r="AS21">
        <v>328.14</v>
      </c>
      <c r="AT21">
        <v>327.85</v>
      </c>
      <c r="AU21">
        <v>327.85</v>
      </c>
      <c r="AV21">
        <v>327.85</v>
      </c>
      <c r="AW21">
        <v>327.85</v>
      </c>
      <c r="AX21">
        <v>327.56</v>
      </c>
      <c r="AY21">
        <v>327.56</v>
      </c>
      <c r="AZ21">
        <v>327.56</v>
      </c>
      <c r="BA21">
        <v>327.56</v>
      </c>
      <c r="BB21">
        <v>317.86</v>
      </c>
      <c r="BC21">
        <v>317.86</v>
      </c>
      <c r="BD21">
        <v>317.86</v>
      </c>
      <c r="BE21">
        <v>317.86</v>
      </c>
      <c r="BF21">
        <v>316.8</v>
      </c>
      <c r="BG21">
        <v>316.8</v>
      </c>
      <c r="BH21">
        <v>316.8</v>
      </c>
      <c r="BI21">
        <v>316.8</v>
      </c>
      <c r="BJ21">
        <v>318.09</v>
      </c>
      <c r="BK21">
        <v>318.09</v>
      </c>
      <c r="BL21">
        <v>318.09</v>
      </c>
      <c r="BM21">
        <v>318.09</v>
      </c>
      <c r="BN21">
        <v>319.16</v>
      </c>
      <c r="BO21">
        <v>319.16</v>
      </c>
      <c r="BP21">
        <v>319.16</v>
      </c>
      <c r="BQ21">
        <v>319.16</v>
      </c>
      <c r="BR21">
        <v>307.73</v>
      </c>
      <c r="BS21">
        <v>307.73</v>
      </c>
      <c r="BT21">
        <v>307.73</v>
      </c>
      <c r="BU21">
        <v>307.73</v>
      </c>
      <c r="BV21">
        <v>306.61</v>
      </c>
      <c r="BW21">
        <v>306.61</v>
      </c>
      <c r="BX21">
        <v>306.61</v>
      </c>
      <c r="BY21">
        <v>306.61</v>
      </c>
      <c r="BZ21">
        <v>318.18</v>
      </c>
      <c r="CA21">
        <v>318.18</v>
      </c>
      <c r="CB21">
        <v>318.18</v>
      </c>
      <c r="CC21">
        <v>318.18</v>
      </c>
      <c r="CD21">
        <v>330.78</v>
      </c>
      <c r="CE21">
        <v>330.78</v>
      </c>
      <c r="CF21">
        <v>330.78</v>
      </c>
      <c r="CG21">
        <v>330.78</v>
      </c>
      <c r="CH21">
        <v>329.89</v>
      </c>
      <c r="CI21">
        <v>329.89</v>
      </c>
      <c r="CJ21">
        <v>329.89</v>
      </c>
      <c r="CK21">
        <v>329.89</v>
      </c>
      <c r="CL21">
        <v>315.16</v>
      </c>
      <c r="CM21">
        <v>315.16</v>
      </c>
      <c r="CN21">
        <v>315.16</v>
      </c>
      <c r="CO21">
        <v>315.16</v>
      </c>
      <c r="CP21">
        <v>314.87</v>
      </c>
      <c r="CQ21">
        <v>314.87</v>
      </c>
      <c r="CR21">
        <v>314.87</v>
      </c>
      <c r="CS21">
        <v>314.87</v>
      </c>
    </row>
    <row r="22" spans="1:97">
      <c r="A22" s="9">
        <v>46255</v>
      </c>
      <c r="B22">
        <v>314.83</v>
      </c>
      <c r="C22">
        <v>314.83</v>
      </c>
      <c r="D22">
        <v>314.83</v>
      </c>
      <c r="E22">
        <v>314.83</v>
      </c>
      <c r="F22">
        <v>303.78</v>
      </c>
      <c r="G22">
        <v>303.78</v>
      </c>
      <c r="H22">
        <v>303.78</v>
      </c>
      <c r="I22">
        <v>303.78</v>
      </c>
      <c r="J22">
        <v>305.08</v>
      </c>
      <c r="K22">
        <v>305.08</v>
      </c>
      <c r="L22">
        <v>305.08</v>
      </c>
      <c r="M22">
        <v>305.08</v>
      </c>
      <c r="N22">
        <v>315.09</v>
      </c>
      <c r="O22">
        <v>315.09</v>
      </c>
      <c r="P22">
        <v>315.09</v>
      </c>
      <c r="Q22">
        <v>315.09</v>
      </c>
      <c r="R22">
        <v>315.29</v>
      </c>
      <c r="S22">
        <v>315.29</v>
      </c>
      <c r="T22">
        <v>315.29</v>
      </c>
      <c r="U22">
        <v>315.29</v>
      </c>
      <c r="V22">
        <v>315.5</v>
      </c>
      <c r="W22">
        <v>315.5</v>
      </c>
      <c r="X22">
        <v>315.5</v>
      </c>
      <c r="Y22">
        <v>315.5</v>
      </c>
      <c r="Z22">
        <v>315.64</v>
      </c>
      <c r="AA22">
        <v>315.64</v>
      </c>
      <c r="AB22">
        <v>315.64</v>
      </c>
      <c r="AC22">
        <v>315.64</v>
      </c>
      <c r="AD22">
        <v>316.85</v>
      </c>
      <c r="AE22">
        <v>316.85</v>
      </c>
      <c r="AF22">
        <v>316.85</v>
      </c>
      <c r="AG22">
        <v>316.85</v>
      </c>
      <c r="AH22">
        <v>316.7</v>
      </c>
      <c r="AI22">
        <v>316.7</v>
      </c>
      <c r="AJ22">
        <v>316.7</v>
      </c>
      <c r="AK22">
        <v>316.7</v>
      </c>
      <c r="AL22">
        <v>317.08</v>
      </c>
      <c r="AM22">
        <v>317.08</v>
      </c>
      <c r="AN22">
        <v>317.08</v>
      </c>
      <c r="AO22">
        <v>317.08</v>
      </c>
      <c r="AP22">
        <v>327.64</v>
      </c>
      <c r="AQ22">
        <v>327.64</v>
      </c>
      <c r="AR22">
        <v>327.64</v>
      </c>
      <c r="AS22">
        <v>327.64</v>
      </c>
      <c r="AT22">
        <v>327.35</v>
      </c>
      <c r="AU22">
        <v>327.35</v>
      </c>
      <c r="AV22">
        <v>327.35</v>
      </c>
      <c r="AW22">
        <v>327.35</v>
      </c>
      <c r="AX22">
        <v>327.06</v>
      </c>
      <c r="AY22">
        <v>327.06</v>
      </c>
      <c r="AZ22">
        <v>327.06</v>
      </c>
      <c r="BA22">
        <v>327.06</v>
      </c>
      <c r="BB22">
        <v>317.36</v>
      </c>
      <c r="BC22">
        <v>317.36</v>
      </c>
      <c r="BD22">
        <v>317.36</v>
      </c>
      <c r="BE22">
        <v>317.36</v>
      </c>
      <c r="BF22">
        <v>316.3</v>
      </c>
      <c r="BG22">
        <v>316.3</v>
      </c>
      <c r="BH22">
        <v>316.3</v>
      </c>
      <c r="BI22">
        <v>316.3</v>
      </c>
      <c r="BJ22">
        <v>317.59</v>
      </c>
      <c r="BK22">
        <v>317.59</v>
      </c>
      <c r="BL22">
        <v>317.59</v>
      </c>
      <c r="BM22">
        <v>317.59</v>
      </c>
      <c r="BN22">
        <v>318.66</v>
      </c>
      <c r="BO22">
        <v>318.66</v>
      </c>
      <c r="BP22">
        <v>318.66</v>
      </c>
      <c r="BQ22">
        <v>318.66</v>
      </c>
      <c r="BR22">
        <v>307.23</v>
      </c>
      <c r="BS22">
        <v>307.23</v>
      </c>
      <c r="BT22">
        <v>307.23</v>
      </c>
      <c r="BU22">
        <v>307.23</v>
      </c>
      <c r="BV22">
        <v>306.11</v>
      </c>
      <c r="BW22">
        <v>306.11</v>
      </c>
      <c r="BX22">
        <v>306.11</v>
      </c>
      <c r="BY22">
        <v>306.11</v>
      </c>
      <c r="BZ22">
        <v>317.68</v>
      </c>
      <c r="CA22">
        <v>317.68</v>
      </c>
      <c r="CB22">
        <v>317.68</v>
      </c>
      <c r="CC22">
        <v>317.68</v>
      </c>
      <c r="CD22">
        <v>330.28</v>
      </c>
      <c r="CE22">
        <v>330.28</v>
      </c>
      <c r="CF22">
        <v>330.28</v>
      </c>
      <c r="CG22">
        <v>330.28</v>
      </c>
      <c r="CH22">
        <v>329.39</v>
      </c>
      <c r="CI22">
        <v>329.39</v>
      </c>
      <c r="CJ22">
        <v>329.39</v>
      </c>
      <c r="CK22">
        <v>329.39</v>
      </c>
      <c r="CL22">
        <v>314.66</v>
      </c>
      <c r="CM22">
        <v>314.66</v>
      </c>
      <c r="CN22">
        <v>314.66</v>
      </c>
      <c r="CO22">
        <v>314.66</v>
      </c>
      <c r="CP22">
        <v>314.37</v>
      </c>
      <c r="CQ22">
        <v>314.37</v>
      </c>
      <c r="CR22">
        <v>314.37</v>
      </c>
      <c r="CS22">
        <v>314.37</v>
      </c>
    </row>
    <row r="23" spans="1:97">
      <c r="A23" s="9">
        <v>46256</v>
      </c>
      <c r="B23">
        <v>313.51</v>
      </c>
      <c r="C23">
        <v>313.51</v>
      </c>
      <c r="D23">
        <v>313.51</v>
      </c>
      <c r="E23">
        <v>313.51</v>
      </c>
      <c r="F23">
        <v>304.33</v>
      </c>
      <c r="G23">
        <v>304.33</v>
      </c>
      <c r="H23">
        <v>304.33</v>
      </c>
      <c r="I23">
        <v>304.33</v>
      </c>
      <c r="J23">
        <v>304.27</v>
      </c>
      <c r="K23">
        <v>304.27</v>
      </c>
      <c r="L23">
        <v>304.27</v>
      </c>
      <c r="M23">
        <v>304.27</v>
      </c>
      <c r="N23">
        <v>314.6</v>
      </c>
      <c r="O23">
        <v>314.6</v>
      </c>
      <c r="P23">
        <v>314.6</v>
      </c>
      <c r="Q23">
        <v>314.6</v>
      </c>
      <c r="R23">
        <v>315.18</v>
      </c>
      <c r="S23">
        <v>315.18</v>
      </c>
      <c r="T23">
        <v>315.18</v>
      </c>
      <c r="U23">
        <v>315.18</v>
      </c>
      <c r="V23">
        <v>315.04</v>
      </c>
      <c r="W23">
        <v>315.04</v>
      </c>
      <c r="X23">
        <v>315.04</v>
      </c>
      <c r="Y23">
        <v>315.04</v>
      </c>
      <c r="Z23">
        <v>315.52</v>
      </c>
      <c r="AA23">
        <v>315.52</v>
      </c>
      <c r="AB23">
        <v>315.52</v>
      </c>
      <c r="AC23">
        <v>315.52</v>
      </c>
      <c r="AD23">
        <v>316.42</v>
      </c>
      <c r="AE23">
        <v>316.42</v>
      </c>
      <c r="AF23">
        <v>316.42</v>
      </c>
      <c r="AG23">
        <v>316.42</v>
      </c>
      <c r="AH23">
        <v>316.04</v>
      </c>
      <c r="AI23">
        <v>316.04</v>
      </c>
      <c r="AJ23">
        <v>316.04</v>
      </c>
      <c r="AK23">
        <v>316.04</v>
      </c>
      <c r="AL23">
        <v>316.36</v>
      </c>
      <c r="AM23">
        <v>316.36</v>
      </c>
      <c r="AN23">
        <v>316.36</v>
      </c>
      <c r="AO23">
        <v>316.36</v>
      </c>
      <c r="AP23">
        <v>327.06</v>
      </c>
      <c r="AQ23">
        <v>327.06</v>
      </c>
      <c r="AR23">
        <v>327.06</v>
      </c>
      <c r="AS23">
        <v>327.06</v>
      </c>
      <c r="AT23">
        <v>325.19</v>
      </c>
      <c r="AU23">
        <v>325.19</v>
      </c>
      <c r="AV23">
        <v>325.19</v>
      </c>
      <c r="AW23">
        <v>325.19</v>
      </c>
      <c r="AX23">
        <v>325.97</v>
      </c>
      <c r="AY23">
        <v>325.97</v>
      </c>
      <c r="AZ23">
        <v>325.97</v>
      </c>
      <c r="BA23">
        <v>325.97</v>
      </c>
      <c r="BB23">
        <v>315.58</v>
      </c>
      <c r="BC23">
        <v>315.58</v>
      </c>
      <c r="BD23">
        <v>315.58</v>
      </c>
      <c r="BE23">
        <v>315.58</v>
      </c>
      <c r="BF23">
        <v>316.56</v>
      </c>
      <c r="BG23">
        <v>316.56</v>
      </c>
      <c r="BH23">
        <v>316.56</v>
      </c>
      <c r="BI23">
        <v>316.56</v>
      </c>
      <c r="BJ23">
        <v>316.65</v>
      </c>
      <c r="BK23">
        <v>316.65</v>
      </c>
      <c r="BL23">
        <v>316.65</v>
      </c>
      <c r="BM23">
        <v>316.65</v>
      </c>
      <c r="BN23">
        <v>316.82</v>
      </c>
      <c r="BO23">
        <v>316.82</v>
      </c>
      <c r="BP23">
        <v>316.82</v>
      </c>
      <c r="BQ23">
        <v>316.82</v>
      </c>
      <c r="BR23">
        <v>305.39</v>
      </c>
      <c r="BS23">
        <v>305.39</v>
      </c>
      <c r="BT23">
        <v>305.39</v>
      </c>
      <c r="BU23">
        <v>305.39</v>
      </c>
      <c r="BV23">
        <v>304.99</v>
      </c>
      <c r="BW23">
        <v>304.99</v>
      </c>
      <c r="BX23">
        <v>304.99</v>
      </c>
      <c r="BY23">
        <v>304.99</v>
      </c>
      <c r="BZ23">
        <v>315.64</v>
      </c>
      <c r="CA23">
        <v>315.64</v>
      </c>
      <c r="CB23">
        <v>315.64</v>
      </c>
      <c r="CC23">
        <v>315.64</v>
      </c>
      <c r="CD23">
        <v>327.93</v>
      </c>
      <c r="CE23">
        <v>327.93</v>
      </c>
      <c r="CF23">
        <v>327.93</v>
      </c>
      <c r="CG23">
        <v>327.93</v>
      </c>
      <c r="CH23">
        <v>328.59</v>
      </c>
      <c r="CI23">
        <v>328.59</v>
      </c>
      <c r="CJ23">
        <v>328.59</v>
      </c>
      <c r="CK23">
        <v>328.59</v>
      </c>
      <c r="CL23">
        <v>315.87</v>
      </c>
      <c r="CM23">
        <v>315.87</v>
      </c>
      <c r="CN23">
        <v>315.87</v>
      </c>
      <c r="CO23">
        <v>315.87</v>
      </c>
      <c r="CP23">
        <v>315.41</v>
      </c>
      <c r="CQ23">
        <v>315.41</v>
      </c>
      <c r="CR23">
        <v>315.41</v>
      </c>
      <c r="CS23">
        <v>315.41</v>
      </c>
    </row>
    <row r="24" spans="1:97">
      <c r="A24" s="9">
        <v>46257</v>
      </c>
      <c r="B24">
        <v>314.51</v>
      </c>
      <c r="C24">
        <v>314.51</v>
      </c>
      <c r="D24">
        <v>314.51</v>
      </c>
      <c r="E24">
        <v>314.51</v>
      </c>
      <c r="F24">
        <v>305.33</v>
      </c>
      <c r="G24">
        <v>305.33</v>
      </c>
      <c r="H24">
        <v>305.33</v>
      </c>
      <c r="I24">
        <v>305.33</v>
      </c>
      <c r="J24">
        <v>305.27</v>
      </c>
      <c r="K24">
        <v>305.27</v>
      </c>
      <c r="L24">
        <v>305.27</v>
      </c>
      <c r="M24">
        <v>305.27</v>
      </c>
      <c r="N24">
        <v>315.6</v>
      </c>
      <c r="O24">
        <v>315.6</v>
      </c>
      <c r="P24">
        <v>315.6</v>
      </c>
      <c r="Q24">
        <v>315.6</v>
      </c>
      <c r="R24">
        <v>316.18</v>
      </c>
      <c r="S24">
        <v>316.18</v>
      </c>
      <c r="T24">
        <v>316.18</v>
      </c>
      <c r="U24">
        <v>316.18</v>
      </c>
      <c r="V24">
        <v>316.04</v>
      </c>
      <c r="W24">
        <v>316.04</v>
      </c>
      <c r="X24">
        <v>316.04</v>
      </c>
      <c r="Y24">
        <v>316.04</v>
      </c>
      <c r="Z24">
        <v>316.52</v>
      </c>
      <c r="AA24">
        <v>316.52</v>
      </c>
      <c r="AB24">
        <v>316.52</v>
      </c>
      <c r="AC24">
        <v>316.52</v>
      </c>
      <c r="AD24">
        <v>317.42</v>
      </c>
      <c r="AE24">
        <v>317.42</v>
      </c>
      <c r="AF24">
        <v>317.42</v>
      </c>
      <c r="AG24">
        <v>317.42</v>
      </c>
      <c r="AH24">
        <v>317.04</v>
      </c>
      <c r="AI24">
        <v>317.04</v>
      </c>
      <c r="AJ24">
        <v>317.04</v>
      </c>
      <c r="AK24">
        <v>317.04</v>
      </c>
      <c r="AL24">
        <v>317.36</v>
      </c>
      <c r="AM24">
        <v>317.36</v>
      </c>
      <c r="AN24">
        <v>317.36</v>
      </c>
      <c r="AO24">
        <v>317.36</v>
      </c>
      <c r="AP24">
        <v>328.06</v>
      </c>
      <c r="AQ24">
        <v>328.06</v>
      </c>
      <c r="AR24">
        <v>328.06</v>
      </c>
      <c r="AS24">
        <v>328.06</v>
      </c>
      <c r="AT24">
        <v>326.19</v>
      </c>
      <c r="AU24">
        <v>326.19</v>
      </c>
      <c r="AV24">
        <v>326.19</v>
      </c>
      <c r="AW24">
        <v>326.19</v>
      </c>
      <c r="AX24">
        <v>326.97</v>
      </c>
      <c r="AY24">
        <v>326.97</v>
      </c>
      <c r="AZ24">
        <v>326.97</v>
      </c>
      <c r="BA24">
        <v>326.97</v>
      </c>
      <c r="BB24">
        <v>316.58</v>
      </c>
      <c r="BC24">
        <v>316.58</v>
      </c>
      <c r="BD24">
        <v>316.58</v>
      </c>
      <c r="BE24">
        <v>316.58</v>
      </c>
      <c r="BF24">
        <v>317.56</v>
      </c>
      <c r="BG24">
        <v>317.56</v>
      </c>
      <c r="BH24">
        <v>317.56</v>
      </c>
      <c r="BI24">
        <v>317.56</v>
      </c>
      <c r="BJ24">
        <v>317.65</v>
      </c>
      <c r="BK24">
        <v>317.65</v>
      </c>
      <c r="BL24">
        <v>317.65</v>
      </c>
      <c r="BM24">
        <v>317.65</v>
      </c>
      <c r="BN24">
        <v>317.82</v>
      </c>
      <c r="BO24">
        <v>317.82</v>
      </c>
      <c r="BP24">
        <v>317.82</v>
      </c>
      <c r="BQ24">
        <v>317.82</v>
      </c>
      <c r="BR24">
        <v>306.39</v>
      </c>
      <c r="BS24">
        <v>306.39</v>
      </c>
      <c r="BT24">
        <v>306.39</v>
      </c>
      <c r="BU24">
        <v>306.39</v>
      </c>
      <c r="BV24">
        <v>305.99</v>
      </c>
      <c r="BW24">
        <v>305.99</v>
      </c>
      <c r="BX24">
        <v>305.99</v>
      </c>
      <c r="BY24">
        <v>305.99</v>
      </c>
      <c r="BZ24">
        <v>316.64</v>
      </c>
      <c r="CA24">
        <v>316.64</v>
      </c>
      <c r="CB24">
        <v>316.64</v>
      </c>
      <c r="CC24">
        <v>316.64</v>
      </c>
      <c r="CD24">
        <v>328.93</v>
      </c>
      <c r="CE24">
        <v>328.93</v>
      </c>
      <c r="CF24">
        <v>328.93</v>
      </c>
      <c r="CG24">
        <v>328.93</v>
      </c>
      <c r="CH24">
        <v>329.59</v>
      </c>
      <c r="CI24">
        <v>329.59</v>
      </c>
      <c r="CJ24">
        <v>329.59</v>
      </c>
      <c r="CK24">
        <v>329.59</v>
      </c>
      <c r="CL24">
        <v>316.87</v>
      </c>
      <c r="CM24">
        <v>316.87</v>
      </c>
      <c r="CN24">
        <v>316.87</v>
      </c>
      <c r="CO24">
        <v>316.87</v>
      </c>
      <c r="CP24">
        <v>316.41</v>
      </c>
      <c r="CQ24">
        <v>316.41</v>
      </c>
      <c r="CR24">
        <v>316.41</v>
      </c>
      <c r="CS24">
        <v>316.41</v>
      </c>
    </row>
    <row r="25" spans="1:97">
      <c r="A25" s="9">
        <v>46258</v>
      </c>
      <c r="B25">
        <v>311.35</v>
      </c>
      <c r="C25">
        <v>311.35</v>
      </c>
      <c r="D25">
        <v>311.35</v>
      </c>
      <c r="E25">
        <v>311.35</v>
      </c>
      <c r="F25">
        <v>299.7</v>
      </c>
      <c r="G25">
        <v>299.7</v>
      </c>
      <c r="H25">
        <v>299.7</v>
      </c>
      <c r="I25">
        <v>299.7</v>
      </c>
      <c r="J25">
        <v>299.38</v>
      </c>
      <c r="K25">
        <v>299.38</v>
      </c>
      <c r="L25">
        <v>299.38</v>
      </c>
      <c r="M25">
        <v>299.38</v>
      </c>
      <c r="N25">
        <v>311.12</v>
      </c>
      <c r="O25">
        <v>311.12</v>
      </c>
      <c r="P25">
        <v>311.12</v>
      </c>
      <c r="Q25">
        <v>311.12</v>
      </c>
      <c r="R25">
        <v>311.35</v>
      </c>
      <c r="S25">
        <v>311.35</v>
      </c>
      <c r="T25">
        <v>311.35</v>
      </c>
      <c r="U25">
        <v>311.35</v>
      </c>
      <c r="V25">
        <v>310.18</v>
      </c>
      <c r="W25">
        <v>310.18</v>
      </c>
      <c r="X25">
        <v>310.18</v>
      </c>
      <c r="Y25">
        <v>310.18</v>
      </c>
      <c r="Z25">
        <v>310.75</v>
      </c>
      <c r="AA25">
        <v>310.75</v>
      </c>
      <c r="AB25">
        <v>310.75</v>
      </c>
      <c r="AC25">
        <v>310.75</v>
      </c>
      <c r="AD25">
        <v>310.75</v>
      </c>
      <c r="AE25">
        <v>310.75</v>
      </c>
      <c r="AF25">
        <v>310.75</v>
      </c>
      <c r="AG25">
        <v>310.75</v>
      </c>
      <c r="AH25">
        <v>311.3</v>
      </c>
      <c r="AI25">
        <v>311.3</v>
      </c>
      <c r="AJ25">
        <v>311.3</v>
      </c>
      <c r="AK25">
        <v>311.3</v>
      </c>
      <c r="AL25">
        <v>310.41</v>
      </c>
      <c r="AM25">
        <v>310.41</v>
      </c>
      <c r="AN25">
        <v>310.41</v>
      </c>
      <c r="AO25">
        <v>310.41</v>
      </c>
      <c r="AP25">
        <v>320.8</v>
      </c>
      <c r="AQ25">
        <v>320.8</v>
      </c>
      <c r="AR25">
        <v>320.8</v>
      </c>
      <c r="AS25">
        <v>320.8</v>
      </c>
      <c r="AT25">
        <v>317.03</v>
      </c>
      <c r="AU25">
        <v>317.03</v>
      </c>
      <c r="AV25">
        <v>317.03</v>
      </c>
      <c r="AW25">
        <v>317.03</v>
      </c>
      <c r="AX25">
        <v>315.82</v>
      </c>
      <c r="AY25">
        <v>315.82</v>
      </c>
      <c r="AZ25">
        <v>315.82</v>
      </c>
      <c r="BA25">
        <v>315.82</v>
      </c>
      <c r="BB25">
        <v>309.54</v>
      </c>
      <c r="BC25">
        <v>309.54</v>
      </c>
      <c r="BD25">
        <v>309.54</v>
      </c>
      <c r="BE25">
        <v>309.54</v>
      </c>
      <c r="BF25">
        <v>310.52</v>
      </c>
      <c r="BG25">
        <v>310.52</v>
      </c>
      <c r="BH25">
        <v>310.52</v>
      </c>
      <c r="BI25">
        <v>310.52</v>
      </c>
      <c r="BJ25">
        <v>308.48</v>
      </c>
      <c r="BK25">
        <v>308.48</v>
      </c>
      <c r="BL25">
        <v>308.48</v>
      </c>
      <c r="BM25">
        <v>308.48</v>
      </c>
      <c r="BN25">
        <v>310.09</v>
      </c>
      <c r="BO25">
        <v>310.09</v>
      </c>
      <c r="BP25">
        <v>310.09</v>
      </c>
      <c r="BQ25">
        <v>310.09</v>
      </c>
      <c r="BR25">
        <v>301.05</v>
      </c>
      <c r="BS25">
        <v>301.05</v>
      </c>
      <c r="BT25">
        <v>301.05</v>
      </c>
      <c r="BU25">
        <v>301.05</v>
      </c>
      <c r="BV25">
        <v>297.89</v>
      </c>
      <c r="BW25">
        <v>297.89</v>
      </c>
      <c r="BX25">
        <v>297.89</v>
      </c>
      <c r="BY25">
        <v>297.89</v>
      </c>
      <c r="BZ25">
        <v>314.06</v>
      </c>
      <c r="CA25">
        <v>314.06</v>
      </c>
      <c r="CB25">
        <v>314.06</v>
      </c>
      <c r="CC25">
        <v>314.06</v>
      </c>
      <c r="CD25">
        <v>323.09</v>
      </c>
      <c r="CE25">
        <v>323.09</v>
      </c>
      <c r="CF25">
        <v>323.09</v>
      </c>
      <c r="CG25">
        <v>323.09</v>
      </c>
      <c r="CH25">
        <v>322.52</v>
      </c>
      <c r="CI25">
        <v>322.52</v>
      </c>
      <c r="CJ25">
        <v>322.52</v>
      </c>
      <c r="CK25">
        <v>322.52</v>
      </c>
      <c r="CL25">
        <v>310.87</v>
      </c>
      <c r="CM25">
        <v>310.87</v>
      </c>
      <c r="CN25">
        <v>310.87</v>
      </c>
      <c r="CO25">
        <v>310.87</v>
      </c>
      <c r="CP25">
        <v>310.35</v>
      </c>
      <c r="CQ25">
        <v>310.35</v>
      </c>
      <c r="CR25">
        <v>310.35</v>
      </c>
      <c r="CS25">
        <v>310.35</v>
      </c>
    </row>
    <row r="26" spans="1:97">
      <c r="A26" s="9">
        <v>46259</v>
      </c>
      <c r="B26">
        <v>309.54</v>
      </c>
      <c r="C26">
        <v>309.54</v>
      </c>
      <c r="D26">
        <v>309.54</v>
      </c>
      <c r="E26">
        <v>309.54</v>
      </c>
      <c r="F26">
        <v>299.07</v>
      </c>
      <c r="G26">
        <v>299.07</v>
      </c>
      <c r="H26">
        <v>299.07</v>
      </c>
      <c r="I26">
        <v>299.07</v>
      </c>
      <c r="J26">
        <v>299.07</v>
      </c>
      <c r="K26">
        <v>299.07</v>
      </c>
      <c r="L26">
        <v>299.07</v>
      </c>
      <c r="M26">
        <v>299.07</v>
      </c>
      <c r="N26">
        <v>310.52</v>
      </c>
      <c r="O26">
        <v>310.52</v>
      </c>
      <c r="P26">
        <v>310.52</v>
      </c>
      <c r="Q26">
        <v>310.52</v>
      </c>
      <c r="R26">
        <v>310.52</v>
      </c>
      <c r="S26">
        <v>310.52</v>
      </c>
      <c r="T26">
        <v>310.52</v>
      </c>
      <c r="U26">
        <v>310.52</v>
      </c>
      <c r="V26">
        <v>310.52</v>
      </c>
      <c r="W26">
        <v>310.52</v>
      </c>
      <c r="X26">
        <v>310.52</v>
      </c>
      <c r="Y26">
        <v>310.52</v>
      </c>
      <c r="Z26">
        <v>310.52</v>
      </c>
      <c r="AA26">
        <v>310.52</v>
      </c>
      <c r="AB26">
        <v>310.52</v>
      </c>
      <c r="AC26">
        <v>310.52</v>
      </c>
      <c r="AD26">
        <v>309.54</v>
      </c>
      <c r="AE26">
        <v>309.54</v>
      </c>
      <c r="AF26">
        <v>309.54</v>
      </c>
      <c r="AG26">
        <v>309.54</v>
      </c>
      <c r="AH26">
        <v>309.54</v>
      </c>
      <c r="AI26">
        <v>309.54</v>
      </c>
      <c r="AJ26">
        <v>309.54</v>
      </c>
      <c r="AK26">
        <v>308.36</v>
      </c>
      <c r="AL26">
        <v>308.36</v>
      </c>
      <c r="AM26">
        <v>308.36</v>
      </c>
      <c r="AN26">
        <v>308.36</v>
      </c>
      <c r="AO26">
        <v>308.36</v>
      </c>
      <c r="AP26">
        <v>318.84</v>
      </c>
      <c r="AQ26">
        <v>318.84</v>
      </c>
      <c r="AR26">
        <v>318.84</v>
      </c>
      <c r="AS26">
        <v>318.84</v>
      </c>
      <c r="AT26">
        <v>318.84</v>
      </c>
      <c r="AU26">
        <v>318.84</v>
      </c>
      <c r="AV26">
        <v>318.84</v>
      </c>
      <c r="AW26">
        <v>318.84</v>
      </c>
      <c r="AX26">
        <v>318.84</v>
      </c>
      <c r="AY26">
        <v>318.84</v>
      </c>
      <c r="AZ26">
        <v>318.84</v>
      </c>
      <c r="BA26">
        <v>320.02</v>
      </c>
      <c r="BB26">
        <v>309.54</v>
      </c>
      <c r="BC26">
        <v>309.54</v>
      </c>
      <c r="BD26">
        <v>309.54</v>
      </c>
      <c r="BE26">
        <v>309.54</v>
      </c>
      <c r="BF26">
        <v>309.54</v>
      </c>
      <c r="BG26">
        <v>309.54</v>
      </c>
      <c r="BH26">
        <v>310.52</v>
      </c>
      <c r="BI26">
        <v>310.52</v>
      </c>
      <c r="BJ26">
        <v>310.52</v>
      </c>
      <c r="BK26">
        <v>310.52</v>
      </c>
      <c r="BL26">
        <v>310.52</v>
      </c>
      <c r="BM26">
        <v>310.52</v>
      </c>
      <c r="BN26">
        <v>310.52</v>
      </c>
      <c r="BO26">
        <v>310.52</v>
      </c>
      <c r="BP26">
        <v>310.52</v>
      </c>
      <c r="BQ26">
        <v>310.52</v>
      </c>
      <c r="BR26">
        <v>300.05</v>
      </c>
      <c r="BS26">
        <v>300.05</v>
      </c>
      <c r="BT26">
        <v>300.05</v>
      </c>
      <c r="BU26">
        <v>300.05</v>
      </c>
      <c r="BV26">
        <v>300.05</v>
      </c>
      <c r="BW26">
        <v>300.05</v>
      </c>
      <c r="BX26">
        <v>299.07</v>
      </c>
      <c r="BY26">
        <v>299.07</v>
      </c>
      <c r="BZ26">
        <v>309.54</v>
      </c>
      <c r="CA26">
        <v>309.54</v>
      </c>
      <c r="CB26">
        <v>309.54</v>
      </c>
      <c r="CC26">
        <v>309.54</v>
      </c>
      <c r="CD26">
        <v>322.89</v>
      </c>
      <c r="CE26">
        <v>322.89</v>
      </c>
      <c r="CF26">
        <v>322.89</v>
      </c>
      <c r="CG26">
        <v>322.89</v>
      </c>
      <c r="CH26">
        <v>322.89</v>
      </c>
      <c r="CI26">
        <v>322.89</v>
      </c>
      <c r="CJ26">
        <v>322.89</v>
      </c>
      <c r="CK26">
        <v>322.89</v>
      </c>
      <c r="CL26">
        <v>310.52</v>
      </c>
      <c r="CM26">
        <v>310.52</v>
      </c>
      <c r="CN26">
        <v>310.52</v>
      </c>
      <c r="CO26">
        <v>310.52</v>
      </c>
      <c r="CP26">
        <v>310.52</v>
      </c>
      <c r="CQ26">
        <v>310.52</v>
      </c>
      <c r="CR26">
        <v>309.54</v>
      </c>
      <c r="CS26">
        <v>309.54</v>
      </c>
    </row>
    <row r="27" spans="1:97">
      <c r="A27" s="9">
        <v>46260</v>
      </c>
      <c r="B27">
        <v>309.54</v>
      </c>
      <c r="C27">
        <v>309.54</v>
      </c>
      <c r="D27">
        <v>309.54</v>
      </c>
      <c r="E27">
        <v>309.54</v>
      </c>
      <c r="F27">
        <v>299.07</v>
      </c>
      <c r="G27">
        <v>299.07</v>
      </c>
      <c r="H27">
        <v>299.07</v>
      </c>
      <c r="I27">
        <v>299.07</v>
      </c>
      <c r="J27">
        <v>299.07</v>
      </c>
      <c r="K27">
        <v>299.07</v>
      </c>
      <c r="L27">
        <v>299.07</v>
      </c>
      <c r="M27">
        <v>299.07</v>
      </c>
      <c r="N27">
        <v>310.52</v>
      </c>
      <c r="O27">
        <v>310.52</v>
      </c>
      <c r="P27">
        <v>310.52</v>
      </c>
      <c r="Q27">
        <v>310.52</v>
      </c>
      <c r="R27">
        <v>310.52</v>
      </c>
      <c r="S27">
        <v>310.52</v>
      </c>
      <c r="T27">
        <v>310.52</v>
      </c>
      <c r="U27">
        <v>310.52</v>
      </c>
      <c r="V27">
        <v>310.52</v>
      </c>
      <c r="W27">
        <v>310.52</v>
      </c>
      <c r="X27">
        <v>310.52</v>
      </c>
      <c r="Y27">
        <v>310.52</v>
      </c>
      <c r="Z27">
        <v>310.52</v>
      </c>
      <c r="AA27">
        <v>310.52</v>
      </c>
      <c r="AB27">
        <v>310.52</v>
      </c>
      <c r="AC27">
        <v>310.52</v>
      </c>
      <c r="AD27">
        <v>309.54</v>
      </c>
      <c r="AE27">
        <v>309.54</v>
      </c>
      <c r="AF27">
        <v>309.54</v>
      </c>
      <c r="AG27">
        <v>309.54</v>
      </c>
      <c r="AH27">
        <v>309.54</v>
      </c>
      <c r="AI27">
        <v>309.54</v>
      </c>
      <c r="AJ27">
        <v>309.54</v>
      </c>
      <c r="AK27">
        <v>310.52</v>
      </c>
      <c r="AL27">
        <v>310.52</v>
      </c>
      <c r="AM27">
        <v>310.52</v>
      </c>
      <c r="AN27">
        <v>310.52</v>
      </c>
      <c r="AO27">
        <v>310.52</v>
      </c>
      <c r="AP27">
        <v>321</v>
      </c>
      <c r="AQ27">
        <v>321</v>
      </c>
      <c r="AR27">
        <v>321</v>
      </c>
      <c r="AS27">
        <v>321</v>
      </c>
      <c r="AT27">
        <v>321</v>
      </c>
      <c r="AU27">
        <v>321</v>
      </c>
      <c r="AV27">
        <v>321</v>
      </c>
      <c r="AW27">
        <v>321</v>
      </c>
      <c r="AX27">
        <v>321</v>
      </c>
      <c r="AY27">
        <v>321</v>
      </c>
      <c r="AZ27">
        <v>321</v>
      </c>
      <c r="BA27">
        <v>321</v>
      </c>
      <c r="BB27">
        <v>310.52</v>
      </c>
      <c r="BC27">
        <v>309.54</v>
      </c>
      <c r="BD27">
        <v>309.54</v>
      </c>
      <c r="BE27">
        <v>309.54</v>
      </c>
      <c r="BF27">
        <v>309.54</v>
      </c>
      <c r="BG27">
        <v>309.54</v>
      </c>
      <c r="BH27">
        <v>310.52</v>
      </c>
      <c r="BI27">
        <v>310.52</v>
      </c>
      <c r="BJ27">
        <v>310.52</v>
      </c>
      <c r="BK27">
        <v>310.52</v>
      </c>
      <c r="BL27">
        <v>310.52</v>
      </c>
      <c r="BM27">
        <v>310.52</v>
      </c>
      <c r="BN27">
        <v>310.52</v>
      </c>
      <c r="BO27">
        <v>310.52</v>
      </c>
      <c r="BP27">
        <v>310.52</v>
      </c>
      <c r="BQ27">
        <v>310.52</v>
      </c>
      <c r="BR27">
        <v>300.05</v>
      </c>
      <c r="BS27">
        <v>300.05</v>
      </c>
      <c r="BT27">
        <v>300.05</v>
      </c>
      <c r="BU27">
        <v>300.05</v>
      </c>
      <c r="BV27">
        <v>300.05</v>
      </c>
      <c r="BW27">
        <v>300.05</v>
      </c>
      <c r="BX27">
        <v>299.07</v>
      </c>
      <c r="BY27">
        <v>299.07</v>
      </c>
      <c r="BZ27">
        <v>309.54</v>
      </c>
      <c r="CA27">
        <v>309.54</v>
      </c>
      <c r="CB27">
        <v>309.54</v>
      </c>
      <c r="CC27">
        <v>309.54</v>
      </c>
      <c r="CD27">
        <v>322.89</v>
      </c>
      <c r="CE27">
        <v>322.89</v>
      </c>
      <c r="CF27">
        <v>322.89</v>
      </c>
      <c r="CG27">
        <v>322.89</v>
      </c>
      <c r="CH27">
        <v>322.89</v>
      </c>
      <c r="CI27">
        <v>322.89</v>
      </c>
      <c r="CJ27">
        <v>322.89</v>
      </c>
      <c r="CK27">
        <v>322.89</v>
      </c>
      <c r="CL27">
        <v>310.52</v>
      </c>
      <c r="CM27">
        <v>310.52</v>
      </c>
      <c r="CN27">
        <v>310.52</v>
      </c>
      <c r="CO27">
        <v>310.52</v>
      </c>
      <c r="CP27">
        <v>310.52</v>
      </c>
      <c r="CQ27">
        <v>310.52</v>
      </c>
      <c r="CR27">
        <v>309.54</v>
      </c>
      <c r="CS27">
        <v>309.54</v>
      </c>
    </row>
    <row r="28" spans="1:97">
      <c r="A28" s="9">
        <v>46261</v>
      </c>
      <c r="B28">
        <v>315.35</v>
      </c>
      <c r="C28">
        <v>315.35</v>
      </c>
      <c r="D28">
        <v>315.35</v>
      </c>
      <c r="E28">
        <v>315.35</v>
      </c>
      <c r="F28">
        <v>302.39</v>
      </c>
      <c r="G28">
        <v>302.39</v>
      </c>
      <c r="H28">
        <v>302.39</v>
      </c>
      <c r="I28">
        <v>302.39</v>
      </c>
      <c r="J28">
        <v>306.04</v>
      </c>
      <c r="K28">
        <v>306.04</v>
      </c>
      <c r="L28">
        <v>306.04</v>
      </c>
      <c r="M28">
        <v>306.04</v>
      </c>
      <c r="N28">
        <v>316.69</v>
      </c>
      <c r="O28">
        <v>316.69</v>
      </c>
      <c r="P28">
        <v>316.69</v>
      </c>
      <c r="Q28">
        <v>316.69</v>
      </c>
      <c r="R28">
        <v>312.93</v>
      </c>
      <c r="S28">
        <v>312.93</v>
      </c>
      <c r="T28">
        <v>312.93</v>
      </c>
      <c r="U28">
        <v>312.93</v>
      </c>
      <c r="V28">
        <v>314.76</v>
      </c>
      <c r="W28">
        <v>314.76</v>
      </c>
      <c r="X28">
        <v>314.76</v>
      </c>
      <c r="Y28">
        <v>314.76</v>
      </c>
      <c r="Z28">
        <v>315.93</v>
      </c>
      <c r="AA28">
        <v>315.93</v>
      </c>
      <c r="AB28">
        <v>315.93</v>
      </c>
      <c r="AC28">
        <v>315.93</v>
      </c>
      <c r="AD28">
        <v>313.81</v>
      </c>
      <c r="AE28">
        <v>313.81</v>
      </c>
      <c r="AF28">
        <v>313.81</v>
      </c>
      <c r="AG28">
        <v>313.81</v>
      </c>
      <c r="AH28">
        <v>315.77</v>
      </c>
      <c r="AI28">
        <v>315.77</v>
      </c>
      <c r="AJ28">
        <v>315.77</v>
      </c>
      <c r="AK28">
        <v>315.77</v>
      </c>
      <c r="AL28">
        <v>316.73</v>
      </c>
      <c r="AM28">
        <v>316.73</v>
      </c>
      <c r="AN28">
        <v>316.73</v>
      </c>
      <c r="AO28">
        <v>316.73</v>
      </c>
      <c r="AP28">
        <v>326.65</v>
      </c>
      <c r="AQ28">
        <v>326.65</v>
      </c>
      <c r="AR28">
        <v>326.65</v>
      </c>
      <c r="AS28">
        <v>326.65</v>
      </c>
      <c r="AT28">
        <v>326.39</v>
      </c>
      <c r="AU28">
        <v>326.39</v>
      </c>
      <c r="AV28">
        <v>326.39</v>
      </c>
      <c r="AW28">
        <v>326.39</v>
      </c>
      <c r="AX28">
        <v>327.13</v>
      </c>
      <c r="AY28">
        <v>327.13</v>
      </c>
      <c r="AZ28">
        <v>327.13</v>
      </c>
      <c r="BA28">
        <v>327.13</v>
      </c>
      <c r="BB28">
        <v>318.67</v>
      </c>
      <c r="BC28">
        <v>318.67</v>
      </c>
      <c r="BD28">
        <v>318.67</v>
      </c>
      <c r="BE28">
        <v>318.67</v>
      </c>
      <c r="BF28">
        <v>319.86</v>
      </c>
      <c r="BG28">
        <v>319.86</v>
      </c>
      <c r="BH28">
        <v>319.86</v>
      </c>
      <c r="BI28">
        <v>319.86</v>
      </c>
      <c r="BJ28">
        <v>320.58</v>
      </c>
      <c r="BK28">
        <v>320.58</v>
      </c>
      <c r="BL28">
        <v>320.58</v>
      </c>
      <c r="BM28">
        <v>320.58</v>
      </c>
      <c r="BN28">
        <v>319.43</v>
      </c>
      <c r="BO28">
        <v>319.43</v>
      </c>
      <c r="BP28">
        <v>319.43</v>
      </c>
      <c r="BQ28">
        <v>319.43</v>
      </c>
      <c r="BR28">
        <v>309.8</v>
      </c>
      <c r="BS28">
        <v>309.8</v>
      </c>
      <c r="BT28">
        <v>309.8</v>
      </c>
      <c r="BU28">
        <v>309.8</v>
      </c>
      <c r="BV28">
        <v>310.14</v>
      </c>
      <c r="BW28">
        <v>310.14</v>
      </c>
      <c r="BX28">
        <v>310.14</v>
      </c>
      <c r="BY28">
        <v>310.14</v>
      </c>
      <c r="BZ28">
        <v>318.74</v>
      </c>
      <c r="CA28">
        <v>318.74</v>
      </c>
      <c r="CB28">
        <v>318.74</v>
      </c>
      <c r="CC28">
        <v>318.74</v>
      </c>
      <c r="CD28">
        <v>331.69</v>
      </c>
      <c r="CE28">
        <v>331.69</v>
      </c>
      <c r="CF28">
        <v>331.69</v>
      </c>
      <c r="CG28">
        <v>331.69</v>
      </c>
      <c r="CH28">
        <v>330.82</v>
      </c>
      <c r="CI28">
        <v>330.82</v>
      </c>
      <c r="CJ28">
        <v>330.82</v>
      </c>
      <c r="CK28">
        <v>330.82</v>
      </c>
      <c r="CL28">
        <v>316.16</v>
      </c>
      <c r="CM28">
        <v>316.16</v>
      </c>
      <c r="CN28">
        <v>316.16</v>
      </c>
      <c r="CO28">
        <v>316.16</v>
      </c>
      <c r="CP28">
        <v>316.2</v>
      </c>
      <c r="CQ28">
        <v>316.2</v>
      </c>
      <c r="CR28">
        <v>316.2</v>
      </c>
      <c r="CS28">
        <v>316.2</v>
      </c>
    </row>
    <row r="29" spans="1:97">
      <c r="A29" s="9">
        <v>46262</v>
      </c>
      <c r="B29">
        <v>316.18</v>
      </c>
      <c r="C29">
        <v>316.18</v>
      </c>
      <c r="D29">
        <v>316.18</v>
      </c>
      <c r="E29">
        <v>316.18</v>
      </c>
      <c r="F29">
        <v>305.04</v>
      </c>
      <c r="G29">
        <v>305.04</v>
      </c>
      <c r="H29">
        <v>305.04</v>
      </c>
      <c r="I29">
        <v>305.04</v>
      </c>
      <c r="J29">
        <v>304.76</v>
      </c>
      <c r="K29">
        <v>304.76</v>
      </c>
      <c r="L29">
        <v>304.76</v>
      </c>
      <c r="M29">
        <v>304.76</v>
      </c>
      <c r="N29">
        <v>315.72</v>
      </c>
      <c r="O29">
        <v>315.72</v>
      </c>
      <c r="P29">
        <v>315.72</v>
      </c>
      <c r="Q29">
        <v>315.72</v>
      </c>
      <c r="R29">
        <v>316.21</v>
      </c>
      <c r="S29">
        <v>316.21</v>
      </c>
      <c r="T29">
        <v>316.21</v>
      </c>
      <c r="U29">
        <v>316.21</v>
      </c>
      <c r="V29">
        <v>316.27</v>
      </c>
      <c r="W29">
        <v>316.27</v>
      </c>
      <c r="X29">
        <v>316.27</v>
      </c>
      <c r="Y29">
        <v>316.27</v>
      </c>
      <c r="Z29">
        <v>317.19</v>
      </c>
      <c r="AA29">
        <v>317.19</v>
      </c>
      <c r="AB29">
        <v>317.19</v>
      </c>
      <c r="AC29">
        <v>317.19</v>
      </c>
      <c r="AD29">
        <v>317.62</v>
      </c>
      <c r="AE29">
        <v>317.62</v>
      </c>
      <c r="AF29">
        <v>317.62</v>
      </c>
      <c r="AG29">
        <v>317.62</v>
      </c>
      <c r="AH29">
        <v>316.27</v>
      </c>
      <c r="AI29">
        <v>316.27</v>
      </c>
      <c r="AJ29">
        <v>316.27</v>
      </c>
      <c r="AK29">
        <v>316.27</v>
      </c>
      <c r="AL29">
        <v>313.19</v>
      </c>
      <c r="AM29">
        <v>313.19</v>
      </c>
      <c r="AN29">
        <v>313.19</v>
      </c>
      <c r="AO29">
        <v>313.19</v>
      </c>
      <c r="AP29">
        <v>320.1</v>
      </c>
      <c r="AQ29">
        <v>320.1</v>
      </c>
      <c r="AR29">
        <v>320.1</v>
      </c>
      <c r="AS29">
        <v>320.1</v>
      </c>
      <c r="AT29">
        <v>323.12</v>
      </c>
      <c r="AU29">
        <v>323.12</v>
      </c>
      <c r="AV29">
        <v>323.12</v>
      </c>
      <c r="AW29">
        <v>323.12</v>
      </c>
      <c r="AX29">
        <v>329.44</v>
      </c>
      <c r="AY29">
        <v>329.44</v>
      </c>
      <c r="AZ29">
        <v>329.44</v>
      </c>
      <c r="BA29">
        <v>329.44</v>
      </c>
      <c r="BB29">
        <v>317.65</v>
      </c>
      <c r="BC29">
        <v>317.65</v>
      </c>
      <c r="BD29">
        <v>317.65</v>
      </c>
      <c r="BE29">
        <v>317.65</v>
      </c>
      <c r="BF29">
        <v>317.7</v>
      </c>
      <c r="BG29">
        <v>317.7</v>
      </c>
      <c r="BH29">
        <v>317.7</v>
      </c>
      <c r="BI29">
        <v>317.7</v>
      </c>
      <c r="BJ29">
        <v>317.16</v>
      </c>
      <c r="BK29">
        <v>317.16</v>
      </c>
      <c r="BL29">
        <v>317.16</v>
      </c>
      <c r="BM29">
        <v>317.16</v>
      </c>
      <c r="BN29">
        <v>318.94</v>
      </c>
      <c r="BO29">
        <v>318.94</v>
      </c>
      <c r="BP29">
        <v>318.94</v>
      </c>
      <c r="BQ29">
        <v>318.94</v>
      </c>
      <c r="BR29">
        <v>309.64</v>
      </c>
      <c r="BS29">
        <v>309.64</v>
      </c>
      <c r="BT29">
        <v>309.64</v>
      </c>
      <c r="BU29">
        <v>309.64</v>
      </c>
      <c r="BV29">
        <v>307.77</v>
      </c>
      <c r="BW29">
        <v>307.77</v>
      </c>
      <c r="BX29">
        <v>307.77</v>
      </c>
      <c r="BY29">
        <v>307.77</v>
      </c>
      <c r="BZ29">
        <v>319.03</v>
      </c>
      <c r="CA29">
        <v>319.03</v>
      </c>
      <c r="CB29">
        <v>319.03</v>
      </c>
      <c r="CC29">
        <v>319.03</v>
      </c>
      <c r="CD29">
        <v>331.43</v>
      </c>
      <c r="CE29">
        <v>331.43</v>
      </c>
      <c r="CF29">
        <v>331.43</v>
      </c>
      <c r="CG29">
        <v>331.43</v>
      </c>
      <c r="CH29">
        <v>330.71</v>
      </c>
      <c r="CI29">
        <v>330.71</v>
      </c>
      <c r="CJ29">
        <v>330.71</v>
      </c>
      <c r="CK29">
        <v>330.71</v>
      </c>
      <c r="CL29">
        <v>317.24</v>
      </c>
      <c r="CM29">
        <v>317.24</v>
      </c>
      <c r="CN29">
        <v>317.24</v>
      </c>
      <c r="CO29">
        <v>317.24</v>
      </c>
      <c r="CP29">
        <v>317.21</v>
      </c>
      <c r="CQ29">
        <v>317.21</v>
      </c>
      <c r="CR29">
        <v>317.21</v>
      </c>
      <c r="CS29">
        <v>317.21</v>
      </c>
    </row>
    <row r="30" spans="1:97">
      <c r="A30" s="9">
        <v>46263</v>
      </c>
      <c r="B30">
        <v>314.51</v>
      </c>
      <c r="C30">
        <v>314.51</v>
      </c>
      <c r="D30">
        <v>314.51</v>
      </c>
      <c r="E30">
        <v>314.51</v>
      </c>
      <c r="F30">
        <v>305.33</v>
      </c>
      <c r="G30">
        <v>305.33</v>
      </c>
      <c r="H30">
        <v>305.33</v>
      </c>
      <c r="I30">
        <v>305.33</v>
      </c>
      <c r="J30">
        <v>305.27</v>
      </c>
      <c r="K30">
        <v>305.27</v>
      </c>
      <c r="L30">
        <v>305.27</v>
      </c>
      <c r="M30">
        <v>305.27</v>
      </c>
      <c r="N30">
        <v>315.6</v>
      </c>
      <c r="O30">
        <v>315.6</v>
      </c>
      <c r="P30">
        <v>315.6</v>
      </c>
      <c r="Q30">
        <v>315.6</v>
      </c>
      <c r="R30">
        <v>316.18</v>
      </c>
      <c r="S30">
        <v>316.18</v>
      </c>
      <c r="T30">
        <v>316.18</v>
      </c>
      <c r="U30">
        <v>316.18</v>
      </c>
      <c r="V30">
        <v>316.04</v>
      </c>
      <c r="W30">
        <v>316.04</v>
      </c>
      <c r="X30">
        <v>316.04</v>
      </c>
      <c r="Y30">
        <v>316.04</v>
      </c>
      <c r="Z30">
        <v>316.52</v>
      </c>
      <c r="AA30">
        <v>316.52</v>
      </c>
      <c r="AB30">
        <v>316.52</v>
      </c>
      <c r="AC30">
        <v>316.52</v>
      </c>
      <c r="AD30">
        <v>317.42</v>
      </c>
      <c r="AE30">
        <v>317.42</v>
      </c>
      <c r="AF30">
        <v>317.42</v>
      </c>
      <c r="AG30">
        <v>317.42</v>
      </c>
      <c r="AH30">
        <v>317.04</v>
      </c>
      <c r="AI30">
        <v>317.04</v>
      </c>
      <c r="AJ30">
        <v>317.04</v>
      </c>
      <c r="AK30">
        <v>317.04</v>
      </c>
      <c r="AL30">
        <v>317.36</v>
      </c>
      <c r="AM30">
        <v>317.36</v>
      </c>
      <c r="AN30">
        <v>317.36</v>
      </c>
      <c r="AO30">
        <v>317.36</v>
      </c>
      <c r="AP30">
        <v>328.06</v>
      </c>
      <c r="AQ30">
        <v>328.06</v>
      </c>
      <c r="AR30">
        <v>328.06</v>
      </c>
      <c r="AS30">
        <v>328.06</v>
      </c>
      <c r="AT30">
        <v>326.19</v>
      </c>
      <c r="AU30">
        <v>326.19</v>
      </c>
      <c r="AV30">
        <v>326.19</v>
      </c>
      <c r="AW30">
        <v>326.19</v>
      </c>
      <c r="AX30">
        <v>326.97</v>
      </c>
      <c r="AY30">
        <v>326.97</v>
      </c>
      <c r="AZ30">
        <v>326.97</v>
      </c>
      <c r="BA30">
        <v>326.97</v>
      </c>
      <c r="BB30">
        <v>316.58</v>
      </c>
      <c r="BC30">
        <v>316.58</v>
      </c>
      <c r="BD30">
        <v>316.58</v>
      </c>
      <c r="BE30">
        <v>316.58</v>
      </c>
      <c r="BF30">
        <v>317.56</v>
      </c>
      <c r="BG30">
        <v>317.56</v>
      </c>
      <c r="BH30">
        <v>317.56</v>
      </c>
      <c r="BI30">
        <v>317.56</v>
      </c>
      <c r="BJ30">
        <v>317.65</v>
      </c>
      <c r="BK30">
        <v>317.65</v>
      </c>
      <c r="BL30">
        <v>317.65</v>
      </c>
      <c r="BM30">
        <v>317.65</v>
      </c>
      <c r="BN30">
        <v>317.82</v>
      </c>
      <c r="BO30">
        <v>317.82</v>
      </c>
      <c r="BP30">
        <v>317.82</v>
      </c>
      <c r="BQ30">
        <v>317.82</v>
      </c>
      <c r="BR30">
        <v>306.39</v>
      </c>
      <c r="BS30">
        <v>306.39</v>
      </c>
      <c r="BT30">
        <v>306.39</v>
      </c>
      <c r="BU30">
        <v>306.39</v>
      </c>
      <c r="BV30">
        <v>305.99</v>
      </c>
      <c r="BW30">
        <v>305.99</v>
      </c>
      <c r="BX30">
        <v>305.99</v>
      </c>
      <c r="BY30">
        <v>305.99</v>
      </c>
      <c r="BZ30">
        <v>316.64</v>
      </c>
      <c r="CA30">
        <v>316.64</v>
      </c>
      <c r="CB30">
        <v>316.64</v>
      </c>
      <c r="CC30">
        <v>316.64</v>
      </c>
      <c r="CD30">
        <v>328.93</v>
      </c>
      <c r="CE30">
        <v>328.93</v>
      </c>
      <c r="CF30">
        <v>328.93</v>
      </c>
      <c r="CG30">
        <v>328.93</v>
      </c>
      <c r="CH30">
        <v>329.59</v>
      </c>
      <c r="CI30">
        <v>329.59</v>
      </c>
      <c r="CJ30">
        <v>329.59</v>
      </c>
      <c r="CK30">
        <v>329.59</v>
      </c>
      <c r="CL30">
        <v>316.87</v>
      </c>
      <c r="CM30">
        <v>316.87</v>
      </c>
      <c r="CN30">
        <v>316.87</v>
      </c>
      <c r="CO30">
        <v>316.87</v>
      </c>
      <c r="CP30">
        <v>316.41</v>
      </c>
      <c r="CQ30">
        <v>316.41</v>
      </c>
      <c r="CR30">
        <v>316.41</v>
      </c>
      <c r="CS30">
        <v>316.41</v>
      </c>
    </row>
    <row r="31" spans="1:97">
      <c r="A31" s="9">
        <v>46264</v>
      </c>
      <c r="B31">
        <v>310.85</v>
      </c>
      <c r="C31">
        <v>310.85</v>
      </c>
      <c r="D31">
        <v>310.85</v>
      </c>
      <c r="E31">
        <v>310.85</v>
      </c>
      <c r="F31">
        <v>298.02</v>
      </c>
      <c r="G31">
        <v>298.02</v>
      </c>
      <c r="H31">
        <v>298.02</v>
      </c>
      <c r="I31">
        <v>298.02</v>
      </c>
      <c r="J31">
        <v>299.69</v>
      </c>
      <c r="K31">
        <v>299.69</v>
      </c>
      <c r="L31">
        <v>299.69</v>
      </c>
      <c r="M31">
        <v>299.69</v>
      </c>
      <c r="N31">
        <v>312.45</v>
      </c>
      <c r="O31">
        <v>312.45</v>
      </c>
      <c r="P31">
        <v>312.45</v>
      </c>
      <c r="Q31">
        <v>312.45</v>
      </c>
      <c r="R31">
        <v>312.62</v>
      </c>
      <c r="S31">
        <v>312.62</v>
      </c>
      <c r="T31">
        <v>312.62</v>
      </c>
      <c r="U31">
        <v>312.62</v>
      </c>
      <c r="V31">
        <v>313.11</v>
      </c>
      <c r="W31">
        <v>313.11</v>
      </c>
      <c r="X31">
        <v>313.11</v>
      </c>
      <c r="Y31">
        <v>313.11</v>
      </c>
      <c r="Z31">
        <v>313.56</v>
      </c>
      <c r="AA31">
        <v>313.56</v>
      </c>
      <c r="AB31">
        <v>313.56</v>
      </c>
      <c r="AC31">
        <v>313.56</v>
      </c>
      <c r="AD31">
        <v>313.9</v>
      </c>
      <c r="AE31">
        <v>313.9</v>
      </c>
      <c r="AF31">
        <v>313.9</v>
      </c>
      <c r="AG31">
        <v>313.9</v>
      </c>
      <c r="AH31">
        <v>311.7</v>
      </c>
      <c r="AI31">
        <v>311.7</v>
      </c>
      <c r="AJ31">
        <v>311.7</v>
      </c>
      <c r="AK31">
        <v>311.7</v>
      </c>
      <c r="AL31">
        <v>310.35</v>
      </c>
      <c r="AM31">
        <v>310.35</v>
      </c>
      <c r="AN31">
        <v>310.35</v>
      </c>
      <c r="AO31">
        <v>310.35</v>
      </c>
      <c r="AP31">
        <v>322.83</v>
      </c>
      <c r="AQ31">
        <v>322.83</v>
      </c>
      <c r="AR31">
        <v>322.83</v>
      </c>
      <c r="AS31">
        <v>322.83</v>
      </c>
      <c r="AT31">
        <v>321.65</v>
      </c>
      <c r="AU31">
        <v>321.65</v>
      </c>
      <c r="AV31">
        <v>321.65</v>
      </c>
      <c r="AW31">
        <v>321.65</v>
      </c>
      <c r="AX31">
        <v>322.23</v>
      </c>
      <c r="AY31">
        <v>322.23</v>
      </c>
      <c r="AZ31">
        <v>322.23</v>
      </c>
      <c r="BA31">
        <v>322.23</v>
      </c>
      <c r="BB31">
        <v>311.75</v>
      </c>
      <c r="BC31">
        <v>311.75</v>
      </c>
      <c r="BD31">
        <v>311.75</v>
      </c>
      <c r="BE31">
        <v>311.75</v>
      </c>
      <c r="BF31">
        <v>312.3</v>
      </c>
      <c r="BG31">
        <v>312.3</v>
      </c>
      <c r="BH31">
        <v>312.3</v>
      </c>
      <c r="BI31">
        <v>312.3</v>
      </c>
      <c r="BJ31">
        <v>311.41</v>
      </c>
      <c r="BK31">
        <v>311.41</v>
      </c>
      <c r="BL31">
        <v>311.41</v>
      </c>
      <c r="BM31">
        <v>311.41</v>
      </c>
      <c r="BN31">
        <v>312.53</v>
      </c>
      <c r="BO31">
        <v>312.53</v>
      </c>
      <c r="BP31">
        <v>312.53</v>
      </c>
      <c r="BQ31">
        <v>312.53</v>
      </c>
      <c r="BR31">
        <v>302.05</v>
      </c>
      <c r="BS31">
        <v>302.05</v>
      </c>
      <c r="BT31">
        <v>302.05</v>
      </c>
      <c r="BU31">
        <v>302.05</v>
      </c>
      <c r="BV31">
        <v>298.89</v>
      </c>
      <c r="BW31">
        <v>298.89</v>
      </c>
      <c r="BX31">
        <v>298.89</v>
      </c>
      <c r="BY31">
        <v>298.89</v>
      </c>
      <c r="BZ31">
        <v>315.06</v>
      </c>
      <c r="CA31">
        <v>315.06</v>
      </c>
      <c r="CB31">
        <v>315.06</v>
      </c>
      <c r="CC31">
        <v>315.06</v>
      </c>
      <c r="CD31">
        <v>324.09</v>
      </c>
      <c r="CE31">
        <v>324.09</v>
      </c>
      <c r="CF31">
        <v>324.09</v>
      </c>
      <c r="CG31">
        <v>324.09</v>
      </c>
      <c r="CH31">
        <v>323.52</v>
      </c>
      <c r="CI31">
        <v>323.52</v>
      </c>
      <c r="CJ31">
        <v>323.52</v>
      </c>
      <c r="CK31">
        <v>323.52</v>
      </c>
      <c r="CL31">
        <v>311.87</v>
      </c>
      <c r="CM31">
        <v>311.87</v>
      </c>
      <c r="CN31">
        <v>311.87</v>
      </c>
      <c r="CO31">
        <v>311.87</v>
      </c>
      <c r="CP31">
        <v>311.35</v>
      </c>
      <c r="CQ31">
        <v>311.35</v>
      </c>
      <c r="CR31">
        <v>311.35</v>
      </c>
      <c r="CS31">
        <v>311.35</v>
      </c>
    </row>
    <row r="32" spans="1:97">
      <c r="A32" s="9">
        <v>46265</v>
      </c>
      <c r="B32">
        <v>304.3</v>
      </c>
      <c r="C32">
        <v>304.3</v>
      </c>
      <c r="D32">
        <v>304.3</v>
      </c>
      <c r="E32">
        <v>304.3</v>
      </c>
      <c r="F32">
        <v>293.92</v>
      </c>
      <c r="G32">
        <v>293.92</v>
      </c>
      <c r="H32">
        <v>293.92</v>
      </c>
      <c r="I32">
        <v>293.92</v>
      </c>
      <c r="J32">
        <v>293.58</v>
      </c>
      <c r="K32">
        <v>293.58</v>
      </c>
      <c r="L32">
        <v>293.58</v>
      </c>
      <c r="M32">
        <v>293.58</v>
      </c>
      <c r="N32">
        <v>303.94</v>
      </c>
      <c r="O32">
        <v>303.94</v>
      </c>
      <c r="P32">
        <v>303.94</v>
      </c>
      <c r="Q32">
        <v>303.94</v>
      </c>
      <c r="R32">
        <v>303.97</v>
      </c>
      <c r="S32">
        <v>303.97</v>
      </c>
      <c r="T32">
        <v>303.97</v>
      </c>
      <c r="U32">
        <v>303.97</v>
      </c>
      <c r="V32">
        <v>304.07</v>
      </c>
      <c r="W32">
        <v>304.07</v>
      </c>
      <c r="X32">
        <v>304.07</v>
      </c>
      <c r="Y32">
        <v>304.07</v>
      </c>
      <c r="Z32">
        <v>304.37</v>
      </c>
      <c r="AA32">
        <v>304.37</v>
      </c>
      <c r="AB32">
        <v>304.37</v>
      </c>
      <c r="AC32">
        <v>304.37</v>
      </c>
      <c r="AD32">
        <v>305.02</v>
      </c>
      <c r="AE32">
        <v>305.02</v>
      </c>
      <c r="AF32">
        <v>305.02</v>
      </c>
      <c r="AG32">
        <v>305.02</v>
      </c>
      <c r="AH32">
        <v>304.34</v>
      </c>
      <c r="AI32">
        <v>304.34</v>
      </c>
      <c r="AJ32">
        <v>304.34</v>
      </c>
      <c r="AK32">
        <v>304.34</v>
      </c>
      <c r="AL32">
        <v>304.24</v>
      </c>
      <c r="AM32">
        <v>304.24</v>
      </c>
      <c r="AN32">
        <v>304.24</v>
      </c>
      <c r="AO32">
        <v>304.24</v>
      </c>
      <c r="AP32">
        <v>314.48</v>
      </c>
      <c r="AQ32">
        <v>314.48</v>
      </c>
      <c r="AR32">
        <v>314.48</v>
      </c>
      <c r="AS32">
        <v>314.48</v>
      </c>
      <c r="AT32">
        <v>316.22</v>
      </c>
      <c r="AU32">
        <v>316.22</v>
      </c>
      <c r="AV32">
        <v>316.22</v>
      </c>
      <c r="AW32">
        <v>316.22</v>
      </c>
      <c r="AX32">
        <v>316.31</v>
      </c>
      <c r="AY32">
        <v>316.31</v>
      </c>
      <c r="AZ32">
        <v>316.31</v>
      </c>
      <c r="BA32">
        <v>316.31</v>
      </c>
      <c r="BB32">
        <v>306.42</v>
      </c>
      <c r="BC32">
        <v>306.42</v>
      </c>
      <c r="BD32">
        <v>306.42</v>
      </c>
      <c r="BE32">
        <v>306.42</v>
      </c>
      <c r="BF32">
        <v>305.23</v>
      </c>
      <c r="BG32">
        <v>305.23</v>
      </c>
      <c r="BH32">
        <v>305.23</v>
      </c>
      <c r="BI32">
        <v>305.23</v>
      </c>
      <c r="BJ32">
        <v>304.41</v>
      </c>
      <c r="BK32">
        <v>304.41</v>
      </c>
      <c r="BL32">
        <v>304.41</v>
      </c>
      <c r="BM32">
        <v>304.41</v>
      </c>
      <c r="BN32">
        <v>304.84</v>
      </c>
      <c r="BO32">
        <v>304.84</v>
      </c>
      <c r="BP32">
        <v>304.84</v>
      </c>
      <c r="BQ32">
        <v>304.84</v>
      </c>
      <c r="BR32">
        <v>295.08</v>
      </c>
      <c r="BS32">
        <v>295.08</v>
      </c>
      <c r="BT32">
        <v>295.08</v>
      </c>
      <c r="BU32">
        <v>295.08</v>
      </c>
      <c r="BV32">
        <v>294.74</v>
      </c>
      <c r="BW32">
        <v>294.74</v>
      </c>
      <c r="BX32">
        <v>294.74</v>
      </c>
      <c r="BY32">
        <v>294.74</v>
      </c>
      <c r="BZ32">
        <v>305.47</v>
      </c>
      <c r="CA32">
        <v>305.47</v>
      </c>
      <c r="CB32">
        <v>305.47</v>
      </c>
      <c r="CC32">
        <v>305.47</v>
      </c>
      <c r="CD32">
        <v>318.59</v>
      </c>
      <c r="CE32">
        <v>318.59</v>
      </c>
      <c r="CF32">
        <v>318.59</v>
      </c>
      <c r="CG32">
        <v>318.59</v>
      </c>
      <c r="CH32">
        <v>318.32</v>
      </c>
      <c r="CI32">
        <v>318.32</v>
      </c>
      <c r="CJ32">
        <v>318.32</v>
      </c>
      <c r="CK32">
        <v>318.32</v>
      </c>
      <c r="CL32">
        <v>304.79</v>
      </c>
      <c r="CM32">
        <v>304.79</v>
      </c>
      <c r="CN32">
        <v>304.79</v>
      </c>
      <c r="CO32">
        <v>304.79</v>
      </c>
      <c r="CP32">
        <v>305.38</v>
      </c>
      <c r="CQ32">
        <v>305.38</v>
      </c>
      <c r="CR32">
        <v>305.38</v>
      </c>
      <c r="CS32">
        <v>305.38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  <col min="2" max="15" width="9.38333333333333"/>
    <col min="16" max="68" width="9.375"/>
    <col min="69" max="78" width="9.38333333333333"/>
    <col min="79" max="79" width="9.375"/>
    <col min="80" max="82" width="9.38333333333333"/>
    <col min="83" max="83" width="9.375"/>
    <col min="84" max="95" width="9.38333333333333"/>
    <col min="96" max="96" width="9.375"/>
    <col min="97" max="97" width="9.38333333333333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f>集中式风电!B2+分散式风电!B2</f>
        <v>13648.59</v>
      </c>
      <c r="C2">
        <f>集中式风电!C2+分散式风电!C2</f>
        <v>13561.12</v>
      </c>
      <c r="D2">
        <f>集中式风电!D2+分散式风电!D2</f>
        <v>13474.69</v>
      </c>
      <c r="E2">
        <f>集中式风电!E2+分散式风电!E2</f>
        <v>13384.14</v>
      </c>
      <c r="F2">
        <f>集中式风电!F2+分散式风电!F2</f>
        <v>13283.31</v>
      </c>
      <c r="G2">
        <f>集中式风电!G2+分散式风电!G2</f>
        <v>13173.2</v>
      </c>
      <c r="H2">
        <f>集中式风电!H2+分散式风电!H2</f>
        <v>13067.21</v>
      </c>
      <c r="I2">
        <f>集中式风电!I2+分散式风电!I2</f>
        <v>12956.09</v>
      </c>
      <c r="J2">
        <f>集中式风电!J2+分散式风电!J2</f>
        <v>12861.41</v>
      </c>
      <c r="K2">
        <f>集中式风电!K2+分散式风电!K2</f>
        <v>12753.34</v>
      </c>
      <c r="L2">
        <f>集中式风电!L2+分散式风电!L2</f>
        <v>12639.13</v>
      </c>
      <c r="M2">
        <f>集中式风电!M2+分散式风电!M2</f>
        <v>12525.93</v>
      </c>
      <c r="N2">
        <f>集中式风电!N2+分散式风电!N2</f>
        <v>12403.46</v>
      </c>
      <c r="O2">
        <f>集中式风电!O2+分散式风电!O2</f>
        <v>12285.1</v>
      </c>
      <c r="P2">
        <f>集中式风电!P2+分散式风电!P2</f>
        <v>12160.57</v>
      </c>
      <c r="Q2">
        <f>集中式风电!Q2+分散式风电!Q2</f>
        <v>12037.05</v>
      </c>
      <c r="R2">
        <f>集中式风电!R2+分散式风电!R2</f>
        <v>11907.35</v>
      </c>
      <c r="S2">
        <f>集中式风电!S2+分散式风电!S2</f>
        <v>11773.52</v>
      </c>
      <c r="T2">
        <f>集中式风电!T2+分散式风电!T2</f>
        <v>11635.6</v>
      </c>
      <c r="U2">
        <f>集中式风电!U2+分散式风电!U2</f>
        <v>11498.66</v>
      </c>
      <c r="V2">
        <f>集中式风电!V2+分散式风电!V2</f>
        <v>11375.12</v>
      </c>
      <c r="W2">
        <f>集中式风电!W2+分散式风电!W2</f>
        <v>11256.76</v>
      </c>
      <c r="X2">
        <f>集中式风电!X2+分散式风电!X2</f>
        <v>11142.47</v>
      </c>
      <c r="Y2">
        <f>集中式风电!Y2+分散式风电!Y2</f>
        <v>11028.21</v>
      </c>
      <c r="Z2">
        <f>集中式风电!Z2+分散式风电!Z2</f>
        <v>10903.62</v>
      </c>
      <c r="AA2">
        <f>集中式风电!AA2+分散式风电!AA2</f>
        <v>10758.43</v>
      </c>
      <c r="AB2">
        <f>集中式风电!AB2+分散式风电!AB2</f>
        <v>10620.42</v>
      </c>
      <c r="AC2">
        <f>集中式风电!AC2+分散式风电!AC2</f>
        <v>10487.6</v>
      </c>
      <c r="AD2">
        <f>集中式风电!AD2+分散式风电!AD2</f>
        <v>10391.85</v>
      </c>
      <c r="AE2">
        <f>集中式风电!AE2+分散式风电!AE2</f>
        <v>10378.51</v>
      </c>
      <c r="AF2">
        <f>集中式风电!AF2+分散式风电!AF2</f>
        <v>10367.26</v>
      </c>
      <c r="AG2">
        <f>集中式风电!AG2+分散式风电!AG2</f>
        <v>10341.6</v>
      </c>
      <c r="AH2">
        <f>集中式风电!AH2+分散式风电!AH2</f>
        <v>10286.09</v>
      </c>
      <c r="AI2">
        <f>集中式风电!AI2+分散式风电!AI2</f>
        <v>10177.08</v>
      </c>
      <c r="AJ2">
        <f>集中式风电!AJ2+分散式风电!AJ2</f>
        <v>10060.84</v>
      </c>
      <c r="AK2">
        <f>集中式风电!AK2+分散式风电!AK2</f>
        <v>9941.54</v>
      </c>
      <c r="AL2">
        <f>集中式风电!AL2+分散式风电!AL2</f>
        <v>9824.32</v>
      </c>
      <c r="AM2">
        <f>集中式风电!AM2+分散式风电!AM2</f>
        <v>9683.43</v>
      </c>
      <c r="AN2">
        <f>集中式风电!AN2+分散式风电!AN2</f>
        <v>9536.34</v>
      </c>
      <c r="AO2">
        <f>集中式风电!AO2+分散式风电!AO2</f>
        <v>9384.1</v>
      </c>
      <c r="AP2">
        <f>集中式风电!AP2+分散式风电!AP2</f>
        <v>9241.1</v>
      </c>
      <c r="AQ2">
        <f>集中式风电!AQ2+分散式风电!AQ2</f>
        <v>9108.39</v>
      </c>
      <c r="AR2">
        <f>集中式风电!AR2+分散式风电!AR2</f>
        <v>8976.69</v>
      </c>
      <c r="AS2">
        <f>集中式风电!AS2+分散式风电!AS2</f>
        <v>8843.99</v>
      </c>
      <c r="AT2">
        <f>集中式风电!AT2+分散式风电!AT2</f>
        <v>8715.35</v>
      </c>
      <c r="AU2">
        <f>集中式风电!AU2+分散式风电!AU2</f>
        <v>8606.3</v>
      </c>
      <c r="AV2">
        <f>集中式风电!AV2+分散式风电!AV2</f>
        <v>8492.1</v>
      </c>
      <c r="AW2">
        <f>集中式风电!AW2+分散式风电!AW2</f>
        <v>8380.98</v>
      </c>
      <c r="AX2">
        <f>集中式风电!AX2+分散式风电!AX2</f>
        <v>8271.92</v>
      </c>
      <c r="AY2">
        <f>集中式风电!AY2+分散式风电!AY2</f>
        <v>8170.05</v>
      </c>
      <c r="AZ2">
        <f>集中式风电!AZ2+分散式风电!AZ2</f>
        <v>8070.26</v>
      </c>
      <c r="BA2">
        <f>集中式风电!BA2+分散式风电!BA2</f>
        <v>7969.45</v>
      </c>
      <c r="BB2">
        <f>集中式风电!BB2+分散式风电!BB2</f>
        <v>7878.92</v>
      </c>
      <c r="BC2">
        <f>集中式风电!BC2+分散式风电!BC2</f>
        <v>7792.51</v>
      </c>
      <c r="BD2">
        <f>集中式风电!BD2+分散式风电!BD2</f>
        <v>7705.08</v>
      </c>
      <c r="BE2">
        <f>集中式风电!BE2+分散式风电!BE2</f>
        <v>7618.68</v>
      </c>
      <c r="BF2">
        <f>集中式风电!BF2+分散式风电!BF2</f>
        <v>7516.87</v>
      </c>
      <c r="BG2">
        <f>集中式风电!BG2+分散式风电!BG2</f>
        <v>7412.98</v>
      </c>
      <c r="BH2">
        <f>集中式风电!BH2+分散式风电!BH2</f>
        <v>7306</v>
      </c>
      <c r="BI2">
        <f>集中式风电!BI2+分散式风电!BI2</f>
        <v>7196.98</v>
      </c>
      <c r="BJ2">
        <f>集中式风电!BJ2+分散式风电!BJ2</f>
        <v>7078.67</v>
      </c>
      <c r="BK2">
        <f>集中式风电!BK2+分散式风电!BK2</f>
        <v>6956.25</v>
      </c>
      <c r="BL2">
        <f>集中式风电!BL2+分散式风电!BL2</f>
        <v>6832.8</v>
      </c>
      <c r="BM2">
        <f>集中式风电!BM2+分散式风电!BM2</f>
        <v>6720.64</v>
      </c>
      <c r="BN2">
        <f>集中式风电!BN2+分散式风电!BN2</f>
        <v>6572.44</v>
      </c>
      <c r="BO2">
        <f>集中式风电!BO2+分散式风电!BO2</f>
        <v>6399.55</v>
      </c>
      <c r="BP2">
        <f>集中式风电!BP2+分散式风电!BP2</f>
        <v>6222.51</v>
      </c>
      <c r="BQ2">
        <f>集中式风电!BQ2+分散式风电!BQ2</f>
        <v>6045.46</v>
      </c>
      <c r="BR2">
        <f>集中式风电!BR2+分散式风电!BR2</f>
        <v>5879.75</v>
      </c>
      <c r="BS2">
        <f>集中式风电!BS2+分散式风电!BS2</f>
        <v>5724.33</v>
      </c>
      <c r="BT2">
        <f>集中式风电!BT2+分散式风电!BT2</f>
        <v>5564.81</v>
      </c>
      <c r="BU2">
        <f>集中式风电!BU2+分散式风电!BU2</f>
        <v>5399.08</v>
      </c>
      <c r="BV2">
        <f>集中式风电!BV2+分散式风电!BV2</f>
        <v>5235.4</v>
      </c>
      <c r="BW2">
        <f>集中式风电!BW2+分散式风电!BW2</f>
        <v>5071.73</v>
      </c>
      <c r="BX2">
        <f>集中式风电!BX2+分散式风电!BX2</f>
        <v>4914.23</v>
      </c>
      <c r="BY2">
        <f>集中式风电!BY2+分散式风电!BY2</f>
        <v>4761.89</v>
      </c>
      <c r="BZ2">
        <f>集中式风电!BZ2+分散式风电!BZ2</f>
        <v>4641.47</v>
      </c>
      <c r="CA2">
        <f>集中式风电!CA2+分散式风电!CA2</f>
        <v>4551.98</v>
      </c>
      <c r="CB2">
        <f>集中式风电!CB2+分散式风电!CB2</f>
        <v>4470.71</v>
      </c>
      <c r="CC2">
        <f>集中式风电!CC2+分散式风电!CC2</f>
        <v>4392.5</v>
      </c>
      <c r="CD2">
        <f>集中式风电!CD2+分散式风电!CD2</f>
        <v>4334.93</v>
      </c>
      <c r="CE2">
        <f>集中式风电!CE2+分散式风电!CE2</f>
        <v>4307.19</v>
      </c>
      <c r="CF2">
        <f>集中式风电!CF2+分散式风电!CF2</f>
        <v>4283.53</v>
      </c>
      <c r="CG2">
        <f>集中式风电!CG2+分散式风电!CG2</f>
        <v>4258.87</v>
      </c>
      <c r="CH2">
        <f>集中式风电!CH2+分散式风电!CH2</f>
        <v>4242.43</v>
      </c>
      <c r="CI2">
        <f>集中式风电!CI2+分散式风电!CI2</f>
        <v>4202.3</v>
      </c>
      <c r="CJ2">
        <f>集中式风电!CJ2+分散式风电!CJ2</f>
        <v>4165.26</v>
      </c>
      <c r="CK2">
        <f>集中式风电!CK2+分散式风电!CK2</f>
        <v>4127.19</v>
      </c>
      <c r="CL2">
        <f>集中式风电!CL2+分散式风电!CL2</f>
        <v>4088.07</v>
      </c>
      <c r="CM2">
        <f>集中式风电!CM2+分散式风电!CM2</f>
        <v>4067.5</v>
      </c>
      <c r="CN2">
        <f>集中式风电!CN2+分散式风电!CN2</f>
        <v>4051.03</v>
      </c>
      <c r="CO2">
        <f>集中式风电!CO2+分散式风电!CO2</f>
        <v>4033.52</v>
      </c>
      <c r="CP2">
        <f>集中式风电!CP2+分散式风电!CP2</f>
        <v>4004.68</v>
      </c>
      <c r="CQ2">
        <f>集中式风电!CQ2+分散式风电!CQ2</f>
        <v>3977.88</v>
      </c>
      <c r="CR2">
        <f>集中式风电!CR2+分散式风电!CR2</f>
        <v>3949.02</v>
      </c>
      <c r="CS2">
        <f>集中式风电!CS2+分散式风电!CS2</f>
        <v>3911.92</v>
      </c>
    </row>
    <row r="3" spans="1:97">
      <c r="A3" s="9">
        <v>46236</v>
      </c>
      <c r="B3">
        <f>集中式风电!B3+分散式风电!B3</f>
        <v>3596.06</v>
      </c>
      <c r="C3">
        <f>集中式风电!C3+分散式风电!C3</f>
        <v>3539.45</v>
      </c>
      <c r="D3">
        <f>集中式风电!D3+分散式风电!D3</f>
        <v>3482.84</v>
      </c>
      <c r="E3">
        <f>集中式风电!E3+分散式风电!E3</f>
        <v>3425.19</v>
      </c>
      <c r="F3">
        <f>集中式风电!F3+分散式风电!F3</f>
        <v>3366.52</v>
      </c>
      <c r="G3">
        <f>集中式风电!G3+分散式风电!G3</f>
        <v>3315.11</v>
      </c>
      <c r="H3">
        <f>集中式风电!H3+分散式风电!H3</f>
        <v>3266.76</v>
      </c>
      <c r="I3">
        <f>集中式风电!I3+分散式风电!I3</f>
        <v>3216.38</v>
      </c>
      <c r="J3">
        <f>集中式风电!J3+分散式风电!J3</f>
        <v>3158.8</v>
      </c>
      <c r="K3">
        <f>集中式风电!K3+分散式风电!K3</f>
        <v>3088.85</v>
      </c>
      <c r="L3">
        <f>集中式风电!L3+分散式风电!L3</f>
        <v>3013.75</v>
      </c>
      <c r="M3">
        <f>集中式风电!M3+分散式风电!M3</f>
        <v>2939.7</v>
      </c>
      <c r="N3">
        <f>集中式风电!N3+分散式风电!N3</f>
        <v>2867.67</v>
      </c>
      <c r="O3">
        <f>集中式风电!O3+分散式风电!O3</f>
        <v>2800.8</v>
      </c>
      <c r="P3">
        <f>集中式风电!P3+分散式风电!P3</f>
        <v>2734.97</v>
      </c>
      <c r="Q3">
        <f>集中式风电!Q3+分散式风电!Q3</f>
        <v>2663.97</v>
      </c>
      <c r="R3">
        <f>集中式风电!R3+分散式风电!R3</f>
        <v>2583.72</v>
      </c>
      <c r="S3">
        <f>集中式风电!S3+分散式风电!S3</f>
        <v>2491.1</v>
      </c>
      <c r="T3">
        <f>集中式风电!T3+分散式风电!T3</f>
        <v>2399.5</v>
      </c>
      <c r="U3">
        <f>集中式风电!U3+分散式风电!U3</f>
        <v>2306.86</v>
      </c>
      <c r="V3">
        <f>集中式风电!V3+分散式风电!V3</f>
        <v>2207.04</v>
      </c>
      <c r="W3">
        <f>集中式风电!W3+分散式风电!W3</f>
        <v>2106.16</v>
      </c>
      <c r="X3">
        <f>集中式风电!X3+分散式风电!X3</f>
        <v>2009.43</v>
      </c>
      <c r="Y3">
        <f>集中式风电!Y3+分散式风电!Y3</f>
        <v>1914.72</v>
      </c>
      <c r="Z3">
        <f>集中式风电!Z3+分散式风电!Z3</f>
        <v>1826.24</v>
      </c>
      <c r="AA3">
        <f>集中式风电!AA3+分散式风电!AA3</f>
        <v>1739.78</v>
      </c>
      <c r="AB3">
        <f>集中式风电!AB3+分散式风电!AB3</f>
        <v>1653.35</v>
      </c>
      <c r="AC3">
        <f>集中式风电!AC3+分散式风电!AC3</f>
        <v>1570.01</v>
      </c>
      <c r="AD3">
        <f>集中式风电!AD3+分散式风电!AD3</f>
        <v>1487.67</v>
      </c>
      <c r="AE3">
        <f>集中式风电!AE3+分散式风电!AE3</f>
        <v>1420.79</v>
      </c>
      <c r="AF3">
        <f>集中式风电!AF3+分散式风电!AF3</f>
        <v>1359.06</v>
      </c>
      <c r="AG3">
        <f>集中式风电!AG3+分散式风电!AG3</f>
        <v>1299.35</v>
      </c>
      <c r="AH3">
        <f>集中式风电!AH3+分散式风电!AH3</f>
        <v>1261.31</v>
      </c>
      <c r="AI3">
        <f>集中式风电!AI3+分散式风电!AI3</f>
        <v>1231.46</v>
      </c>
      <c r="AJ3">
        <f>集中式风电!AJ3+分散式风电!AJ3</f>
        <v>1202.64</v>
      </c>
      <c r="AK3">
        <f>集中式风电!AK3+分散式风电!AK3</f>
        <v>1176.93</v>
      </c>
      <c r="AL3">
        <f>集中式风电!AL3+分散式风电!AL3</f>
        <v>1164.6</v>
      </c>
      <c r="AM3">
        <f>集中式风电!AM3+分散式风电!AM3</f>
        <v>1165.62</v>
      </c>
      <c r="AN3">
        <f>集中式风电!AN3+分散式风电!AN3</f>
        <v>1168.71</v>
      </c>
      <c r="AO3">
        <f>集中式风电!AO3+分散式风电!AO3</f>
        <v>1171.82</v>
      </c>
      <c r="AP3">
        <f>集中式风电!AP3+分散式风电!AP3</f>
        <v>1189.33</v>
      </c>
      <c r="AQ3">
        <f>集中式风电!AQ3+分散式风电!AQ3</f>
        <v>1220.22</v>
      </c>
      <c r="AR3">
        <f>集中式风电!AR3+分散式风电!AR3</f>
        <v>1253.18</v>
      </c>
      <c r="AS3">
        <f>集中式风电!AS3+分散式风电!AS3</f>
        <v>1290.24</v>
      </c>
      <c r="AT3">
        <f>集中式风电!AT3+分散式风电!AT3</f>
        <v>1334.54</v>
      </c>
      <c r="AU3">
        <f>集中式风电!AU3+分散式风电!AU3</f>
        <v>1387.04</v>
      </c>
      <c r="AV3">
        <f>集中式风电!AV3+分散式风电!AV3</f>
        <v>1440.6</v>
      </c>
      <c r="AW3">
        <f>集中式风电!AW3+分散式风电!AW3</f>
        <v>1495.18</v>
      </c>
      <c r="AX3">
        <f>集中式风电!AX3+分散式风电!AX3</f>
        <v>1559.03</v>
      </c>
      <c r="AY3">
        <f>集中式风电!AY3+分散式风电!AY3</f>
        <v>1630.08</v>
      </c>
      <c r="AZ3">
        <f>集中式风电!AZ3+分散式风电!AZ3</f>
        <v>1705.27</v>
      </c>
      <c r="BA3">
        <f>集中式风电!BA3+分散式风电!BA3</f>
        <v>1779.43</v>
      </c>
      <c r="BB3">
        <f>集中式风电!BB3+分散式风电!BB3</f>
        <v>1861.8</v>
      </c>
      <c r="BC3">
        <f>集中式风电!BC3+分散式风电!BC3</f>
        <v>1949.35</v>
      </c>
      <c r="BD3">
        <f>集中式风电!BD3+分散式风电!BD3</f>
        <v>2035.87</v>
      </c>
      <c r="BE3">
        <f>集中式风电!BE3+分散式风电!BE3</f>
        <v>2123.4</v>
      </c>
      <c r="BF3">
        <f>集中式风电!BF3+分散式风电!BF3</f>
        <v>2196.51</v>
      </c>
      <c r="BG3">
        <f>集中式风电!BG3+分散式风电!BG3</f>
        <v>2257.25</v>
      </c>
      <c r="BH3">
        <f>集中式风电!BH3+分散式风电!BH3</f>
        <v>2319.05</v>
      </c>
      <c r="BI3">
        <f>集中式风电!BI3+分散式风电!BI3</f>
        <v>2381.86</v>
      </c>
      <c r="BJ3">
        <f>集中式风电!BJ3+分散式风电!BJ3</f>
        <v>2438.49</v>
      </c>
      <c r="BK3">
        <f>集中式风电!BK3+分散式风电!BK3</f>
        <v>2496.13</v>
      </c>
      <c r="BL3">
        <f>集中式风电!BL3+分散式风电!BL3</f>
        <v>2553.77</v>
      </c>
      <c r="BM3">
        <f>集中式风电!BM3+分散式风电!BM3</f>
        <v>2610.4</v>
      </c>
      <c r="BN3">
        <f>集中式风电!BN3+分散式风电!BN3</f>
        <v>2659.82</v>
      </c>
      <c r="BO3">
        <f>集中式风电!BO3+分散式风电!BO3</f>
        <v>2706.1</v>
      </c>
      <c r="BP3">
        <f>集中式风电!BP3+分散式风电!BP3</f>
        <v>2751.39</v>
      </c>
      <c r="BQ3">
        <f>集中式风电!BQ3+分散式风电!BQ3</f>
        <v>2796.68</v>
      </c>
      <c r="BR3">
        <f>集中式风电!BR3+分散式风电!BR3</f>
        <v>2830.64</v>
      </c>
      <c r="BS3">
        <f>集中式风电!BS3+分散式风电!BS3</f>
        <v>2858.39</v>
      </c>
      <c r="BT3">
        <f>集中式风电!BT3+分散式风电!BT3</f>
        <v>2887.2</v>
      </c>
      <c r="BU3">
        <f>集中式风电!BU3+分散式风电!BU3</f>
        <v>2921.11</v>
      </c>
      <c r="BV3">
        <f>集中式风电!BV3+分散式风电!BV3</f>
        <v>2975.65</v>
      </c>
      <c r="BW3">
        <f>集中式风电!BW3+分散式风电!BW3</f>
        <v>3043.55</v>
      </c>
      <c r="BX3">
        <f>集中式风电!BX3+分散式风电!BX3</f>
        <v>3115.57</v>
      </c>
      <c r="BY3">
        <f>集中式风电!BY3+分散式风电!BY3</f>
        <v>3192.75</v>
      </c>
      <c r="BZ3">
        <f>集中式风电!BZ3+分散式风电!BZ3</f>
        <v>3280.21</v>
      </c>
      <c r="CA3">
        <f>集中式风电!CA3+分散式风电!CA3</f>
        <v>3375.94</v>
      </c>
      <c r="CB3">
        <f>集中式风电!CB3+分散式风电!CB3</f>
        <v>3481.94</v>
      </c>
      <c r="CC3">
        <f>集中式风电!CC3+分散式风电!CC3</f>
        <v>3588.99</v>
      </c>
      <c r="CD3">
        <f>集中式风电!CD3+分散式风电!CD3</f>
        <v>3696.04</v>
      </c>
      <c r="CE3">
        <f>集中式风电!CE3+分散式风电!CE3</f>
        <v>3801</v>
      </c>
      <c r="CF3">
        <f>集中式风电!CF3+分散式风电!CF3</f>
        <v>3911.11</v>
      </c>
      <c r="CG3">
        <f>集中式风电!CG3+分散式风电!CG3</f>
        <v>4023.28</v>
      </c>
      <c r="CH3">
        <f>集中式风电!CH3+分散式风电!CH3</f>
        <v>4150.86</v>
      </c>
      <c r="CI3">
        <f>集中式风电!CI3+分散式风电!CI3</f>
        <v>4290.75</v>
      </c>
      <c r="CJ3">
        <f>集中式风电!CJ3+分散式风电!CJ3</f>
        <v>4436.83</v>
      </c>
      <c r="CK3">
        <f>集中式风电!CK3+分散式风电!CK3</f>
        <v>4588.03</v>
      </c>
      <c r="CL3">
        <f>集中式风电!CL3+分散式风电!CL3</f>
        <v>4729.99</v>
      </c>
      <c r="CM3">
        <f>集中式风电!CM3+分散式风电!CM3</f>
        <v>4860.59</v>
      </c>
      <c r="CN3">
        <f>集中式风电!CN3+分散式风电!CN3</f>
        <v>4987.1</v>
      </c>
      <c r="CO3">
        <f>集中式风电!CO3+分散式风电!CO3</f>
        <v>5113.62</v>
      </c>
      <c r="CP3">
        <f>集中式风电!CP3+分散式风电!CP3</f>
        <v>5218.53</v>
      </c>
      <c r="CQ3">
        <f>集中式风电!CQ3+分散式风电!CQ3</f>
        <v>5313.15</v>
      </c>
      <c r="CR3">
        <f>集中式风电!CR3+分散式风电!CR3</f>
        <v>5407.76</v>
      </c>
      <c r="CS3">
        <f>集中式风电!CS3+分散式风电!CS3</f>
        <v>5497.24</v>
      </c>
    </row>
    <row r="4" spans="1:97">
      <c r="A4" s="9">
        <v>46237</v>
      </c>
      <c r="B4">
        <f>集中式风电!B4+分散式风电!B4</f>
        <v>5007.45</v>
      </c>
      <c r="C4">
        <f>集中式风电!C4+分散式风电!C4</f>
        <v>5098.97</v>
      </c>
      <c r="D4">
        <f>集中式风电!D4+分散式风电!D4</f>
        <v>5193.6</v>
      </c>
      <c r="E4">
        <f>集中式风电!E4+分散式风电!E4</f>
        <v>5289.24</v>
      </c>
      <c r="F4">
        <f>集中式风电!F4+分散式风电!F4</f>
        <v>5378.72</v>
      </c>
      <c r="G4">
        <f>集中式风电!G4+分散式风电!G4</f>
        <v>5464.07</v>
      </c>
      <c r="H4">
        <f>集中式风电!H4+分散式风电!H4</f>
        <v>5548.44</v>
      </c>
      <c r="I4">
        <f>集中式风电!I4+分散式风电!I4</f>
        <v>5632.76</v>
      </c>
      <c r="J4">
        <f>集中式风电!J4+分散式风电!J4</f>
        <v>5698.51</v>
      </c>
      <c r="K4">
        <f>集中式风电!K4+分散式风电!K4</f>
        <v>5750.91</v>
      </c>
      <c r="L4">
        <f>集中式风电!L4+分散式风电!L4</f>
        <v>5803.34</v>
      </c>
      <c r="M4">
        <f>集中式风电!M4+分散式风电!M4</f>
        <v>5853.67</v>
      </c>
      <c r="N4">
        <f>集中式风电!N4+分散式风电!N4</f>
        <v>5902.99</v>
      </c>
      <c r="O4">
        <f>集中式风电!O4+分散式风电!O4</f>
        <v>5941.02</v>
      </c>
      <c r="P4">
        <f>集中式风电!P4+分散式风电!P4</f>
        <v>5979.02</v>
      </c>
      <c r="Q4">
        <f>集中式风电!Q4+分散式风电!Q4</f>
        <v>6013.96</v>
      </c>
      <c r="R4">
        <f>集中式风电!R4+分散式风电!R4</f>
        <v>6027.27</v>
      </c>
      <c r="S4">
        <f>集中式风电!S4+分散式风电!S4</f>
        <v>6008.69</v>
      </c>
      <c r="T4">
        <f>集中式风电!T4+分散式风电!T4</f>
        <v>5977.76</v>
      </c>
      <c r="U4">
        <f>集中式风电!U4+分散式风电!U4</f>
        <v>5944.75</v>
      </c>
      <c r="V4">
        <f>集中式风电!V4+分散式风电!V4</f>
        <v>5896.34</v>
      </c>
      <c r="W4">
        <f>集中式风电!W4+分散式风电!W4</f>
        <v>5836.58</v>
      </c>
      <c r="X4">
        <f>集中式风电!X4+分散式风电!X4</f>
        <v>5773.76</v>
      </c>
      <c r="Y4">
        <f>集中式风电!Y4+分散式风电!Y4</f>
        <v>5706.83</v>
      </c>
      <c r="Z4">
        <f>集中式风电!Z4+分散式风电!Z4</f>
        <v>5632.69</v>
      </c>
      <c r="AA4">
        <f>集中式风电!AA4+分散式风电!AA4</f>
        <v>5545.14</v>
      </c>
      <c r="AB4">
        <f>集中式风电!AB4+分散式风电!AB4</f>
        <v>5460.7</v>
      </c>
      <c r="AC4">
        <f>集中式风电!AC4+分散式风电!AC4</f>
        <v>5381.37</v>
      </c>
      <c r="AD4">
        <f>集中式风电!AD4+分散式风电!AD4</f>
        <v>5354.59</v>
      </c>
      <c r="AE4">
        <f>集中式风电!AE4+分散式风电!AE4</f>
        <v>5398.85</v>
      </c>
      <c r="AF4">
        <f>集中式风电!AF4+分散式风电!AF4</f>
        <v>5458.53</v>
      </c>
      <c r="AG4">
        <f>集中式风电!AG4+分散式风电!AG4</f>
        <v>5525.41</v>
      </c>
      <c r="AH4">
        <f>集中式风电!AH4+分散式风电!AH4</f>
        <v>5650.98</v>
      </c>
      <c r="AI4">
        <f>集中式风电!AI4+分散式风电!AI4</f>
        <v>5816.7</v>
      </c>
      <c r="AJ4">
        <f>集中式风电!AJ4+分散式风电!AJ4</f>
        <v>5995.77</v>
      </c>
      <c r="AK4">
        <f>集中式风电!AK4+分散式风电!AK4</f>
        <v>6157.35</v>
      </c>
      <c r="AL4">
        <f>集中式风电!AL4+分散式风电!AL4</f>
        <v>6367.33</v>
      </c>
      <c r="AM4">
        <f>集中式风电!AM4+分散式风电!AM4</f>
        <v>6586.57</v>
      </c>
      <c r="AN4">
        <f>集中式风电!AN4+分散式风电!AN4</f>
        <v>6811.98</v>
      </c>
      <c r="AO4">
        <f>集中式风电!AO4+分散式风电!AO4</f>
        <v>7038.39</v>
      </c>
      <c r="AP4">
        <f>集中式风电!AP4+分散式风电!AP4</f>
        <v>7263.77</v>
      </c>
      <c r="AQ4">
        <f>集中式风电!AQ4+分散式风电!AQ4</f>
        <v>7494.3</v>
      </c>
      <c r="AR4">
        <f>集中式风电!AR4+分散式风电!AR4</f>
        <v>7728.97</v>
      </c>
      <c r="AS4">
        <f>集中式风电!AS4+分散式风电!AS4</f>
        <v>7965.66</v>
      </c>
      <c r="AT4">
        <f>集中式风电!AT4+分散式风电!AT4</f>
        <v>8203.41</v>
      </c>
      <c r="AU4">
        <f>集中式风电!AU4+分散式风电!AU4</f>
        <v>8440.12</v>
      </c>
      <c r="AV4">
        <f>集中式风电!AV4+分散式风电!AV4</f>
        <v>8677.86</v>
      </c>
      <c r="AW4">
        <f>集中式风电!AW4+分散式风电!AW4</f>
        <v>8911.48</v>
      </c>
      <c r="AX4">
        <f>集中式风电!AX4+分散式风电!AX4</f>
        <v>9134.81</v>
      </c>
      <c r="AY4">
        <f>集中式风电!AY4+分散式风电!AY4</f>
        <v>9335.48</v>
      </c>
      <c r="AZ4">
        <f>集中式风电!AZ4+分散式风电!AZ4</f>
        <v>9534.11</v>
      </c>
      <c r="BA4">
        <f>集中式风电!BA4+分散式风电!BA4</f>
        <v>9728.61</v>
      </c>
      <c r="BB4">
        <f>集中式风电!BB4+分散式风电!BB4</f>
        <v>9894.28</v>
      </c>
      <c r="BC4">
        <f>集中式风电!BC4+分散式风电!BC4</f>
        <v>10038.35</v>
      </c>
      <c r="BD4">
        <f>集中式风电!BD4+分散式风电!BD4</f>
        <v>10175.26</v>
      </c>
      <c r="BE4">
        <f>集中式风电!BE4+分散式风电!BE4</f>
        <v>10306</v>
      </c>
      <c r="BF4">
        <f>集中式风电!BF4+分散式风电!BF4</f>
        <v>10391.46</v>
      </c>
      <c r="BG4">
        <f>集中式风电!BG4+分散式风电!BG4</f>
        <v>10420.33</v>
      </c>
      <c r="BH4">
        <f>集中式风电!BH4+分散式风电!BH4</f>
        <v>10447.12</v>
      </c>
      <c r="BI4">
        <f>集中式风电!BI4+分散式风电!BI4</f>
        <v>10467.78</v>
      </c>
      <c r="BJ4">
        <f>集中式风电!BJ4+分散式风电!BJ4</f>
        <v>10453.46</v>
      </c>
      <c r="BK4">
        <f>集中式风电!BK4+分散式风电!BK4</f>
        <v>10384.55</v>
      </c>
      <c r="BL4">
        <f>集中式风电!BL4+分散式风电!BL4</f>
        <v>10317.7</v>
      </c>
      <c r="BM4">
        <f>集中式风电!BM4+分散式风电!BM4</f>
        <v>10251.88</v>
      </c>
      <c r="BN4">
        <f>集中式风电!BN4+分散式风电!BN4</f>
        <v>10189.14</v>
      </c>
      <c r="BO4">
        <f>集中式风电!BO4+分散式风电!BO4</f>
        <v>10110.97</v>
      </c>
      <c r="BP4">
        <f>集中式风电!BP4+分散式风电!BP4</f>
        <v>10039.97</v>
      </c>
      <c r="BQ4">
        <f>集中式风电!BQ4+分散式风电!BQ4</f>
        <v>9969.98</v>
      </c>
      <c r="BR4">
        <f>集中式风电!BR4+分散式风电!BR4</f>
        <v>9909.27</v>
      </c>
      <c r="BS4">
        <f>集中式风电!BS4+分散式风电!BS4</f>
        <v>9870.12</v>
      </c>
      <c r="BT4">
        <f>集中式风电!BT4+分散式风电!BT4</f>
        <v>9835.11</v>
      </c>
      <c r="BU4">
        <f>集中式风电!BU4+分散式风电!BU4</f>
        <v>9796.99</v>
      </c>
      <c r="BV4">
        <f>集中式风电!BV4+分散式风电!BV4</f>
        <v>9776.39</v>
      </c>
      <c r="BW4">
        <f>集中式风电!BW4+分散式风电!BW4</f>
        <v>9760.89</v>
      </c>
      <c r="BX4">
        <f>集中式风电!BX4+分散式风电!BX4</f>
        <v>9746.42</v>
      </c>
      <c r="BY4">
        <f>集中式风电!BY4+分散式风电!BY4</f>
        <v>9735.04</v>
      </c>
      <c r="BZ4">
        <f>集中式风电!BZ4+分散式风电!BZ4</f>
        <v>9732.94</v>
      </c>
      <c r="CA4">
        <f>集中式风电!CA4+分散式风电!CA4</f>
        <v>9736.99</v>
      </c>
      <c r="CB4">
        <f>集中式风电!CB4+分散式风电!CB4</f>
        <v>9743.14</v>
      </c>
      <c r="CC4">
        <f>集中式风电!CC4+分散式风电!CC4</f>
        <v>9750.27</v>
      </c>
      <c r="CD4">
        <f>集中式风电!CD4+分散式风电!CD4</f>
        <v>9746.13</v>
      </c>
      <c r="CE4">
        <f>集中式风电!CE4+分散式风电!CE4</f>
        <v>9734.77</v>
      </c>
      <c r="CF4">
        <f>集中式风电!CF4+分散式风电!CF4</f>
        <v>9720.33</v>
      </c>
      <c r="CG4">
        <f>集中式风电!CG4+分散式风电!CG4</f>
        <v>9698.69</v>
      </c>
      <c r="CH4">
        <f>集中式风电!CH4+分散式风电!CH4</f>
        <v>9680.13</v>
      </c>
      <c r="CI4">
        <f>集中式风电!CI4+分散式风电!CI4</f>
        <v>9662.63</v>
      </c>
      <c r="CJ4">
        <f>集中式风电!CJ4+分散式风电!CJ4</f>
        <v>9645.13</v>
      </c>
      <c r="CK4">
        <f>集中式风电!CK4+分散式风电!CK4</f>
        <v>9626.61</v>
      </c>
      <c r="CL4">
        <f>集中式风电!CL4+分散式风电!CL4</f>
        <v>9595.73</v>
      </c>
      <c r="CM4">
        <f>集中式风电!CM4+分散式风电!CM4</f>
        <v>9559.7</v>
      </c>
      <c r="CN4">
        <f>集中式风电!CN4+分散式风电!CN4</f>
        <v>9521.62</v>
      </c>
      <c r="CO4">
        <f>集中式风电!CO4+分散式风电!CO4</f>
        <v>9481.5</v>
      </c>
      <c r="CP4">
        <f>集中式风电!CP4+分散式风电!CP4</f>
        <v>9423.83</v>
      </c>
      <c r="CQ4">
        <f>集中式风电!CQ4+分散式风电!CQ4</f>
        <v>9348.7</v>
      </c>
      <c r="CR4">
        <f>集中式风电!CR4+分散式风电!CR4</f>
        <v>9270.47</v>
      </c>
      <c r="CS4">
        <f>集中式风电!CS4+分散式风电!CS4</f>
        <v>9188.12</v>
      </c>
    </row>
    <row r="5" spans="1:97">
      <c r="A5" s="9">
        <v>46238</v>
      </c>
      <c r="B5">
        <f>集中式风电!B5+分散式风电!B5</f>
        <v>8852.45</v>
      </c>
      <c r="C5">
        <f>集中式风电!C5+分散式风电!C5</f>
        <v>8725.97</v>
      </c>
      <c r="D5">
        <f>集中式风电!D5+分散式风电!D5</f>
        <v>8598.6</v>
      </c>
      <c r="E5">
        <f>集中式风电!E5+分散式风电!E5</f>
        <v>8474.24</v>
      </c>
      <c r="F5">
        <f>集中式风电!F5+分散式风电!F5</f>
        <v>8356.72</v>
      </c>
      <c r="G5">
        <f>集中式风电!G5+分散式风电!G5</f>
        <v>8251.07</v>
      </c>
      <c r="H5">
        <f>集中式风电!H5+分散式风电!H5</f>
        <v>8145.44</v>
      </c>
      <c r="I5">
        <f>集中式风电!I5+分散式风电!I5</f>
        <v>8038.76</v>
      </c>
      <c r="J5">
        <f>集中式风电!J5+分散式风电!J5</f>
        <v>7927.51</v>
      </c>
      <c r="K5">
        <f>集中式风电!K5+分散式风电!K5</f>
        <v>7816.91</v>
      </c>
      <c r="L5">
        <f>集中式风电!L5+分散式风电!L5</f>
        <v>7701.34</v>
      </c>
      <c r="M5">
        <f>集中式风电!M5+分散式风电!M5</f>
        <v>7586.67</v>
      </c>
      <c r="N5">
        <f>集中式风电!N5+分散式风电!N5</f>
        <v>7478.99</v>
      </c>
      <c r="O5">
        <f>集中式风电!O5+分散式风电!O5</f>
        <v>7372.02</v>
      </c>
      <c r="P5">
        <f>集中式风电!P5+分散式风电!P5</f>
        <v>7265.02</v>
      </c>
      <c r="Q5">
        <f>集中式风电!Q5+分散式风电!Q5</f>
        <v>7156.96</v>
      </c>
      <c r="R5">
        <f>集中式风电!R5+分散式风电!R5</f>
        <v>7046.27</v>
      </c>
      <c r="S5">
        <f>集中式风电!S5+分散式风电!S5</f>
        <v>6928.69</v>
      </c>
      <c r="T5">
        <f>集中式风电!T5+分散式风电!T5</f>
        <v>6806.76</v>
      </c>
      <c r="U5">
        <f>集中式风电!U5+分散式风电!U5</f>
        <v>6681.75</v>
      </c>
      <c r="V5">
        <f>集中式风电!V5+分散式风电!V5</f>
        <v>6553.34</v>
      </c>
      <c r="W5">
        <f>集中式风电!W5+分散式风电!W5</f>
        <v>6422.58</v>
      </c>
      <c r="X5">
        <f>集中式风电!X5+分散式风电!X5</f>
        <v>6288.76</v>
      </c>
      <c r="Y5">
        <f>集中式风电!Y5+分散式风电!Y5</f>
        <v>6158.83</v>
      </c>
      <c r="Z5">
        <f>集中式风电!Z5+分散式风电!Z5</f>
        <v>6028.69</v>
      </c>
      <c r="AA5">
        <f>集中式风电!AA5+分散式风电!AA5</f>
        <v>5892.14</v>
      </c>
      <c r="AB5">
        <f>集中式风电!AB5+分散式风电!AB5</f>
        <v>5762.7</v>
      </c>
      <c r="AC5">
        <f>集中式风电!AC5+分散式风电!AC5</f>
        <v>5638.37</v>
      </c>
      <c r="AD5">
        <f>集中式风电!AD5+分散式风电!AD5</f>
        <v>5567.59</v>
      </c>
      <c r="AE5">
        <f>集中式风电!AE5+分散式风电!AE5</f>
        <v>5558.85</v>
      </c>
      <c r="AF5">
        <f>集中式风电!AF5+分散式风电!AF5</f>
        <v>5566.53</v>
      </c>
      <c r="AG5">
        <f>集中式风电!AG5+分散式风电!AG5</f>
        <v>5580.41</v>
      </c>
      <c r="AH5">
        <f>集中式风电!AH5+分散式风电!AH5</f>
        <v>5648.98</v>
      </c>
      <c r="AI5">
        <f>集中式风电!AI5+分散式风电!AI5</f>
        <v>5758.7</v>
      </c>
      <c r="AJ5">
        <f>集中式风电!AJ5+分散式风电!AJ5</f>
        <v>5861.77</v>
      </c>
      <c r="AK5">
        <f>集中式风电!AK5+分散式风电!AK5</f>
        <v>5990.35</v>
      </c>
      <c r="AL5">
        <f>集中式风电!AL5+分散式风电!AL5</f>
        <v>6141.33</v>
      </c>
      <c r="AM5">
        <f>集中式风电!AM5+分散式风电!AM5</f>
        <v>6304.57</v>
      </c>
      <c r="AN5">
        <f>集中式风电!AN5+分散式风电!AN5</f>
        <v>6475.98</v>
      </c>
      <c r="AO5">
        <f>集中式风电!AO5+分散式风电!AO5</f>
        <v>6648.39</v>
      </c>
      <c r="AP5">
        <f>集中式风电!AP5+分散式风电!AP5</f>
        <v>6832.77</v>
      </c>
      <c r="AQ5">
        <f>集中式风电!AQ5+分散式风电!AQ5</f>
        <v>7017.3</v>
      </c>
      <c r="AR5">
        <f>集中式风电!AR5+分散式风电!AR5</f>
        <v>7205.97</v>
      </c>
      <c r="AS5">
        <f>集中式风电!AS5+分散式风电!AS5</f>
        <v>7395.66</v>
      </c>
      <c r="AT5">
        <f>集中式风电!AT5+分散式风电!AT5</f>
        <v>7560.41</v>
      </c>
      <c r="AU5">
        <f>集中式风电!AU5+分散式风电!AU5</f>
        <v>7712.12</v>
      </c>
      <c r="AV5">
        <f>集中式风电!AV5+分散式风电!AV5</f>
        <v>7864.86</v>
      </c>
      <c r="AW5">
        <f>集中式风电!AW5+分散式风电!AW5</f>
        <v>8016.48</v>
      </c>
      <c r="AX5">
        <f>集中式风电!AX5+分散式风电!AX5</f>
        <v>8147.81</v>
      </c>
      <c r="AY5">
        <f>集中式风电!AY5+分散式风电!AY5</f>
        <v>8257.48</v>
      </c>
      <c r="AZ5">
        <f>集中式风电!AZ5+分散式风电!AZ5</f>
        <v>8367.11</v>
      </c>
      <c r="BA5">
        <f>集中式风电!BA5+分散式风电!BA5</f>
        <v>8477.61</v>
      </c>
      <c r="BB5">
        <f>集中式风电!BB5+分散式风电!BB5</f>
        <v>8563.28</v>
      </c>
      <c r="BC5">
        <f>集中式风电!BC5+分散式风电!BC5</f>
        <v>8638.35</v>
      </c>
      <c r="BD5">
        <f>集中式风电!BD5+分散式风电!BD5</f>
        <v>8704.26</v>
      </c>
      <c r="BE5">
        <f>集中式风电!BE5+分散式风电!BE5</f>
        <v>8764</v>
      </c>
      <c r="BF5">
        <f>集中式风电!BF5+分散式风电!BF5</f>
        <v>8798.46</v>
      </c>
      <c r="BG5">
        <f>集中式风电!BG5+分散式风电!BG5</f>
        <v>8798.33</v>
      </c>
      <c r="BH5">
        <f>集中式风电!BH5+分散式风电!BH5</f>
        <v>8784.12</v>
      </c>
      <c r="BI5">
        <f>集中式风电!BI5+分散式风电!BI5</f>
        <v>8766.78</v>
      </c>
      <c r="BJ5">
        <f>集中式风电!BJ5+分散式风电!BJ5</f>
        <v>8712.46</v>
      </c>
      <c r="BK5">
        <f>集中式风电!BK5+分散式风电!BK5</f>
        <v>8612.55</v>
      </c>
      <c r="BL5">
        <f>集中式风电!BL5+分散式风电!BL5</f>
        <v>8507.7</v>
      </c>
      <c r="BM5">
        <f>集中式风电!BM5+分散式风电!BM5</f>
        <v>8411.88</v>
      </c>
      <c r="BN5">
        <f>集中式风电!BN5+分散式风电!BN5</f>
        <v>8274.14</v>
      </c>
      <c r="BO5">
        <f>集中式风电!BO5+分散式风电!BO5</f>
        <v>8103.97</v>
      </c>
      <c r="BP5">
        <f>集中式风电!BP5+分散式风电!BP5</f>
        <v>7932.97</v>
      </c>
      <c r="BQ5">
        <f>集中式风电!BQ5+分散式风电!BQ5</f>
        <v>7763.98</v>
      </c>
      <c r="BR5">
        <f>集中式风电!BR5+分散式风电!BR5</f>
        <v>7590.27</v>
      </c>
      <c r="BS5">
        <f>集中式风电!BS5+分散式风电!BS5</f>
        <v>7430.12</v>
      </c>
      <c r="BT5">
        <f>集中式风电!BT5+分散式风电!BT5</f>
        <v>7277.11</v>
      </c>
      <c r="BU5">
        <f>集中式风电!BU5+分散式风电!BU5</f>
        <v>7121.99</v>
      </c>
      <c r="BV5">
        <f>集中式风电!BV5+分散式风电!BV5</f>
        <v>6996.39</v>
      </c>
      <c r="BW5">
        <f>集中式风电!BW5+分散式风电!BW5</f>
        <v>6891.89</v>
      </c>
      <c r="BX5">
        <f>集中式风电!BX5+分散式风电!BX5</f>
        <v>6795.42</v>
      </c>
      <c r="BY5">
        <f>集中式风电!BY5+分散式风电!BY5</f>
        <v>6702.04</v>
      </c>
      <c r="BZ5">
        <f>集中式风电!BZ5+分散式风电!BZ5</f>
        <v>6645.94</v>
      </c>
      <c r="CA5">
        <f>集中式风电!CA5+分散式风电!CA5</f>
        <v>6596.99</v>
      </c>
      <c r="CB5">
        <f>集中式风电!CB5+分散式风电!CB5</f>
        <v>6547.14</v>
      </c>
      <c r="CC5">
        <f>集中式风电!CC5+分散式风电!CC5</f>
        <v>6498.27</v>
      </c>
      <c r="CD5">
        <f>集中式风电!CD5+分散式风电!CD5</f>
        <v>6449.13</v>
      </c>
      <c r="CE5">
        <f>集中式风电!CE5+分散式风电!CE5</f>
        <v>6401.77</v>
      </c>
      <c r="CF5">
        <f>集中式风电!CF5+分散式风电!CF5</f>
        <v>6354.33</v>
      </c>
      <c r="CG5">
        <f>集中式风电!CG5+分散式风电!CG5</f>
        <v>6303.69</v>
      </c>
      <c r="CH5">
        <f>集中式风电!CH5+分散式风电!CH5</f>
        <v>6249.13</v>
      </c>
      <c r="CI5">
        <f>集中式风电!CI5+分散式风电!CI5</f>
        <v>6195.63</v>
      </c>
      <c r="CJ5">
        <f>集中式风电!CJ5+分散式风电!CJ5</f>
        <v>6135.13</v>
      </c>
      <c r="CK5">
        <f>集中式风电!CK5+分散式风电!CK5</f>
        <v>6077.61</v>
      </c>
      <c r="CL5">
        <f>集中式风电!CL5+分散式风电!CL5</f>
        <v>6021.73</v>
      </c>
      <c r="CM5">
        <f>集中式风电!CM5+分散式风电!CM5</f>
        <v>5964.7</v>
      </c>
      <c r="CN5">
        <f>集中式风电!CN5+分散式风电!CN5</f>
        <v>5906.62</v>
      </c>
      <c r="CO5">
        <f>集中式风电!CO5+分散式风电!CO5</f>
        <v>5850.5</v>
      </c>
      <c r="CP5">
        <f>集中式风电!CP5+分散式风电!CP5</f>
        <v>5788.83</v>
      </c>
      <c r="CQ5">
        <f>集中式风电!CQ5+分散式风电!CQ5</f>
        <v>5735.7</v>
      </c>
      <c r="CR5">
        <f>集中式风电!CR5+分散式风电!CR5</f>
        <v>5676.47</v>
      </c>
      <c r="CS5">
        <f>集中式风电!CS5+分散式风电!CS5</f>
        <v>5611.12</v>
      </c>
    </row>
    <row r="6" spans="1:97">
      <c r="A6" s="9">
        <v>46239</v>
      </c>
      <c r="B6">
        <f>集中式风电!B6+分散式风电!B6</f>
        <v>6254.75</v>
      </c>
      <c r="C6">
        <f>集中式风电!C6+分散式风电!C6</f>
        <v>6199.11</v>
      </c>
      <c r="D6">
        <f>集中式风电!D6+分散式风电!D6</f>
        <v>6142.46</v>
      </c>
      <c r="E6">
        <f>集中式风电!E6+分散式风电!E6</f>
        <v>6085.8</v>
      </c>
      <c r="F6">
        <f>集中式风电!F6+分散式风电!F6</f>
        <v>6021.94</v>
      </c>
      <c r="G6">
        <f>集中式风电!G6+分散式风电!G6</f>
        <v>5946.78</v>
      </c>
      <c r="H6">
        <f>集中式风电!H6+分散式风电!H6</f>
        <v>5871.59</v>
      </c>
      <c r="I6">
        <f>集中式风电!I6+分散式风电!I6</f>
        <v>5793.35</v>
      </c>
      <c r="J6">
        <f>集中式风电!J6+分散式风电!J6</f>
        <v>5705.84</v>
      </c>
      <c r="K6">
        <f>集中式风电!K6+分散式风电!K6</f>
        <v>5605.97</v>
      </c>
      <c r="L6">
        <f>集中式风电!L6+分散式风电!L6</f>
        <v>5499.96</v>
      </c>
      <c r="M6">
        <f>集中式风电!M6+分散式风电!M6</f>
        <v>5392.94</v>
      </c>
      <c r="N6">
        <f>集中式风电!N6+分散式风电!N6</f>
        <v>5278.68</v>
      </c>
      <c r="O6">
        <f>集中式风电!O6+分散式风电!O6</f>
        <v>5155.2</v>
      </c>
      <c r="P6">
        <f>集中式风电!P6+分散式风电!P6</f>
        <v>5026.58</v>
      </c>
      <c r="Q6">
        <f>集中式风电!Q6+分散式风电!Q6</f>
        <v>4895.88</v>
      </c>
      <c r="R6">
        <f>集中式风电!R6+分散式风电!R6</f>
        <v>4750.78</v>
      </c>
      <c r="S6">
        <f>集中式风电!S6+分散式风电!S6</f>
        <v>4594.37</v>
      </c>
      <c r="T6">
        <f>集中式风电!T6+分散式风电!T6</f>
        <v>4429.7</v>
      </c>
      <c r="U6">
        <f>集中式风电!U6+分散式风电!U6</f>
        <v>4259.9</v>
      </c>
      <c r="V6">
        <f>集中式风电!V6+分散式风电!V6</f>
        <v>4073.65</v>
      </c>
      <c r="W6">
        <f>集中式风电!W6+分散式风电!W6</f>
        <v>3878.14</v>
      </c>
      <c r="X6">
        <f>集中式风电!X6+分散式风电!X6</f>
        <v>3673.39</v>
      </c>
      <c r="Y6">
        <f>集中式风电!Y6+分散式风电!Y6</f>
        <v>3468.63</v>
      </c>
      <c r="Z6">
        <f>集中式风电!Z6+分散式风电!Z6</f>
        <v>3259.73</v>
      </c>
      <c r="AA6">
        <f>集中式风电!AA6+分散式风电!AA6</f>
        <v>3048.8</v>
      </c>
      <c r="AB6">
        <f>集中式风电!AB6+分散式风电!AB6</f>
        <v>2841.96</v>
      </c>
      <c r="AC6">
        <f>集中式风电!AC6+分散式风电!AC6</f>
        <v>2639.25</v>
      </c>
      <c r="AD6">
        <f>集中式风电!AD6+分散式风电!AD6</f>
        <v>2470.47</v>
      </c>
      <c r="AE6">
        <f>集中式风电!AE6+分散式风电!AE6</f>
        <v>2349.09</v>
      </c>
      <c r="AF6">
        <f>集中式风电!AF6+分散式风电!AF6</f>
        <v>2233.84</v>
      </c>
      <c r="AG6">
        <f>集中式风电!AG6+分散式风电!AG6</f>
        <v>2121.71</v>
      </c>
      <c r="AH6">
        <f>集中式风电!AH6+分散式风电!AH6</f>
        <v>2034.27</v>
      </c>
      <c r="AI6">
        <f>集中式风电!AI6+分散式风电!AI6</f>
        <v>1961.25</v>
      </c>
      <c r="AJ6">
        <f>集中式风电!AJ6+分散式风电!AJ6</f>
        <v>1892.33</v>
      </c>
      <c r="AK6">
        <f>集中式风电!AK6+分散式风电!AK6</f>
        <v>1825.48</v>
      </c>
      <c r="AL6">
        <f>集中式风电!AL6+分散式风电!AL6</f>
        <v>1778.16</v>
      </c>
      <c r="AM6">
        <f>集中式风电!AM6+分散式风电!AM6</f>
        <v>1748.37</v>
      </c>
      <c r="AN6">
        <f>集中式风电!AN6+分散式风电!AN6</f>
        <v>1720.63</v>
      </c>
      <c r="AO6">
        <f>集中式风电!AO6+分散式风电!AO6</f>
        <v>1694.93</v>
      </c>
      <c r="AP6">
        <f>集中式风电!AP6+分散式风电!AP6</f>
        <v>1682.63</v>
      </c>
      <c r="AQ6">
        <f>集中式风电!AQ6+分散式风电!AQ6</f>
        <v>1689.89</v>
      </c>
      <c r="AR6">
        <f>集中式风电!AR6+分散式风电!AR6</f>
        <v>1698.17</v>
      </c>
      <c r="AS6">
        <f>集中式风电!AS6+分散式风电!AS6</f>
        <v>1705.45</v>
      </c>
      <c r="AT6">
        <f>集中式风电!AT6+分散式风电!AT6</f>
        <v>1724.01</v>
      </c>
      <c r="AU6">
        <f>集中式风电!AU6+分散式风电!AU6</f>
        <v>1749.77</v>
      </c>
      <c r="AV6">
        <f>集中式风电!AV6+分散式风电!AV6</f>
        <v>1776.58</v>
      </c>
      <c r="AW6">
        <f>集中式风电!AW6+分散式风电!AW6</f>
        <v>1805.42</v>
      </c>
      <c r="AX6">
        <f>集中式风电!AX6+分散式风电!AX6</f>
        <v>1831.18</v>
      </c>
      <c r="AY6">
        <f>集中式风电!AY6+分散式风电!AY6</f>
        <v>1855.89</v>
      </c>
      <c r="AZ6">
        <f>集中式风电!AZ6+分散式风电!AZ6</f>
        <v>1879.59</v>
      </c>
      <c r="BA6">
        <f>集中式风电!BA6+分散式风电!BA6</f>
        <v>1903.28</v>
      </c>
      <c r="BB6">
        <f>集中式风电!BB6+分散式风电!BB6</f>
        <v>1920.77</v>
      </c>
      <c r="BC6">
        <f>集中式风电!BC6+分散式风电!BC6</f>
        <v>1932.11</v>
      </c>
      <c r="BD6">
        <f>集中式风电!BD6+分散式风电!BD6</f>
        <v>1939.34</v>
      </c>
      <c r="BE6">
        <f>集中式风电!BE6+分散式风电!BE6</f>
        <v>1943.49</v>
      </c>
      <c r="BF6">
        <f>集中式风电!BF6+分散式风电!BF6</f>
        <v>1932.23</v>
      </c>
      <c r="BG6">
        <f>集中式风电!BG6+分散式风电!BG6</f>
        <v>1917.87</v>
      </c>
      <c r="BH6">
        <f>集中式风电!BH6+分散式风电!BH6</f>
        <v>1897.33</v>
      </c>
      <c r="BI6">
        <f>集中式风电!BI6+分散式风电!BI6</f>
        <v>1877.83</v>
      </c>
      <c r="BJ6">
        <f>集中式风电!BJ6+分散式风电!BJ6</f>
        <v>1850.11</v>
      </c>
      <c r="BK6">
        <f>集中式风电!BK6+分散式风电!BK6</f>
        <v>1816.18</v>
      </c>
      <c r="BL6">
        <f>集中式风电!BL6+分散式风电!BL6</f>
        <v>1786.37</v>
      </c>
      <c r="BM6">
        <f>集中式风电!BM6+分散式风电!BM6</f>
        <v>1760.67</v>
      </c>
      <c r="BN6">
        <f>集中式风电!BN6+分散式风电!BN6</f>
        <v>1725.7</v>
      </c>
      <c r="BO6">
        <f>集中式风电!BO6+分散式风电!BO6</f>
        <v>1686.6</v>
      </c>
      <c r="BP6">
        <f>集中式风电!BP6+分散式风电!BP6</f>
        <v>1645.46</v>
      </c>
      <c r="BQ6">
        <f>集中式风电!BQ6+分散式风电!BQ6</f>
        <v>1607.36</v>
      </c>
      <c r="BR6">
        <f>集中式风电!BR6+分散式风电!BR6</f>
        <v>1566.21</v>
      </c>
      <c r="BS6">
        <f>集中式风电!BS6+分散式风电!BS6</f>
        <v>1533.28</v>
      </c>
      <c r="BT6">
        <f>集中式风电!BT6+分散式风电!BT6</f>
        <v>1503.42</v>
      </c>
      <c r="BU6">
        <f>集中式风电!BU6+分散式风电!BU6</f>
        <v>1479.74</v>
      </c>
      <c r="BV6">
        <f>集中式风电!BV6+分散式风电!BV6</f>
        <v>1468.42</v>
      </c>
      <c r="BW6">
        <f>集中式风电!BW6+分散式风电!BW6</f>
        <v>1470.48</v>
      </c>
      <c r="BX6">
        <f>集中式风电!BX6+分散式风电!BX6</f>
        <v>1478.75</v>
      </c>
      <c r="BY6">
        <f>集中式风电!BY6+分散式风电!BY6</f>
        <v>1493.17</v>
      </c>
      <c r="BZ6">
        <f>集中式风电!BZ6+分散式风电!BZ6</f>
        <v>1503.46</v>
      </c>
      <c r="CA6">
        <f>集中式风电!CA6+分散式风电!CA6</f>
        <v>1514.8</v>
      </c>
      <c r="CB6">
        <f>集中式风电!CB6+分散式风电!CB6</f>
        <v>1525.08</v>
      </c>
      <c r="CC6">
        <f>集中式风电!CC6+分散式风电!CC6</f>
        <v>1535.39</v>
      </c>
      <c r="CD6">
        <f>集中式风电!CD6+分散式风电!CD6</f>
        <v>1534.36</v>
      </c>
      <c r="CE6">
        <f>集中式风电!CE6+分散式风电!CE6</f>
        <v>1524.06</v>
      </c>
      <c r="CF6">
        <f>集中式风电!CF6+分散式风电!CF6</f>
        <v>1511.69</v>
      </c>
      <c r="CG6">
        <f>集中式风电!CG6+分散式风电!CG6</f>
        <v>1494.2</v>
      </c>
      <c r="CH6">
        <f>集中式风电!CH6+分散式风电!CH6</f>
        <v>1473.59</v>
      </c>
      <c r="CI6">
        <f>集中式风电!CI6+分散式风电!CI6</f>
        <v>1446.79</v>
      </c>
      <c r="CJ6">
        <f>集中式风电!CJ6+分散式风电!CJ6</f>
        <v>1414.88</v>
      </c>
      <c r="CK6">
        <f>集中式风电!CK6+分散式风电!CK6</f>
        <v>1383.95</v>
      </c>
      <c r="CL6">
        <f>集中式风电!CL6+分散式风电!CL6</f>
        <v>1347.93</v>
      </c>
      <c r="CM6">
        <f>集中式风电!CM6+分散式风电!CM6</f>
        <v>1306.74</v>
      </c>
      <c r="CN6">
        <f>集中式风电!CN6+分散式风电!CN6</f>
        <v>1266.56</v>
      </c>
      <c r="CO6">
        <f>集中式风电!CO6+分散式风电!CO6</f>
        <v>1225.36</v>
      </c>
      <c r="CP6">
        <f>集中式风电!CP6+分散式风电!CP6</f>
        <v>1179.02</v>
      </c>
      <c r="CQ6">
        <f>集中式风电!CQ6+分散式风电!CQ6</f>
        <v>1132.69</v>
      </c>
      <c r="CR6">
        <f>集中式风电!CR6+分散式风电!CR6</f>
        <v>1086.36</v>
      </c>
      <c r="CS6">
        <f>集中式风电!CS6+分散式风电!CS6</f>
        <v>1033.85</v>
      </c>
    </row>
    <row r="7" spans="1:97">
      <c r="A7" s="9">
        <v>46240</v>
      </c>
      <c r="B7">
        <f>集中式风电!B7+分散式风电!B7</f>
        <v>1542.55</v>
      </c>
      <c r="C7">
        <f>集中式风电!C7+分散式风电!C7</f>
        <v>1500.3</v>
      </c>
      <c r="D7">
        <f>集中式风电!D7+分散式风电!D7</f>
        <v>1461.16</v>
      </c>
      <c r="E7">
        <f>集中式风电!E7+分散式风电!E7</f>
        <v>1422.05</v>
      </c>
      <c r="F7">
        <f>集中式风电!F7+分散式风电!F7</f>
        <v>1389.1</v>
      </c>
      <c r="G7">
        <f>集中式风电!G7+分散式风电!G7</f>
        <v>1363.35</v>
      </c>
      <c r="H7">
        <f>集中式风电!H7+分散式风电!H7</f>
        <v>1340.69</v>
      </c>
      <c r="I7">
        <f>集中式风电!I7+分散式风电!I7</f>
        <v>1319.05</v>
      </c>
      <c r="J7">
        <f>集中式风电!J7+分散式风电!J7</f>
        <v>1301.52</v>
      </c>
      <c r="K7">
        <f>集中式风电!K7+分散式风电!K7</f>
        <v>1293.28</v>
      </c>
      <c r="L7">
        <f>集中式风电!L7+分散式风电!L7</f>
        <v>1285.05</v>
      </c>
      <c r="M7">
        <f>集中式风电!M7+分散式风电!M7</f>
        <v>1278.85</v>
      </c>
      <c r="N7">
        <f>集中式风电!N7+分散式风电!N7</f>
        <v>1275.76</v>
      </c>
      <c r="O7">
        <f>集中式风电!O7+分散式风电!O7</f>
        <v>1273.7</v>
      </c>
      <c r="P7">
        <f>集中式风电!P7+分散式风电!P7</f>
        <v>1272.64</v>
      </c>
      <c r="Q7">
        <f>集中式风电!Q7+分散式风电!Q7</f>
        <v>1271.6</v>
      </c>
      <c r="R7">
        <f>集中式风电!R7+分散式风电!R7</f>
        <v>1268.5</v>
      </c>
      <c r="S7">
        <f>集中式风电!S7+分散式风电!S7</f>
        <v>1265.39</v>
      </c>
      <c r="T7">
        <f>集中式风电!T7+分散式风电!T7</f>
        <v>1256.13</v>
      </c>
      <c r="U7">
        <f>集中式风电!U7+分散式风电!U7</f>
        <v>1245.82</v>
      </c>
      <c r="V7">
        <f>集中式风电!V7+分散式风电!V7</f>
        <v>1227.27</v>
      </c>
      <c r="W7">
        <f>集中式风电!W7+分散式风电!W7</f>
        <v>1201.55</v>
      </c>
      <c r="X7">
        <f>集中式风电!X7+分散式风电!X7</f>
        <v>1174.76</v>
      </c>
      <c r="Y7">
        <f>集中式风电!Y7+分散式风电!Y7</f>
        <v>1144.93</v>
      </c>
      <c r="Z7">
        <f>集中式风电!Z7+分散式风电!Z7</f>
        <v>1103.73</v>
      </c>
      <c r="AA7">
        <f>集中式风电!AA7+分散式风电!AA7</f>
        <v>1051.23</v>
      </c>
      <c r="AB7">
        <f>集中式风电!AB7+分散式风电!AB7</f>
        <v>999.76</v>
      </c>
      <c r="AC7">
        <f>集中式风电!AC7+分散式风电!AC7</f>
        <v>948.31</v>
      </c>
      <c r="AD7">
        <f>集中式风电!AD7+分散式风电!AD7</f>
        <v>893.73</v>
      </c>
      <c r="AE7">
        <f>集中式风电!AE7+分散式风电!AE7</f>
        <v>835.06</v>
      </c>
      <c r="AF7">
        <f>集中式风电!AF7+分散式风电!AF7</f>
        <v>783.56</v>
      </c>
      <c r="AG7">
        <f>集中式风电!AG7+分散式风电!AG7</f>
        <v>731.07</v>
      </c>
      <c r="AH7">
        <f>集中式风电!AH7+分散式风电!AH7</f>
        <v>702.25</v>
      </c>
      <c r="AI7">
        <f>集中式风电!AI7+分散式风电!AI7</f>
        <v>695.05</v>
      </c>
      <c r="AJ7">
        <f>集中式风电!AJ7+分散式风电!AJ7</f>
        <v>690.91</v>
      </c>
      <c r="AK7">
        <f>集中式风电!AK7+分散式风电!AK7</f>
        <v>687.85</v>
      </c>
      <c r="AL7">
        <f>集中式风电!AL7+分散式风电!AL7</f>
        <v>692.99</v>
      </c>
      <c r="AM7">
        <f>集中式风电!AM7+分散式风电!AM7</f>
        <v>700.22</v>
      </c>
      <c r="AN7">
        <f>集中式风电!AN7+分散式风电!AN7</f>
        <v>710.51</v>
      </c>
      <c r="AO7">
        <f>集中式风电!AO7+分散式风电!AO7</f>
        <v>722.85</v>
      </c>
      <c r="AP7">
        <f>集中式风电!AP7+分散式风电!AP7</f>
        <v>743.46</v>
      </c>
      <c r="AQ7">
        <f>集中式风电!AQ7+分散式风电!AQ7</f>
        <v>773.31</v>
      </c>
      <c r="AR7">
        <f>集中式风电!AR7+分散式风电!AR7</f>
        <v>805.21</v>
      </c>
      <c r="AS7">
        <f>集中式风电!AS7+分散式风电!AS7</f>
        <v>836.11</v>
      </c>
      <c r="AT7">
        <f>集中式风电!AT7+分散式风电!AT7</f>
        <v>873.15</v>
      </c>
      <c r="AU7">
        <f>集中式风电!AU7+分散式风电!AU7</f>
        <v>913.33</v>
      </c>
      <c r="AV7">
        <f>集中式风电!AV7+分散式风电!AV7</f>
        <v>955.53</v>
      </c>
      <c r="AW7">
        <f>集中式风电!AW7+分散式风电!AW7</f>
        <v>996.72</v>
      </c>
      <c r="AX7">
        <f>集中式风电!AX7+分散式风电!AX7</f>
        <v>1041.01</v>
      </c>
      <c r="AY7">
        <f>集中式风电!AY7+分散式风电!AY7</f>
        <v>1088.38</v>
      </c>
      <c r="AZ7">
        <f>集中式风电!AZ7+分散式风电!AZ7</f>
        <v>1136.77</v>
      </c>
      <c r="BA7">
        <f>集中式风电!BA7+分散式风电!BA7</f>
        <v>1184.15</v>
      </c>
      <c r="BB7">
        <f>集中式风电!BB7+分散式风电!BB7</f>
        <v>1231.52</v>
      </c>
      <c r="BC7">
        <f>集中式风电!BC7+分散式风电!BC7</f>
        <v>1274.77</v>
      </c>
      <c r="BD7">
        <f>集中式风电!BD7+分散式风电!BD7</f>
        <v>1315.98</v>
      </c>
      <c r="BE7">
        <f>集中式风电!BE7+分散式风电!BE7</f>
        <v>1356.13</v>
      </c>
      <c r="BF7">
        <f>集中式风电!BF7+分散式风电!BF7</f>
        <v>1380.85</v>
      </c>
      <c r="BG7">
        <f>集中式风电!BG7+分散式风电!BG7</f>
        <v>1399.38</v>
      </c>
      <c r="BH7">
        <f>集中式风电!BH7+分散式风电!BH7</f>
        <v>1415.86</v>
      </c>
      <c r="BI7">
        <f>集中式风电!BI7+分散式风电!BI7</f>
        <v>1433.34</v>
      </c>
      <c r="BJ7">
        <f>集中式风电!BJ7+分散式风电!BJ7</f>
        <v>1438.51</v>
      </c>
      <c r="BK7">
        <f>集中式风电!BK7+分散式风电!BK7</f>
        <v>1431.28</v>
      </c>
      <c r="BL7">
        <f>集中式风电!BL7+分散式风电!BL7</f>
        <v>1424.07</v>
      </c>
      <c r="BM7">
        <f>集中式风电!BM7+分散式风电!BM7</f>
        <v>1418.92</v>
      </c>
      <c r="BN7">
        <f>集中式风电!BN7+分散式风电!BN7</f>
        <v>1422.02</v>
      </c>
      <c r="BO7">
        <f>集中式风电!BO7+分散式风电!BO7</f>
        <v>1441.59</v>
      </c>
      <c r="BP7">
        <f>集中式风电!BP7+分散式风电!BP7</f>
        <v>1461.14</v>
      </c>
      <c r="BQ7">
        <f>集中式风电!BQ7+分散式风电!BQ7</f>
        <v>1481.75</v>
      </c>
      <c r="BR7">
        <f>集中式风电!BR7+分散式风电!BR7</f>
        <v>1518.8</v>
      </c>
      <c r="BS7">
        <f>集中式风电!BS7+分散式风电!BS7</f>
        <v>1566.16</v>
      </c>
      <c r="BT7">
        <f>集中式风电!BT7+分散式风电!BT7</f>
        <v>1618.64</v>
      </c>
      <c r="BU7">
        <f>集中式风电!BU7+分散式风电!BU7</f>
        <v>1676.3</v>
      </c>
      <c r="BV7">
        <f>集中式风电!BV7+分散式风电!BV7</f>
        <v>1748.38</v>
      </c>
      <c r="BW7">
        <f>集中式风电!BW7+分散式风电!BW7</f>
        <v>1835.88</v>
      </c>
      <c r="BX7">
        <f>集中式风电!BX7+分散式风电!BX7</f>
        <v>1931.6</v>
      </c>
      <c r="BY7">
        <f>集中式风电!BY7+分散式风电!BY7</f>
        <v>2028.34</v>
      </c>
      <c r="BZ7">
        <f>集中式风电!BZ7+分散式风电!BZ7</f>
        <v>2105.56</v>
      </c>
      <c r="CA7">
        <f>集中式风电!CA7+分散式风电!CA7</f>
        <v>2173.47</v>
      </c>
      <c r="CB7">
        <f>集中式风电!CB7+分散式风电!CB7</f>
        <v>2240.37</v>
      </c>
      <c r="CC7">
        <f>集中式风电!CC7+分散式风电!CC7</f>
        <v>2304.2</v>
      </c>
      <c r="CD7">
        <f>集中式风电!CD7+分散式风电!CD7</f>
        <v>2360.8</v>
      </c>
      <c r="CE7">
        <f>集中式风电!CE7+分散式风电!CE7</f>
        <v>2408.15</v>
      </c>
      <c r="CF7">
        <f>集中式风电!CF7+分散式风电!CF7</f>
        <v>2457.55</v>
      </c>
      <c r="CG7">
        <f>集中式风电!CG7+分散式风电!CG7</f>
        <v>2505.94</v>
      </c>
      <c r="CH7">
        <f>集中式风电!CH7+分散式风电!CH7</f>
        <v>2573.86</v>
      </c>
      <c r="CI7">
        <f>集中式风电!CI7+分散式风电!CI7</f>
        <v>2647.94</v>
      </c>
      <c r="CJ7">
        <f>集中式风电!CJ7+分散式风电!CJ7</f>
        <v>2730.28</v>
      </c>
      <c r="CK7">
        <f>集中式风电!CK7+分散式风电!CK7</f>
        <v>2814.68</v>
      </c>
      <c r="CL7">
        <f>集中式风电!CL7+分散式风电!CL7</f>
        <v>2908.3</v>
      </c>
      <c r="CM7">
        <f>集中式风电!CM7+分散式风电!CM7</f>
        <v>2985.45</v>
      </c>
      <c r="CN7">
        <f>集中式风电!CN7+分散式风电!CN7</f>
        <v>3074.97</v>
      </c>
      <c r="CO7">
        <f>集中式风电!CO7+分散式风电!CO7</f>
        <v>3166.49</v>
      </c>
      <c r="CP7">
        <f>集中式风电!CP7+分散式风电!CP7</f>
        <v>3263.17</v>
      </c>
      <c r="CQ7">
        <f>集中式风电!CQ7+分散式风电!CQ7</f>
        <v>3367.04</v>
      </c>
      <c r="CR7">
        <f>集中式风电!CR7+分散式风电!CR7</f>
        <v>3487.38</v>
      </c>
      <c r="CS7">
        <f>集中式风电!CS7+分散式风电!CS7</f>
        <v>3605.66</v>
      </c>
    </row>
    <row r="8" spans="1:97">
      <c r="A8" s="9">
        <v>46241</v>
      </c>
      <c r="B8">
        <f>集中式风电!B8+分散式风电!B8</f>
        <v>2948.02</v>
      </c>
      <c r="C8">
        <f>集中式风电!C8+分散式风电!C8</f>
        <v>3145.59</v>
      </c>
      <c r="D8">
        <f>集中式风电!D8+分散式风电!D8</f>
        <v>3362.73</v>
      </c>
      <c r="E8">
        <f>集中式风电!E8+分散式风电!E8</f>
        <v>3585.01</v>
      </c>
      <c r="F8">
        <f>集中式风电!F8+分散式风电!F8</f>
        <v>3850.55</v>
      </c>
      <c r="G8">
        <f>集中式风电!G8+分散式风电!G8</f>
        <v>4166.53</v>
      </c>
      <c r="H8">
        <f>集中式风电!H8+分散式风电!H8</f>
        <v>4495.89</v>
      </c>
      <c r="I8">
        <f>集中式风电!I8+分散式风电!I8</f>
        <v>4829.32</v>
      </c>
      <c r="J8">
        <f>集中式风电!J8+分散式风电!J8</f>
        <v>5174.09</v>
      </c>
      <c r="K8">
        <f>集中式风电!K8+分散式风电!K8</f>
        <v>5516.84</v>
      </c>
      <c r="L8">
        <f>集中式风电!L8+分散式风电!L8</f>
        <v>5872.92</v>
      </c>
      <c r="M8">
        <f>集中式风电!M8+分散式风电!M8</f>
        <v>6231.06</v>
      </c>
      <c r="N8">
        <f>集中式风电!N8+分散式风电!N8</f>
        <v>6610.82</v>
      </c>
      <c r="O8">
        <f>集中式风电!O8+分散式风电!O8</f>
        <v>7002.91</v>
      </c>
      <c r="P8">
        <f>集中式风电!P8+分散式风电!P8</f>
        <v>7398.1</v>
      </c>
      <c r="Q8">
        <f>集中式风电!Q8+分散式风电!Q8</f>
        <v>7796.33</v>
      </c>
      <c r="R8">
        <f>集中式风电!R8+分散式风电!R8</f>
        <v>8179.13</v>
      </c>
      <c r="S8">
        <f>集中式风电!S8+分散式风电!S8</f>
        <v>8543.39</v>
      </c>
      <c r="T8">
        <f>集中式风电!T8+分散式风电!T8</f>
        <v>8905.58</v>
      </c>
      <c r="U8">
        <f>集中式风电!U8+分散式风电!U8</f>
        <v>9270.85</v>
      </c>
      <c r="V8">
        <f>集中式风电!V8+分散式风电!V8</f>
        <v>9614.53</v>
      </c>
      <c r="W8">
        <f>集中式风电!W8+分散式风电!W8</f>
        <v>9942.81</v>
      </c>
      <c r="X8">
        <f>集中式风电!X8+分散式风电!X8</f>
        <v>10250.49</v>
      </c>
      <c r="Y8">
        <f>集中式风电!Y8+分散式风电!Y8</f>
        <v>10550.98</v>
      </c>
      <c r="Z8">
        <f>集中式风电!Z8+分散式风电!Z8</f>
        <v>10795.89</v>
      </c>
      <c r="AA8">
        <f>集中式风电!AA8+分散式风电!AA8</f>
        <v>11004.73</v>
      </c>
      <c r="AB8">
        <f>集中式风电!AB8+分散式风电!AB8</f>
        <v>11217.69</v>
      </c>
      <c r="AC8">
        <f>集中式风电!AC8+分散式风电!AC8</f>
        <v>11425.49</v>
      </c>
      <c r="AD8">
        <f>集中式风电!AD8+分散式风电!AD8</f>
        <v>11605.5</v>
      </c>
      <c r="AE8">
        <f>集中式风电!AE8+分散式风电!AE8</f>
        <v>11768.04</v>
      </c>
      <c r="AF8">
        <f>集中式风电!AF8+分散式风电!AF8</f>
        <v>11960.42</v>
      </c>
      <c r="AG8">
        <f>集中式风电!AG8+分散式风电!AG8</f>
        <v>12117.79</v>
      </c>
      <c r="AH8">
        <f>集中式风电!AH8+分散式风电!AH8</f>
        <v>12269.04</v>
      </c>
      <c r="AI8">
        <f>集中式风电!AI8+分散式风电!AI8</f>
        <v>12400.77</v>
      </c>
      <c r="AJ8">
        <f>集中式风电!AJ8+分散式风电!AJ8</f>
        <v>12536.63</v>
      </c>
      <c r="AK8">
        <f>集中式风电!AK8+分散式风电!AK8</f>
        <v>12640.61</v>
      </c>
      <c r="AL8">
        <f>集中式风电!AL8+分散式风电!AL8</f>
        <v>12787.86</v>
      </c>
      <c r="AM8">
        <f>集中式风电!AM8+分散式风电!AM8</f>
        <v>12911.44</v>
      </c>
      <c r="AN8">
        <f>集中式风电!AN8+分散式风电!AN8</f>
        <v>13040.18</v>
      </c>
      <c r="AO8">
        <f>集中式风电!AO8+分散式风电!AO8</f>
        <v>13158.63</v>
      </c>
      <c r="AP8">
        <f>集中式风电!AP8+分散式风电!AP8</f>
        <v>13271.91</v>
      </c>
      <c r="AQ8">
        <f>集中式风电!AQ8+分散式风电!AQ8</f>
        <v>13359.48</v>
      </c>
      <c r="AR8">
        <f>集中式风电!AR8+分散式风电!AR8</f>
        <v>13447</v>
      </c>
      <c r="AS8">
        <f>集中式风电!AS8+分散式风电!AS8</f>
        <v>13529.35</v>
      </c>
      <c r="AT8">
        <f>集中式风电!AT8+分散式风电!AT8</f>
        <v>13601.42</v>
      </c>
      <c r="AU8">
        <f>集中式风电!AU8+分散式风电!AU8</f>
        <v>13671.43</v>
      </c>
      <c r="AV8">
        <f>集中式风电!AV8+分散式风电!AV8</f>
        <v>13742.45</v>
      </c>
      <c r="AW8">
        <f>集中式风电!AW8+分散式风电!AW8</f>
        <v>13813.47</v>
      </c>
      <c r="AX8">
        <f>集中式风电!AX8+分散式风电!AX8</f>
        <v>13877.29</v>
      </c>
      <c r="AY8">
        <f>集中式风电!AY8+分散式风电!AY8</f>
        <v>13940.07</v>
      </c>
      <c r="AZ8">
        <f>集中式风电!AZ8+分散式风电!AZ8</f>
        <v>14002.87</v>
      </c>
      <c r="BA8">
        <f>集中式风电!BA8+分散式风电!BA8</f>
        <v>14058.44</v>
      </c>
      <c r="BB8">
        <f>集中式风电!BB8+分散式风电!BB8</f>
        <v>14121.25</v>
      </c>
      <c r="BC8">
        <f>集中式风电!BC8+分散式风电!BC8</f>
        <v>14183.06</v>
      </c>
      <c r="BD8">
        <f>集中式风电!BD8+分散式风电!BD8</f>
        <v>14246.91</v>
      </c>
      <c r="BE8">
        <f>集中式风电!BE8+分散式风电!BE8</f>
        <v>14308.7</v>
      </c>
      <c r="BF8">
        <f>集中式风电!BF8+分散式风电!BF8</f>
        <v>14370.5</v>
      </c>
      <c r="BG8">
        <f>集中式风电!BG8+分散式风电!BG8</f>
        <v>14411.7</v>
      </c>
      <c r="BH8">
        <f>集中式风电!BH8+分散式风电!BH8</f>
        <v>14452.86</v>
      </c>
      <c r="BI8">
        <f>集中式风电!BI8+分散式风电!BI8</f>
        <v>14493.04</v>
      </c>
      <c r="BJ8">
        <f>集中式风电!BJ8+分散式风电!BJ8</f>
        <v>14586.74</v>
      </c>
      <c r="BK8">
        <f>集中式风电!BK8+分散式风电!BK8</f>
        <v>14645.41</v>
      </c>
      <c r="BL8">
        <f>集中式风电!BL8+分散式风电!BL8</f>
        <v>14701.03</v>
      </c>
      <c r="BM8">
        <f>集中式风电!BM8+分散式风电!BM8</f>
        <v>14759.69</v>
      </c>
      <c r="BN8">
        <f>集中式风电!BN8+分散式风电!BN8</f>
        <v>14830.75</v>
      </c>
      <c r="BO8">
        <f>集中式风电!BO8+分散式风电!BO8</f>
        <v>14906.94</v>
      </c>
      <c r="BP8">
        <f>集中式风电!BP8+分散式风电!BP8</f>
        <v>14983.17</v>
      </c>
      <c r="BQ8">
        <f>集中式风电!BQ8+分散式风电!BQ8</f>
        <v>15060.41</v>
      </c>
      <c r="BR8">
        <f>集中式风电!BR8+分散式风电!BR8</f>
        <v>15132.51</v>
      </c>
      <c r="BS8">
        <f>集中式风电!BS8+分散式风电!BS8</f>
        <v>15195.37</v>
      </c>
      <c r="BT8">
        <f>集中式风电!BT8+分散式风电!BT8</f>
        <v>15259.24</v>
      </c>
      <c r="BU8">
        <f>集中式风电!BU8+分散式风电!BU8</f>
        <v>15310.77</v>
      </c>
      <c r="BV8">
        <f>集中式风电!BV8+分散式风电!BV8</f>
        <v>15380.83</v>
      </c>
      <c r="BW8">
        <f>集中式风电!BW8+分散式风电!BW8</f>
        <v>15431.34</v>
      </c>
      <c r="BX8">
        <f>集中式风电!BX8+分散式风电!BX8</f>
        <v>15474.63</v>
      </c>
      <c r="BY8">
        <f>集中式风电!BY8+分散式风电!BY8</f>
        <v>15507.65</v>
      </c>
      <c r="BZ8">
        <f>集中式风电!BZ8+分散式风电!BZ8</f>
        <v>15539.64</v>
      </c>
      <c r="CA8">
        <f>集中式风电!CA8+分散式风电!CA8</f>
        <v>15576.77</v>
      </c>
      <c r="CB8">
        <f>集中式风电!CB8+分散式风电!CB8</f>
        <v>15613.9</v>
      </c>
      <c r="CC8">
        <f>集中式风电!CC8+分散式风电!CC8</f>
        <v>15638.68</v>
      </c>
      <c r="CD8">
        <f>集中式风电!CD8+分散式风电!CD8</f>
        <v>15660.37</v>
      </c>
      <c r="CE8">
        <f>集中式风电!CE8+分散式风电!CE8</f>
        <v>15657.36</v>
      </c>
      <c r="CF8">
        <f>集中式风电!CF8+分散式风电!CF8</f>
        <v>15654.32</v>
      </c>
      <c r="CG8">
        <f>集中式风电!CG8+分散式风电!CG8</f>
        <v>15639.96</v>
      </c>
      <c r="CH8">
        <f>集中式风电!CH8+分散式风电!CH8</f>
        <v>15622.52</v>
      </c>
      <c r="CI8">
        <f>集中式风电!CI8+分散式风电!CI8</f>
        <v>15594.74</v>
      </c>
      <c r="CJ8">
        <f>集中式风电!CJ8+分散式风电!CJ8</f>
        <v>15566.97</v>
      </c>
      <c r="CK8">
        <f>集中式风电!CK8+分散式风电!CK8</f>
        <v>15535.08</v>
      </c>
      <c r="CL8">
        <f>集中式风电!CL8+分散式风电!CL8</f>
        <v>15491.87</v>
      </c>
      <c r="CM8">
        <f>集中式风电!CM8+分散式风电!CM8</f>
        <v>15434.22</v>
      </c>
      <c r="CN8">
        <f>集中式风电!CN8+分散式风电!CN8</f>
        <v>15374.55</v>
      </c>
      <c r="CO8">
        <f>集中式风电!CO8+分散式风电!CO8</f>
        <v>15309.7</v>
      </c>
      <c r="CP8">
        <f>集中式风电!CP8+分散式风电!CP8</f>
        <v>15233.55</v>
      </c>
      <c r="CQ8">
        <f>集中式风电!CQ8+分散式风电!CQ8</f>
        <v>15139.87</v>
      </c>
      <c r="CR8">
        <f>集中式风电!CR8+分散式风电!CR8</f>
        <v>15045.19</v>
      </c>
      <c r="CS8">
        <f>集中式风电!CS8+分散式风电!CS8</f>
        <v>14990.65</v>
      </c>
    </row>
    <row r="9" spans="1:97">
      <c r="A9" s="9">
        <v>46242</v>
      </c>
      <c r="B9">
        <f>集中式风电!B9+分散式风电!B9</f>
        <v>14563.52</v>
      </c>
      <c r="C9">
        <f>集中式风电!C9+分散式风电!C9</f>
        <v>14487.38</v>
      </c>
      <c r="D9">
        <f>集中式风电!D9+分散式风电!D9</f>
        <v>14412.27</v>
      </c>
      <c r="E9">
        <f>集中式风电!E9+分散式风电!E9</f>
        <v>14337.18</v>
      </c>
      <c r="F9">
        <f>集中式风电!F9+分散式风电!F9</f>
        <v>14273.42</v>
      </c>
      <c r="G9">
        <f>集中式风电!G9+分散式风电!G9</f>
        <v>14223.03</v>
      </c>
      <c r="H9">
        <f>集中式风电!H9+分散式风电!H9</f>
        <v>14177.75</v>
      </c>
      <c r="I9">
        <f>集中式风电!I9+分散式风电!I9</f>
        <v>14131.47</v>
      </c>
      <c r="J9">
        <f>集中式风电!J9+分散式风电!J9</f>
        <v>14096.47</v>
      </c>
      <c r="K9">
        <f>集中式风电!K9+分散式风电!K9</f>
        <v>14071.79</v>
      </c>
      <c r="L9">
        <f>集中式风电!L9+分散式风电!L9</f>
        <v>14053.28</v>
      </c>
      <c r="M9">
        <f>集中式风电!M9+分散式风电!M9</f>
        <v>14033.72</v>
      </c>
      <c r="N9">
        <f>集中式风电!N9+分散式风电!N9</f>
        <v>14020.31</v>
      </c>
      <c r="O9">
        <f>集中式风电!O9+分散式风电!O9</f>
        <v>14014.13</v>
      </c>
      <c r="P9">
        <f>集中式风电!P9+分散式风电!P9</f>
        <v>14013.08</v>
      </c>
      <c r="Q9">
        <f>集中式风电!Q9+分散式风电!Q9</f>
        <v>14011.01</v>
      </c>
      <c r="R9">
        <f>集中式风电!R9+分散式风电!R9</f>
        <v>14008.94</v>
      </c>
      <c r="S9">
        <f>集中式风电!S9+分散式风电!S9</f>
        <v>14004.83</v>
      </c>
      <c r="T9">
        <f>集中式风电!T9+分散式风电!T9</f>
        <v>14041.92</v>
      </c>
      <c r="U9">
        <f>集中式风电!U9+分散式风电!U9</f>
        <v>14036.77</v>
      </c>
      <c r="V9">
        <f>集中式风电!V9+分散式风电!V9</f>
        <v>14027.5</v>
      </c>
      <c r="W9">
        <f>集中式风电!W9+分散式风电!W9</f>
        <v>13996.63</v>
      </c>
      <c r="X9">
        <f>集中式风电!X9+分散式风电!X9</f>
        <v>13924.53</v>
      </c>
      <c r="Y9">
        <f>集中式风电!Y9+分散式风电!Y9</f>
        <v>13891.58</v>
      </c>
      <c r="Z9">
        <f>集中式风电!Z9+分散式风电!Z9</f>
        <v>13830.8</v>
      </c>
      <c r="AA9">
        <f>集中式风电!AA9+分散式风电!AA9</f>
        <v>13759.7</v>
      </c>
      <c r="AB9">
        <f>集中式风电!AB9+分散式风电!AB9</f>
        <v>13480.55</v>
      </c>
      <c r="AC9">
        <f>集中式风电!AC9+分散式风电!AC9</f>
        <v>13417.69</v>
      </c>
      <c r="AD9">
        <f>集中式风电!AD9+分散式风电!AD9</f>
        <v>13391.87</v>
      </c>
      <c r="AE9">
        <f>集中式风电!AE9+分散式风电!AE9</f>
        <v>13412.41</v>
      </c>
      <c r="AF9">
        <f>集中式风电!AF9+分散式风电!AF9</f>
        <v>13439.11</v>
      </c>
      <c r="AG9">
        <f>集中式风电!AG9+分散式风电!AG9</f>
        <v>13467.86</v>
      </c>
      <c r="AH9">
        <f>集中式风电!AH9+分散式风电!AH9</f>
        <v>13499.71</v>
      </c>
      <c r="AI9">
        <f>集中式风电!AI9+分散式风电!AI9</f>
        <v>13522.25</v>
      </c>
      <c r="AJ9">
        <f>集中式风电!AJ9+分散式风电!AJ9</f>
        <v>13544.82</v>
      </c>
      <c r="AK9">
        <f>集中式风电!AK9+分散式风电!AK9</f>
        <v>13563.28</v>
      </c>
      <c r="AL9">
        <f>集中式风电!AL9+分散式风电!AL9</f>
        <v>13576.58</v>
      </c>
      <c r="AM9">
        <f>集中式风电!AM9+分散式风电!AM9</f>
        <v>13572.4</v>
      </c>
      <c r="AN9">
        <f>集中式风电!AN9+分散式风电!AN9</f>
        <v>13566.15</v>
      </c>
      <c r="AO9">
        <f>集中式风电!AO9+分散式风电!AO9</f>
        <v>13556.85</v>
      </c>
      <c r="AP9">
        <f>集中式风电!AP9+分散式风电!AP9</f>
        <v>13515.6</v>
      </c>
      <c r="AQ9">
        <f>集中式风电!AQ9+分散式风电!AQ9</f>
        <v>13427.05</v>
      </c>
      <c r="AR9">
        <f>集中式风电!AR9+分散式风电!AR9</f>
        <v>13328.18</v>
      </c>
      <c r="AS9">
        <f>集中式风电!AS9+分散式风电!AS9</f>
        <v>13224.19</v>
      </c>
      <c r="AT9">
        <f>集中式风电!AT9+分散式风电!AT9</f>
        <v>13111.95</v>
      </c>
      <c r="AU9">
        <f>集中式风电!AU9+分散式风电!AU9</f>
        <v>12979.16</v>
      </c>
      <c r="AV9">
        <f>集中式风电!AV9+分散式风电!AV9</f>
        <v>12842.25</v>
      </c>
      <c r="AW9">
        <f>集中式风电!AW9+分散式风电!AW9</f>
        <v>12706.36</v>
      </c>
      <c r="AX9">
        <f>集中式风电!AX9+分散式风电!AX9</f>
        <v>12571.55</v>
      </c>
      <c r="AY9">
        <f>集中式风电!AY9+分散式风电!AY9</f>
        <v>12449.07</v>
      </c>
      <c r="AZ9">
        <f>集中式风电!AZ9+分散式风电!AZ9</f>
        <v>12323.51</v>
      </c>
      <c r="BA9">
        <f>集中式风电!BA9+分散式风电!BA9</f>
        <v>12196.91</v>
      </c>
      <c r="BB9">
        <f>集中式风电!BB9+分散式风电!BB9</f>
        <v>12078.57</v>
      </c>
      <c r="BC9">
        <f>集中式风电!BC9+分散式风电!BC9</f>
        <v>11976.71</v>
      </c>
      <c r="BD9">
        <f>集中式风电!BD9+分散式风电!BD9</f>
        <v>11870.74</v>
      </c>
      <c r="BE9">
        <f>集中式风电!BE9+分散式风电!BE9</f>
        <v>11765.78</v>
      </c>
      <c r="BF9">
        <f>集中式风电!BF9+分散式风电!BF9</f>
        <v>11662.93</v>
      </c>
      <c r="BG9">
        <f>集中式风电!BG9+分散式风电!BG9</f>
        <v>11553.89</v>
      </c>
      <c r="BH9">
        <f>集中式风电!BH9+分散式风电!BH9</f>
        <v>11444.85</v>
      </c>
      <c r="BI9">
        <f>集中式风电!BI9+分散式风电!BI9</f>
        <v>11329.66</v>
      </c>
      <c r="BJ9">
        <f>集中式风电!BJ9+分散式风电!BJ9</f>
        <v>11255.65</v>
      </c>
      <c r="BK9">
        <f>集中式风电!BK9+分散式风电!BK9</f>
        <v>11150.74</v>
      </c>
      <c r="BL9">
        <f>集中式风电!BL9+分散式风电!BL9</f>
        <v>11046.83</v>
      </c>
      <c r="BM9">
        <f>集中式风电!BM9+分散式风电!BM9</f>
        <v>10941.9</v>
      </c>
      <c r="BN9">
        <f>集中式风电!BN9+分散式风电!BN9</f>
        <v>10825.65</v>
      </c>
      <c r="BO9">
        <f>集中式风电!BO9+分散式风电!BO9</f>
        <v>10714.58</v>
      </c>
      <c r="BP9">
        <f>集中式风电!BP9+分散式风电!BP9</f>
        <v>10586.99</v>
      </c>
      <c r="BQ9">
        <f>集中式风电!BQ9+分散式风电!BQ9</f>
        <v>10466.62</v>
      </c>
      <c r="BR9">
        <f>集中式风电!BR9+分散式风电!BR9</f>
        <v>10354.49</v>
      </c>
      <c r="BS9">
        <f>集中式风电!BS9+分散式风电!BS9</f>
        <v>10221.76</v>
      </c>
      <c r="BT9">
        <f>集中式风电!BT9+分散式风电!BT9</f>
        <v>10086.99</v>
      </c>
      <c r="BU9">
        <f>集中式风电!BU9+分散式风电!BU9</f>
        <v>9956.29</v>
      </c>
      <c r="BV9">
        <f>集中式风电!BV9+分散式风电!BV9</f>
        <v>9855.48</v>
      </c>
      <c r="BW9">
        <f>集中式风电!BW9+分散式风电!BW9</f>
        <v>9779.36</v>
      </c>
      <c r="BX9">
        <f>集中式风电!BX9+分散式风电!BX9</f>
        <v>9707.38</v>
      </c>
      <c r="BY9">
        <f>集中式风电!BY9+分散式风电!BY9</f>
        <v>9635.36</v>
      </c>
      <c r="BZ9">
        <f>集中式风电!BZ9+分散式风电!BZ9</f>
        <v>9577.76</v>
      </c>
      <c r="CA9">
        <f>集中式风电!CA9+分散式风电!CA9</f>
        <v>9524.25</v>
      </c>
      <c r="CB9">
        <f>集中式风电!CB9+分散式风电!CB9</f>
        <v>9470.73</v>
      </c>
      <c r="CC9">
        <f>集中式风电!CC9+分散式风电!CC9</f>
        <v>9412.06</v>
      </c>
      <c r="CD9">
        <f>集中式风电!CD9+分散式风电!CD9</f>
        <v>9342.06</v>
      </c>
      <c r="CE9">
        <f>集中式风电!CE9+分散式风电!CE9</f>
        <v>9258.67</v>
      </c>
      <c r="CF9">
        <f>集中式风电!CF9+分散式风电!CF9</f>
        <v>9170.13</v>
      </c>
      <c r="CG9">
        <f>集中式风电!CG9+分散式风电!CG9</f>
        <v>9077.45</v>
      </c>
      <c r="CH9">
        <f>集中式风电!CH9+分散式风电!CH9</f>
        <v>8985.8</v>
      </c>
      <c r="CI9">
        <f>集中式风电!CI9+分散式风电!CI9</f>
        <v>8892.1</v>
      </c>
      <c r="CJ9">
        <f>集中式风电!CJ9+分散式风电!CJ9</f>
        <v>8799.43</v>
      </c>
      <c r="CK9">
        <f>集中式风电!CK9+分散式风电!CK9</f>
        <v>8702.64</v>
      </c>
      <c r="CL9">
        <f>集中式风电!CL9+分散式风电!CL9</f>
        <v>8605.87</v>
      </c>
      <c r="CM9">
        <f>集中式风电!CM9+分散式风电!CM9</f>
        <v>8515.27</v>
      </c>
      <c r="CN9">
        <f>集中式风电!CN9+分散式风电!CN9</f>
        <v>8423.65</v>
      </c>
      <c r="CO9">
        <f>集中式风电!CO9+分散式风电!CO9</f>
        <v>8333.1</v>
      </c>
      <c r="CP9">
        <f>集中式风电!CP9+分散式风电!CP9</f>
        <v>8238.4</v>
      </c>
      <c r="CQ9">
        <f>集中式风电!CQ9+分散式风电!CQ9</f>
        <v>8141.68</v>
      </c>
      <c r="CR9">
        <f>集中式风电!CR9+分散式风电!CR9</f>
        <v>8049.09</v>
      </c>
      <c r="CS9">
        <f>集中式风电!CS9+分散式风电!CS9</f>
        <v>7965.78</v>
      </c>
    </row>
    <row r="10" spans="1:97">
      <c r="A10" s="9">
        <v>46243</v>
      </c>
      <c r="B10">
        <f>集中式风电!B10+分散式风电!B10</f>
        <v>7168.83</v>
      </c>
      <c r="C10">
        <f>集中式风电!C10+分散式风电!C10</f>
        <v>7110.14</v>
      </c>
      <c r="D10">
        <f>集中式风电!D10+分散式风电!D10</f>
        <v>7051.42</v>
      </c>
      <c r="E10">
        <f>集中式风电!E10+分散式风电!E10</f>
        <v>6992.72</v>
      </c>
      <c r="F10">
        <f>集中式风电!F10+分散式风电!F10</f>
        <v>6926.79</v>
      </c>
      <c r="G10">
        <f>集中式风电!G10+分散式风电!G10</f>
        <v>6860.88</v>
      </c>
      <c r="H10">
        <f>集中式风电!H10+分散式风电!H10</f>
        <v>6792.9</v>
      </c>
      <c r="I10">
        <f>集中式风电!I10+分散式风电!I10</f>
        <v>6725.93</v>
      </c>
      <c r="J10">
        <f>集中式风电!J10+分散式风电!J10</f>
        <v>6648.68</v>
      </c>
      <c r="K10">
        <f>集中式风电!K10+分散式风电!K10</f>
        <v>6562.16</v>
      </c>
      <c r="L10">
        <f>集中式风电!L10+分散式风电!L10</f>
        <v>6474.63</v>
      </c>
      <c r="M10">
        <f>集中式风电!M10+分散式风电!M10</f>
        <v>6387.07</v>
      </c>
      <c r="N10">
        <f>集中式风电!N10+分散式风电!N10</f>
        <v>6299.52</v>
      </c>
      <c r="O10">
        <f>集中式风电!O10+分散式风电!O10</f>
        <v>6214.03</v>
      </c>
      <c r="P10">
        <f>集中式风电!P10+分散式风电!P10</f>
        <v>6125.46</v>
      </c>
      <c r="Q10">
        <f>集中式风电!Q10+分散式风电!Q10</f>
        <v>6036.88</v>
      </c>
      <c r="R10">
        <f>集中式风电!R10+分散式风电!R10</f>
        <v>5940.07</v>
      </c>
      <c r="S10">
        <f>集中式风电!S10+分散式风电!S10</f>
        <v>5832.95</v>
      </c>
      <c r="T10">
        <f>集中式风电!T10+分散式风电!T10</f>
        <v>5717.59</v>
      </c>
      <c r="U10">
        <f>集中式风电!U10+分散式风电!U10</f>
        <v>5597.06</v>
      </c>
      <c r="V10">
        <f>集中式风电!V10+分散式风电!V10</f>
        <v>5449.78</v>
      </c>
      <c r="W10">
        <f>集中式风电!W10+分散式风电!W10</f>
        <v>5274.68</v>
      </c>
      <c r="X10">
        <f>集中式风电!X10+分散式风电!X10</f>
        <v>5088.26</v>
      </c>
      <c r="Y10">
        <f>集中式风电!Y10+分散式风电!Y10</f>
        <v>4897.71</v>
      </c>
      <c r="Z10">
        <f>集中式风电!Z10+分散式风电!Z10</f>
        <v>4666.97</v>
      </c>
      <c r="AA10">
        <f>集中式风电!AA10+分散式风电!AA10</f>
        <v>4405.35</v>
      </c>
      <c r="AB10">
        <f>集中式风电!AB10+分散式风电!AB10</f>
        <v>4133.45</v>
      </c>
      <c r="AC10">
        <f>集中式风电!AC10+分散式风电!AC10</f>
        <v>3873.88</v>
      </c>
      <c r="AD10">
        <f>集中式风电!AD10+分散式风电!AD10</f>
        <v>3627.72</v>
      </c>
      <c r="AE10">
        <f>集中式风电!AE10+分散式风电!AE10</f>
        <v>3403.18</v>
      </c>
      <c r="AF10">
        <f>集中式风电!AF10+分散式风电!AF10</f>
        <v>3185.83</v>
      </c>
      <c r="AG10">
        <f>集中式风电!AG10+分散式风电!AG10</f>
        <v>2972.62</v>
      </c>
      <c r="AH10">
        <f>集中式风电!AH10+分散式风电!AH10</f>
        <v>2802.68</v>
      </c>
      <c r="AI10">
        <f>集中式风电!AI10+分散式风电!AI10</f>
        <v>2670.84</v>
      </c>
      <c r="AJ10">
        <f>集中式风电!AJ10+分散式风电!AJ10</f>
        <v>2544.14</v>
      </c>
      <c r="AK10">
        <f>集中式风电!AK10+分散式风电!AK10</f>
        <v>2419.53</v>
      </c>
      <c r="AL10">
        <f>集中式风电!AL10+分散式风电!AL10</f>
        <v>2307.24</v>
      </c>
      <c r="AM10">
        <f>集中式风电!AM10+分散式风电!AM10</f>
        <v>2204.24</v>
      </c>
      <c r="AN10">
        <f>集中式风电!AN10+分散式风电!AN10</f>
        <v>2103.29</v>
      </c>
      <c r="AO10">
        <f>集中式风电!AO10+分散式风电!AO10</f>
        <v>2005.45</v>
      </c>
      <c r="AP10">
        <f>集中式风电!AP10+分散式风电!AP10</f>
        <v>1909.66</v>
      </c>
      <c r="AQ10">
        <f>集中式风电!AQ10+分散式风电!AQ10</f>
        <v>1819.04</v>
      </c>
      <c r="AR10">
        <f>集中式风电!AR10+分散式风电!AR10</f>
        <v>1726.31</v>
      </c>
      <c r="AS10">
        <f>集中式风电!AS10+分散式风电!AS10</f>
        <v>1630.54</v>
      </c>
      <c r="AT10">
        <f>集中式风电!AT10+分散式风电!AT10</f>
        <v>1530.62</v>
      </c>
      <c r="AU10">
        <f>集中式风电!AU10+分散式风电!AU10</f>
        <v>1430.7</v>
      </c>
      <c r="AV10">
        <f>集中式风电!AV10+分散式风电!AV10</f>
        <v>1328.75</v>
      </c>
      <c r="AW10">
        <f>集中式风电!AW10+分散式风电!AW10</f>
        <v>1229.86</v>
      </c>
      <c r="AX10">
        <f>集中式风电!AX10+分散式风电!AX10</f>
        <v>1144.36</v>
      </c>
      <c r="AY10">
        <f>集中式风电!AY10+分散式风电!AY10</f>
        <v>1073.31</v>
      </c>
      <c r="AZ10">
        <f>集中式风电!AZ10+分散式风电!AZ10</f>
        <v>1005.33</v>
      </c>
      <c r="BA10">
        <f>集中式风电!BA10+分散式风电!BA10</f>
        <v>940.43</v>
      </c>
      <c r="BB10">
        <f>集中式风电!BB10+分散式风电!BB10</f>
        <v>887.91</v>
      </c>
      <c r="BC10">
        <f>集中式风电!BC10+分散式风电!BC10</f>
        <v>846.7</v>
      </c>
      <c r="BD10">
        <f>集中式风电!BD10+分散式风电!BD10</f>
        <v>810.66</v>
      </c>
      <c r="BE10">
        <f>集中式风电!BE10+分散式风电!BE10</f>
        <v>776.64</v>
      </c>
      <c r="BF10">
        <f>集中式风电!BF10+分散式风电!BF10</f>
        <v>747.8</v>
      </c>
      <c r="BG10">
        <f>集中式风电!BG10+分散式风电!BG10</f>
        <v>724.11</v>
      </c>
      <c r="BH10">
        <f>集中式风电!BH10+分散式风电!BH10</f>
        <v>701.46</v>
      </c>
      <c r="BI10">
        <f>集中式风电!BI10+分散式风电!BI10</f>
        <v>683.97</v>
      </c>
      <c r="BJ10">
        <f>集中式风电!BJ10+分散式风电!BJ10</f>
        <v>672.62</v>
      </c>
      <c r="BK10">
        <f>集中式风电!BK10+分散式风电!BK10</f>
        <v>668.5</v>
      </c>
      <c r="BL10">
        <f>集中式风电!BL10+分散式风电!BL10</f>
        <v>667.48</v>
      </c>
      <c r="BM10">
        <f>集中式风电!BM10+分散式风电!BM10</f>
        <v>669.52</v>
      </c>
      <c r="BN10">
        <f>集中式风电!BN10+分散式风电!BN10</f>
        <v>680.87</v>
      </c>
      <c r="BO10">
        <f>集中式风电!BO10+分散式风电!BO10</f>
        <v>703.51</v>
      </c>
      <c r="BP10">
        <f>集中式风电!BP10+分散式风电!BP10</f>
        <v>727.23</v>
      </c>
      <c r="BQ10">
        <f>集中式风电!BQ10+分散式风电!BQ10</f>
        <v>753.98</v>
      </c>
      <c r="BR10">
        <f>集中式风电!BR10+分散式风电!BR10</f>
        <v>795.19</v>
      </c>
      <c r="BS10">
        <f>集中式风电!BS10+分散式风电!BS10</f>
        <v>852.88</v>
      </c>
      <c r="BT10">
        <f>集中式风电!BT10+分散式风电!BT10</f>
        <v>914.66</v>
      </c>
      <c r="BU10">
        <f>集中式风电!BU10+分散式风电!BU10</f>
        <v>979.56</v>
      </c>
      <c r="BV10">
        <f>集中式风电!BV10+分散式风电!BV10</f>
        <v>1071.23</v>
      </c>
      <c r="BW10">
        <f>集中式风电!BW10+分散式风电!BW10</f>
        <v>1180.4</v>
      </c>
      <c r="BX10">
        <f>集中式风电!BX10+分散式风电!BX10</f>
        <v>1290.62</v>
      </c>
      <c r="BY10">
        <f>集中式风电!BY10+分散式风电!BY10</f>
        <v>1402.88</v>
      </c>
      <c r="BZ10">
        <f>集中式风电!BZ10+分散式风电!BZ10</f>
        <v>1508.97</v>
      </c>
      <c r="CA10">
        <f>集中式风电!CA10+分散式风电!CA10</f>
        <v>1603.75</v>
      </c>
      <c r="CB10">
        <f>集中式风电!CB10+分散式风电!CB10</f>
        <v>1695.42</v>
      </c>
      <c r="CC10">
        <f>集中式风电!CC10+分散式风电!CC10</f>
        <v>1782.96</v>
      </c>
      <c r="CD10">
        <f>集中式风电!CD10+分散式风电!CD10</f>
        <v>1845.79</v>
      </c>
      <c r="CE10">
        <f>集中式风电!CE10+分散式风电!CE10</f>
        <v>1881.85</v>
      </c>
      <c r="CF10">
        <f>集中式风电!CF10+分散式风电!CF10</f>
        <v>1913.78</v>
      </c>
      <c r="CG10">
        <f>集中式风电!CG10+分散式风电!CG10</f>
        <v>1941.59</v>
      </c>
      <c r="CH10">
        <f>集中式风电!CH10+分散式风电!CH10</f>
        <v>1967.34</v>
      </c>
      <c r="CI10">
        <f>集中式风电!CI10+分散式风电!CI10</f>
        <v>1991.01</v>
      </c>
      <c r="CJ10">
        <f>集中式风电!CJ10+分散式风电!CJ10</f>
        <v>2015.75</v>
      </c>
      <c r="CK10">
        <f>集中式风电!CK10+分散式风电!CK10</f>
        <v>2042.52</v>
      </c>
      <c r="CL10">
        <f>集中式风电!CL10+分散式风电!CL10</f>
        <v>2074.45</v>
      </c>
      <c r="CM10">
        <f>集中式风电!CM10+分散式风电!CM10</f>
        <v>2110.5</v>
      </c>
      <c r="CN10">
        <f>集中式风电!CN10+分散式风电!CN10</f>
        <v>2148.61</v>
      </c>
      <c r="CO10">
        <f>集中式风电!CO10+分散式风电!CO10</f>
        <v>2186.74</v>
      </c>
      <c r="CP10">
        <f>集中式风电!CP10+分散式风电!CP10</f>
        <v>2213.5</v>
      </c>
      <c r="CQ10">
        <f>集中式风电!CQ10+分散式风电!CQ10</f>
        <v>2238.22</v>
      </c>
      <c r="CR10">
        <f>集中式风电!CR10+分散式风电!CR10</f>
        <v>2263.98</v>
      </c>
      <c r="CS10">
        <f>集中式风电!CS10+分散式风电!CS10</f>
        <v>2299</v>
      </c>
    </row>
    <row r="11" spans="1:97">
      <c r="A11" s="9">
        <v>46244</v>
      </c>
      <c r="B11">
        <f>集中式风电!B11+分散式风电!B11</f>
        <v>2194.97</v>
      </c>
      <c r="C11">
        <f>集中式风电!C11+分散式风电!C11</f>
        <v>2252.65</v>
      </c>
      <c r="D11">
        <f>集中式风电!D11+分散式风电!D11</f>
        <v>2313.43</v>
      </c>
      <c r="E11">
        <f>集中式风电!E11+分散式风电!E11</f>
        <v>2375.2</v>
      </c>
      <c r="F11">
        <f>集中式风电!F11+分散式风电!F11</f>
        <v>2443.19</v>
      </c>
      <c r="G11">
        <f>集中式风电!G11+分散式风电!G11</f>
        <v>2509.11</v>
      </c>
      <c r="H11">
        <f>集中式风电!H11+分散式风电!H11</f>
        <v>2578.13</v>
      </c>
      <c r="I11">
        <f>集中式风电!I11+分散式风电!I11</f>
        <v>2647.13</v>
      </c>
      <c r="J11">
        <f>集中式风电!J11+分散式风电!J11</f>
        <v>2705.82</v>
      </c>
      <c r="K11">
        <f>集中式风电!K11+分散式风电!K11</f>
        <v>2757.35</v>
      </c>
      <c r="L11">
        <f>集中式风电!L11+分散式风电!L11</f>
        <v>2810.9</v>
      </c>
      <c r="M11">
        <f>集中式风电!M11+分散式风电!M11</f>
        <v>2866.52</v>
      </c>
      <c r="N11">
        <f>集中式风电!N11+分散式风电!N11</f>
        <v>2910.83</v>
      </c>
      <c r="O11">
        <f>集中式风电!O11+分散式风电!O11</f>
        <v>2948.92</v>
      </c>
      <c r="P11">
        <f>集中式风电!P11+分散式风电!P11</f>
        <v>2989.1</v>
      </c>
      <c r="Q11">
        <f>集中式风电!Q11+分散式风电!Q11</f>
        <v>3032.38</v>
      </c>
      <c r="R11">
        <f>集中式风电!R11+分散式风电!R11</f>
        <v>3077.67</v>
      </c>
      <c r="S11">
        <f>集中式风电!S11+分散式风电!S11</f>
        <v>3124.03</v>
      </c>
      <c r="T11">
        <f>集中式风电!T11+分散式风电!T11</f>
        <v>3170.38</v>
      </c>
      <c r="U11">
        <f>集中式风电!U11+分散式风电!U11</f>
        <v>3215.71</v>
      </c>
      <c r="V11">
        <f>集中式风电!V11+分散式风电!V11</f>
        <v>3265.16</v>
      </c>
      <c r="W11">
        <f>集中式风电!W11+分散式风电!W11</f>
        <v>3318.72</v>
      </c>
      <c r="X11">
        <f>集中式风电!X11+分散式风电!X11</f>
        <v>3369.16</v>
      </c>
      <c r="Y11">
        <f>集中式风电!Y11+分散式风电!Y11</f>
        <v>3413.48</v>
      </c>
      <c r="Z11">
        <f>集中式风电!Z11+分散式风电!Z11</f>
        <v>3436.13</v>
      </c>
      <c r="AA11">
        <f>集中式风电!AA11+分散式风电!AA11</f>
        <v>3461.89</v>
      </c>
      <c r="AB11">
        <f>集中式风电!AB11+分散式风电!AB11</f>
        <v>3490.72</v>
      </c>
      <c r="AC11">
        <f>集中式风电!AC11+分散式风电!AC11</f>
        <v>3520.58</v>
      </c>
      <c r="AD11">
        <f>集中式风电!AD11+分散式风电!AD11</f>
        <v>3537.07</v>
      </c>
      <c r="AE11">
        <f>集中式风电!AE11+分散式风电!AE11</f>
        <v>3535</v>
      </c>
      <c r="AF11">
        <f>集中式风电!AF11+分散式风电!AF11</f>
        <v>3545.32</v>
      </c>
      <c r="AG11">
        <f>集中式风电!AG11+分散式风电!AG11</f>
        <v>3560.76</v>
      </c>
      <c r="AH11">
        <f>集中式风电!AH11+分散式风电!AH11</f>
        <v>3646.24</v>
      </c>
      <c r="AI11">
        <f>集中式风电!AI11+分散式风电!AI11</f>
        <v>3794.58</v>
      </c>
      <c r="AJ11">
        <f>集中式风电!AJ11+分散式风电!AJ11</f>
        <v>3956.29</v>
      </c>
      <c r="AK11">
        <f>集中式风电!AK11+分散式风电!AK11</f>
        <v>4136.54</v>
      </c>
      <c r="AL11">
        <f>集中式风电!AL11+分散式风电!AL11</f>
        <v>4356.94</v>
      </c>
      <c r="AM11">
        <f>集中式风电!AM11+分散式风电!AM11</f>
        <v>4615.46</v>
      </c>
      <c r="AN11">
        <f>集中式风电!AN11+分散式风电!AN11</f>
        <v>4883.27</v>
      </c>
      <c r="AO11">
        <f>集中式风电!AO11+分散式风电!AO11</f>
        <v>5158.3</v>
      </c>
      <c r="AP11">
        <f>集中式风电!AP11+分散式风电!AP11</f>
        <v>5443.59</v>
      </c>
      <c r="AQ11">
        <f>集中式风电!AQ11+分散式风电!AQ11</f>
        <v>5733.04</v>
      </c>
      <c r="AR11">
        <f>集中式风电!AR11+分散式风电!AR11</f>
        <v>6027.59</v>
      </c>
      <c r="AS11">
        <f>集中式风电!AS11+分散式风电!AS11</f>
        <v>6317.04</v>
      </c>
      <c r="AT11">
        <f>集中式风电!AT11+分散式风电!AT11</f>
        <v>6572.48</v>
      </c>
      <c r="AU11">
        <f>集中式风电!AU11+分散式风电!AU11</f>
        <v>6808.33</v>
      </c>
      <c r="AV11">
        <f>集中式风电!AV11+分散式风电!AV11</f>
        <v>7039.05</v>
      </c>
      <c r="AW11">
        <f>集中式风电!AW11+分散式风电!AW11</f>
        <v>7265.65</v>
      </c>
      <c r="AX11">
        <f>集中式风电!AX11+分散式风电!AX11</f>
        <v>7469.59</v>
      </c>
      <c r="AY11">
        <f>集中式风电!AY11+分散式风电!AY11</f>
        <v>7660.13</v>
      </c>
      <c r="AZ11">
        <f>集中式风电!AZ11+分散式风电!AZ11</f>
        <v>7849.68</v>
      </c>
      <c r="BA11">
        <f>集中式风电!BA11+分散式风电!BA11</f>
        <v>8037.14</v>
      </c>
      <c r="BB11">
        <f>集中式风电!BB11+分散式风电!BB11</f>
        <v>8200.89</v>
      </c>
      <c r="BC11">
        <f>集中式风电!BC11+分散式风电!BC11</f>
        <v>8346.13</v>
      </c>
      <c r="BD11">
        <f>集中式风电!BD11+分散式风电!BD11</f>
        <v>8488.28</v>
      </c>
      <c r="BE11">
        <f>集中式风电!BE11+分散式风电!BE11</f>
        <v>8626.27</v>
      </c>
      <c r="BF11">
        <f>集中式风电!BF11+分散式风电!BF11</f>
        <v>8730.31</v>
      </c>
      <c r="BG11">
        <f>集中式风电!BG11+分散式风电!BG11</f>
        <v>8841.56</v>
      </c>
      <c r="BH11">
        <f>集中式风电!BH11+分散式风电!BH11</f>
        <v>8909.53</v>
      </c>
      <c r="BI11">
        <f>集中式风电!BI11+分散式风电!BI11</f>
        <v>8973.4</v>
      </c>
      <c r="BJ11">
        <f>集中式风电!BJ11+分散式风电!BJ11</f>
        <v>9002.24</v>
      </c>
      <c r="BK11">
        <f>集中式风电!BK11+分散式风电!BK11</f>
        <v>8997.08</v>
      </c>
      <c r="BL11">
        <f>集中式风电!BL11+分散式风电!BL11</f>
        <v>8989.88</v>
      </c>
      <c r="BM11">
        <f>集中式风电!BM11+分散式风电!BM11</f>
        <v>8944.55</v>
      </c>
      <c r="BN11">
        <f>集中式风电!BN11+分散式风电!BN11</f>
        <v>8921.9</v>
      </c>
      <c r="BO11">
        <f>集中式风电!BO11+分散式风电!BO11</f>
        <v>8888.93</v>
      </c>
      <c r="BP11">
        <f>集中式风电!BP11+分散式风电!BP11</f>
        <v>8869.36</v>
      </c>
      <c r="BQ11">
        <f>集中式风电!BQ11+分散式风电!BQ11</f>
        <v>8839.5</v>
      </c>
      <c r="BR11">
        <f>集中式风电!BR11+分散式风电!BR11</f>
        <v>8805.49</v>
      </c>
      <c r="BS11">
        <f>集中式风电!BS11+分散式风电!BS11</f>
        <v>8763.26</v>
      </c>
      <c r="BT11">
        <f>集中式风电!BT11+分散式风电!BT11</f>
        <v>8724.13</v>
      </c>
      <c r="BU11">
        <f>集中式风电!BU11+分散式风电!BU11</f>
        <v>8681.89</v>
      </c>
      <c r="BV11">
        <f>集中式风电!BV11+分散式风电!BV11</f>
        <v>8667.48</v>
      </c>
      <c r="BW11">
        <f>集中式风电!BW11+分散式风电!BW11</f>
        <v>8653.05</v>
      </c>
      <c r="BX11">
        <f>集中式风电!BX11+分散式风电!BX11</f>
        <v>8642.75</v>
      </c>
      <c r="BY11">
        <f>集中式风电!BY11+分散式风电!BY11</f>
        <v>8636.57</v>
      </c>
      <c r="BZ11">
        <f>集中式风电!BZ11+分散式风电!BZ11</f>
        <v>8693.24</v>
      </c>
      <c r="CA11">
        <f>集中式风电!CA11+分散式风电!CA11</f>
        <v>8710.75</v>
      </c>
      <c r="CB11">
        <f>集中式风电!CB11+分散式风电!CB11</f>
        <v>8733.41</v>
      </c>
      <c r="CC11">
        <f>集中式风电!CC11+分散式风电!CC11</f>
        <v>8752.97</v>
      </c>
      <c r="CD11">
        <f>集中式风电!CD11+分散式风电!CD11</f>
        <v>8787.98</v>
      </c>
      <c r="CE11">
        <f>集中式风电!CE11+分散式风电!CE11</f>
        <v>8840.51</v>
      </c>
      <c r="CF11">
        <f>集中式风电!CF11+分散式风电!CF11</f>
        <v>8930.14</v>
      </c>
      <c r="CG11">
        <f>集中式风电!CG11+分散式风电!CG11</f>
        <v>8952.79</v>
      </c>
      <c r="CH11">
        <f>集中式风电!CH11+分散式风电!CH11</f>
        <v>9001.21</v>
      </c>
      <c r="CI11">
        <f>集中式风电!CI11+分散式风电!CI11</f>
        <v>9038.27</v>
      </c>
      <c r="CJ11">
        <f>集中式风电!CJ11+分散式风电!CJ11</f>
        <v>9076.4</v>
      </c>
      <c r="CK11">
        <f>集中式风电!CK11+分散式风电!CK11</f>
        <v>9114.51</v>
      </c>
      <c r="CL11">
        <f>集中式风电!CL11+分散式风电!CL11</f>
        <v>9144.38</v>
      </c>
      <c r="CM11">
        <f>集中式风电!CM11+分散式风电!CM11</f>
        <v>9157.75</v>
      </c>
      <c r="CN11">
        <f>集中式风电!CN11+分散式风电!CN11</f>
        <v>9168.07</v>
      </c>
      <c r="CO11">
        <f>集中式风电!CO11+分散式风电!CO11</f>
        <v>9172.18</v>
      </c>
      <c r="CP11">
        <f>集中式风电!CP11+分散式风电!CP11</f>
        <v>9162.92</v>
      </c>
      <c r="CQ11">
        <f>集中式风电!CQ11+分散式风电!CQ11</f>
        <v>9129.96</v>
      </c>
      <c r="CR11">
        <f>集中式风电!CR11+分散式风电!CR11</f>
        <v>9091.84</v>
      </c>
      <c r="CS11">
        <f>集中式风电!CS11+分散式风电!CS11</f>
        <v>9052.7</v>
      </c>
    </row>
    <row r="12" spans="1:97">
      <c r="A12" s="9">
        <v>46245</v>
      </c>
      <c r="B12">
        <f>集中式风电!B12+分散式风电!B12</f>
        <v>9548.13</v>
      </c>
      <c r="C12">
        <f>集中式风电!C12+分散式风电!C12</f>
        <v>9500.74</v>
      </c>
      <c r="D12">
        <f>集中式风电!D12+分散式风电!D12</f>
        <v>9467.79</v>
      </c>
      <c r="E12">
        <f>集中式风电!E12+分散式风电!E12</f>
        <v>9434.83</v>
      </c>
      <c r="F12">
        <f>集中式风电!F12+分散式风电!F12</f>
        <v>9384.37</v>
      </c>
      <c r="G12">
        <f>集中式风电!G12+分散式风电!G12</f>
        <v>9330.8</v>
      </c>
      <c r="H12">
        <f>集中式风电!H12+分散式风电!H12</f>
        <v>9278.28</v>
      </c>
      <c r="I12">
        <f>集中式风电!I12+分散式风电!I12</f>
        <v>9226.78</v>
      </c>
      <c r="J12">
        <f>集中式风电!J12+分散式风电!J12</f>
        <v>9169.08</v>
      </c>
      <c r="K12">
        <f>集中式风电!K12+分散式风电!K12</f>
        <v>9124.79</v>
      </c>
      <c r="L12">
        <f>集中式风电!L12+分散式风电!L12</f>
        <v>9070.23</v>
      </c>
      <c r="M12">
        <f>集中式风电!M12+分散式风电!M12</f>
        <v>9020.79</v>
      </c>
      <c r="N12">
        <f>集中式风电!N12+分散式风电!N12</f>
        <v>8971.35</v>
      </c>
      <c r="O12">
        <f>集中式风电!O12+分散式风电!O12</f>
        <v>8923.95</v>
      </c>
      <c r="P12">
        <f>集中式风电!P12+分散式风电!P12</f>
        <v>8885.84</v>
      </c>
      <c r="Q12">
        <f>集中式风电!Q12+分散式风电!Q12</f>
        <v>8833.31</v>
      </c>
      <c r="R12">
        <f>集中式风电!R12+分散式风电!R12</f>
        <v>8778.73</v>
      </c>
      <c r="S12">
        <f>集中式风电!S12+分散式风电!S12</f>
        <v>8702.51</v>
      </c>
      <c r="T12">
        <f>集中式风电!T12+分散式风电!T12</f>
        <v>8624.23</v>
      </c>
      <c r="U12">
        <f>集中式风电!U12+分散式风电!U12</f>
        <v>8544.93</v>
      </c>
      <c r="V12">
        <f>集中式风电!V12+分散式风电!V12</f>
        <v>8454.29</v>
      </c>
      <c r="W12">
        <f>集中式风电!W12+分散式风电!W12</f>
        <v>8331.71</v>
      </c>
      <c r="X12">
        <f>集中式风电!X12+分散式风电!X12</f>
        <v>8201.94</v>
      </c>
      <c r="Y12">
        <f>集中式风电!Y12+分散式风电!Y12</f>
        <v>8075.26</v>
      </c>
      <c r="Z12">
        <f>集中式风电!Z12+分散式风电!Z12</f>
        <v>7938.25</v>
      </c>
      <c r="AA12">
        <f>集中式风电!AA12+分散式风电!AA12</f>
        <v>7809.5</v>
      </c>
      <c r="AB12">
        <f>集中式风电!AB12+分散式风电!AB12</f>
        <v>7682.83</v>
      </c>
      <c r="AC12">
        <f>集中式风电!AC12+分散式风电!AC12</f>
        <v>7563.35</v>
      </c>
      <c r="AD12">
        <f>集中式风电!AD12+分散式风电!AD12</f>
        <v>7470.64</v>
      </c>
      <c r="AE12">
        <f>集中式风电!AE12+分散式风电!AE12</f>
        <v>7405.75</v>
      </c>
      <c r="AF12">
        <f>集中式风电!AF12+分散式风电!AF12</f>
        <v>7348.07</v>
      </c>
      <c r="AG12">
        <f>集中式风电!AG12+分散式风电!AG12</f>
        <v>7341.88</v>
      </c>
      <c r="AH12">
        <f>集中式风电!AH12+分散式风电!AH12</f>
        <v>7316.14</v>
      </c>
      <c r="AI12">
        <f>集中式风电!AI12+分散式风电!AI12</f>
        <v>7306.86</v>
      </c>
      <c r="AJ12">
        <f>集中式风电!AJ12+分散式风电!AJ12</f>
        <v>7298.61</v>
      </c>
      <c r="AK12">
        <f>集中式风电!AK12+分散式风电!AK12</f>
        <v>7291.41</v>
      </c>
      <c r="AL12">
        <f>集中式风电!AL12+分散式风电!AL12</f>
        <v>7280.07</v>
      </c>
      <c r="AM12">
        <f>集中式风电!AM12+分散式风电!AM12</f>
        <v>7265.68</v>
      </c>
      <c r="AN12">
        <f>集中式风电!AN12+分散式风电!AN12</f>
        <v>7253.3</v>
      </c>
      <c r="AO12">
        <f>集中式风电!AO12+分散式风电!AO12</f>
        <v>7241.98</v>
      </c>
      <c r="AP12">
        <f>集中式风电!AP12+分散式风电!AP12</f>
        <v>7230.63</v>
      </c>
      <c r="AQ12">
        <f>集中式风电!AQ12+分散式风电!AQ12</f>
        <v>7213.13</v>
      </c>
      <c r="AR12">
        <f>集中式风电!AR12+分散式风电!AR12</f>
        <v>7197.7</v>
      </c>
      <c r="AS12">
        <f>集中式风电!AS12+分散式风电!AS12</f>
        <v>7140</v>
      </c>
      <c r="AT12">
        <f>集中式风电!AT12+分散式风电!AT12</f>
        <v>7110.14</v>
      </c>
      <c r="AU12">
        <f>集中式风电!AU12+分散式风电!AU12</f>
        <v>7078.19</v>
      </c>
      <c r="AV12">
        <f>集中式风电!AV12+分散式风电!AV12</f>
        <v>7042.16</v>
      </c>
      <c r="AW12">
        <f>集中式风电!AW12+分散式风电!AW12</f>
        <v>7007.11</v>
      </c>
      <c r="AX12">
        <f>集中式风电!AX12+分散式风电!AX12</f>
        <v>6966.96</v>
      </c>
      <c r="AY12">
        <f>集中式风电!AY12+分散式风电!AY12</f>
        <v>6928.84</v>
      </c>
      <c r="AZ12">
        <f>集中式风电!AZ12+分散式风电!AZ12</f>
        <v>6891.76</v>
      </c>
      <c r="BA12">
        <f>集中式风电!BA12+分散式风电!BA12</f>
        <v>6853.66</v>
      </c>
      <c r="BB12">
        <f>集中式风电!BB12+分散式风电!BB12</f>
        <v>6821.73</v>
      </c>
      <c r="BC12">
        <f>集中式风电!BC12+分散式风电!BC12</f>
        <v>6790.84</v>
      </c>
      <c r="BD12">
        <f>集中式风电!BD12+分散式风电!BD12</f>
        <v>6757.86</v>
      </c>
      <c r="BE12">
        <f>集中式风电!BE12+分散式风电!BE12</f>
        <v>6756.83</v>
      </c>
      <c r="BF12">
        <f>集中式风电!BF12+分散式风电!BF12</f>
        <v>6686.8</v>
      </c>
      <c r="BG12">
        <f>集中式风电!BG12+分散式风电!BG12</f>
        <v>6653.83</v>
      </c>
      <c r="BH12">
        <f>集中式风电!BH12+分散式风电!BH12</f>
        <v>6619.83</v>
      </c>
      <c r="BI12">
        <f>集中式风电!BI12+分散式风电!BI12</f>
        <v>6588.93</v>
      </c>
      <c r="BJ12">
        <f>集中式风电!BJ12+分散式风电!BJ12</f>
        <v>6551.86</v>
      </c>
      <c r="BK12">
        <f>集中式风电!BK12+分散式风电!BK12</f>
        <v>6515.81</v>
      </c>
      <c r="BL12">
        <f>集中式风电!BL12+分散式风电!BL12</f>
        <v>6475.65</v>
      </c>
      <c r="BM12">
        <f>集中式风电!BM12+分散式风电!BM12</f>
        <v>6445.77</v>
      </c>
      <c r="BN12">
        <f>集中式风电!BN12+分散式风电!BN12</f>
        <v>6403.55</v>
      </c>
      <c r="BO12">
        <f>集中式风电!BO12+分散式风电!BO12</f>
        <v>6354.09</v>
      </c>
      <c r="BP12">
        <f>集中式风电!BP12+分散式风电!BP12</f>
        <v>6304.66</v>
      </c>
      <c r="BQ12">
        <f>集中式风电!BQ12+分散式风电!BQ12</f>
        <v>6255.23</v>
      </c>
      <c r="BR12">
        <f>集中式风电!BR12+分散式风电!BR12</f>
        <v>6201.66</v>
      </c>
      <c r="BS12">
        <f>集中式风电!BS12+分散式风电!BS12</f>
        <v>6154.27</v>
      </c>
      <c r="BT12">
        <f>集中式风电!BT12+分散式风电!BT12</f>
        <v>6105.88</v>
      </c>
      <c r="BU12">
        <f>集中式风电!BU12+分散式风电!BU12</f>
        <v>6056.44</v>
      </c>
      <c r="BV12">
        <f>集中式风电!BV12+分散式风电!BV12</f>
        <v>6017.29</v>
      </c>
      <c r="BW12">
        <f>集中式风电!BW12+分散式风电!BW12</f>
        <v>5986.38</v>
      </c>
      <c r="BX12">
        <f>集中式风电!BX12+分散式风电!BX12</f>
        <v>5958.57</v>
      </c>
      <c r="BY12">
        <f>集中式风电!BY12+分散式风电!BY12</f>
        <v>5932.83</v>
      </c>
      <c r="BZ12">
        <f>集中式风电!BZ12+分散式风电!BZ12</f>
        <v>5919.45</v>
      </c>
      <c r="CA12">
        <f>集中式风电!CA12+分散式风电!CA12</f>
        <v>5909.14</v>
      </c>
      <c r="CB12">
        <f>集中式风电!CB12+分散式风电!CB12</f>
        <v>5898.85</v>
      </c>
      <c r="CC12">
        <f>集中式风电!CC12+分散式风电!CC12</f>
        <v>5888.53</v>
      </c>
      <c r="CD12">
        <f>集中式风电!CD12+分散式风电!CD12</f>
        <v>5870.01</v>
      </c>
      <c r="CE12">
        <f>集中式风电!CE12+分散式风电!CE12</f>
        <v>5829.83</v>
      </c>
      <c r="CF12">
        <f>集中式风电!CF12+分散式风电!CF12</f>
        <v>5790.7</v>
      </c>
      <c r="CG12">
        <f>集中式风电!CG12+分散式风电!CG12</f>
        <v>5743.31</v>
      </c>
      <c r="CH12">
        <f>集中式风电!CH12+分散式风电!CH12</f>
        <v>5695.92</v>
      </c>
      <c r="CI12">
        <f>集中式风电!CI12+分散式风电!CI12</f>
        <v>5635.16</v>
      </c>
      <c r="CJ12">
        <f>集中式风电!CJ12+分散式风电!CJ12</f>
        <v>5580.56</v>
      </c>
      <c r="CK12">
        <f>集中式风电!CK12+分散式风电!CK12</f>
        <v>5525.97</v>
      </c>
      <c r="CL12">
        <f>集中式风电!CL12+分散式风电!CL12</f>
        <v>5462.13</v>
      </c>
      <c r="CM12">
        <f>集中式风电!CM12+分散式风电!CM12</f>
        <v>5391.06</v>
      </c>
      <c r="CN12">
        <f>集中式风电!CN12+分散式风电!CN12</f>
        <v>5314.84</v>
      </c>
      <c r="CO12">
        <f>集中式风电!CO12+分散式风电!CO12</f>
        <v>5239.64</v>
      </c>
      <c r="CP12">
        <f>集中式风电!CP12+分散式风电!CP12</f>
        <v>5164.46</v>
      </c>
      <c r="CQ12">
        <f>集中式风电!CQ12+分散式风电!CQ12</f>
        <v>5092.35</v>
      </c>
      <c r="CR12">
        <f>集中式风电!CR12+分散式风电!CR12</f>
        <v>5017.16</v>
      </c>
      <c r="CS12">
        <f>集中式风电!CS12+分散式风电!CS12</f>
        <v>4941.96</v>
      </c>
    </row>
    <row r="13" spans="1:97">
      <c r="A13" s="9">
        <v>46246</v>
      </c>
      <c r="B13">
        <f>集中式风电!B13+分散式风电!B13</f>
        <v>5653.7</v>
      </c>
      <c r="C13">
        <f>集中式风电!C13+分散式风电!C13</f>
        <v>5573.35</v>
      </c>
      <c r="D13">
        <f>集中式风电!D13+分散式风电!D13</f>
        <v>5490.97</v>
      </c>
      <c r="E13">
        <f>集中式风电!E13+分散式风电!E13</f>
        <v>5408.57</v>
      </c>
      <c r="F13">
        <f>集中式风电!F13+分散式风电!F13</f>
        <v>5327.19</v>
      </c>
      <c r="G13">
        <f>集中式风电!G13+分散式风电!G13</f>
        <v>5250.98</v>
      </c>
      <c r="H13">
        <f>集中式风电!H13+分散式风电!H13</f>
        <v>5175.78</v>
      </c>
      <c r="I13">
        <f>集中式风电!I13+分散式风电!I13</f>
        <v>5099.58</v>
      </c>
      <c r="J13">
        <f>集中式风电!J13+分散式风电!J13</f>
        <v>5018.19</v>
      </c>
      <c r="K13">
        <f>集中式风电!K13+分散式风电!K13</f>
        <v>4929.61</v>
      </c>
      <c r="L13">
        <f>集中式风电!L13+分散式风电!L13</f>
        <v>4841.03</v>
      </c>
      <c r="M13">
        <f>集中式风电!M13+分散式风电!M13</f>
        <v>4752.46</v>
      </c>
      <c r="N13">
        <f>集中式风电!N13+分散式风电!N13</f>
        <v>4668.01</v>
      </c>
      <c r="O13">
        <f>集中式风电!O13+分散式风电!O13</f>
        <v>4590.75</v>
      </c>
      <c r="P13">
        <f>集中式风电!P13+分散式风电!P13</f>
        <v>4513.51</v>
      </c>
      <c r="Q13">
        <f>集中式风电!Q13+分散式风电!Q13</f>
        <v>4433.17</v>
      </c>
      <c r="R13">
        <f>集中式风电!R13+分散式风电!R13</f>
        <v>4359.01</v>
      </c>
      <c r="S13">
        <f>集中式风电!S13+分散式风电!S13</f>
        <v>4284.85</v>
      </c>
      <c r="T13">
        <f>集中式风电!T13+分散式风电!T13</f>
        <v>4206.56</v>
      </c>
      <c r="U13">
        <f>集中式风电!U13+分散式风电!U13</f>
        <v>4125.19</v>
      </c>
      <c r="V13">
        <f>集中式风电!V13+分散式风电!V13</f>
        <v>4034.54</v>
      </c>
      <c r="W13">
        <f>集中式风电!W13+分散式风电!W13</f>
        <v>3933.62</v>
      </c>
      <c r="X13">
        <f>集中式风电!X13+分散式风电!X13</f>
        <v>3828.57</v>
      </c>
      <c r="Y13">
        <f>集中式风电!Y13+分散式风电!Y13</f>
        <v>3722.47</v>
      </c>
      <c r="Z13">
        <f>集中式风电!Z13+分散式风电!Z13</f>
        <v>3588.57</v>
      </c>
      <c r="AA13">
        <f>集中式风电!AA13+分散式风电!AA13</f>
        <v>3450.55</v>
      </c>
      <c r="AB13">
        <f>集中式风电!AB13+分散式风电!AB13</f>
        <v>3309.44</v>
      </c>
      <c r="AC13">
        <f>集中式风电!AC13+分散式风电!AC13</f>
        <v>3173.48</v>
      </c>
      <c r="AD13">
        <f>集中式风电!AD13+分散式风电!AD13</f>
        <v>3059.14</v>
      </c>
      <c r="AE13">
        <f>集中式风电!AE13+分散式风电!AE13</f>
        <v>2970.57</v>
      </c>
      <c r="AF13">
        <f>集中式风电!AF13+分散式风电!AF13</f>
        <v>2893.33</v>
      </c>
      <c r="AG13">
        <f>集中式风电!AG13+分散式风电!AG13</f>
        <v>2818.11</v>
      </c>
      <c r="AH13">
        <f>集中式风电!AH13+分散式风电!AH13</f>
        <v>2758.38</v>
      </c>
      <c r="AI13">
        <f>集中式风电!AI13+分散式风电!AI13</f>
        <v>2719.24</v>
      </c>
      <c r="AJ13">
        <f>集中式风电!AJ13+分散式风电!AJ13</f>
        <v>2680.1</v>
      </c>
      <c r="AK13">
        <f>集中式风电!AK13+分散式风电!AK13</f>
        <v>2639.94</v>
      </c>
      <c r="AL13">
        <f>集中式风电!AL13+分散式风电!AL13</f>
        <v>2596.67</v>
      </c>
      <c r="AM13">
        <f>集中式风电!AM13+分散式风电!AM13</f>
        <v>2554.45</v>
      </c>
      <c r="AN13">
        <f>集中式风电!AN13+分散式风电!AN13</f>
        <v>2516.33</v>
      </c>
      <c r="AO13">
        <f>集中式风电!AO13+分散式风电!AO13</f>
        <v>2480.28</v>
      </c>
      <c r="AP13">
        <f>集中式风电!AP13+分散式风电!AP13</f>
        <v>2445.27</v>
      </c>
      <c r="AQ13">
        <f>集中式风电!AQ13+分散式风电!AQ13</f>
        <v>2411.29</v>
      </c>
      <c r="AR13">
        <f>集中式风电!AR13+分散式风电!AR13</f>
        <v>2376.25</v>
      </c>
      <c r="AS13">
        <f>集中式风电!AS13+分散式风电!AS13</f>
        <v>2341.24</v>
      </c>
      <c r="AT13">
        <f>集中式风电!AT13+分散式风电!AT13</f>
        <v>2296.95</v>
      </c>
      <c r="AU13">
        <f>集中式风电!AU13+分散式风电!AU13</f>
        <v>2249.55</v>
      </c>
      <c r="AV13">
        <f>集中式风电!AV13+分散式风电!AV13</f>
        <v>2200.11</v>
      </c>
      <c r="AW13">
        <f>集中式风电!AW13+分散式风电!AW13</f>
        <v>2152.74</v>
      </c>
      <c r="AX13">
        <f>集中式风电!AX13+分散式风电!AX13</f>
        <v>2110.5</v>
      </c>
      <c r="AY13">
        <f>集中式风电!AY13+分散式风电!AY13</f>
        <v>2072.4</v>
      </c>
      <c r="AZ13">
        <f>集中式风电!AZ13+分散式风电!AZ13</f>
        <v>2031.2</v>
      </c>
      <c r="BA13">
        <f>集中式风电!BA13+分散式风电!BA13</f>
        <v>1997.21</v>
      </c>
      <c r="BB13">
        <f>集中式风电!BB13+分散式风电!BB13</f>
        <v>1966.3</v>
      </c>
      <c r="BC13">
        <f>集中式风电!BC13+分散式风电!BC13</f>
        <v>1946.72</v>
      </c>
      <c r="BD13">
        <f>集中式风电!BD13+分散式风电!BD13</f>
        <v>1927.15</v>
      </c>
      <c r="BE13">
        <f>集中式风电!BE13+分散式风电!BE13</f>
        <v>1906.58</v>
      </c>
      <c r="BF13">
        <f>集中式风电!BF13+分散式风电!BF13</f>
        <v>1884.92</v>
      </c>
      <c r="BG13">
        <f>集中式风电!BG13+分散式风电!BG13</f>
        <v>1857.13</v>
      </c>
      <c r="BH13">
        <f>集中式风电!BH13+分散式风电!BH13</f>
        <v>1835.48</v>
      </c>
      <c r="BI13">
        <f>集中式风电!BI13+分散式风电!BI13</f>
        <v>1813.86</v>
      </c>
      <c r="BJ13">
        <f>集中式风电!BJ13+分散式风电!BJ13</f>
        <v>1811.81</v>
      </c>
      <c r="BK13">
        <f>集中式风电!BK13+分散式风电!BK13</f>
        <v>1824.16</v>
      </c>
      <c r="BL13">
        <f>集中式风电!BL13+分散式风电!BL13</f>
        <v>1840.64</v>
      </c>
      <c r="BM13">
        <f>集中式风电!BM13+分散式风电!BM13</f>
        <v>1859.17</v>
      </c>
      <c r="BN13">
        <f>集中式风电!BN13+分散式风电!BN13</f>
        <v>1888.02</v>
      </c>
      <c r="BO13">
        <f>集中式风电!BO13+分散式风电!BO13</f>
        <v>1931.28</v>
      </c>
      <c r="BP13">
        <f>集中式风电!BP13+分散式风电!BP13</f>
        <v>1975.57</v>
      </c>
      <c r="BQ13">
        <f>集中式风电!BQ13+分散式风电!BQ13</f>
        <v>2021.94</v>
      </c>
      <c r="BR13">
        <f>集中式风电!BR13+分散式风电!BR13</f>
        <v>2081.67</v>
      </c>
      <c r="BS13">
        <f>集中式风电!BS13+分散式风电!BS13</f>
        <v>2149.64</v>
      </c>
      <c r="BT13">
        <f>集中式风电!BT13+分散式风电!BT13</f>
        <v>2218.66</v>
      </c>
      <c r="BU13">
        <f>集中式风电!BU13+分散式风电!BU13</f>
        <v>2290.76</v>
      </c>
      <c r="BV13">
        <f>集中式风电!BV13+分散式风电!BV13</f>
        <v>2395.81</v>
      </c>
      <c r="BW13">
        <f>集中式风电!BW13+分散式风电!BW13</f>
        <v>2501.91</v>
      </c>
      <c r="BX13">
        <f>集中式风电!BX13+分散式风电!BX13</f>
        <v>2619.33</v>
      </c>
      <c r="BY13">
        <f>集中式风电!BY13+分散式风电!BY13</f>
        <v>2741.89</v>
      </c>
      <c r="BZ13">
        <f>集中式风电!BZ13+分散式风电!BZ13</f>
        <v>2857.26</v>
      </c>
      <c r="CA13">
        <f>集中式风电!CA13+分散式风电!CA13</f>
        <v>2973.65</v>
      </c>
      <c r="CB13">
        <f>集中式风电!CB13+分散式风电!CB13</f>
        <v>3095.18</v>
      </c>
      <c r="CC13">
        <f>集中式风电!CC13+分散式风电!CC13</f>
        <v>3206.41</v>
      </c>
      <c r="CD13">
        <f>集中式风电!CD13+分散式风电!CD13</f>
        <v>3296.03</v>
      </c>
      <c r="CE13">
        <f>集中式风电!CE13+分散式风电!CE13</f>
        <v>3358.86</v>
      </c>
      <c r="CF13">
        <f>集中式风电!CF13+分散式风电!CF13</f>
        <v>3426.84</v>
      </c>
      <c r="CG13">
        <f>集中式风电!CG13+分散式风电!CG13</f>
        <v>3483.5</v>
      </c>
      <c r="CH13">
        <f>集中式风电!CH13+分散式风电!CH13</f>
        <v>3524.69</v>
      </c>
      <c r="CI13">
        <f>集中式风电!CI13+分散式风电!CI13</f>
        <v>3550.43</v>
      </c>
      <c r="CJ13">
        <f>集中式风电!CJ13+分散式风电!CJ13</f>
        <v>3575.16</v>
      </c>
      <c r="CK13">
        <f>集中式风电!CK13+分散式风电!CK13</f>
        <v>3599.89</v>
      </c>
      <c r="CL13">
        <f>集中式风电!CL13+分散式风电!CL13</f>
        <v>3619.46</v>
      </c>
      <c r="CM13">
        <f>集中式风电!CM13+分散式风电!CM13</f>
        <v>3633.88</v>
      </c>
      <c r="CN13">
        <f>集中式风电!CN13+分散式风电!CN13</f>
        <v>3647.28</v>
      </c>
      <c r="CO13">
        <f>集中式风电!CO13+分散式风电!CO13</f>
        <v>3662.72</v>
      </c>
      <c r="CP13">
        <f>集中式风电!CP13+分散式风电!CP13</f>
        <v>3670.94</v>
      </c>
      <c r="CQ13">
        <f>集中式风电!CQ13+分散式风电!CQ13</f>
        <v>3661.68</v>
      </c>
      <c r="CR13">
        <f>集中式风电!CR13+分散式风电!CR13</f>
        <v>3652.42</v>
      </c>
      <c r="CS13">
        <f>集中式风电!CS13+分散式风电!CS13</f>
        <v>3647.26</v>
      </c>
    </row>
    <row r="14" spans="1:97">
      <c r="A14" s="9">
        <v>46247</v>
      </c>
      <c r="B14">
        <f>集中式风电!B14+分散式风电!B14</f>
        <v>2942.75</v>
      </c>
      <c r="C14">
        <f>集中式风电!C14+分散式风电!C14</f>
        <v>2930.4</v>
      </c>
      <c r="D14">
        <f>集中式风电!D14+分散式风电!D14</f>
        <v>2926.27</v>
      </c>
      <c r="E14">
        <f>集中式风电!E14+分散式风电!E14</f>
        <v>2923.19</v>
      </c>
      <c r="F14">
        <f>集中式风电!F14+分散式风电!F14</f>
        <v>2919.06</v>
      </c>
      <c r="G14">
        <f>集中式风电!G14+分散式风电!G14</f>
        <v>2925.22</v>
      </c>
      <c r="H14">
        <f>集中式风电!H14+分散式风电!H14</f>
        <v>2933.48</v>
      </c>
      <c r="I14">
        <f>集中式风电!I14+分散式风电!I14</f>
        <v>2941.73</v>
      </c>
      <c r="J14">
        <f>集中式风电!J14+分散式风电!J14</f>
        <v>2940.67</v>
      </c>
      <c r="K14">
        <f>集中式风电!K14+分散式风电!K14</f>
        <v>2943.76</v>
      </c>
      <c r="L14">
        <f>集中式风电!L14+分散式风电!L14</f>
        <v>2944.8</v>
      </c>
      <c r="M14">
        <f>集中式风电!M14+分散式风电!M14</f>
        <v>2947.9</v>
      </c>
      <c r="N14">
        <f>集中式风电!N14+分散式风电!N14</f>
        <v>2952.03</v>
      </c>
      <c r="O14">
        <f>集中式风电!O14+分散式风电!O14</f>
        <v>2953.05</v>
      </c>
      <c r="P14">
        <f>集中式风电!P14+分散式风电!P14</f>
        <v>2946.87</v>
      </c>
      <c r="Q14">
        <f>集中式风电!Q14+分散式风电!Q14</f>
        <v>2939.67</v>
      </c>
      <c r="R14">
        <f>集中式风电!R14+分散式风电!R14</f>
        <v>2938.63</v>
      </c>
      <c r="S14">
        <f>集中式风电!S14+分散式风电!S14</f>
        <v>2936.58</v>
      </c>
      <c r="T14">
        <f>集中式风电!T14+分散式风电!T14</f>
        <v>2932.45</v>
      </c>
      <c r="U14">
        <f>集中式风电!U14+分散式风电!U14</f>
        <v>2928.35</v>
      </c>
      <c r="V14">
        <f>集中式风电!V14+分散式风电!V14</f>
        <v>2921.14</v>
      </c>
      <c r="W14">
        <f>集中式风电!W14+分散式风电!W14</f>
        <v>2905.67</v>
      </c>
      <c r="X14">
        <f>集中式风电!X14+分散式风电!X14</f>
        <v>2888.18</v>
      </c>
      <c r="Y14">
        <f>集中式风电!Y14+分散式风电!Y14</f>
        <v>2872.71</v>
      </c>
      <c r="Z14">
        <f>集中式风电!Z14+分散式风电!Z14</f>
        <v>2860.36</v>
      </c>
      <c r="AA14">
        <f>集中式风电!AA14+分散式风电!AA14</f>
        <v>2846.97</v>
      </c>
      <c r="AB14">
        <f>集中式风电!AB14+分散式风电!AB14</f>
        <v>2836.67</v>
      </c>
      <c r="AC14">
        <f>集中式风电!AC14+分散式风电!AC14</f>
        <v>2832.53</v>
      </c>
      <c r="AD14">
        <f>集中式风电!AD14+分散式风电!AD14</f>
        <v>2805.76</v>
      </c>
      <c r="AE14">
        <f>集中式风电!AE14+分散式风电!AE14</f>
        <v>2777.96</v>
      </c>
      <c r="AF14">
        <f>集中式风电!AF14+分散式风电!AF14</f>
        <v>2748.1</v>
      </c>
      <c r="AG14">
        <f>集中式风电!AG14+分散式风电!AG14</f>
        <v>2718.21</v>
      </c>
      <c r="AH14">
        <f>集中式风电!AH14+分散式风电!AH14</f>
        <v>2689.37</v>
      </c>
      <c r="AI14">
        <f>集中式风电!AI14+分散式风电!AI14</f>
        <v>2659.52</v>
      </c>
      <c r="AJ14">
        <f>集中式风电!AJ14+分散式风电!AJ14</f>
        <v>2636.86</v>
      </c>
      <c r="AK14">
        <f>集中式风电!AK14+分散式风电!AK14</f>
        <v>2605.94</v>
      </c>
      <c r="AL14">
        <f>集中式风电!AL14+分散式风电!AL14</f>
        <v>2593.58</v>
      </c>
      <c r="AM14">
        <f>集中式风电!AM14+分散式风电!AM14</f>
        <v>2585.35</v>
      </c>
      <c r="AN14">
        <f>集中式风电!AN14+分散式风电!AN14</f>
        <v>2581.22</v>
      </c>
      <c r="AO14">
        <f>集中式风电!AO14+分散式风电!AO14</f>
        <v>2576.09</v>
      </c>
      <c r="AP14">
        <f>集中式风电!AP14+分散式风电!AP14</f>
        <v>2583.28</v>
      </c>
      <c r="AQ14">
        <f>集中式风电!AQ14+分散式风电!AQ14</f>
        <v>2600.79</v>
      </c>
      <c r="AR14">
        <f>集中式风电!AR14+分散式风电!AR14</f>
        <v>2622.42</v>
      </c>
      <c r="AS14">
        <f>集中式风电!AS14+分散式风电!AS14</f>
        <v>2645.08</v>
      </c>
      <c r="AT14">
        <f>集中式风电!AT14+分散式风电!AT14</f>
        <v>2661.55</v>
      </c>
      <c r="AU14">
        <f>集中式风电!AU14+分散式风电!AU14</f>
        <v>2685.24</v>
      </c>
      <c r="AV14">
        <f>集中式风电!AV14+分散式风电!AV14</f>
        <v>2710.99</v>
      </c>
      <c r="AW14">
        <f>集中式风电!AW14+分散式风电!AW14</f>
        <v>2739.83</v>
      </c>
      <c r="AX14">
        <f>集中式风电!AX14+分散式风电!AX14</f>
        <v>2767.65</v>
      </c>
      <c r="AY14">
        <f>集中式风电!AY14+分散式风电!AY14</f>
        <v>2792.37</v>
      </c>
      <c r="AZ14">
        <f>集中式风电!AZ14+分散式风电!AZ14</f>
        <v>2821.22</v>
      </c>
      <c r="BA14">
        <f>集中式风电!BA14+分散式风电!BA14</f>
        <v>2850.05</v>
      </c>
      <c r="BB14">
        <f>集中式风电!BB14+分散式风电!BB14</f>
        <v>2875.8</v>
      </c>
      <c r="BC14">
        <f>集中式风电!BC14+分散式风电!BC14</f>
        <v>2898.44</v>
      </c>
      <c r="BD14">
        <f>集中式风电!BD14+分散式风电!BD14</f>
        <v>2921.12</v>
      </c>
      <c r="BE14">
        <f>集中式风电!BE14+分散式风电!BE14</f>
        <v>2945.84</v>
      </c>
      <c r="BF14">
        <f>集中式风电!BF14+分散式风电!BF14</f>
        <v>2962.33</v>
      </c>
      <c r="BG14">
        <f>集中式风电!BG14+分散式风电!BG14</f>
        <v>2972.6</v>
      </c>
      <c r="BH14">
        <f>集中式风电!BH14+分散式风电!BH14</f>
        <v>2982.9</v>
      </c>
      <c r="BI14">
        <f>集中式风电!BI14+分散式风电!BI14</f>
        <v>2992.18</v>
      </c>
      <c r="BJ14">
        <f>集中式风电!BJ14+分散式风电!BJ14</f>
        <v>2991.15</v>
      </c>
      <c r="BK14">
        <f>集中式风电!BK14+分散式风电!BK14</f>
        <v>2993.22</v>
      </c>
      <c r="BL14">
        <f>集中式风电!BL14+分散式风电!BL14</f>
        <v>2995.28</v>
      </c>
      <c r="BM14">
        <f>集中式风电!BM14+分散式风电!BM14</f>
        <v>2998.35</v>
      </c>
      <c r="BN14">
        <f>集中式风电!BN14+分散式风电!BN14</f>
        <v>2992.17</v>
      </c>
      <c r="BO14">
        <f>集中式风电!BO14+分散式风电!BO14</f>
        <v>2987.02</v>
      </c>
      <c r="BP14">
        <f>集中式风电!BP14+分散式风电!BP14</f>
        <v>2983.93</v>
      </c>
      <c r="BQ14">
        <f>集中式风电!BQ14+分散式风电!BQ14</f>
        <v>2978.8</v>
      </c>
      <c r="BR14">
        <f>集中式风电!BR14+分散式风电!BR14</f>
        <v>2976.73</v>
      </c>
      <c r="BS14">
        <f>集中式风电!BS14+分散式风电!BS14</f>
        <v>2972.62</v>
      </c>
      <c r="BT14">
        <f>集中式风电!BT14+分散式风电!BT14</f>
        <v>2974.67</v>
      </c>
      <c r="BU14">
        <f>集中式风电!BU14+分散式风电!BU14</f>
        <v>2975.69</v>
      </c>
      <c r="BV14">
        <f>集中式风电!BV14+分散式风电!BV14</f>
        <v>3007.65</v>
      </c>
      <c r="BW14">
        <f>集中式风电!BW14+分散式风电!BW14</f>
        <v>3037.51</v>
      </c>
      <c r="BX14">
        <f>集中式风电!BX14+分散式风电!BX14</f>
        <v>3063.24</v>
      </c>
      <c r="BY14">
        <f>集中式风电!BY14+分散式风电!BY14</f>
        <v>3096.22</v>
      </c>
      <c r="BZ14">
        <f>集中式风电!BZ14+分散式风电!BZ14</f>
        <v>3133.28</v>
      </c>
      <c r="CA14">
        <f>集中式风电!CA14+分散式风电!CA14</f>
        <v>3177.58</v>
      </c>
      <c r="CB14">
        <f>集中式风电!CB14+分散式风电!CB14</f>
        <v>3215.68</v>
      </c>
      <c r="CC14">
        <f>集中式风电!CC14+分散式风电!CC14</f>
        <v>3249.68</v>
      </c>
      <c r="CD14">
        <f>集中式风电!CD14+分散式风电!CD14</f>
        <v>3274.4</v>
      </c>
      <c r="CE14">
        <f>集中式风电!CE14+分散式风电!CE14</f>
        <v>3282.64</v>
      </c>
      <c r="CF14">
        <f>集中式风电!CF14+分散式风电!CF14</f>
        <v>3289.85</v>
      </c>
      <c r="CG14">
        <f>集中式风电!CG14+分散式风电!CG14</f>
        <v>3292.94</v>
      </c>
      <c r="CH14">
        <f>集中式风电!CH14+分散式风电!CH14</f>
        <v>3297.07</v>
      </c>
      <c r="CI14">
        <f>集中式风电!CI14+分散式风电!CI14</f>
        <v>3297.06</v>
      </c>
      <c r="CJ14">
        <f>集中式风电!CJ14+分散式风电!CJ14</f>
        <v>3297.07</v>
      </c>
      <c r="CK14">
        <f>集中式风电!CK14+分散式风电!CK14</f>
        <v>3293.99</v>
      </c>
      <c r="CL14">
        <f>集中式风电!CL14+分散式风电!CL14</f>
        <v>3299.13</v>
      </c>
      <c r="CM14">
        <f>集中式风电!CM14+分散式风电!CM14</f>
        <v>3311.47</v>
      </c>
      <c r="CN14">
        <f>集中式风电!CN14+分散式风电!CN14</f>
        <v>3336.2</v>
      </c>
      <c r="CO14">
        <f>集中式风电!CO14+分散式风电!CO14</f>
        <v>3362.98</v>
      </c>
      <c r="CP14">
        <f>集中式风电!CP14+分散式风电!CP14</f>
        <v>3388.74</v>
      </c>
      <c r="CQ14">
        <f>集中式风电!CQ14+分散式风电!CQ14</f>
        <v>3426.84</v>
      </c>
      <c r="CR14">
        <f>集中式风电!CR14+分散式风电!CR14</f>
        <v>3464.94</v>
      </c>
      <c r="CS14">
        <f>集中式风电!CS14+分散式风电!CS14</f>
        <v>3504.08</v>
      </c>
    </row>
    <row r="15" spans="1:97">
      <c r="A15" s="9">
        <v>46248</v>
      </c>
      <c r="B15">
        <f>集中式风电!B15+分散式风电!B15</f>
        <v>2923.75</v>
      </c>
      <c r="C15">
        <f>集中式风电!C15+分散式风电!C15</f>
        <v>2948.4</v>
      </c>
      <c r="D15">
        <f>集中式风电!D15+分散式风电!D15</f>
        <v>2974.27</v>
      </c>
      <c r="E15">
        <f>集中式风电!E15+分散式风电!E15</f>
        <v>3000.19</v>
      </c>
      <c r="F15">
        <f>集中式风电!F15+分散式风电!F15</f>
        <v>3030.06</v>
      </c>
      <c r="G15">
        <f>集中式风电!G15+分散式风电!G15</f>
        <v>3055.22</v>
      </c>
      <c r="H15">
        <f>集中式风电!H15+分散式风电!H15</f>
        <v>3080.48</v>
      </c>
      <c r="I15">
        <f>集中式风电!I15+分散式风电!I15</f>
        <v>3108.73</v>
      </c>
      <c r="J15">
        <f>集中式风电!J15+分散式风电!J15</f>
        <v>3145.67</v>
      </c>
      <c r="K15">
        <f>集中式风电!K15+分散式风电!K15</f>
        <v>3190.76</v>
      </c>
      <c r="L15">
        <f>集中式风电!L15+分散式风电!L15</f>
        <v>3237.8</v>
      </c>
      <c r="M15">
        <f>集中式风电!M15+分散式风电!M15</f>
        <v>3283.9</v>
      </c>
      <c r="N15">
        <f>集中式风电!N15+分散式风电!N15</f>
        <v>3331.03</v>
      </c>
      <c r="O15">
        <f>集中式风电!O15+分散式风电!O15</f>
        <v>3385.05</v>
      </c>
      <c r="P15">
        <f>集中式风电!P15+分散式风电!P15</f>
        <v>3431.87</v>
      </c>
      <c r="Q15">
        <f>集中式风电!Q15+分散式风电!Q15</f>
        <v>3478.67</v>
      </c>
      <c r="R15">
        <f>集中式风电!R15+分散式风电!R15</f>
        <v>3522.63</v>
      </c>
      <c r="S15">
        <f>集中式风电!S15+分散式风电!S15</f>
        <v>3559.58</v>
      </c>
      <c r="T15">
        <f>集中式风电!T15+分散式风电!T15</f>
        <v>3591.45</v>
      </c>
      <c r="U15">
        <f>集中式风电!U15+分散式风电!U15</f>
        <v>3617.35</v>
      </c>
      <c r="V15">
        <f>集中式风电!V15+分散式风电!V15</f>
        <v>3625.14</v>
      </c>
      <c r="W15">
        <f>集中式风电!W15+分散式风电!W15</f>
        <v>3615.67</v>
      </c>
      <c r="X15">
        <f>集中式风电!X15+分散式风电!X15</f>
        <v>3599.18</v>
      </c>
      <c r="Y15">
        <f>集中式风电!Y15+分散式风电!Y15</f>
        <v>3578.71</v>
      </c>
      <c r="Z15">
        <f>集中式风电!Z15+分散式风电!Z15</f>
        <v>3537.36</v>
      </c>
      <c r="AA15">
        <f>集中式风电!AA15+分散式风电!AA15</f>
        <v>3482.97</v>
      </c>
      <c r="AB15">
        <f>集中式风电!AB15+分散式风电!AB15</f>
        <v>3428.67</v>
      </c>
      <c r="AC15">
        <f>集中式风电!AC15+分散式风电!AC15</f>
        <v>3373.53</v>
      </c>
      <c r="AD15">
        <f>集中式风电!AD15+分散式风电!AD15</f>
        <v>3303.76</v>
      </c>
      <c r="AE15">
        <f>集中式风电!AE15+分散式风电!AE15</f>
        <v>3211.96</v>
      </c>
      <c r="AF15">
        <f>集中式风电!AF15+分散式风电!AF15</f>
        <v>3127.1</v>
      </c>
      <c r="AG15">
        <f>集中式风电!AG15+分散式风电!AG15</f>
        <v>3047.21</v>
      </c>
      <c r="AH15">
        <f>集中式风电!AH15+分散式风电!AH15</f>
        <v>3019.37</v>
      </c>
      <c r="AI15">
        <f>集中式风电!AI15+分散式风电!AI15</f>
        <v>3034.52</v>
      </c>
      <c r="AJ15">
        <f>集中式风电!AJ15+分散式风电!AJ15</f>
        <v>3058.86</v>
      </c>
      <c r="AK15">
        <f>集中式风电!AK15+分散式风电!AK15</f>
        <v>3087.94</v>
      </c>
      <c r="AL15">
        <f>集中式风电!AL15+分散式风电!AL15</f>
        <v>3136.58</v>
      </c>
      <c r="AM15">
        <f>集中式风电!AM15+分散式风电!AM15</f>
        <v>3203.35</v>
      </c>
      <c r="AN15">
        <f>集中式风电!AN15+分散式风电!AN15</f>
        <v>3274.22</v>
      </c>
      <c r="AO15">
        <f>集中式风电!AO15+分散式风电!AO15</f>
        <v>3346.09</v>
      </c>
      <c r="AP15">
        <f>集中式风电!AP15+分散式风电!AP15</f>
        <v>3406.28</v>
      </c>
      <c r="AQ15">
        <f>集中式风电!AQ15+分散式风电!AQ15</f>
        <v>3452.79</v>
      </c>
      <c r="AR15">
        <f>集中式风电!AR15+分散式风电!AR15</f>
        <v>3496.42</v>
      </c>
      <c r="AS15">
        <f>集中式风电!AS15+分散式风电!AS15</f>
        <v>3538.08</v>
      </c>
      <c r="AT15">
        <f>集中式风电!AT15+分散式风电!AT15</f>
        <v>3574.55</v>
      </c>
      <c r="AU15">
        <f>集中式风电!AU15+分散式风电!AU15</f>
        <v>3596.24</v>
      </c>
      <c r="AV15">
        <f>集中式风电!AV15+分散式风电!AV15</f>
        <v>3616.99</v>
      </c>
      <c r="AW15">
        <f>集中式风电!AW15+分散式风电!AW15</f>
        <v>3632.83</v>
      </c>
      <c r="AX15">
        <f>集中式风电!AX15+分散式风电!AX15</f>
        <v>3644.65</v>
      </c>
      <c r="AY15">
        <f>集中式风电!AY15+分散式风电!AY15</f>
        <v>3657.37</v>
      </c>
      <c r="AZ15">
        <f>集中式风电!AZ15+分散式风电!AZ15</f>
        <v>3669.22</v>
      </c>
      <c r="BA15">
        <f>集中式风电!BA15+分散式风电!BA15</f>
        <v>3679.05</v>
      </c>
      <c r="BB15">
        <f>集中式风电!BB15+分散式风电!BB15</f>
        <v>3691.8</v>
      </c>
      <c r="BC15">
        <f>集中式风电!BC15+分散式风电!BC15</f>
        <v>3710.44</v>
      </c>
      <c r="BD15">
        <f>集中式风电!BD15+分散式风电!BD15</f>
        <v>3729.12</v>
      </c>
      <c r="BE15">
        <f>集中式风电!BE15+分散式风电!BE15</f>
        <v>3747.84</v>
      </c>
      <c r="BF15">
        <f>集中式风电!BF15+分散式风电!BF15</f>
        <v>3761.33</v>
      </c>
      <c r="BG15">
        <f>集中式风电!BG15+分散式风电!BG15</f>
        <v>3763.6</v>
      </c>
      <c r="BH15">
        <f>集中式风电!BH15+分散式风电!BH15</f>
        <v>3766.9</v>
      </c>
      <c r="BI15">
        <f>集中式风电!BI15+分散式风电!BI15</f>
        <v>3770.18</v>
      </c>
      <c r="BJ15">
        <f>集中式风电!BJ15+分散式风电!BJ15</f>
        <v>3770.15</v>
      </c>
      <c r="BK15">
        <f>集中式风电!BK15+分散式风电!BK15</f>
        <v>3770.22</v>
      </c>
      <c r="BL15">
        <f>集中式风电!BL15+分散式风电!BL15</f>
        <v>3773.28</v>
      </c>
      <c r="BM15">
        <f>集中式风电!BM15+分散式风电!BM15</f>
        <v>3774.35</v>
      </c>
      <c r="BN15">
        <f>集中式风电!BN15+分散式风电!BN15</f>
        <v>3765.17</v>
      </c>
      <c r="BO15">
        <f>集中式风电!BO15+分散式风电!BO15</f>
        <v>3754.02</v>
      </c>
      <c r="BP15">
        <f>集中式风电!BP15+分散式风电!BP15</f>
        <v>3740.93</v>
      </c>
      <c r="BQ15">
        <f>集中式风电!BQ15+分散式风电!BQ15</f>
        <v>3728.8</v>
      </c>
      <c r="BR15">
        <f>集中式风电!BR15+分散式风电!BR15</f>
        <v>3729.73</v>
      </c>
      <c r="BS15">
        <f>集中式风电!BS15+分散式风电!BS15</f>
        <v>3744.62</v>
      </c>
      <c r="BT15">
        <f>集中式风电!BT15+分散式风电!BT15</f>
        <v>3760.67</v>
      </c>
      <c r="BU15">
        <f>集中式风电!BU15+分散式风电!BU15</f>
        <v>3779.69</v>
      </c>
      <c r="BV15">
        <f>集中式风电!BV15+分散式风电!BV15</f>
        <v>3827.65</v>
      </c>
      <c r="BW15">
        <f>集中式风电!BW15+分散式风电!BW15</f>
        <v>3899.51</v>
      </c>
      <c r="BX15">
        <f>集中式风电!BX15+分散式风电!BX15</f>
        <v>3972.24</v>
      </c>
      <c r="BY15">
        <f>集中式风电!BY15+分散式风电!BY15</f>
        <v>4048.22</v>
      </c>
      <c r="BZ15">
        <f>集中式风电!BZ15+分散式风电!BZ15</f>
        <v>4117.28</v>
      </c>
      <c r="CA15">
        <f>集中式风电!CA15+分散式风电!CA15</f>
        <v>4185.58</v>
      </c>
      <c r="CB15">
        <f>集中式风电!CB15+分散式风电!CB15</f>
        <v>4247.68</v>
      </c>
      <c r="CC15">
        <f>集中式风电!CC15+分散式风电!CC15</f>
        <v>4305.68</v>
      </c>
      <c r="CD15">
        <f>集中式风电!CD15+分散式风电!CD15</f>
        <v>4332.4</v>
      </c>
      <c r="CE15">
        <f>集中式风电!CE15+分散式风电!CE15</f>
        <v>4320.64</v>
      </c>
      <c r="CF15">
        <f>集中式风电!CF15+分散式风电!CF15</f>
        <v>4304.85</v>
      </c>
      <c r="CG15">
        <f>集中式风电!CG15+分散式风电!CG15</f>
        <v>4280.94</v>
      </c>
      <c r="CH15">
        <f>集中式风电!CH15+分散式风电!CH15</f>
        <v>4239.07</v>
      </c>
      <c r="CI15">
        <f>集中式风电!CI15+分散式风电!CI15</f>
        <v>4182.06</v>
      </c>
      <c r="CJ15">
        <f>集中式风电!CJ15+分散式风电!CJ15</f>
        <v>4124.07</v>
      </c>
      <c r="CK15">
        <f>集中式风电!CK15+分散式风电!CK15</f>
        <v>4064.99</v>
      </c>
      <c r="CL15">
        <f>集中式风电!CL15+分散式风电!CL15</f>
        <v>4000.13</v>
      </c>
      <c r="CM15">
        <f>集中式风电!CM15+分散式风电!CM15</f>
        <v>3929.47</v>
      </c>
      <c r="CN15">
        <f>集中式风电!CN15+分散式风电!CN15</f>
        <v>3858.2</v>
      </c>
      <c r="CO15">
        <f>集中式风电!CO15+分散式风电!CO15</f>
        <v>3785.98</v>
      </c>
      <c r="CP15">
        <f>集中式风电!CP15+分散式风电!CP15</f>
        <v>3712.74</v>
      </c>
      <c r="CQ15">
        <f>集中式风电!CQ15+分散式风电!CQ15</f>
        <v>3634.84</v>
      </c>
      <c r="CR15">
        <f>集中式风电!CR15+分散式风电!CR15</f>
        <v>3554.94</v>
      </c>
      <c r="CS15">
        <f>集中式风电!CS15+分散式风电!CS15</f>
        <v>3476.08</v>
      </c>
    </row>
    <row r="16" spans="1:97">
      <c r="A16" s="9">
        <v>46249</v>
      </c>
      <c r="B16">
        <f>集中式风电!B16+分散式风电!B16</f>
        <v>3337.23</v>
      </c>
      <c r="C16">
        <f>集中式风电!C16+分散式风电!C16</f>
        <v>3245.57</v>
      </c>
      <c r="D16">
        <f>集中式风电!D16+分散式风电!D16</f>
        <v>3156.98</v>
      </c>
      <c r="E16">
        <f>集中式风电!E16+分散式风电!E16</f>
        <v>3068.4</v>
      </c>
      <c r="F16">
        <f>集中式风电!F16+分散式风电!F16</f>
        <v>2987.04</v>
      </c>
      <c r="G16">
        <f>集中式风电!G16+分散式风电!G16</f>
        <v>2913.91</v>
      </c>
      <c r="H16">
        <f>集中式风电!H16+分散式风电!H16</f>
        <v>2842.84</v>
      </c>
      <c r="I16">
        <f>集中式风电!I16+分散式风电!I16</f>
        <v>2773.82</v>
      </c>
      <c r="J16">
        <f>集中式风电!J16+分散式风电!J16</f>
        <v>2714.07</v>
      </c>
      <c r="K16">
        <f>集中式风电!K16+分散式风电!K16</f>
        <v>2664.63</v>
      </c>
      <c r="L16">
        <f>集中式风电!L16+分散式风电!L16</f>
        <v>2616.23</v>
      </c>
      <c r="M16">
        <f>集中式风电!M16+分散式风电!M16</f>
        <v>2568.85</v>
      </c>
      <c r="N16">
        <f>集中式风电!N16+分散式风电!N16</f>
        <v>2524.57</v>
      </c>
      <c r="O16">
        <f>集中式风电!O16+分散式风电!O16</f>
        <v>2484.41</v>
      </c>
      <c r="P16">
        <f>集中式风电!P16+分散式风电!P16</f>
        <v>2446.3</v>
      </c>
      <c r="Q16">
        <f>集中式风电!Q16+分散式风电!Q16</f>
        <v>2409.22</v>
      </c>
      <c r="R16">
        <f>集中式风电!R16+分散式风电!R16</f>
        <v>2372.12</v>
      </c>
      <c r="S16">
        <f>集中式风电!S16+分散式风电!S16</f>
        <v>2330.94</v>
      </c>
      <c r="T16">
        <f>集中式风电!T16+分散式风电!T16</f>
        <v>2289.74</v>
      </c>
      <c r="U16">
        <f>集中式风电!U16+分散式风电!U16</f>
        <v>2236.18</v>
      </c>
      <c r="V16">
        <f>集中式风电!V16+分散式风电!V16</f>
        <v>2170.27</v>
      </c>
      <c r="W16">
        <f>集中式风电!W16+分散式风电!W16</f>
        <v>2089.93</v>
      </c>
      <c r="X16">
        <f>集中式风电!X16+分散式风电!X16</f>
        <v>2006.49</v>
      </c>
      <c r="Y16">
        <f>集中式风电!Y16+分散式风电!Y16</f>
        <v>1921</v>
      </c>
      <c r="Z16">
        <f>集中式风电!Z16+分散式风电!Z16</f>
        <v>1816.97</v>
      </c>
      <c r="AA16">
        <f>集中式风电!AA16+分散式风电!AA16</f>
        <v>1694.39</v>
      </c>
      <c r="AB16">
        <f>集中式风电!AB16+分散式风电!AB16</f>
        <v>1570.8</v>
      </c>
      <c r="AC16">
        <f>集中式风电!AC16+分散式风电!AC16</f>
        <v>1451.31</v>
      </c>
      <c r="AD16">
        <f>集中式风电!AD16+分散式风电!AD16</f>
        <v>1333.91</v>
      </c>
      <c r="AE16">
        <f>集中式风电!AE16+分散式风电!AE16</f>
        <v>1219.57</v>
      </c>
      <c r="AF16">
        <f>集中式风电!AF16+分散式风电!AF16</f>
        <v>1108.34</v>
      </c>
      <c r="AG16">
        <f>集中式风电!AG16+分散式风电!AG16</f>
        <v>1002.23</v>
      </c>
      <c r="AH16">
        <f>集中式风电!AH16+分散式风电!AH16</f>
        <v>923.95</v>
      </c>
      <c r="AI16">
        <f>集中式风电!AI16+分散式风电!AI16</f>
        <v>868.34</v>
      </c>
      <c r="AJ16">
        <f>集中式风电!AJ16+分散式风电!AJ16</f>
        <v>819.92</v>
      </c>
      <c r="AK16">
        <f>集中式风电!AK16+分散式风电!AK16</f>
        <v>775.64</v>
      </c>
      <c r="AL16">
        <f>集中式风电!AL16+分散式风电!AL16</f>
        <v>735.47</v>
      </c>
      <c r="AM16">
        <f>集中式风电!AM16+分散式风电!AM16</f>
        <v>706.63</v>
      </c>
      <c r="AN16">
        <f>集中式风电!AN16+分散式风电!AN16</f>
        <v>680.86</v>
      </c>
      <c r="AO16">
        <f>集中式风电!AO16+分散式风电!AO16</f>
        <v>657.18</v>
      </c>
      <c r="AP16">
        <f>集中式风电!AP16+分散式风电!AP16</f>
        <v>635.57</v>
      </c>
      <c r="AQ16">
        <f>集中式风电!AQ16+分散式风电!AQ16</f>
        <v>618.05</v>
      </c>
      <c r="AR16">
        <f>集中式风电!AR16+分散式风电!AR16</f>
        <v>600.52</v>
      </c>
      <c r="AS16">
        <f>集中式风电!AS16+分散式风电!AS16</f>
        <v>580.97</v>
      </c>
      <c r="AT16">
        <f>集中式风电!AT16+分散式风电!AT16</f>
        <v>563.46</v>
      </c>
      <c r="AU16">
        <f>集中式风电!AU16+分散式风电!AU16</f>
        <v>545.95</v>
      </c>
      <c r="AV16">
        <f>集中式风电!AV16+分散式风电!AV16</f>
        <v>530.48</v>
      </c>
      <c r="AW16">
        <f>集中式风电!AW16+分散式风电!AW16</f>
        <v>515.03</v>
      </c>
      <c r="AX16">
        <f>集中式风电!AX16+分散式风电!AX16</f>
        <v>510.92</v>
      </c>
      <c r="AY16">
        <f>集中式风电!AY16+分散式风电!AY16</f>
        <v>500.62</v>
      </c>
      <c r="AZ16">
        <f>集中式风电!AZ16+分散式风电!AZ16</f>
        <v>503.72</v>
      </c>
      <c r="BA16">
        <f>集中式风电!BA16+分散式风电!BA16</f>
        <v>493.4</v>
      </c>
      <c r="BB16">
        <f>集中式风电!BB16+分散式风电!BB16</f>
        <v>496.49</v>
      </c>
      <c r="BC16">
        <f>集中式风电!BC16+分散式风电!BC16</f>
        <v>500.63</v>
      </c>
      <c r="BD16">
        <f>集中式风电!BD16+分散式风电!BD16</f>
        <v>503.7</v>
      </c>
      <c r="BE16">
        <f>集中式风电!BE16+分散式风电!BE16</f>
        <v>506.8</v>
      </c>
      <c r="BF16">
        <f>集中式风电!BF16+分散式风电!BF16</f>
        <v>510.91</v>
      </c>
      <c r="BG16">
        <f>集中式风电!BG16+分散式风电!BG16</f>
        <v>517.1</v>
      </c>
      <c r="BH16">
        <f>集中式风电!BH16+分散式风电!BH16</f>
        <v>524.31</v>
      </c>
      <c r="BI16">
        <f>集中式风电!BI16+分散式风电!BI16</f>
        <v>536.66</v>
      </c>
      <c r="BJ16">
        <f>集中式风电!BJ16+分散式风电!BJ16</f>
        <v>549.01</v>
      </c>
      <c r="BK16">
        <f>集中式风电!BK16+分散式风电!BK16</f>
        <v>564.48</v>
      </c>
      <c r="BL16">
        <f>集中式风电!BL16+分散式风电!BL16</f>
        <v>581.97</v>
      </c>
      <c r="BM16">
        <f>集中式风电!BM16+分散式风电!BM16</f>
        <v>597.43</v>
      </c>
      <c r="BN16">
        <f>集中式风电!BN16+分散式风电!BN16</f>
        <v>615.97</v>
      </c>
      <c r="BO16">
        <f>集中式风电!BO16+分散式风电!BO16</f>
        <v>637.6</v>
      </c>
      <c r="BP16">
        <f>集中式风电!BP16+分散式风电!BP16</f>
        <v>659.23</v>
      </c>
      <c r="BQ16">
        <f>集中式风电!BQ16+分散式风电!BQ16</f>
        <v>679.83</v>
      </c>
      <c r="BR16">
        <f>集中式风电!BR16+分散式风电!BR16</f>
        <v>701.45</v>
      </c>
      <c r="BS16">
        <f>集中式风电!BS16+分散式风电!BS16</f>
        <v>720.01</v>
      </c>
      <c r="BT16">
        <f>集中式风电!BT16+分散式风电!BT16</f>
        <v>738.56</v>
      </c>
      <c r="BU16">
        <f>集中式风电!BU16+分散式风电!BU16</f>
        <v>760.17</v>
      </c>
      <c r="BV16">
        <f>集中式风电!BV16+分散式风电!BV16</f>
        <v>793.15</v>
      </c>
      <c r="BW16">
        <f>集中式风电!BW16+分散式风电!BW16</f>
        <v>836.39</v>
      </c>
      <c r="BX16">
        <f>集中式风电!BX16+分散式风电!BX16</f>
        <v>880.68</v>
      </c>
      <c r="BY16">
        <f>集中式风电!BY16+分散式风电!BY16</f>
        <v>925.99</v>
      </c>
      <c r="BZ16">
        <f>集中式风电!BZ16+分散式风电!BZ16</f>
        <v>976.47</v>
      </c>
      <c r="CA16">
        <f>集中式风电!CA16+分散式风电!CA16</f>
        <v>1025.9</v>
      </c>
      <c r="CB16">
        <f>集中式风电!CB16+分散式风电!CB16</f>
        <v>1074.32</v>
      </c>
      <c r="CC16">
        <f>集中式风电!CC16+分散式风电!CC16</f>
        <v>1121.71</v>
      </c>
      <c r="CD16">
        <f>集中式风电!CD16+分散式风电!CD16</f>
        <v>1154.68</v>
      </c>
      <c r="CE16">
        <f>集中式风电!CE16+分散式风电!CE16</f>
        <v>1176.3</v>
      </c>
      <c r="CF16">
        <f>集中式风电!CF16+分散式风电!CF16</f>
        <v>1195.88</v>
      </c>
      <c r="CG16">
        <f>集中式风电!CG16+分散式风电!CG16</f>
        <v>1213.37</v>
      </c>
      <c r="CH16">
        <f>集中式风电!CH16+分散式风电!CH16</f>
        <v>1222.64</v>
      </c>
      <c r="CI16">
        <f>集中式风电!CI16+分散式风电!CI16</f>
        <v>1228.83</v>
      </c>
      <c r="CJ16">
        <f>集中式风电!CJ16+分散式风电!CJ16</f>
        <v>1236.02</v>
      </c>
      <c r="CK16">
        <f>集中式风电!CK16+分散式风电!CK16</f>
        <v>1244.29</v>
      </c>
      <c r="CL16">
        <f>集中式风电!CL16+分散式风电!CL16</f>
        <v>1256.62</v>
      </c>
      <c r="CM16">
        <f>集中式风电!CM16+分散式风电!CM16</f>
        <v>1265.9</v>
      </c>
      <c r="CN16">
        <f>集中式风电!CN16+分散式风电!CN16</f>
        <v>1275.16</v>
      </c>
      <c r="CO16">
        <f>集中式风电!CO16+分散式风电!CO16</f>
        <v>1284.44</v>
      </c>
      <c r="CP16">
        <f>集中式风电!CP16+分散式风电!CP16</f>
        <v>1280.33</v>
      </c>
      <c r="CQ16">
        <f>集中式风电!CQ16+分散式风电!CQ16</f>
        <v>1264.87</v>
      </c>
      <c r="CR16">
        <f>集中式风电!CR16+分散式风电!CR16</f>
        <v>1245.31</v>
      </c>
      <c r="CS16">
        <f>集中式风电!CS16+分散式风电!CS16</f>
        <v>1228.82</v>
      </c>
    </row>
    <row r="17" spans="1:97">
      <c r="A17" s="9">
        <v>46250</v>
      </c>
      <c r="B17">
        <f>集中式风电!B17+分散式风电!B17</f>
        <v>1581.1</v>
      </c>
      <c r="C17">
        <f>集中式风电!C17+分散式风电!C17</f>
        <v>1546.07</v>
      </c>
      <c r="D17">
        <f>集中式风电!D17+分散式风电!D17</f>
        <v>1513.12</v>
      </c>
      <c r="E17">
        <f>集中式风电!E17+分散式风电!E17</f>
        <v>1477.08</v>
      </c>
      <c r="F17">
        <f>集中式风电!F17+分散式风电!F17</f>
        <v>1443.07</v>
      </c>
      <c r="G17">
        <f>集中式风电!G17+分散式风电!G17</f>
        <v>1407.02</v>
      </c>
      <c r="H17">
        <f>集中式风电!H17+分散式风电!H17</f>
        <v>1368.91</v>
      </c>
      <c r="I17">
        <f>集中式风电!I17+分散式风电!I17</f>
        <v>1329.77</v>
      </c>
      <c r="J17">
        <f>集中式风电!J17+分散式风电!J17</f>
        <v>1293.72</v>
      </c>
      <c r="K17">
        <f>集中式风电!K17+分散式风电!K17</f>
        <v>1261.79</v>
      </c>
      <c r="L17">
        <f>集中式风电!L17+分散式风电!L17</f>
        <v>1229.85</v>
      </c>
      <c r="M17">
        <f>集中式风电!M17+分散式风电!M17</f>
        <v>1196.9</v>
      </c>
      <c r="N17">
        <f>集中式风电!N17+分散式风电!N17</f>
        <v>1167.03</v>
      </c>
      <c r="O17">
        <f>集中式风电!O17+分散式风电!O17</f>
        <v>1142.31</v>
      </c>
      <c r="P17">
        <f>集中式风电!P17+分散式风电!P17</f>
        <v>1117.6</v>
      </c>
      <c r="Q17">
        <f>集中式风电!Q17+分散式风电!Q17</f>
        <v>1099.05</v>
      </c>
      <c r="R17">
        <f>集中式风电!R17+分散式风电!R17</f>
        <v>1076.41</v>
      </c>
      <c r="S17">
        <f>集中式风电!S17+分散式风电!S17</f>
        <v>1054.76</v>
      </c>
      <c r="T17">
        <f>集中式风电!T17+分散式风电!T17</f>
        <v>1032.1</v>
      </c>
      <c r="U17">
        <f>集中式风电!U17+分散式风电!U17</f>
        <v>1008.43</v>
      </c>
      <c r="V17">
        <f>集中式风电!V17+分散式风电!V17</f>
        <v>983.7</v>
      </c>
      <c r="W17">
        <f>集中式风电!W17+分散式风电!W17</f>
        <v>956.93</v>
      </c>
      <c r="X17">
        <f>集中式风电!X17+分散式风电!X17</f>
        <v>925</v>
      </c>
      <c r="Y17">
        <f>集中式风电!Y17+分散式风电!Y17</f>
        <v>897.17</v>
      </c>
      <c r="Z17">
        <f>集中式风电!Z17+分散式风电!Z17</f>
        <v>869.37</v>
      </c>
      <c r="AA17">
        <f>集中式风电!AA17+分散式风电!AA17</f>
        <v>831.27</v>
      </c>
      <c r="AB17">
        <f>集中式风电!AB17+分散式风电!AB17</f>
        <v>791.09</v>
      </c>
      <c r="AC17">
        <f>集中式风电!AC17+分散式风电!AC17</f>
        <v>752.97</v>
      </c>
      <c r="AD17">
        <f>集中式风电!AD17+分散式风电!AD17</f>
        <v>711.79</v>
      </c>
      <c r="AE17">
        <f>集中式风电!AE17+分散式风电!AE17</f>
        <v>670.58</v>
      </c>
      <c r="AF17">
        <f>集中式风电!AF17+分散式风电!AF17</f>
        <v>627.34</v>
      </c>
      <c r="AG17">
        <f>集中式风电!AG17+分散式风电!AG17</f>
        <v>583.04</v>
      </c>
      <c r="AH17">
        <f>集中式风电!AH17+分散式风电!AH17</f>
        <v>548.02</v>
      </c>
      <c r="AI17">
        <f>集中式风电!AI17+分散式风电!AI17</f>
        <v>522.25</v>
      </c>
      <c r="AJ17">
        <f>集中式风电!AJ17+分散式风电!AJ17</f>
        <v>498.56</v>
      </c>
      <c r="AK17">
        <f>集中式风电!AK17+分散式风电!AK17</f>
        <v>474.89</v>
      </c>
      <c r="AL17">
        <f>集中式风电!AL17+分散式风电!AL17</f>
        <v>456.35</v>
      </c>
      <c r="AM17">
        <f>集中式风电!AM17+分散式风电!AM17</f>
        <v>446.04</v>
      </c>
      <c r="AN17">
        <f>集中式风电!AN17+分散式风电!AN17</f>
        <v>437.8</v>
      </c>
      <c r="AO17">
        <f>集中式风电!AO17+分散式风电!AO17</f>
        <v>428.55</v>
      </c>
      <c r="AP17">
        <f>集中式风电!AP17+分散式风电!AP17</f>
        <v>427.49</v>
      </c>
      <c r="AQ17">
        <f>集中式风电!AQ17+分散式风电!AQ17</f>
        <v>431.63</v>
      </c>
      <c r="AR17">
        <f>集中式风电!AR17+分散式风电!AR17</f>
        <v>435.75</v>
      </c>
      <c r="AS17">
        <f>集中式风电!AS17+分散式风电!AS17</f>
        <v>438.84</v>
      </c>
      <c r="AT17">
        <f>集中式风电!AT17+分散式风电!AT17</f>
        <v>443.97</v>
      </c>
      <c r="AU17">
        <f>集中式风电!AU17+分散式风电!AU17</f>
        <v>446.03</v>
      </c>
      <c r="AV17">
        <f>集中式风电!AV17+分散式风电!AV17</f>
        <v>448.11</v>
      </c>
      <c r="AW17">
        <f>集中式风电!AW17+分散式风电!AW17</f>
        <v>452.22</v>
      </c>
      <c r="AX17">
        <f>集中式风电!AX17+分散式风电!AX17</f>
        <v>459.43</v>
      </c>
      <c r="AY17">
        <f>集中式风电!AY17+分散式风电!AY17</f>
        <v>472.82</v>
      </c>
      <c r="AZ17">
        <f>集中式风电!AZ17+分散式风电!AZ17</f>
        <v>488.25</v>
      </c>
      <c r="BA17">
        <f>集中式风电!BA17+分散式风电!BA17</f>
        <v>504.75</v>
      </c>
      <c r="BB17">
        <f>集中式风电!BB17+分散式风电!BB17</f>
        <v>521.24</v>
      </c>
      <c r="BC17">
        <f>集中式风电!BC17+分散式风电!BC17</f>
        <v>543.87</v>
      </c>
      <c r="BD17">
        <f>集中式风电!BD17+分散式风电!BD17</f>
        <v>564.49</v>
      </c>
      <c r="BE17">
        <f>集中式风电!BE17+分散式风电!BE17</f>
        <v>582</v>
      </c>
      <c r="BF17">
        <f>集中式风电!BF17+分散式风电!BF17</f>
        <v>596.43</v>
      </c>
      <c r="BG17">
        <f>集中式风电!BG17+分散式风电!BG17</f>
        <v>605.67</v>
      </c>
      <c r="BH17">
        <f>集中式风电!BH17+分散式风电!BH17</f>
        <v>617.01</v>
      </c>
      <c r="BI17">
        <f>集中式风电!BI17+分散式风电!BI17</f>
        <v>631.42</v>
      </c>
      <c r="BJ17">
        <f>集中式风电!BJ17+分散式风电!BJ17</f>
        <v>641.73</v>
      </c>
      <c r="BK17">
        <f>集中式风电!BK17+分散式风电!BK17</f>
        <v>659.25</v>
      </c>
      <c r="BL17">
        <f>集中式风电!BL17+分散式风电!BL17</f>
        <v>673.66</v>
      </c>
      <c r="BM17">
        <f>集中式风电!BM17+分散式风电!BM17</f>
        <v>694.25</v>
      </c>
      <c r="BN17">
        <f>集中式风电!BN17+分散式风电!BN17</f>
        <v>708.67</v>
      </c>
      <c r="BO17">
        <f>集中式风电!BO17+分散式风电!BO17</f>
        <v>724.12</v>
      </c>
      <c r="BP17">
        <f>集中式风电!BP17+分散式风电!BP17</f>
        <v>744.72</v>
      </c>
      <c r="BQ17">
        <f>集中式风电!BQ17+分散式风电!BQ17</f>
        <v>765.31</v>
      </c>
      <c r="BR17">
        <f>集中式风电!BR17+分散式风电!BR17</f>
        <v>782.85</v>
      </c>
      <c r="BS17">
        <f>集中式风电!BS17+分散式风电!BS17</f>
        <v>793.15</v>
      </c>
      <c r="BT17">
        <f>集中式风电!BT17+分散式风电!BT17</f>
        <v>805.5</v>
      </c>
      <c r="BU17">
        <f>集中式风电!BU17+分散式风电!BU17</f>
        <v>817.86</v>
      </c>
      <c r="BV17">
        <f>集中式风电!BV17+分散式风电!BV17</f>
        <v>840.52</v>
      </c>
      <c r="BW17">
        <f>集中式风电!BW17+分散式风电!BW17</f>
        <v>869.37</v>
      </c>
      <c r="BX17">
        <f>集中式风电!BX17+分散式风电!BX17</f>
        <v>903.35</v>
      </c>
      <c r="BY17">
        <f>集中式风电!BY17+分散式风电!BY17</f>
        <v>940.41</v>
      </c>
      <c r="BZ17">
        <f>集中式风电!BZ17+分散式风电!BZ17</f>
        <v>986.77</v>
      </c>
      <c r="CA17">
        <f>集中式风电!CA17+分散式风电!CA17</f>
        <v>1032.11</v>
      </c>
      <c r="CB17">
        <f>集中式风电!CB17+分散式风电!CB17</f>
        <v>1070.21</v>
      </c>
      <c r="CC17">
        <f>集中式风电!CC17+分散式风电!CC17</f>
        <v>1116.55</v>
      </c>
      <c r="CD17">
        <f>集中式风电!CD17+分散式风电!CD17</f>
        <v>1145.38</v>
      </c>
      <c r="CE17">
        <f>集中式风电!CE17+分散式风电!CE17</f>
        <v>1159.81</v>
      </c>
      <c r="CF17">
        <f>集中式风电!CF17+分散式风电!CF17</f>
        <v>1172.18</v>
      </c>
      <c r="CG17">
        <f>集中式风电!CG17+分散式风电!CG17</f>
        <v>1183.52</v>
      </c>
      <c r="CH17">
        <f>集中式风电!CH17+分散式风电!CH17</f>
        <v>1195.86</v>
      </c>
      <c r="CI17">
        <f>集中式风电!CI17+分散式风电!CI17</f>
        <v>1202.05</v>
      </c>
      <c r="CJ17">
        <f>集中式风电!CJ17+分散式风电!CJ17</f>
        <v>1212.36</v>
      </c>
      <c r="CK17">
        <f>集中式风电!CK17+分散式风电!CK17</f>
        <v>1224.7</v>
      </c>
      <c r="CL17">
        <f>集中式风电!CL17+分散式风电!CL17</f>
        <v>1239.11</v>
      </c>
      <c r="CM17">
        <f>集中式风电!CM17+分散式风电!CM17</f>
        <v>1255.61</v>
      </c>
      <c r="CN17">
        <f>集中式风电!CN17+分散式风电!CN17</f>
        <v>1273.13</v>
      </c>
      <c r="CO17">
        <f>集中式风电!CO17+分散式风电!CO17</f>
        <v>1290.61</v>
      </c>
      <c r="CP17">
        <f>集中式风电!CP17+分散式风电!CP17</f>
        <v>1302.99</v>
      </c>
      <c r="CQ17">
        <f>集中式风电!CQ17+分散式风电!CQ17</f>
        <v>1311.24</v>
      </c>
      <c r="CR17">
        <f>集中式风电!CR17+分散式风电!CR17</f>
        <v>1318.44</v>
      </c>
      <c r="CS17">
        <f>集中式风电!CS17+分散式风电!CS17</f>
        <v>1325.63</v>
      </c>
    </row>
    <row r="18" spans="1:97">
      <c r="A18" s="9">
        <v>46251</v>
      </c>
      <c r="B18">
        <f>集中式风电!B18+分散式风电!B18</f>
        <v>1441.02</v>
      </c>
      <c r="C18">
        <f>集中式风电!C18+分散式风电!C18</f>
        <v>1444.1</v>
      </c>
      <c r="D18">
        <f>集中式风电!D18+分散式风电!D18</f>
        <v>1449.25</v>
      </c>
      <c r="E18">
        <f>集中式风电!E18+分散式风电!E18</f>
        <v>1455.45</v>
      </c>
      <c r="F18">
        <f>集中式风电!F18+分散式风电!F18</f>
        <v>1464.72</v>
      </c>
      <c r="G18">
        <f>集中式风电!G18+分散式风电!G18</f>
        <v>1476.04</v>
      </c>
      <c r="H18">
        <f>集中式风电!H18+分散式风电!H18</f>
        <v>1485.31</v>
      </c>
      <c r="I18">
        <f>集中式风电!I18+分散式风电!I18</f>
        <v>1494.58</v>
      </c>
      <c r="J18">
        <f>集中式风电!J18+分散式风电!J18</f>
        <v>1494.57</v>
      </c>
      <c r="K18">
        <f>集中式风电!K18+分散式风电!K18</f>
        <v>1494.55</v>
      </c>
      <c r="L18">
        <f>集中式风电!L18+分散式风电!L18</f>
        <v>1493.55</v>
      </c>
      <c r="M18">
        <f>集中式风电!M18+分散式风电!M18</f>
        <v>1490.44</v>
      </c>
      <c r="N18">
        <f>集中式风电!N18+分散式风电!N18</f>
        <v>1488.41</v>
      </c>
      <c r="O18">
        <f>集中式风电!O18+分散式风电!O18</f>
        <v>1491.49</v>
      </c>
      <c r="P18">
        <f>集中式风电!P18+分散式风电!P18</f>
        <v>1499.74</v>
      </c>
      <c r="Q18">
        <f>集中式风电!Q18+分散式风电!Q18</f>
        <v>1510.03</v>
      </c>
      <c r="R18">
        <f>集中式风电!R18+分散式风电!R18</f>
        <v>1522.38</v>
      </c>
      <c r="S18">
        <f>集中式风电!S18+分散式风电!S18</f>
        <v>1544.03</v>
      </c>
      <c r="T18">
        <f>集中式风电!T18+分散式风电!T18</f>
        <v>1567.73</v>
      </c>
      <c r="U18">
        <f>集中式风电!U18+分散式风电!U18</f>
        <v>1594.49</v>
      </c>
      <c r="V18">
        <f>集中式风电!V18+分散式风电!V18</f>
        <v>1610.97</v>
      </c>
      <c r="W18">
        <f>集中式风电!W18+分散式风电!W18</f>
        <v>1603.75</v>
      </c>
      <c r="X18">
        <f>集中式风电!X18+分散式风电!X18</f>
        <v>1593.47</v>
      </c>
      <c r="Y18">
        <f>集中式风电!Y18+分散式风电!Y18</f>
        <v>1586.25</v>
      </c>
      <c r="Z18">
        <f>集中式风电!Z18+分散式风电!Z18</f>
        <v>1571.83</v>
      </c>
      <c r="AA18">
        <f>集中式风电!AA18+分散式风电!AA18</f>
        <v>1562.55</v>
      </c>
      <c r="AB18">
        <f>集中式风电!AB18+分散式风电!AB18</f>
        <v>1551.23</v>
      </c>
      <c r="AC18">
        <f>集中式风电!AC18+分散式风电!AC18</f>
        <v>1541.96</v>
      </c>
      <c r="AD18">
        <f>集中式风电!AD18+分散式风电!AD18</f>
        <v>1529.6</v>
      </c>
      <c r="AE18">
        <f>集中式风电!AE18+分散式风电!AE18</f>
        <v>1495.62</v>
      </c>
      <c r="AF18">
        <f>集中式风电!AF18+分散式风电!AF18</f>
        <v>1463.68</v>
      </c>
      <c r="AG18">
        <f>集中式风电!AG18+分散式风电!AG18</f>
        <v>1431.75</v>
      </c>
      <c r="AH18">
        <f>集中式风电!AH18+分散式风电!AH18</f>
        <v>1415.27</v>
      </c>
      <c r="AI18">
        <f>集中式风电!AI18+分散式风电!AI18</f>
        <v>1420.43</v>
      </c>
      <c r="AJ18">
        <f>集中式风电!AJ18+分散式风电!AJ18</f>
        <v>1426.62</v>
      </c>
      <c r="AK18">
        <f>集中式风电!AK18+分散式风电!AK18</f>
        <v>1430.73</v>
      </c>
      <c r="AL18">
        <f>集中式风电!AL18+分散式风电!AL18</f>
        <v>1446.18</v>
      </c>
      <c r="AM18">
        <f>集中式风电!AM18+分散式风电!AM18</f>
        <v>1470.91</v>
      </c>
      <c r="AN18">
        <f>集中式风电!AN18+分散式风电!AN18</f>
        <v>1499.72</v>
      </c>
      <c r="AO18">
        <f>集中式风电!AO18+分散式风电!AO18</f>
        <v>1528.56</v>
      </c>
      <c r="AP18">
        <f>集中式风电!AP18+分散式风电!AP18</f>
        <v>1562.58</v>
      </c>
      <c r="AQ18">
        <f>集中式风电!AQ18+分散式风电!AQ18</f>
        <v>1601.7</v>
      </c>
      <c r="AR18">
        <f>集中式风电!AR18+分散式风电!AR18</f>
        <v>1640.85</v>
      </c>
      <c r="AS18">
        <f>集中式风电!AS18+分散式风电!AS18</f>
        <v>1678.96</v>
      </c>
      <c r="AT18">
        <f>集中式风电!AT18+分散式风电!AT18</f>
        <v>1703.67</v>
      </c>
      <c r="AU18">
        <f>集中式风电!AU18+分散式风电!AU18</f>
        <v>1713.97</v>
      </c>
      <c r="AV18">
        <f>集中式风电!AV18+分散式风电!AV18</f>
        <v>1725.3</v>
      </c>
      <c r="AW18">
        <f>集中式风电!AW18+分散式风电!AW18</f>
        <v>1734.56</v>
      </c>
      <c r="AX18">
        <f>集中式风电!AX18+分散式风电!AX18</f>
        <v>1753.1</v>
      </c>
      <c r="AY18">
        <f>集中式风电!AY18+分散式风电!AY18</f>
        <v>1775.78</v>
      </c>
      <c r="AZ18">
        <f>集中式风电!AZ18+分散式风电!AZ18</f>
        <v>1801.52</v>
      </c>
      <c r="BA18">
        <f>集中式风电!BA18+分散式风电!BA18</f>
        <v>1826.23</v>
      </c>
      <c r="BB18">
        <f>集中式风电!BB18+分散式风电!BB18</f>
        <v>1842.71</v>
      </c>
      <c r="BC18">
        <f>集中式风电!BC18+分散式风电!BC18</f>
        <v>1861.26</v>
      </c>
      <c r="BD18">
        <f>集中式风电!BD18+分散式风电!BD18</f>
        <v>1874.66</v>
      </c>
      <c r="BE18">
        <f>集中式风电!BE18+分散式风电!BE18</f>
        <v>1885.99</v>
      </c>
      <c r="BF18">
        <f>集中式风电!BF18+分散式风电!BF18</f>
        <v>1881.86</v>
      </c>
      <c r="BG18">
        <f>集中式风电!BG18+分散式风电!BG18</f>
        <v>1864.34</v>
      </c>
      <c r="BH18">
        <f>集中式风电!BH18+分散式风电!BH18</f>
        <v>1845.81</v>
      </c>
      <c r="BI18">
        <f>集中式风电!BI18+分散式风电!BI18</f>
        <v>1826.23</v>
      </c>
      <c r="BJ18">
        <f>集中式风电!BJ18+分散式风电!BJ18</f>
        <v>1801.51</v>
      </c>
      <c r="BK18">
        <f>集中式风电!BK18+分散式风电!BK18</f>
        <v>1774.74</v>
      </c>
      <c r="BL18">
        <f>集中式风电!BL18+分散式风电!BL18</f>
        <v>1750.02</v>
      </c>
      <c r="BM18">
        <f>集中式风电!BM18+分散式风电!BM18</f>
        <v>1727.34</v>
      </c>
      <c r="BN18">
        <f>集中式风电!BN18+分散式风电!BN18</f>
        <v>1702.63</v>
      </c>
      <c r="BO18">
        <f>集中式风电!BO18+分散式风电!BO18</f>
        <v>1674.81</v>
      </c>
      <c r="BP18">
        <f>集中式风电!BP18+分散式风电!BP18</f>
        <v>1650.1</v>
      </c>
      <c r="BQ18">
        <f>集中式风电!BQ18+分散式风电!BQ18</f>
        <v>1629.51</v>
      </c>
      <c r="BR18">
        <f>集中式风电!BR18+分散式风电!BR18</f>
        <v>1603.75</v>
      </c>
      <c r="BS18">
        <f>集中式风电!BS18+分散式风电!BS18</f>
        <v>1571.81</v>
      </c>
      <c r="BT18">
        <f>集中式风电!BT18+分散式风电!BT18</f>
        <v>1550.18</v>
      </c>
      <c r="BU18">
        <f>集中式风电!BU18+分散式风电!BU18</f>
        <v>1537.84</v>
      </c>
      <c r="BV18">
        <f>集中式风电!BV18+分散式风电!BV18</f>
        <v>1528.56</v>
      </c>
      <c r="BW18">
        <f>集中式风电!BW18+分散式风电!BW18</f>
        <v>1530.62</v>
      </c>
      <c r="BX18">
        <f>集中式风电!BX18+分散式风电!BX18</f>
        <v>1530.62</v>
      </c>
      <c r="BY18">
        <f>集中式风电!BY18+分散式风电!BY18</f>
        <v>1529.58</v>
      </c>
      <c r="BZ18">
        <f>集中式风电!BZ18+分散式风电!BZ18</f>
        <v>1531.64</v>
      </c>
      <c r="CA18">
        <f>集中式风电!CA18+分散式风电!CA18</f>
        <v>1531.64</v>
      </c>
      <c r="CB18">
        <f>集中式风电!CB18+分散式风电!CB18</f>
        <v>1525.47</v>
      </c>
      <c r="CC18">
        <f>集中式风电!CC18+分散式风电!CC18</f>
        <v>1522.39</v>
      </c>
      <c r="CD18">
        <f>集中式风电!CD18+分散式风电!CD18</f>
        <v>1512.09</v>
      </c>
      <c r="CE18">
        <f>集中式风电!CE18+分散式风电!CE18</f>
        <v>1487.35</v>
      </c>
      <c r="CF18">
        <f>集中式风电!CF18+分散式风电!CF18</f>
        <v>1460.56</v>
      </c>
      <c r="CG18">
        <f>集中式风电!CG18+分散式风电!CG18</f>
        <v>1434.83</v>
      </c>
      <c r="CH18">
        <f>集中式风电!CH18+分散式风电!CH18</f>
        <v>1415.27</v>
      </c>
      <c r="CI18">
        <f>集中式风电!CI18+分散式风电!CI18</f>
        <v>1401.85</v>
      </c>
      <c r="CJ18">
        <f>集中式风电!CJ18+分散式风电!CJ18</f>
        <v>1382.3</v>
      </c>
      <c r="CK18">
        <f>集中式风电!CK18+分散式风电!CK18</f>
        <v>1364.8</v>
      </c>
      <c r="CL18">
        <f>集中式风电!CL18+分散式风电!CL18</f>
        <v>1351.41</v>
      </c>
      <c r="CM18">
        <f>集中式风电!CM18+分散式风电!CM18</f>
        <v>1340.06</v>
      </c>
      <c r="CN18">
        <f>集中式风电!CN18+分散式风电!CN18</f>
        <v>1339.03</v>
      </c>
      <c r="CO18">
        <f>集中式风电!CO18+分散式风电!CO18</f>
        <v>1342.12</v>
      </c>
      <c r="CP18">
        <f>集中式风电!CP18+分散式风电!CP18</f>
        <v>1340.06</v>
      </c>
      <c r="CQ18">
        <f>集中式风电!CQ18+分散式风电!CQ18</f>
        <v>1339.04</v>
      </c>
      <c r="CR18">
        <f>集中式风电!CR18+分散式风电!CR18</f>
        <v>1338</v>
      </c>
      <c r="CS18">
        <f>集中式风电!CS18+分散式风电!CS18</f>
        <v>1332.85</v>
      </c>
    </row>
    <row r="19" spans="1:97">
      <c r="A19" s="9">
        <v>46252</v>
      </c>
      <c r="B19">
        <f>集中式风电!B19+分散式风电!B19</f>
        <v>1491.47</v>
      </c>
      <c r="C19">
        <f>集中式风电!C19+分散式风电!C19</f>
        <v>1461.62</v>
      </c>
      <c r="D19">
        <f>集中式风电!D19+分散式风电!D19</f>
        <v>1434.82</v>
      </c>
      <c r="E19">
        <f>集中式风电!E19+分散式风电!E19</f>
        <v>1415.27</v>
      </c>
      <c r="F19">
        <f>集中式风电!F19+分散式风电!F19</f>
        <v>1403.93</v>
      </c>
      <c r="G19">
        <f>集中式风电!G19+分散式风电!G19</f>
        <v>1382.3</v>
      </c>
      <c r="H19">
        <f>集中式风电!H19+分散式风电!H19</f>
        <v>1357.57</v>
      </c>
      <c r="I19">
        <f>集中式风电!I19+分散式风电!I19</f>
        <v>1335.94</v>
      </c>
      <c r="J19">
        <f>集中式风电!J19+分散式风电!J19</f>
        <v>1313.27</v>
      </c>
      <c r="K19">
        <f>集中式风电!K19+分散式风电!K19</f>
        <v>1297.82</v>
      </c>
      <c r="L19">
        <f>集中式风电!L19+分散式风电!L19</f>
        <v>1281.35</v>
      </c>
      <c r="M19">
        <f>集中式风电!M19+分散式风电!M19</f>
        <v>1260.76</v>
      </c>
      <c r="N19">
        <f>集中式风电!N19+分散式风电!N19</f>
        <v>1245.32</v>
      </c>
      <c r="O19">
        <f>集中式风电!O19+分散式风电!O19</f>
        <v>1228.83</v>
      </c>
      <c r="P19">
        <f>集中式风电!P19+分散式风电!P19</f>
        <v>1214.41</v>
      </c>
      <c r="Q19">
        <f>集中式风电!Q19+分散式风电!Q19</f>
        <v>1200.01</v>
      </c>
      <c r="R19">
        <f>集中式风电!R19+分散式风电!R19</f>
        <v>1181.47</v>
      </c>
      <c r="S19">
        <f>集中式风电!S19+分散式风电!S19</f>
        <v>1162.91</v>
      </c>
      <c r="T19">
        <f>集中式风电!T19+分散式风电!T19</f>
        <v>1145.42</v>
      </c>
      <c r="U19">
        <f>集中式风电!U19+分散式风电!U19</f>
        <v>1127.89</v>
      </c>
      <c r="V19">
        <f>集中式风电!V19+分散式风电!V19</f>
        <v>1098.03</v>
      </c>
      <c r="W19">
        <f>集中式风电!W19+分散式风电!W19</f>
        <v>1064.04</v>
      </c>
      <c r="X19">
        <f>集中式风电!X19+分散式风电!X19</f>
        <v>1026.96</v>
      </c>
      <c r="Y19">
        <f>集中式风电!Y19+分散式风电!Y19</f>
        <v>990.9</v>
      </c>
      <c r="Z19">
        <f>集中式风电!Z19+分散式风电!Z19</f>
        <v>949.71</v>
      </c>
      <c r="AA19">
        <f>集中式风电!AA19+分散式风电!AA19</f>
        <v>909.53</v>
      </c>
      <c r="AB19">
        <f>集中式风电!AB19+分散式风电!AB19</f>
        <v>860.08</v>
      </c>
      <c r="AC19">
        <f>集中式风电!AC19+分散式风电!AC19</f>
        <v>823.01</v>
      </c>
      <c r="AD19">
        <f>集中式风电!AD19+分散式风电!AD19</f>
        <v>772.56</v>
      </c>
      <c r="AE19">
        <f>集中式风电!AE19+分散式风电!AE19</f>
        <v>723.1</v>
      </c>
      <c r="AF19">
        <f>集中式风电!AF19+分散式风电!AF19</f>
        <v>673.68</v>
      </c>
      <c r="AG19">
        <f>集中式风电!AG19+分散式风电!AG19</f>
        <v>627.32</v>
      </c>
      <c r="AH19">
        <f>集中式风电!AH19+分散式风电!AH19</f>
        <v>597.46</v>
      </c>
      <c r="AI19">
        <f>集中式风电!AI19+分散式风电!AI19</f>
        <v>579.93</v>
      </c>
      <c r="AJ19">
        <f>集中式风电!AJ19+分散式风电!AJ19</f>
        <v>564.5</v>
      </c>
      <c r="AK19">
        <f>集中式风电!AK19+分散式风电!AK19</f>
        <v>545.96</v>
      </c>
      <c r="AL19">
        <f>集中式风电!AL19+分散式风电!AL19</f>
        <v>536.69</v>
      </c>
      <c r="AM19">
        <f>集中式风电!AM19+分散式风电!AM19</f>
        <v>530.5</v>
      </c>
      <c r="AN19">
        <f>集中式风电!AN19+分散式风电!AN19</f>
        <v>526.39</v>
      </c>
      <c r="AO19">
        <f>集中式风电!AO19+分散式风电!AO19</f>
        <v>523.3</v>
      </c>
      <c r="AP19">
        <f>集中式风电!AP19+分散式风电!AP19</f>
        <v>524.31</v>
      </c>
      <c r="AQ19">
        <f>集中式风电!AQ19+分散式风电!AQ19</f>
        <v>525.35</v>
      </c>
      <c r="AR19">
        <f>集中式风电!AR19+分散式风电!AR19</f>
        <v>526.37</v>
      </c>
      <c r="AS19">
        <f>集中式风电!AS19+分散式风电!AS19</f>
        <v>521.23</v>
      </c>
      <c r="AT19">
        <f>集中式风电!AT19+分散式风电!AT19</f>
        <v>523.28</v>
      </c>
      <c r="AU19">
        <f>集中式风电!AU19+分散式风电!AU19</f>
        <v>523.29</v>
      </c>
      <c r="AV19">
        <f>集中式风电!AV19+分散式风电!AV19</f>
        <v>525.34</v>
      </c>
      <c r="AW19">
        <f>集中式风电!AW19+分散式风电!AW19</f>
        <v>527.41</v>
      </c>
      <c r="AX19">
        <f>集中式风电!AX19+分散式风电!AX19</f>
        <v>530.5</v>
      </c>
      <c r="AY19">
        <f>集中式风电!AY19+分散式风电!AY19</f>
        <v>537.71</v>
      </c>
      <c r="AZ19">
        <f>集中式风电!AZ19+分散式风电!AZ19</f>
        <v>544.93</v>
      </c>
      <c r="BA19">
        <f>集中式风电!BA19+分散式风电!BA19</f>
        <v>554.18</v>
      </c>
      <c r="BB19">
        <f>集中式风电!BB19+分散式风电!BB19</f>
        <v>564.47</v>
      </c>
      <c r="BC19">
        <f>集中式风电!BC19+分散式风电!BC19</f>
        <v>578.9</v>
      </c>
      <c r="BD19">
        <f>集中式风电!BD19+分散式风电!BD19</f>
        <v>594.34</v>
      </c>
      <c r="BE19">
        <f>集中式风电!BE19+分散式风电!BE19</f>
        <v>608.78</v>
      </c>
      <c r="BF19">
        <f>集中式风电!BF19+分散式风电!BF19</f>
        <v>625.25</v>
      </c>
      <c r="BG19">
        <f>集中式风电!BG19+分散式风电!BG19</f>
        <v>643.78</v>
      </c>
      <c r="BH19">
        <f>集中式风电!BH19+分散式风电!BH19</f>
        <v>663.36</v>
      </c>
      <c r="BI19">
        <f>集中式风电!BI19+分散式风电!BI19</f>
        <v>683.96</v>
      </c>
      <c r="BJ19">
        <f>集中式风电!BJ19+分散式风电!BJ19</f>
        <v>701.47</v>
      </c>
      <c r="BK19">
        <f>集中式风电!BK19+分散式风电!BK19</f>
        <v>722.05</v>
      </c>
      <c r="BL19">
        <f>集中式风电!BL19+分散式风电!BL19</f>
        <v>742.66</v>
      </c>
      <c r="BM19">
        <f>集中式风电!BM19+分散式风电!BM19</f>
        <v>764.3</v>
      </c>
      <c r="BN19">
        <f>集中式风电!BN19+分散式风电!BN19</f>
        <v>783.86</v>
      </c>
      <c r="BO19">
        <f>集中式风电!BO19+分散式风电!BO19</f>
        <v>793.15</v>
      </c>
      <c r="BP19">
        <f>集中式风电!BP19+分散式风电!BP19</f>
        <v>803.42</v>
      </c>
      <c r="BQ19">
        <f>集中式风电!BQ19+分散式风电!BQ19</f>
        <v>813.72</v>
      </c>
      <c r="BR19">
        <f>集中式风电!BR19+分散式风电!BR19</f>
        <v>825.07</v>
      </c>
      <c r="BS19">
        <f>集中式风电!BS19+分散式风电!BS19</f>
        <v>840.5</v>
      </c>
      <c r="BT19">
        <f>集中式风电!BT19+分散式风电!BT19</f>
        <v>857</v>
      </c>
      <c r="BU19">
        <f>集中式风电!BU19+分散式风电!BU19</f>
        <v>874.51</v>
      </c>
      <c r="BV19">
        <f>集中式风电!BV19+分散式风电!BV19</f>
        <v>886.87</v>
      </c>
      <c r="BW19">
        <f>集中式风电!BW19+分散式风电!BW19</f>
        <v>893.04</v>
      </c>
      <c r="BX19">
        <f>集中式风电!BX19+分散式风电!BX19</f>
        <v>900.24</v>
      </c>
      <c r="BY19">
        <f>集中式风电!BY19+分散式风电!BY19</f>
        <v>908.49</v>
      </c>
      <c r="BZ19">
        <f>集中式风电!BZ19+分散式风电!BZ19</f>
        <v>919.81</v>
      </c>
      <c r="CA19">
        <f>集中式风电!CA19+分散式风电!CA19</f>
        <v>943.5</v>
      </c>
      <c r="CB19">
        <f>集中式风电!CB19+分散式风电!CB19</f>
        <v>954.85</v>
      </c>
      <c r="CC19">
        <f>集中式风电!CC19+分散式风电!CC19</f>
        <v>967.21</v>
      </c>
      <c r="CD19">
        <f>集中式风电!CD19+分散式风电!CD19</f>
        <v>972.34</v>
      </c>
      <c r="CE19">
        <f>集中式风电!CE19+分散式风电!CE19</f>
        <v>971.34</v>
      </c>
      <c r="CF19">
        <f>集中式风电!CF19+分散式风电!CF19</f>
        <v>974.4</v>
      </c>
      <c r="CG19">
        <f>集中式风电!CG19+分散式风电!CG19</f>
        <v>973.37</v>
      </c>
      <c r="CH19">
        <f>集中式风电!CH19+分散式风电!CH19</f>
        <v>972.35</v>
      </c>
      <c r="CI19">
        <f>集中式风电!CI19+分散式风电!CI19</f>
        <v>972.34</v>
      </c>
      <c r="CJ19">
        <f>集中式风电!CJ19+分散式风电!CJ19</f>
        <v>967.22</v>
      </c>
      <c r="CK19">
        <f>集中式风电!CK19+分散式风电!CK19</f>
        <v>966.17</v>
      </c>
      <c r="CL19">
        <f>集中式风电!CL19+分散式风电!CL19</f>
        <v>965.14</v>
      </c>
      <c r="CM19">
        <f>集中式风电!CM19+分散式风电!CM19</f>
        <v>964.12</v>
      </c>
      <c r="CN19">
        <f>集中式风电!CN19+分散式风电!CN19</f>
        <v>961.03</v>
      </c>
      <c r="CO19">
        <f>集中式风电!CO19+分散式风电!CO19</f>
        <v>956.92</v>
      </c>
      <c r="CP19">
        <f>集中式风电!CP19+分散式风电!CP19</f>
        <v>949.7</v>
      </c>
      <c r="CQ19">
        <f>集中式风电!CQ19+分散式风电!CQ19</f>
        <v>939.4</v>
      </c>
      <c r="CR19">
        <f>集中式风电!CR19+分散式风电!CR19</f>
        <v>929.08</v>
      </c>
      <c r="CS19">
        <f>集中式风电!CS19+分散式风电!CS19</f>
        <v>914.69</v>
      </c>
    </row>
    <row r="20" spans="1:97">
      <c r="A20" s="9">
        <v>46253</v>
      </c>
      <c r="B20">
        <f>集中式风电!B20+分散式风电!B20</f>
        <v>725.17</v>
      </c>
      <c r="C20">
        <f>集中式风电!C20+分散式风电!C20</f>
        <v>712.79</v>
      </c>
      <c r="D20">
        <f>集中式风电!D20+分散式风电!D20</f>
        <v>698.37</v>
      </c>
      <c r="E20">
        <f>集中式风电!E20+分散式风电!E20</f>
        <v>684.98</v>
      </c>
      <c r="F20">
        <f>集中式风电!F20+分散式风电!F20</f>
        <v>677.77</v>
      </c>
      <c r="G20">
        <f>集中式风电!G20+分散式风电!G20</f>
        <v>672.63</v>
      </c>
      <c r="H20">
        <f>集中式风电!H20+分散式风电!H20</f>
        <v>668.51</v>
      </c>
      <c r="I20">
        <f>集中式风电!I20+分散式风电!I20</f>
        <v>664.39</v>
      </c>
      <c r="J20">
        <f>集中式风电!J20+分散式风电!J20</f>
        <v>657.16</v>
      </c>
      <c r="K20">
        <f>集中式风电!K20+分散式风电!K20</f>
        <v>648.93</v>
      </c>
      <c r="L20">
        <f>集中式风电!L20+分散式风电!L20</f>
        <v>641.72</v>
      </c>
      <c r="M20">
        <f>集中式风电!M20+分散式风电!M20</f>
        <v>633.49</v>
      </c>
      <c r="N20">
        <f>集中式风电!N20+分散式风电!N20</f>
        <v>626.28</v>
      </c>
      <c r="O20">
        <f>集中式风电!O20+分散式风电!O20</f>
        <v>620.1</v>
      </c>
      <c r="P20">
        <f>集中式风电!P20+分散式风电!P20</f>
        <v>614.96</v>
      </c>
      <c r="Q20">
        <f>集中式风电!Q20+分散式风电!Q20</f>
        <v>611.87</v>
      </c>
      <c r="R20">
        <f>集中式风电!R20+分散式风电!R20</f>
        <v>608.78</v>
      </c>
      <c r="S20">
        <f>集中式风电!S20+分散式风电!S20</f>
        <v>604.67</v>
      </c>
      <c r="T20">
        <f>集中式风电!T20+分散式风电!T20</f>
        <v>600.53</v>
      </c>
      <c r="U20">
        <f>集中式风电!U20+分散式风电!U20</f>
        <v>596.4</v>
      </c>
      <c r="V20">
        <f>集中式风电!V20+分散式风电!V20</f>
        <v>587.16</v>
      </c>
      <c r="W20">
        <f>集中式风电!W20+分散式风电!W20</f>
        <v>573.77</v>
      </c>
      <c r="X20">
        <f>集中式风电!X20+分散式风电!X20</f>
        <v>562.42</v>
      </c>
      <c r="Y20">
        <f>集中式风电!Y20+分散式风电!Y20</f>
        <v>550.07</v>
      </c>
      <c r="Z20">
        <f>集中式风电!Z20+分散式风电!Z20</f>
        <v>536.66</v>
      </c>
      <c r="AA20">
        <f>集中式风电!AA20+分散式风电!AA20</f>
        <v>522.26</v>
      </c>
      <c r="AB20">
        <f>集中式风电!AB20+分散式风电!AB20</f>
        <v>509.9</v>
      </c>
      <c r="AC20">
        <f>集中式风电!AC20+分散式风电!AC20</f>
        <v>498.56</v>
      </c>
      <c r="AD20">
        <f>集中式风电!AD20+分散式风电!AD20</f>
        <v>485.19</v>
      </c>
      <c r="AE20">
        <f>集中式风电!AE20+分散式风电!AE20</f>
        <v>471.8</v>
      </c>
      <c r="AF20">
        <f>集中式风电!AF20+分散式风电!AF20</f>
        <v>459.43</v>
      </c>
      <c r="AG20">
        <f>集中式风电!AG20+分散式风电!AG20</f>
        <v>448.1</v>
      </c>
      <c r="AH20">
        <f>集中式风电!AH20+分散式风电!AH20</f>
        <v>438.83</v>
      </c>
      <c r="AI20">
        <f>集中式风电!AI20+分散式风电!AI20</f>
        <v>435.73</v>
      </c>
      <c r="AJ20">
        <f>集中式风电!AJ20+分散式风电!AJ20</f>
        <v>432.65</v>
      </c>
      <c r="AK20">
        <f>集中式风电!AK20+分散式风电!AK20</f>
        <v>430.59</v>
      </c>
      <c r="AL20">
        <f>集中式风电!AL20+分散式风电!AL20</f>
        <v>431.63</v>
      </c>
      <c r="AM20">
        <f>集中式风电!AM20+分散式风电!AM20</f>
        <v>433.68</v>
      </c>
      <c r="AN20">
        <f>集中式风电!AN20+分散式风电!AN20</f>
        <v>435.74</v>
      </c>
      <c r="AO20">
        <f>集中式风电!AO20+分散式风电!AO20</f>
        <v>437.81</v>
      </c>
      <c r="AP20">
        <f>集中式风电!AP20+分散式风电!AP20</f>
        <v>441.91</v>
      </c>
      <c r="AQ20">
        <f>集中式风电!AQ20+分散式风电!AQ20</f>
        <v>447.06</v>
      </c>
      <c r="AR20">
        <f>集中式风电!AR20+分散式风电!AR20</f>
        <v>452.2</v>
      </c>
      <c r="AS20">
        <f>集中式风电!AS20+分散式风电!AS20</f>
        <v>458.39</v>
      </c>
      <c r="AT20">
        <f>集中式风电!AT20+分散式风电!AT20</f>
        <v>463.56</v>
      </c>
      <c r="AU20">
        <f>集中式风电!AU20+分散式风电!AU20</f>
        <v>470.76</v>
      </c>
      <c r="AV20">
        <f>集中式风电!AV20+分散式风电!AV20</f>
        <v>477.96</v>
      </c>
      <c r="AW20">
        <f>集中式风电!AW20+分散式风电!AW20</f>
        <v>485.17</v>
      </c>
      <c r="AX20">
        <f>集中式风电!AX20+分散式风电!AX20</f>
        <v>491.36</v>
      </c>
      <c r="AY20">
        <f>集中式风电!AY20+分散式风电!AY20</f>
        <v>497.54</v>
      </c>
      <c r="AZ20">
        <f>集中式风电!AZ20+分散式风电!AZ20</f>
        <v>502.69</v>
      </c>
      <c r="BA20">
        <f>集中式风电!BA20+分散式风电!BA20</f>
        <v>509.88</v>
      </c>
      <c r="BB20">
        <f>集中式风电!BB20+分散式风电!BB20</f>
        <v>518.13</v>
      </c>
      <c r="BC20">
        <f>集中式风电!BC20+分散式风电!BC20</f>
        <v>527.41</v>
      </c>
      <c r="BD20">
        <f>集中式风电!BD20+分散式风电!BD20</f>
        <v>538.74</v>
      </c>
      <c r="BE20">
        <f>集中式风电!BE20+分散式风电!BE20</f>
        <v>552.12</v>
      </c>
      <c r="BF20">
        <f>集中式风电!BF20+分散式风电!BF20</f>
        <v>564.49</v>
      </c>
      <c r="BG20">
        <f>集中式风电!BG20+分散式风电!BG20</f>
        <v>581.98</v>
      </c>
      <c r="BH20">
        <f>集中式风电!BH20+分散式风电!BH20</f>
        <v>600.52</v>
      </c>
      <c r="BI20">
        <f>集中式风电!BI20+分散式风电!BI20</f>
        <v>620.08</v>
      </c>
      <c r="BJ20">
        <f>集中式风电!BJ20+分散式风电!BJ20</f>
        <v>641.72</v>
      </c>
      <c r="BK20">
        <f>集中式风电!BK20+分散式风电!BK20</f>
        <v>664.39</v>
      </c>
      <c r="BL20">
        <f>集中式风电!BL20+分散式风电!BL20</f>
        <v>690.14</v>
      </c>
      <c r="BM20">
        <f>集中式风电!BM20+分散式风电!BM20</f>
        <v>717.95</v>
      </c>
      <c r="BN20">
        <f>集中式风电!BN20+分散式风电!BN20</f>
        <v>749.87</v>
      </c>
      <c r="BO20">
        <f>集中式风电!BO20+分散式风电!BO20</f>
        <v>781.8</v>
      </c>
      <c r="BP20">
        <f>集中式风电!BP20+分散式风电!BP20</f>
        <v>814.75</v>
      </c>
      <c r="BQ20">
        <f>集中式风电!BQ20+分散式风电!BQ20</f>
        <v>847.74</v>
      </c>
      <c r="BR20">
        <f>集中式风电!BR20+分散式风电!BR20</f>
        <v>891</v>
      </c>
      <c r="BS20">
        <f>集中式风电!BS20+分散式风电!BS20</f>
        <v>943.51</v>
      </c>
      <c r="BT20">
        <f>集中式风电!BT20+分散式风电!BT20</f>
        <v>997.08</v>
      </c>
      <c r="BU20">
        <f>集中式风电!BU20+分散式风电!BU20</f>
        <v>1051.67</v>
      </c>
      <c r="BV20">
        <f>集中式风电!BV20+分散式风电!BV20</f>
        <v>1112.44</v>
      </c>
      <c r="BW20">
        <f>集中式风电!BW20+分散式风电!BW20</f>
        <v>1179.39</v>
      </c>
      <c r="BX20">
        <f>集中式风电!BX20+分散式风电!BX20</f>
        <v>1250.46</v>
      </c>
      <c r="BY20">
        <f>集中式风电!BY20+分散式风电!BY20</f>
        <v>1327.72</v>
      </c>
      <c r="BZ20">
        <f>集中式风电!BZ20+分散式风电!BZ20</f>
        <v>1402.91</v>
      </c>
      <c r="CA20">
        <f>集中式风电!CA20+分散式风电!CA20</f>
        <v>1480.13</v>
      </c>
      <c r="CB20">
        <f>集中式风电!CB20+分散式风电!CB20</f>
        <v>1559.45</v>
      </c>
      <c r="CC20">
        <f>集中式风电!CC20+分散式风电!CC20</f>
        <v>1636.7</v>
      </c>
      <c r="CD20">
        <f>集中式风电!CD20+分散式风电!CD20</f>
        <v>1691.3</v>
      </c>
      <c r="CE20">
        <f>集中式风电!CE20+分散式风电!CE20</f>
        <v>1725.29</v>
      </c>
      <c r="CF20">
        <f>集中式风电!CF20+分散式风电!CF20</f>
        <v>1756.17</v>
      </c>
      <c r="CG20">
        <f>集中式风电!CG20+分散式风电!CG20</f>
        <v>1780.9</v>
      </c>
      <c r="CH20">
        <f>集中式风电!CH20+分散式风电!CH20</f>
        <v>1799.45</v>
      </c>
      <c r="CI20">
        <f>集中式风电!CI20+分散式风电!CI20</f>
        <v>1813.88</v>
      </c>
      <c r="CJ20">
        <f>集中式风电!CJ20+分散式风电!CJ20</f>
        <v>1827.25</v>
      </c>
      <c r="CK20">
        <f>集中式风电!CK20+分散式风电!CK20</f>
        <v>1839.61</v>
      </c>
      <c r="CL20">
        <f>集中式风电!CL20+分散式风电!CL20</f>
        <v>1843.73</v>
      </c>
      <c r="CM20">
        <f>集中式风电!CM20+分散式风电!CM20</f>
        <v>1836.52</v>
      </c>
      <c r="CN20">
        <f>集中式风电!CN20+分散式风电!CN20</f>
        <v>1827.25</v>
      </c>
      <c r="CO20">
        <f>集中式风电!CO20+分散式风电!CO20</f>
        <v>1816.96</v>
      </c>
      <c r="CP20">
        <f>集中式风电!CP20+分散式风电!CP20</f>
        <v>1799.44</v>
      </c>
      <c r="CQ20">
        <f>集中式风电!CQ20+分散式风电!CQ20</f>
        <v>1776.77</v>
      </c>
      <c r="CR20">
        <f>集中式风电!CR20+分散式风电!CR20</f>
        <v>1753.09</v>
      </c>
      <c r="CS20">
        <f>集中式风电!CS20+分散式风电!CS20</f>
        <v>1722.18</v>
      </c>
    </row>
    <row r="21" spans="1:97">
      <c r="A21" s="9">
        <v>46254</v>
      </c>
      <c r="B21">
        <f>集中式风电!B21+分散式风电!B21</f>
        <v>2189.81</v>
      </c>
      <c r="C21">
        <f>集中式风电!C21+分散式风电!C21</f>
        <v>2181.58</v>
      </c>
      <c r="D21">
        <f>集中式风电!D21+分散式风电!D21</f>
        <v>2172.3</v>
      </c>
      <c r="E21">
        <f>集中式风电!E21+分散式风电!E21</f>
        <v>2163.04</v>
      </c>
      <c r="F21">
        <f>集中式风电!F21+分散式风电!F21</f>
        <v>2149.64</v>
      </c>
      <c r="G21">
        <f>集中式风电!G21+分散式风电!G21</f>
        <v>2126.99</v>
      </c>
      <c r="H21">
        <f>集中式风电!H21+分散式风电!H21</f>
        <v>2107.4</v>
      </c>
      <c r="I21">
        <f>集中式风电!I21+分散式风电!I21</f>
        <v>2084.77</v>
      </c>
      <c r="J21">
        <f>集中式风电!J21+分散式风电!J21</f>
        <v>2063.1</v>
      </c>
      <c r="K21">
        <f>集中式风电!K21+分散式风电!K21</f>
        <v>2038.4</v>
      </c>
      <c r="L21">
        <f>集中式风电!L21+分散式风电!L21</f>
        <v>2013.68</v>
      </c>
      <c r="M21">
        <f>集中式风电!M21+分散式风电!M21</f>
        <v>1987.94</v>
      </c>
      <c r="N21">
        <f>集中式风电!N21+分散式风电!N21</f>
        <v>1965.28</v>
      </c>
      <c r="O21">
        <f>集中式风电!O21+分散式风电!O21</f>
        <v>1945.7</v>
      </c>
      <c r="P21">
        <f>集中式风电!P21+分散式风电!P21</f>
        <v>1927.18</v>
      </c>
      <c r="Q21">
        <f>集中式风电!Q21+分散式风电!Q21</f>
        <v>1910.68</v>
      </c>
      <c r="R21">
        <f>集中式风电!R21+分散式风电!R21</f>
        <v>1894.23</v>
      </c>
      <c r="S21">
        <f>集中式风电!S21+分散式风电!S21</f>
        <v>1878.77</v>
      </c>
      <c r="T21">
        <f>集中式风电!T21+分散式风电!T21</f>
        <v>1862.29</v>
      </c>
      <c r="U21">
        <f>集中式风电!U21+分散式风电!U21</f>
        <v>1845.81</v>
      </c>
      <c r="V21">
        <f>集中式风电!V21+分散式风电!V21</f>
        <v>1826.25</v>
      </c>
      <c r="W21">
        <f>集中式风电!W21+分散式风电!W21</f>
        <v>1805.65</v>
      </c>
      <c r="X21">
        <f>集中式风电!X21+分散式风电!X21</f>
        <v>1782.97</v>
      </c>
      <c r="Y21">
        <f>集中式风电!Y21+分散式风电!Y21</f>
        <v>1758.27</v>
      </c>
      <c r="Z21">
        <f>集中式风电!Z21+分散式风电!Z21</f>
        <v>1725.29</v>
      </c>
      <c r="AA21">
        <f>集中式风电!AA21+分散式风电!AA21</f>
        <v>1679.97</v>
      </c>
      <c r="AB21">
        <f>集中式风电!AB21+分散式风电!AB21</f>
        <v>1639.82</v>
      </c>
      <c r="AC21">
        <f>集中式风电!AC21+分散式风电!AC21</f>
        <v>1603.76</v>
      </c>
      <c r="AD21">
        <f>集中式风电!AD21+分散式风电!AD21</f>
        <v>1566.68</v>
      </c>
      <c r="AE21">
        <f>集中式风电!AE21+分散式风电!AE21</f>
        <v>1542.98</v>
      </c>
      <c r="AF21">
        <f>集中式风电!AF21+分散式风电!AF21</f>
        <v>1522.4</v>
      </c>
      <c r="AG21">
        <f>集中式风电!AG21+分散式风电!AG21</f>
        <v>1510.03</v>
      </c>
      <c r="AH21">
        <f>集中式风电!AH21+分散式风电!AH21</f>
        <v>1525.49</v>
      </c>
      <c r="AI21">
        <f>集中式风电!AI21+分散式风电!AI21</f>
        <v>1591.39</v>
      </c>
      <c r="AJ21">
        <f>集中式风电!AJ21+分散式风电!AJ21</f>
        <v>1661.45</v>
      </c>
      <c r="AK21">
        <f>集中式风电!AK21+分散式风电!AK21</f>
        <v>1737.66</v>
      </c>
      <c r="AL21">
        <f>集中式风电!AL21+分散式风电!AL21</f>
        <v>1829.34</v>
      </c>
      <c r="AM21">
        <f>集中式风电!AM21+分散式风电!AM21</f>
        <v>1937.47</v>
      </c>
      <c r="AN21">
        <f>集中式风电!AN21+分散式风电!AN21</f>
        <v>2048.73</v>
      </c>
      <c r="AO21">
        <f>集中式风电!AO21+分散式风电!AO21</f>
        <v>2162.02</v>
      </c>
      <c r="AP21">
        <f>集中式风电!AP21+分散式风电!AP21</f>
        <v>2281.48</v>
      </c>
      <c r="AQ21">
        <f>集中式风电!AQ21+分散式风电!AQ21</f>
        <v>2398.93</v>
      </c>
      <c r="AR21">
        <f>集中式风电!AR21+分散式风电!AR21</f>
        <v>2517.36</v>
      </c>
      <c r="AS21">
        <f>集中式风电!AS21+分散式风电!AS21</f>
        <v>2633.76</v>
      </c>
      <c r="AT21">
        <f>集中式风电!AT21+分散式风电!AT21</f>
        <v>2748.08</v>
      </c>
      <c r="AU21">
        <f>集中式风电!AU21+分散式风电!AU21</f>
        <v>2858.3</v>
      </c>
      <c r="AV21">
        <f>集中式风电!AV21+分散式风电!AV21</f>
        <v>2966.45</v>
      </c>
      <c r="AW21">
        <f>集中式风电!AW21+分散式风电!AW21</f>
        <v>3073.56</v>
      </c>
      <c r="AX21">
        <f>集中式风电!AX21+分散式风电!AX21</f>
        <v>3177.59</v>
      </c>
      <c r="AY21">
        <f>集中式风电!AY21+分散式风电!AY21</f>
        <v>3278.53</v>
      </c>
      <c r="AZ21">
        <f>集中式风电!AZ21+分散式风电!AZ21</f>
        <v>3381.54</v>
      </c>
      <c r="BA21">
        <f>集中式风电!BA21+分散式风电!BA21</f>
        <v>3483.5</v>
      </c>
      <c r="BB21">
        <f>集中式风电!BB21+分散式风电!BB21</f>
        <v>3585.47</v>
      </c>
      <c r="BC21">
        <f>集中式风电!BC21+分散式风电!BC21</f>
        <v>3690.53</v>
      </c>
      <c r="BD21">
        <f>集中式风电!BD21+分散式风电!BD21</f>
        <v>3797.65</v>
      </c>
      <c r="BE21">
        <f>集中式风电!BE21+分散式风电!BE21</f>
        <v>3903.75</v>
      </c>
      <c r="BF21">
        <f>集中式风电!BF21+分散式风电!BF21</f>
        <v>3994.37</v>
      </c>
      <c r="BG21">
        <f>集中式风电!BG21+分散式风电!BG21</f>
        <v>4079.86</v>
      </c>
      <c r="BH21">
        <f>集中式风电!BH21+分散式风电!BH21</f>
        <v>4166.37</v>
      </c>
      <c r="BI21">
        <f>集中式风电!BI21+分散式风电!BI21</f>
        <v>4253.93</v>
      </c>
      <c r="BJ21">
        <f>集中式风电!BJ21+分散式风电!BJ21</f>
        <v>4340.47</v>
      </c>
      <c r="BK21">
        <f>集中式风电!BK21+分散式风电!BK21</f>
        <v>4430.07</v>
      </c>
      <c r="BL21">
        <f>集中式风电!BL21+分散式风电!BL21</f>
        <v>4520.7</v>
      </c>
      <c r="BM21">
        <f>集中式风电!BM21+分散式风电!BM21</f>
        <v>4610.31</v>
      </c>
      <c r="BN21">
        <f>集中式风电!BN21+分散式风电!BN21</f>
        <v>4682.41</v>
      </c>
      <c r="BO21">
        <f>集中式风电!BO21+分散式风电!BO21</f>
        <v>4740.11</v>
      </c>
      <c r="BP21">
        <f>集中式风电!BP21+分散式风电!BP21</f>
        <v>4797.79</v>
      </c>
      <c r="BQ21">
        <f>集中式风电!BQ21+分散式风电!BQ21</f>
        <v>4856.48</v>
      </c>
      <c r="BR21">
        <f>集中式风电!BR21+分散式风电!BR21</f>
        <v>4918.28</v>
      </c>
      <c r="BS21">
        <f>集中式风电!BS21+分散式风电!BS21</f>
        <v>4986.28</v>
      </c>
      <c r="BT21">
        <f>集中式风电!BT21+分散式风电!BT21</f>
        <v>5058.37</v>
      </c>
      <c r="BU21">
        <f>集中式风电!BU21+分散式风电!BU21</f>
        <v>5130.46</v>
      </c>
      <c r="BV21">
        <f>集中式风电!BV21+分散式风电!BV21</f>
        <v>5218.03</v>
      </c>
      <c r="BW21">
        <f>集中式风电!BW21+分散式风电!BW21</f>
        <v>5326.16</v>
      </c>
      <c r="BX21">
        <f>集中式风电!BX21+分散式风电!BX21</f>
        <v>5440.5</v>
      </c>
      <c r="BY21">
        <f>集中式风电!BY21+分散式风电!BY21</f>
        <v>5554.83</v>
      </c>
      <c r="BZ21">
        <f>集中式风电!BZ21+分散式风电!BZ21</f>
        <v>5667.08</v>
      </c>
      <c r="CA21">
        <f>集中式风电!CA21+分散式风电!CA21</f>
        <v>5780.4</v>
      </c>
      <c r="CB21">
        <f>集中式风电!CB21+分散式风电!CB21</f>
        <v>5893.69</v>
      </c>
      <c r="CC21">
        <f>集中式风电!CC21+分散式风电!CC21</f>
        <v>6001.85</v>
      </c>
      <c r="CD21">
        <f>集中式风电!CD21+分散式风电!CD21</f>
        <v>6102.78</v>
      </c>
      <c r="CE21">
        <f>集中式风电!CE21+分散式风电!CE21</f>
        <v>6182.1</v>
      </c>
      <c r="CF21">
        <f>集中式风电!CF21+分散式风电!CF21</f>
        <v>6260.38</v>
      </c>
      <c r="CG21">
        <f>集中式风电!CG21+分散式风电!CG21</f>
        <v>6330.41</v>
      </c>
      <c r="CH21">
        <f>集中式风电!CH21+分散式风电!CH21</f>
        <v>6391.19</v>
      </c>
      <c r="CI21">
        <f>集中式风电!CI21+分散式风电!CI21</f>
        <v>6439.58</v>
      </c>
      <c r="CJ21">
        <f>集中式风电!CJ21+分散式风电!CJ21</f>
        <v>6485.93</v>
      </c>
      <c r="CK21">
        <f>集中式风电!CK21+分散式风电!CK21</f>
        <v>6531.27</v>
      </c>
      <c r="CL21">
        <f>集中式风电!CL21+分散式风电!CL21</f>
        <v>6566.28</v>
      </c>
      <c r="CM21">
        <f>集中式风电!CM21+分散式风电!CM21</f>
        <v>6593.07</v>
      </c>
      <c r="CN21">
        <f>集中式风电!CN21+分散式风电!CN21</f>
        <v>6618.81</v>
      </c>
      <c r="CO21">
        <f>集中式风电!CO21+分散式风电!CO21</f>
        <v>6642.49</v>
      </c>
      <c r="CP21">
        <f>集中式风电!CP21+分散式风电!CP21</f>
        <v>6732.11</v>
      </c>
      <c r="CQ21">
        <f>集中式风电!CQ21+分散式风电!CQ21</f>
        <v>6734.17</v>
      </c>
      <c r="CR21">
        <f>集中式风电!CR21+分散式风电!CR21</f>
        <v>6734.17</v>
      </c>
      <c r="CS21">
        <f>集中式风电!CS21+分散式风电!CS21</f>
        <v>6731.07</v>
      </c>
    </row>
    <row r="22" spans="1:97">
      <c r="A22" s="9">
        <v>46255</v>
      </c>
      <c r="B22">
        <f>集中式风电!B22+分散式风电!B22</f>
        <v>6850.57</v>
      </c>
      <c r="C22">
        <f>集中式风电!C22+分散式风电!C22</f>
        <v>6775.38</v>
      </c>
      <c r="D22">
        <f>集中式风电!D22+分散式风电!D22</f>
        <v>6731.09</v>
      </c>
      <c r="E22">
        <f>集中式风电!E22+分散式风电!E22</f>
        <v>6686.8</v>
      </c>
      <c r="F22">
        <f>集中式风电!F22+分散式风电!F22</f>
        <v>6628.1</v>
      </c>
      <c r="G22">
        <f>集中式风电!G22+分散式风电!G22</f>
        <v>6554.98</v>
      </c>
      <c r="H22">
        <f>集中式风电!H22+分散式风电!H22</f>
        <v>6480.8</v>
      </c>
      <c r="I22">
        <f>集中式风电!I22+分散式风电!I22</f>
        <v>6403.55</v>
      </c>
      <c r="J22">
        <f>集中式风电!J22+分散式风电!J22</f>
        <v>6322.17</v>
      </c>
      <c r="K22">
        <f>集中式风电!K22+分散式风电!K22</f>
        <v>6238.75</v>
      </c>
      <c r="L22">
        <f>集中式风电!L22+分散式风电!L22</f>
        <v>6157.38</v>
      </c>
      <c r="M22">
        <f>集中式风电!M22+分散式风电!M22</f>
        <v>6076.02</v>
      </c>
      <c r="N22">
        <f>集中式风电!N22+分散式风电!N22</f>
        <v>5988.48</v>
      </c>
      <c r="O22">
        <f>集中式风电!O22+分散式风电!O22</f>
        <v>5898.86</v>
      </c>
      <c r="P22">
        <f>集中式风电!P22+分散式风电!P22</f>
        <v>5808.22</v>
      </c>
      <c r="Q22">
        <f>集中式风电!Q22+分散式风电!Q22</f>
        <v>5715.51</v>
      </c>
      <c r="R22">
        <f>集中式风电!R22+分散式风电!R22</f>
        <v>5632.08</v>
      </c>
      <c r="S22">
        <f>集中式风电!S22+分散式风电!S22</f>
        <v>5553.82</v>
      </c>
      <c r="T22">
        <f>集中式风电!T22+分散式风电!T22</f>
        <v>5473.46</v>
      </c>
      <c r="U22">
        <f>集中式风电!U22+分散式风电!U22</f>
        <v>5389</v>
      </c>
      <c r="V22">
        <f>集中式风电!V22+分散式风电!V22</f>
        <v>5300.44</v>
      </c>
      <c r="W22">
        <f>集中式风电!W22+分散式风电!W22</f>
        <v>5211.85</v>
      </c>
      <c r="X22">
        <f>集中式风电!X22+分散式风电!X22</f>
        <v>5121.21</v>
      </c>
      <c r="Y22">
        <f>集中式风电!Y22+分散式风电!Y22</f>
        <v>5031.61</v>
      </c>
      <c r="Z22">
        <f>集中式风电!Z22+分散式风电!Z22</f>
        <v>4941.98</v>
      </c>
      <c r="AA22">
        <f>集中式风电!AA22+分散式风电!AA22</f>
        <v>4842.08</v>
      </c>
      <c r="AB22">
        <f>集中式风电!AB22+分散式风电!AB22</f>
        <v>4746.28</v>
      </c>
      <c r="AC22">
        <f>集中式风电!AC22+分散式风电!AC22</f>
        <v>4656.67</v>
      </c>
      <c r="AD22">
        <f>集中式风电!AD22+分散式风电!AD22</f>
        <v>4585.62</v>
      </c>
      <c r="AE22">
        <f>集中式风电!AE22+分散式风电!AE22</f>
        <v>4536.19</v>
      </c>
      <c r="AF22">
        <f>集中式风电!AF22+分散式风电!AF22</f>
        <v>4487.77</v>
      </c>
      <c r="AG22">
        <f>集中式风电!AG22+分散式风电!AG22</f>
        <v>4438.33</v>
      </c>
      <c r="AH22">
        <f>集中式风电!AH22+分散式风电!AH22</f>
        <v>4399.18</v>
      </c>
      <c r="AI22">
        <f>集中式风电!AI22+分散式风电!AI22</f>
        <v>4360.05</v>
      </c>
      <c r="AJ22">
        <f>集中式风电!AJ22+分散式风电!AJ22</f>
        <v>4320.9</v>
      </c>
      <c r="AK22">
        <f>集中式风电!AK22+分散式风电!AK22</f>
        <v>4277.66</v>
      </c>
      <c r="AL22">
        <f>集中式风电!AL22+分散式风电!AL22</f>
        <v>4227.16</v>
      </c>
      <c r="AM22">
        <f>集中式风电!AM22+分散式风电!AM22</f>
        <v>4162.27</v>
      </c>
      <c r="AN22">
        <f>集中式风电!AN22+分散式风电!AN22</f>
        <v>4099.46</v>
      </c>
      <c r="AO22">
        <f>集中式风电!AO22+分散式风电!AO22</f>
        <v>4036.62</v>
      </c>
      <c r="AP22">
        <f>集中式风电!AP22+分散式风电!AP22</f>
        <v>3974.82</v>
      </c>
      <c r="AQ22">
        <f>集中式风电!AQ22+分散式风电!AQ22</f>
        <v>3917.14</v>
      </c>
      <c r="AR22">
        <f>集中式风电!AR22+分散式风电!AR22</f>
        <v>3857.39</v>
      </c>
      <c r="AS22">
        <f>集中式风电!AS22+分散式风电!AS22</f>
        <v>3795.62</v>
      </c>
      <c r="AT22">
        <f>集中式风电!AT22+分散式风电!AT22</f>
        <v>3736.91</v>
      </c>
      <c r="AU22">
        <f>集中式风电!AU22+分散式风电!AU22</f>
        <v>3688.47</v>
      </c>
      <c r="AV22">
        <f>集中式风电!AV22+分散式风电!AV22</f>
        <v>3638</v>
      </c>
      <c r="AW22">
        <f>集中式风电!AW22+分散式风电!AW22</f>
        <v>3588.57</v>
      </c>
      <c r="AX22">
        <f>集中式风电!AX22+分散式风电!AX22</f>
        <v>3537.06</v>
      </c>
      <c r="AY22">
        <f>集中式风电!AY22+分散式风电!AY22</f>
        <v>3480.42</v>
      </c>
      <c r="AZ22">
        <f>集中式风电!AZ22+分散式风电!AZ22</f>
        <v>3430.98</v>
      </c>
      <c r="BA22">
        <f>集中式风电!BA22+分散式风电!BA22</f>
        <v>3381.53</v>
      </c>
      <c r="BB22">
        <f>集中式风电!BB22+分散式风电!BB22</f>
        <v>3339.3</v>
      </c>
      <c r="BC22">
        <f>集中式风电!BC22+分散式风电!BC22</f>
        <v>3304.27</v>
      </c>
      <c r="BD22">
        <f>集中式风电!BD22+分散式风电!BD22</f>
        <v>3271.33</v>
      </c>
      <c r="BE22">
        <f>集中式风电!BE22+分散式风电!BE22</f>
        <v>3234.24</v>
      </c>
      <c r="BF22">
        <f>集中式风电!BF22+分散式风电!BF22</f>
        <v>3207.48</v>
      </c>
      <c r="BG22">
        <f>集中式风电!BG22+分散式风电!BG22</f>
        <v>3180.68</v>
      </c>
      <c r="BH22">
        <f>集中式风电!BH22+分散式风电!BH22</f>
        <v>3160.08</v>
      </c>
      <c r="BI22">
        <f>集中式风电!BI22+分散式风电!BI22</f>
        <v>3144.63</v>
      </c>
      <c r="BJ22">
        <f>集中式风电!BJ22+分散式风电!BJ22</f>
        <v>3135.36</v>
      </c>
      <c r="BK22">
        <f>集中式风电!BK22+分散式风电!BK22</f>
        <v>3131.26</v>
      </c>
      <c r="BL22">
        <f>集中式风电!BL22+分散式风电!BL22</f>
        <v>3137.42</v>
      </c>
      <c r="BM22">
        <f>集中式风电!BM22+分散式风电!BM22</f>
        <v>3143.61</v>
      </c>
      <c r="BN22">
        <f>集中式风电!BN22+分散式风电!BN22</f>
        <v>3158.02</v>
      </c>
      <c r="BO22">
        <f>集中式风电!BO22+分散式风电!BO22</f>
        <v>3188.92</v>
      </c>
      <c r="BP22">
        <f>集中式风电!BP22+分散式风电!BP22</f>
        <v>3222.92</v>
      </c>
      <c r="BQ22">
        <f>集中式风电!BQ22+分散式风电!BQ22</f>
        <v>3260</v>
      </c>
      <c r="BR22">
        <f>集中式风电!BR22+分散式风电!BR22</f>
        <v>3313.56</v>
      </c>
      <c r="BS22">
        <f>集中式风电!BS22+分散式风电!BS22</f>
        <v>3377.4</v>
      </c>
      <c r="BT22">
        <f>集中式风电!BT22+分散式风电!BT22</f>
        <v>3449.5</v>
      </c>
      <c r="BU22">
        <f>集中式风电!BU22+分散式风电!BU22</f>
        <v>3519.54</v>
      </c>
      <c r="BV22">
        <f>集中式风电!BV22+分散式风电!BV22</f>
        <v>3606.06</v>
      </c>
      <c r="BW22">
        <f>集中式风电!BW22+分散式风电!BW22</f>
        <v>3707</v>
      </c>
      <c r="BX22">
        <f>集中式风电!BX22+分散式风电!BX22</f>
        <v>3812.06</v>
      </c>
      <c r="BY22">
        <f>集中式风电!BY22+分散式风电!BY22</f>
        <v>3915.05</v>
      </c>
      <c r="BZ22">
        <f>集中式风电!BZ22+分散式风电!BZ22</f>
        <v>4013.96</v>
      </c>
      <c r="CA22">
        <f>集中式风电!CA22+分散式风电!CA22</f>
        <v>4116.94</v>
      </c>
      <c r="CB22">
        <f>集中式风电!CB22+分散式风电!CB22</f>
        <v>4212.73</v>
      </c>
      <c r="CC22">
        <f>集中式风电!CC22+分散式风电!CC22</f>
        <v>4304.41</v>
      </c>
      <c r="CD22">
        <f>集中式风电!CD22+分散式风电!CD22</f>
        <v>4379.58</v>
      </c>
      <c r="CE22">
        <f>集中式风电!CE22+分散式风电!CE22</f>
        <v>4436.25</v>
      </c>
      <c r="CF22">
        <f>集中式风电!CF22+分散式风电!CF22</f>
        <v>4490.83</v>
      </c>
      <c r="CG22">
        <f>集中式风电!CG22+分散式风电!CG22</f>
        <v>4535.11</v>
      </c>
      <c r="CH22">
        <f>集中式风电!CH22+分散式风电!CH22</f>
        <v>4548.5</v>
      </c>
      <c r="CI22">
        <f>集中式风电!CI22+分散式风电!CI22</f>
        <v>4508.36</v>
      </c>
      <c r="CJ22">
        <f>集中式风电!CJ22+分散式风电!CJ22</f>
        <v>4474.35</v>
      </c>
      <c r="CK22">
        <f>集中式风电!CK22+分散式风电!CK22</f>
        <v>4440.37</v>
      </c>
      <c r="CL22">
        <f>集中式风电!CL22+分散式风电!CL22</f>
        <v>4403.3</v>
      </c>
      <c r="CM22">
        <f>集中式风电!CM22+分散式风电!CM22</f>
        <v>4354.88</v>
      </c>
      <c r="CN22">
        <f>集中式风电!CN22+分散式风电!CN22</f>
        <v>4312.64</v>
      </c>
      <c r="CO22">
        <f>集中式风电!CO22+分散式风电!CO22</f>
        <v>4272.48</v>
      </c>
      <c r="CP22">
        <f>集中式风电!CP22+分散式风电!CP22</f>
        <v>4223.03</v>
      </c>
      <c r="CQ22">
        <f>集中式风电!CQ22+分散式风电!CQ22</f>
        <v>4139.6</v>
      </c>
      <c r="CR22">
        <f>集中式风电!CR22+分散式风电!CR22</f>
        <v>4053.08</v>
      </c>
      <c r="CS22">
        <f>集中式风电!CS22+分散式风电!CS22</f>
        <v>3971.7</v>
      </c>
    </row>
    <row r="23" spans="1:97">
      <c r="A23" s="9">
        <v>46256</v>
      </c>
      <c r="B23">
        <f>集中式风电!B23+分散式风电!B23</f>
        <v>3465.98</v>
      </c>
      <c r="C23">
        <f>集中式风电!C23+分散式风电!C23</f>
        <v>3365.05</v>
      </c>
      <c r="D23">
        <f>集中式风电!D23+分散式风电!D23</f>
        <v>3269.27</v>
      </c>
      <c r="E23">
        <f>集中式风电!E23+分散式风电!E23</f>
        <v>3175.53</v>
      </c>
      <c r="F23">
        <f>集中式风电!F23+分散式风电!F23</f>
        <v>3089.01</v>
      </c>
      <c r="G23">
        <f>集中式风电!G23+分散式风电!G23</f>
        <v>3012.79</v>
      </c>
      <c r="H23">
        <f>集中式风电!H23+分散式风电!H23</f>
        <v>2936.58</v>
      </c>
      <c r="I23">
        <f>集中式风电!I23+分散式风电!I23</f>
        <v>2862.41</v>
      </c>
      <c r="J23">
        <f>集中式风电!J23+分散式风电!J23</f>
        <v>2789.27</v>
      </c>
      <c r="K23">
        <f>集中式风电!K23+分散式风电!K23</f>
        <v>2715.1</v>
      </c>
      <c r="L23">
        <f>集中式风电!L23+分散式风电!L23</f>
        <v>2643.02</v>
      </c>
      <c r="M23">
        <f>集中式风电!M23+分散式风电!M23</f>
        <v>2570.93</v>
      </c>
      <c r="N23">
        <f>集中式风电!N23+分散式风电!N23</f>
        <v>2509.12</v>
      </c>
      <c r="O23">
        <f>集中式风电!O23+分散式风电!O23</f>
        <v>2455.58</v>
      </c>
      <c r="P23">
        <f>集中式风电!P23+分散式风电!P23</f>
        <v>2404.08</v>
      </c>
      <c r="Q23">
        <f>集中式风电!Q23+分散式风电!Q23</f>
        <v>2354.63</v>
      </c>
      <c r="R23">
        <f>集中式风电!R23+分散式风电!R23</f>
        <v>2311.35</v>
      </c>
      <c r="S23">
        <f>集中式风电!S23+分散式风电!S23</f>
        <v>2273.26</v>
      </c>
      <c r="T23">
        <f>集中式风电!T23+分散式风电!T23</f>
        <v>2236.17</v>
      </c>
      <c r="U23">
        <f>集中式风电!U23+分散式风电!U23</f>
        <v>2197.04</v>
      </c>
      <c r="V23">
        <f>集中式风电!V23+分散式风电!V23</f>
        <v>2157.91</v>
      </c>
      <c r="W23">
        <f>集中式风电!W23+分散式风电!W23</f>
        <v>2112.57</v>
      </c>
      <c r="X23">
        <f>集中式风电!X23+分散式风电!X23</f>
        <v>2065.19</v>
      </c>
      <c r="Y23">
        <f>集中式风电!Y23+分散式风电!Y23</f>
        <v>2017.83</v>
      </c>
      <c r="Z23">
        <f>集中式风电!Z23+分散式风电!Z23</f>
        <v>1967.36</v>
      </c>
      <c r="AA23">
        <f>集中式风电!AA23+分散式风电!AA23</f>
        <v>1918.93</v>
      </c>
      <c r="AB23">
        <f>集中式风电!AB23+分散式风电!AB23</f>
        <v>1870.51</v>
      </c>
      <c r="AC23">
        <f>集中式风电!AC23+分散式风电!AC23</f>
        <v>1824.18</v>
      </c>
      <c r="AD23">
        <f>集中式风电!AD23+分散式风电!AD23</f>
        <v>1794.31</v>
      </c>
      <c r="AE23">
        <f>集中式风电!AE23+分散式风电!AE23</f>
        <v>1779.89</v>
      </c>
      <c r="AF23">
        <f>集中式风电!AF23+分散式风电!AF23</f>
        <v>1771.64</v>
      </c>
      <c r="AG23">
        <f>集中式风电!AG23+分散式风电!AG23</f>
        <v>1766.51</v>
      </c>
      <c r="AH23">
        <f>集中式风电!AH23+分散式风电!AH23</f>
        <v>1789.18</v>
      </c>
      <c r="AI23">
        <f>集中式风电!AI23+分散式风电!AI23</f>
        <v>1829.34</v>
      </c>
      <c r="AJ23">
        <f>集中式风电!AJ23+分散式风电!AJ23</f>
        <v>1874.64</v>
      </c>
      <c r="AK23">
        <f>集中式风电!AK23+分散式风电!AK23</f>
        <v>1921.01</v>
      </c>
      <c r="AL23">
        <f>集中式风电!AL23+分散式风电!AL23</f>
        <v>1982.8</v>
      </c>
      <c r="AM23">
        <f>集中式风电!AM23+分散式风电!AM23</f>
        <v>2054.9</v>
      </c>
      <c r="AN23">
        <f>集中式风电!AN23+分散式风电!AN23</f>
        <v>2129.06</v>
      </c>
      <c r="AO23">
        <f>集中式风电!AO23+分散式风电!AO23</f>
        <v>2207.33</v>
      </c>
      <c r="AP23">
        <f>集中式风电!AP23+分散式风电!AP23</f>
        <v>2292.82</v>
      </c>
      <c r="AQ23">
        <f>集中式风电!AQ23+分散式风电!AQ23</f>
        <v>2388.6</v>
      </c>
      <c r="AR23">
        <f>集中式风电!AR23+分散式风电!AR23</f>
        <v>2484.4</v>
      </c>
      <c r="AS23">
        <f>集中式风电!AS23+分散式风电!AS23</f>
        <v>2581.22</v>
      </c>
      <c r="AT23">
        <f>集中式风电!AT23+分散式风电!AT23</f>
        <v>2671.86</v>
      </c>
      <c r="AU23">
        <f>集中式风电!AU23+分散式风电!AU23</f>
        <v>2763.55</v>
      </c>
      <c r="AV23">
        <f>集中式风电!AV23+分散式风电!AV23</f>
        <v>2857.28</v>
      </c>
      <c r="AW23">
        <f>集中式风电!AW23+分散式风电!AW23</f>
        <v>2946.87</v>
      </c>
      <c r="AX23">
        <f>集中式风电!AX23+分散式风电!AX23</f>
        <v>3042.67</v>
      </c>
      <c r="AY23">
        <f>集中式风电!AY23+分散式风电!AY23</f>
        <v>3136.39</v>
      </c>
      <c r="AZ23">
        <f>集中式风电!AZ23+分散式风电!AZ23</f>
        <v>3232.18</v>
      </c>
      <c r="BA23">
        <f>集中式风电!BA23+分散式风电!BA23</f>
        <v>3329.01</v>
      </c>
      <c r="BB23">
        <f>集中式风电!BB23+分散式风电!BB23</f>
        <v>3426.85</v>
      </c>
      <c r="BC23">
        <f>集中式风电!BC23+分散式风电!BC23</f>
        <v>3525.74</v>
      </c>
      <c r="BD23">
        <f>集中式风电!BD23+分散式风电!BD23</f>
        <v>3621.52</v>
      </c>
      <c r="BE23">
        <f>集中式风电!BE23+分散式风电!BE23</f>
        <v>3718.33</v>
      </c>
      <c r="BF23">
        <f>集中式风电!BF23+分散式风电!BF23</f>
        <v>3796.63</v>
      </c>
      <c r="BG23">
        <f>集中式风电!BG23+分散式风电!BG23</f>
        <v>3856.37</v>
      </c>
      <c r="BH23">
        <f>集中式风电!BH23+分散式风电!BH23</f>
        <v>3916.09</v>
      </c>
      <c r="BI23">
        <f>集中式风电!BI23+分散式风电!BI23</f>
        <v>3976.86</v>
      </c>
      <c r="BJ23">
        <f>集中式风电!BJ23+分散式风电!BJ23</f>
        <v>4036.61</v>
      </c>
      <c r="BK23">
        <f>集中式风电!BK23+分散式风电!BK23</f>
        <v>4103.57</v>
      </c>
      <c r="BL23">
        <f>集中式风电!BL23+分散式风电!BL23</f>
        <v>4173.6</v>
      </c>
      <c r="BM23">
        <f>集中式风电!BM23+分散式风电!BM23</f>
        <v>4243.62</v>
      </c>
      <c r="BN23">
        <f>集中式风电!BN23+分散式风电!BN23</f>
        <v>4318.83</v>
      </c>
      <c r="BO23">
        <f>集中式风电!BO23+分散式风电!BO23</f>
        <v>4399.18</v>
      </c>
      <c r="BP23">
        <f>集中式风电!BP23+分散式风电!BP23</f>
        <v>4483.61</v>
      </c>
      <c r="BQ23">
        <f>集中式风电!BQ23+分散式风电!BQ23</f>
        <v>4568.08</v>
      </c>
      <c r="BR23">
        <f>集中式风电!BR23+分散式风电!BR23</f>
        <v>4651.52</v>
      </c>
      <c r="BS23">
        <f>集中式风电!BS23+分散式风电!BS23</f>
        <v>4731.87</v>
      </c>
      <c r="BT23">
        <f>集中式风电!BT23+分散式风电!BT23</f>
        <v>4815.29</v>
      </c>
      <c r="BU23">
        <f>集中式风电!BU23+分散式风电!BU23</f>
        <v>4896.67</v>
      </c>
      <c r="BV23">
        <f>集中式风电!BV23+分散式风电!BV23</f>
        <v>4988.32</v>
      </c>
      <c r="BW23">
        <f>集中式风电!BW23+分散式风电!BW23</f>
        <v>5098.55</v>
      </c>
      <c r="BX23">
        <f>集中式风电!BX23+分散式风电!BX23</f>
        <v>5205.64</v>
      </c>
      <c r="BY23">
        <f>集中式风电!BY23+分散式风电!BY23</f>
        <v>5386.95</v>
      </c>
      <c r="BZ23">
        <f>集中式风电!BZ23+分散式风电!BZ23</f>
        <v>5508.46</v>
      </c>
      <c r="CA23">
        <f>集中式风电!CA23+分散式风电!CA23</f>
        <v>5652.66</v>
      </c>
      <c r="CB23">
        <f>集中式风电!CB23+分散式风电!CB23</f>
        <v>5793.79</v>
      </c>
      <c r="CC23">
        <f>集中式风电!CC23+分散式风电!CC23</f>
        <v>5930.79</v>
      </c>
      <c r="CD23">
        <f>集中式风电!CD23+分散式风电!CD23</f>
        <v>6072.93</v>
      </c>
      <c r="CE23">
        <f>集中式风电!CE23+分散式风电!CE23</f>
        <v>6190.35</v>
      </c>
      <c r="CF23">
        <f>集中式风电!CF23+分散式风电!CF23</f>
        <v>6314.97</v>
      </c>
      <c r="CG23">
        <f>集中式风电!CG23+分散式风电!CG23</f>
        <v>6426.22</v>
      </c>
      <c r="CH23">
        <f>集中式风电!CH23+分散式风电!CH23</f>
        <v>6538.46</v>
      </c>
      <c r="CI23">
        <f>集中式风电!CI23+分散式风电!CI23</f>
        <v>6640.43</v>
      </c>
      <c r="CJ23">
        <f>集中式风电!CJ23+分散式风电!CJ23</f>
        <v>6740.37</v>
      </c>
      <c r="CK23">
        <f>集中式风电!CK23+分散式风电!CK23</f>
        <v>6840.26</v>
      </c>
      <c r="CL23">
        <f>集中式风电!CL23+分散式风电!CL23</f>
        <v>6938.13</v>
      </c>
      <c r="CM23">
        <f>集中式风电!CM23+分散式风电!CM23</f>
        <v>7027.71</v>
      </c>
      <c r="CN23">
        <f>集中式风电!CN23+分散式风电!CN23</f>
        <v>7110.13</v>
      </c>
      <c r="CO23">
        <f>集中式风电!CO23+分散式风电!CO23</f>
        <v>7191.51</v>
      </c>
      <c r="CP23">
        <f>集中式风电!CP23+分散式风电!CP23</f>
        <v>7251.23</v>
      </c>
      <c r="CQ23">
        <f>集中式风电!CQ23+分散式风电!CQ23</f>
        <v>7288.32</v>
      </c>
      <c r="CR23">
        <f>集中式风电!CR23+分散式风电!CR23</f>
        <v>7323.33</v>
      </c>
      <c r="CS23">
        <f>集中式风电!CS23+分散式风电!CS23</f>
        <v>7402.64</v>
      </c>
    </row>
    <row r="24" spans="1:97">
      <c r="A24" s="9">
        <v>46257</v>
      </c>
      <c r="B24">
        <f>集中式风电!B24+分散式风电!B24</f>
        <v>8410</v>
      </c>
      <c r="C24">
        <f>集中式风电!C24+分散式风电!C24</f>
        <v>8448.11</v>
      </c>
      <c r="D24">
        <f>集中式风电!D24+分散式风电!D24</f>
        <v>8482.08</v>
      </c>
      <c r="E24">
        <f>集中式风电!E24+分散式风电!E24</f>
        <v>8516.09</v>
      </c>
      <c r="F24">
        <f>集中式风电!F24+分散式风电!F24</f>
        <v>8529.46</v>
      </c>
      <c r="G24">
        <f>集中式风电!G24+分散式风电!G24</f>
        <v>8523.29</v>
      </c>
      <c r="H24">
        <f>集中式风电!H24+分散式风电!H24</f>
        <v>8509.9</v>
      </c>
      <c r="I24">
        <f>集中式风电!I24+分散式风电!I24</f>
        <v>8496.51</v>
      </c>
      <c r="J24">
        <f>集中式风电!J24+分散式风电!J24</f>
        <v>8458.4</v>
      </c>
      <c r="K24">
        <f>集中式风电!K24+分散式风电!K24</f>
        <v>8404.84</v>
      </c>
      <c r="L24">
        <f>集中式风电!L24+分散式风电!L24</f>
        <v>8349.21</v>
      </c>
      <c r="M24">
        <f>集中式风电!M24+分散式风电!M24</f>
        <v>8288.46</v>
      </c>
      <c r="N24">
        <f>集中式风电!N24+分散式风电!N24</f>
        <v>8209.15</v>
      </c>
      <c r="O24">
        <f>集中式风电!O24+分散式风电!O24</f>
        <v>8104.08</v>
      </c>
      <c r="P24">
        <f>集中式风电!P24+分散式风电!P24</f>
        <v>8001.09</v>
      </c>
      <c r="Q24">
        <f>集中式风电!Q24+分散式风电!Q24</f>
        <v>7896.02</v>
      </c>
      <c r="R24">
        <f>集中式风电!R24+分散式风电!R24</f>
        <v>7787.88</v>
      </c>
      <c r="S24">
        <f>集中式风电!S24+分散式风电!S24</f>
        <v>7681.79</v>
      </c>
      <c r="T24">
        <f>集中式风电!T24+分散式风电!T24</f>
        <v>7571.6</v>
      </c>
      <c r="U24">
        <f>集中式风电!U24+分散式风电!U24</f>
        <v>7462.41</v>
      </c>
      <c r="V24">
        <f>集中式风电!V24+分散式风电!V24</f>
        <v>7356.33</v>
      </c>
      <c r="W24">
        <f>集中式风电!W24+分散式风电!W24</f>
        <v>7247.14</v>
      </c>
      <c r="X24">
        <f>集中式风电!X24+分散式风电!X24</f>
        <v>7137.96</v>
      </c>
      <c r="Y24">
        <f>集中式风电!Y24+分散式风电!Y24</f>
        <v>7038.05</v>
      </c>
      <c r="Z24">
        <f>集中式风电!Z24+分散式风电!Z24</f>
        <v>6959.78</v>
      </c>
      <c r="AA24">
        <f>集中式风电!AA24+分散式风电!AA24</f>
        <v>6860.9</v>
      </c>
      <c r="AB24">
        <f>集中式风电!AB24+分散式风电!AB24</f>
        <v>6767.17</v>
      </c>
      <c r="AC24">
        <f>集中式风电!AC24+分散式风电!AC24</f>
        <v>6677.55</v>
      </c>
      <c r="AD24">
        <f>集中式风电!AD24+分散式风电!AD24</f>
        <v>6629.13</v>
      </c>
      <c r="AE24">
        <f>集中式风电!AE24+分散式风电!AE24</f>
        <v>6595.15</v>
      </c>
      <c r="AF24">
        <f>集中式风电!AF24+分散式风电!AF24</f>
        <v>6581.75</v>
      </c>
      <c r="AG24">
        <f>集中式风电!AG24+分散式风电!AG24</f>
        <v>6568.37</v>
      </c>
      <c r="AH24">
        <f>集中式风电!AH24+分散式风电!AH24</f>
        <v>6530.25</v>
      </c>
      <c r="AI24">
        <f>集中式风电!AI24+分散式风电!AI24</f>
        <v>6523.06</v>
      </c>
      <c r="AJ24">
        <f>集中式风电!AJ24+分散式风电!AJ24</f>
        <v>6512.75</v>
      </c>
      <c r="AK24">
        <f>集中式风电!AK24+分散式风电!AK24</f>
        <v>6499.38</v>
      </c>
      <c r="AL24">
        <f>集中式风电!AL24+分散式风电!AL24</f>
        <v>6484.96</v>
      </c>
      <c r="AM24">
        <f>集中式风电!AM24+分散式风电!AM24</f>
        <v>6462.29</v>
      </c>
      <c r="AN24">
        <f>集中式风电!AN24+分散式风电!AN24</f>
        <v>6439.64</v>
      </c>
      <c r="AO24">
        <f>集中式风电!AO24+分散式风电!AO24</f>
        <v>6415.95</v>
      </c>
      <c r="AP24">
        <f>集中式风电!AP24+分散式风电!AP24</f>
        <v>6406.67</v>
      </c>
      <c r="AQ24">
        <f>集中式风电!AQ24+分散式风电!AQ24</f>
        <v>6404.61</v>
      </c>
      <c r="AR24">
        <f>集中式风电!AR24+分散式风电!AR24</f>
        <v>6401.49</v>
      </c>
      <c r="AS24">
        <f>集中式风电!AS24+分散式风电!AS24</f>
        <v>6399.44</v>
      </c>
      <c r="AT24">
        <f>集中式风电!AT24+分散式风电!AT24</f>
        <v>6405.61</v>
      </c>
      <c r="AU24">
        <f>集中式风电!AU24+分散式风电!AU24</f>
        <v>6411.82</v>
      </c>
      <c r="AV24">
        <f>集中式风电!AV24+分散式风电!AV24</f>
        <v>6417.99</v>
      </c>
      <c r="AW24">
        <f>集中式风电!AW24+分散式风电!AW24</f>
        <v>6416.94</v>
      </c>
      <c r="AX24">
        <f>集中式风电!AX24+分散式风电!AX24</f>
        <v>6405.63</v>
      </c>
      <c r="AY24">
        <f>集中式风电!AY24+分散式风电!AY24</f>
        <v>6373.68</v>
      </c>
      <c r="AZ24">
        <f>集中式风电!AZ24+分散式风电!AZ24</f>
        <v>6337.64</v>
      </c>
      <c r="BA24">
        <f>集中式风电!BA24+分散式风电!BA24</f>
        <v>6298.51</v>
      </c>
      <c r="BB24">
        <f>集中式风电!BB24+分散式风电!BB24</f>
        <v>6258.32</v>
      </c>
      <c r="BC24">
        <f>集中式风电!BC24+分散式风电!BC24</f>
        <v>6229.47</v>
      </c>
      <c r="BD24">
        <f>集中式风电!BD24+分散式风电!BD24</f>
        <v>6163.57</v>
      </c>
      <c r="BE24">
        <f>集中式风电!BE24+分散式风电!BE24</f>
        <v>6121.32</v>
      </c>
      <c r="BF24">
        <f>集中式风电!BF24+分散式风电!BF24</f>
        <v>6059.52</v>
      </c>
      <c r="BG24">
        <f>集中式风电!BG24+分散式风电!BG24</f>
        <v>5954.47</v>
      </c>
      <c r="BH24">
        <f>集中式风电!BH24+分散式风电!BH24</f>
        <v>5853.53</v>
      </c>
      <c r="BI24">
        <f>集中式风电!BI24+分散式风电!BI24</f>
        <v>5747.44</v>
      </c>
      <c r="BJ24">
        <f>集中式风电!BJ24+分散式风电!BJ24</f>
        <v>5625.91</v>
      </c>
      <c r="BK24">
        <f>集中式风电!BK24+分散式风电!BK24</f>
        <v>5507.43</v>
      </c>
      <c r="BL24">
        <f>集中式风电!BL24+分散式风电!BL24</f>
        <v>5393.13</v>
      </c>
      <c r="BM24">
        <f>集中式风电!BM24+分散式风电!BM24</f>
        <v>5294.24</v>
      </c>
      <c r="BN24">
        <f>集中式风电!BN24+分散式风电!BN24</f>
        <v>5191.23</v>
      </c>
      <c r="BO24">
        <f>集中式风电!BO24+分散式风电!BO24</f>
        <v>5087.21</v>
      </c>
      <c r="BP24">
        <f>集中式风电!BP24+分散式风电!BP24</f>
        <v>4963.61</v>
      </c>
      <c r="BQ24">
        <f>集中式风电!BQ24+分散式风电!BQ24</f>
        <v>4847.22</v>
      </c>
      <c r="BR24">
        <f>集中式风电!BR24+分散式风电!BR24</f>
        <v>4744.22</v>
      </c>
      <c r="BS24">
        <f>集中式风电!BS24+分散式风电!BS24</f>
        <v>4685.49</v>
      </c>
      <c r="BT24">
        <f>集中式风电!BT24+分散式风电!BT24</f>
        <v>4646.36</v>
      </c>
      <c r="BU24">
        <f>集中式风电!BU24+分散式风电!BU24</f>
        <v>4588.69</v>
      </c>
      <c r="BV24">
        <f>集中式风电!BV24+分散式风电!BV24</f>
        <v>4561.89</v>
      </c>
      <c r="BW24">
        <f>集中式风电!BW24+分散式风电!BW24</f>
        <v>4557.78</v>
      </c>
      <c r="BX24">
        <f>集中式风电!BX24+分散式风电!BX24</f>
        <v>4550.57</v>
      </c>
      <c r="BY24">
        <f>集中式风电!BY24+分散式风电!BY24</f>
        <v>4545.43</v>
      </c>
      <c r="BZ24">
        <f>集中式风电!BZ24+分散式风电!BZ24</f>
        <v>4552.63</v>
      </c>
      <c r="CA24">
        <f>集中式风电!CA24+分散式风电!CA24</f>
        <v>4571.18</v>
      </c>
      <c r="CB24">
        <f>集中式风电!CB24+分散式风电!CB24</f>
        <v>4587.65</v>
      </c>
      <c r="CC24">
        <f>集中式风电!CC24+分散式风电!CC24</f>
        <v>4604.14</v>
      </c>
      <c r="CD24">
        <f>集中式风电!CD24+分散式风电!CD24</f>
        <v>4624.73</v>
      </c>
      <c r="CE24">
        <f>集中式风电!CE24+分散式风电!CE24</f>
        <v>4643.28</v>
      </c>
      <c r="CF24">
        <f>集中式风电!CF24+分散式风电!CF24</f>
        <v>4656.67</v>
      </c>
      <c r="CG24">
        <f>集中式风电!CG24+分散式风电!CG24</f>
        <v>4674.17</v>
      </c>
      <c r="CH24">
        <f>集中式风电!CH24+分散式风电!CH24</f>
        <v>4696.84</v>
      </c>
      <c r="CI24">
        <f>集中式风电!CI24+分散式风电!CI24</f>
        <v>4691.67</v>
      </c>
      <c r="CJ24">
        <f>集中式风电!CJ24+分散式风电!CJ24</f>
        <v>4721.55</v>
      </c>
      <c r="CK24">
        <f>集中式风电!CK24+分散式风电!CK24</f>
        <v>4751.41</v>
      </c>
      <c r="CL24">
        <f>集中式风电!CL24+分散式风电!CL24</f>
        <v>4764.8</v>
      </c>
      <c r="CM24">
        <f>集中式风电!CM24+分散式风电!CM24</f>
        <v>4750.39</v>
      </c>
      <c r="CN24">
        <f>集中式风电!CN24+分散式风电!CN24</f>
        <v>4743.19</v>
      </c>
      <c r="CO24">
        <f>集中式风电!CO24+分散式风电!CO24</f>
        <v>4723.62</v>
      </c>
      <c r="CP24">
        <f>集中式风电!CP24+分散式风电!CP24</f>
        <v>4690.64</v>
      </c>
      <c r="CQ24">
        <f>集中式风电!CQ24+分散式风电!CQ24</f>
        <v>4638.11</v>
      </c>
      <c r="CR24">
        <f>集中式风电!CR24+分散式风电!CR24</f>
        <v>4583.55</v>
      </c>
      <c r="CS24">
        <f>集中式风电!CS24+分散式风电!CS24</f>
        <v>4535.12</v>
      </c>
    </row>
    <row r="25" spans="1:97">
      <c r="A25" s="9">
        <v>46258</v>
      </c>
      <c r="B25">
        <f>集中式风电!B25+分散式风电!B25</f>
        <v>3957.29</v>
      </c>
      <c r="C25">
        <f>集中式风电!C25+分散式风电!C25</f>
        <v>3889.33</v>
      </c>
      <c r="D25">
        <f>集中式风电!D25+分散式风电!D25</f>
        <v>3827.52</v>
      </c>
      <c r="E25">
        <f>集中式风电!E25+分散式风电!E25</f>
        <v>3764.69</v>
      </c>
      <c r="F25">
        <f>集中式风电!F25+分散式风电!F25</f>
        <v>3697.75</v>
      </c>
      <c r="G25">
        <f>集中式风电!G25+分散式风电!G25</f>
        <v>3621.53</v>
      </c>
      <c r="H25">
        <f>集中式风电!H25+分散式风电!H25</f>
        <v>3547.37</v>
      </c>
      <c r="I25">
        <f>集中式风电!I25+分散式风电!I25</f>
        <v>3474.22</v>
      </c>
      <c r="J25">
        <f>集中式风电!J25+分散式风电!J25</f>
        <v>3383.57</v>
      </c>
      <c r="K25">
        <f>集中式风电!K25+分散式风电!K25</f>
        <v>3297.05</v>
      </c>
      <c r="L25">
        <f>集中式风电!L25+分散式风电!L25</f>
        <v>3210.55</v>
      </c>
      <c r="M25">
        <f>集中式风电!M25+分散式风电!M25</f>
        <v>3123.01</v>
      </c>
      <c r="N25">
        <f>集中式风电!N25+分散式风电!N25</f>
        <v>3039.58</v>
      </c>
      <c r="O25">
        <f>集中式风电!O25+分散式风电!O25</f>
        <v>2958.19</v>
      </c>
      <c r="P25">
        <f>集中式风电!P25+分散式风电!P25</f>
        <v>2877.86</v>
      </c>
      <c r="Q25">
        <f>集中式风电!Q25+分散式风电!Q25</f>
        <v>2800.61</v>
      </c>
      <c r="R25">
        <f>集中式风电!R25+分散式风电!R25</f>
        <v>2723.38</v>
      </c>
      <c r="S25">
        <f>集中式风电!S25+分散式风电!S25</f>
        <v>2645.08</v>
      </c>
      <c r="T25">
        <f>集中式风电!T25+分散式风电!T25</f>
        <v>2564.75</v>
      </c>
      <c r="U25">
        <f>集中式风电!U25+分散式风电!U25</f>
        <v>2484.4</v>
      </c>
      <c r="V25">
        <f>集中式风电!V25+分散式风电!V25</f>
        <v>2405.09</v>
      </c>
      <c r="W25">
        <f>集中式风电!W25+分散式风电!W25</f>
        <v>2324.77</v>
      </c>
      <c r="X25">
        <f>集中式风电!X25+分散式风电!X25</f>
        <v>2247.52</v>
      </c>
      <c r="Y25">
        <f>集中式风电!Y25+分散式风电!Y25</f>
        <v>2167.18</v>
      </c>
      <c r="Z25">
        <f>集中式风电!Z25+分散式风电!Z25</f>
        <v>2089.93</v>
      </c>
      <c r="AA25">
        <f>集中式风电!AA25+分散式风电!AA25</f>
        <v>2015.74</v>
      </c>
      <c r="AB25">
        <f>集中式风电!AB25+分散式风电!AB25</f>
        <v>1950.87</v>
      </c>
      <c r="AC25">
        <f>集中式风电!AC25+分散式风电!AC25</f>
        <v>1880.84</v>
      </c>
      <c r="AD25">
        <f>集中式风电!AD25+分散式风电!AD25</f>
        <v>1817.99</v>
      </c>
      <c r="AE25">
        <f>集中式风电!AE25+分散式风电!AE25</f>
        <v>1757.23</v>
      </c>
      <c r="AF25">
        <f>集中式风电!AF25+分散式风电!AF25</f>
        <v>1698.53</v>
      </c>
      <c r="AG25">
        <f>集中式风电!AG25+分散式风电!AG25</f>
        <v>1639.82</v>
      </c>
      <c r="AH25">
        <f>集中式风电!AH25+分散式风电!AH25</f>
        <v>1600.66</v>
      </c>
      <c r="AI25">
        <f>集中式风电!AI25+分散式风电!AI25</f>
        <v>1568.73</v>
      </c>
      <c r="AJ25">
        <f>集中式风电!AJ25+分散式风电!AJ25</f>
        <v>1533.72</v>
      </c>
      <c r="AK25">
        <f>集中式风电!AK25+分散式风电!AK25</f>
        <v>1496.65</v>
      </c>
      <c r="AL25">
        <f>集中式风电!AL25+分散式风电!AL25</f>
        <v>1467.81</v>
      </c>
      <c r="AM25">
        <f>集中式风电!AM25+分散式风电!AM25</f>
        <v>1441.02</v>
      </c>
      <c r="AN25">
        <f>集中式风电!AN25+分散式风电!AN25</f>
        <v>1414.23</v>
      </c>
      <c r="AO25">
        <f>集中式风电!AO25+分散式风电!AO25</f>
        <v>1386.43</v>
      </c>
      <c r="AP25">
        <f>集中式风电!AP25+分散式风电!AP25</f>
        <v>1364.81</v>
      </c>
      <c r="AQ25">
        <f>集中式风电!AQ25+分散式风电!AQ25</f>
        <v>1349.34</v>
      </c>
      <c r="AR25">
        <f>集中式风电!AR25+分散式风电!AR25</f>
        <v>1336.97</v>
      </c>
      <c r="AS25">
        <f>集中式风电!AS25+分散式风电!AS25</f>
        <v>1328.74</v>
      </c>
      <c r="AT25">
        <f>集中式风电!AT25+分散式风电!AT25</f>
        <v>1322.58</v>
      </c>
      <c r="AU25">
        <f>集中式风电!AU25+分散式风电!AU25</f>
        <v>1318.45</v>
      </c>
      <c r="AV25">
        <f>集中式风电!AV25+分散式风电!AV25</f>
        <v>1316.38</v>
      </c>
      <c r="AW25">
        <f>集中式风电!AW25+分散式风电!AW25</f>
        <v>1315.36</v>
      </c>
      <c r="AX25">
        <f>集中式风电!AX25+分散式风电!AX25</f>
        <v>1322.57</v>
      </c>
      <c r="AY25">
        <f>集中式风电!AY25+分散式风电!AY25</f>
        <v>1330.78</v>
      </c>
      <c r="AZ25">
        <f>集中式风电!AZ25+分散式风电!AZ25</f>
        <v>1340.06</v>
      </c>
      <c r="BA25">
        <f>集中式风电!BA25+分散式风电!BA25</f>
        <v>1350.35</v>
      </c>
      <c r="BB25">
        <f>集中式风电!BB25+分散式风电!BB25</f>
        <v>1363.75</v>
      </c>
      <c r="BC25">
        <f>集中式风电!BC25+分散式风电!BC25</f>
        <v>1383.31</v>
      </c>
      <c r="BD25">
        <f>集中式风电!BD25+分散式风电!BD25</f>
        <v>1403.91</v>
      </c>
      <c r="BE25">
        <f>集中式风电!BE25+分散式风电!BE25</f>
        <v>1423.5</v>
      </c>
      <c r="BF25">
        <f>集中式风电!BF25+分散式风电!BF25</f>
        <v>1449.24</v>
      </c>
      <c r="BG25">
        <f>集中式风电!BG25+分散式风电!BG25</f>
        <v>1484.26</v>
      </c>
      <c r="BH25">
        <f>集中式风电!BH25+分散式风电!BH25</f>
        <v>1524.43</v>
      </c>
      <c r="BI25">
        <f>集中式风电!BI25+分散式风电!BI25</f>
        <v>1568.73</v>
      </c>
      <c r="BJ25">
        <f>集中式风电!BJ25+分散式风电!BJ25</f>
        <v>1619.19</v>
      </c>
      <c r="BK25">
        <f>集中式风电!BK25+分散式风电!BK25</f>
        <v>1693.37</v>
      </c>
      <c r="BL25">
        <f>集中式风电!BL25+分散式风电!BL25</f>
        <v>1770.59</v>
      </c>
      <c r="BM25">
        <f>集中式风电!BM25+分散式风电!BM25</f>
        <v>1855.06</v>
      </c>
      <c r="BN25">
        <f>集中式风电!BN25+分散式风电!BN25</f>
        <v>1953.95</v>
      </c>
      <c r="BO25">
        <f>集中式风电!BO25+分散式风电!BO25</f>
        <v>2066.22</v>
      </c>
      <c r="BP25">
        <f>集中式风电!BP25+分散式风电!BP25</f>
        <v>2184.66</v>
      </c>
      <c r="BQ25">
        <f>集中式风电!BQ25+分散式风电!BQ25</f>
        <v>2307.24</v>
      </c>
      <c r="BR25">
        <f>集中式风电!BR25+分散式风电!BR25</f>
        <v>2442.17</v>
      </c>
      <c r="BS25">
        <f>集中式风电!BS25+分散式风电!BS25</f>
        <v>2594.59</v>
      </c>
      <c r="BT25">
        <f>集中式风电!BT25+分散式风电!BT25</f>
        <v>2752.18</v>
      </c>
      <c r="BU25">
        <f>集中式风电!BU25+分散式风电!BU25</f>
        <v>2913.9</v>
      </c>
      <c r="BV25">
        <f>集中式风电!BV25+分散式风电!BV25</f>
        <v>3093.12</v>
      </c>
      <c r="BW25">
        <f>集中式风电!BW25+分散式风电!BW25</f>
        <v>3290.89</v>
      </c>
      <c r="BX25">
        <f>集中式风电!BX25+分散式风电!BX25</f>
        <v>3483.48</v>
      </c>
      <c r="BY25">
        <f>集中式风电!BY25+分散式风电!BY25</f>
        <v>3681.24</v>
      </c>
      <c r="BZ25">
        <f>集中式风电!BZ25+分散式风电!BZ25</f>
        <v>3878</v>
      </c>
      <c r="CA25">
        <f>集中式风电!CA25+分散式风电!CA25</f>
        <v>4069.56</v>
      </c>
      <c r="CB25">
        <f>集中式风电!CB25+分散式风电!CB25</f>
        <v>4258.07</v>
      </c>
      <c r="CC25">
        <f>集中式风电!CC25+分散式风电!CC25</f>
        <v>4443.44</v>
      </c>
      <c r="CD25">
        <f>集中式风电!CD25+分散式风电!CD25</f>
        <v>4579.42</v>
      </c>
      <c r="CE25">
        <f>集中式风电!CE25+分散式风电!CE25</f>
        <v>4685.51</v>
      </c>
      <c r="CF25">
        <f>集中式风电!CF25+分散式风电!CF25</f>
        <v>4782.31</v>
      </c>
      <c r="CG25">
        <f>集中式风电!CG25+分散式风电!CG25</f>
        <v>4873.98</v>
      </c>
      <c r="CH25">
        <f>集中式风电!CH25+分散式风电!CH25</f>
        <v>4928.57</v>
      </c>
      <c r="CI25">
        <f>集中式风电!CI25+分散式风电!CI25</f>
        <v>4950.2</v>
      </c>
      <c r="CJ25">
        <f>集中式风电!CJ25+分散式风电!CJ25</f>
        <v>4968.75</v>
      </c>
      <c r="CK25">
        <f>集中式风电!CK25+分散式风电!CK25</f>
        <v>4994.51</v>
      </c>
      <c r="CL25">
        <f>集中式风电!CL25+分散式风电!CL25</f>
        <v>4987.3</v>
      </c>
      <c r="CM25">
        <f>集中式风电!CM25+分散式风电!CM25</f>
        <v>4970.82</v>
      </c>
      <c r="CN25">
        <f>集中式风电!CN25+分散式风电!CN25</f>
        <v>4936.81</v>
      </c>
      <c r="CO25">
        <f>集中式风电!CO25+分散式风电!CO25</f>
        <v>4915.18</v>
      </c>
      <c r="CP25">
        <f>集中式风电!CP25+分散式风电!CP25</f>
        <v>4867.8</v>
      </c>
      <c r="CQ25">
        <f>集中式风电!CQ25+分散式风电!CQ25</f>
        <v>4799.83</v>
      </c>
      <c r="CR25">
        <f>集中式风电!CR25+分散式风电!CR25</f>
        <v>4732.88</v>
      </c>
      <c r="CS25">
        <f>集中式风电!CS25+分散式风电!CS25</f>
        <v>4667.99</v>
      </c>
    </row>
    <row r="26" spans="1:97">
      <c r="A26" s="9">
        <v>46259</v>
      </c>
      <c r="B26">
        <f>集中式风电!B26+分散式风电!B26</f>
        <v>3797.65</v>
      </c>
      <c r="C26">
        <f>集中式风电!C26+分散式风电!C26</f>
        <v>3726.57</v>
      </c>
      <c r="D26">
        <f>集中式风电!D26+分散式风电!D26</f>
        <v>3658.6</v>
      </c>
      <c r="E26">
        <f>集中式风电!E26+分散式风电!E26</f>
        <v>3592.68</v>
      </c>
      <c r="F26">
        <f>集中式风电!F26+分散式风电!F26</f>
        <v>3520.59</v>
      </c>
      <c r="G26">
        <f>集中式风电!G26+分散式风电!G26</f>
        <v>3446.43</v>
      </c>
      <c r="H26">
        <f>集中式风电!H26+分散式风电!H26</f>
        <v>3371.23</v>
      </c>
      <c r="I26">
        <f>集中式风电!I26+分散式风电!I26</f>
        <v>3295</v>
      </c>
      <c r="J26">
        <f>集中式风电!J26+分散式风电!J26</f>
        <v>3218.77</v>
      </c>
      <c r="K26">
        <f>集中式风电!K26+分散式风电!K26</f>
        <v>3145.66</v>
      </c>
      <c r="L26">
        <f>集中式风电!L26+分散式风电!L26</f>
        <v>3073.55</v>
      </c>
      <c r="M26">
        <f>集中式风电!M26+分散式风电!M26</f>
        <v>2999.4</v>
      </c>
      <c r="N26">
        <f>集中式风电!N26+分散式风电!N26</f>
        <v>2919.06</v>
      </c>
      <c r="O26">
        <f>集中式风电!O26+分散式风电!O26</f>
        <v>2855.2</v>
      </c>
      <c r="P26">
        <f>集中式风电!P26+分散式风电!P26</f>
        <v>2792.37</v>
      </c>
      <c r="Q26">
        <f>集中式风电!Q26+分散式风电!Q26</f>
        <v>2730.57</v>
      </c>
      <c r="R26">
        <f>集中式风电!R26+分散式风电!R26</f>
        <v>2668.77</v>
      </c>
      <c r="S26">
        <f>集中式风电!S26+分散式风电!S26</f>
        <v>2612.11</v>
      </c>
      <c r="T26">
        <f>集中式风电!T26+分散式风电!T26</f>
        <v>2554.45</v>
      </c>
      <c r="U26">
        <f>集中式风电!U26+分散式风电!U26</f>
        <v>2505</v>
      </c>
      <c r="V26">
        <f>集中式风电!V26+分散式风电!V26</f>
        <v>2456.6</v>
      </c>
      <c r="W26">
        <f>集中式风电!W26+分散式风电!W26</f>
        <v>2420.54</v>
      </c>
      <c r="X26">
        <f>集中式风电!X26+分散式风电!X26</f>
        <v>2384.51</v>
      </c>
      <c r="Y26">
        <f>集中式风电!Y26+分散式风电!Y26</f>
        <v>2320.64</v>
      </c>
      <c r="Z26">
        <f>集中式风电!Z26+分散式风电!Z26</f>
        <v>2277.39</v>
      </c>
      <c r="AA26">
        <f>集中式风电!AA26+分散式风电!AA26</f>
        <v>2232.07</v>
      </c>
      <c r="AB26">
        <f>集中式风电!AB26+分散式风电!AB26</f>
        <v>2194.99</v>
      </c>
      <c r="AC26">
        <f>集中式风电!AC26+分散式风电!AC26</f>
        <v>2157.9</v>
      </c>
      <c r="AD26">
        <f>集中式风电!AD26+分散式风电!AD26</f>
        <v>2129.07</v>
      </c>
      <c r="AE26">
        <f>集中式风电!AE26+分散式风电!AE26</f>
        <v>2087.87</v>
      </c>
      <c r="AF26">
        <f>集中式风电!AF26+分散式风电!AF26</f>
        <v>2065.19</v>
      </c>
      <c r="AG26">
        <f>集中式风电!AG26+分散式风电!AG26</f>
        <v>2037.4</v>
      </c>
      <c r="AH26">
        <f>集中式风电!AH26+分散式风电!AH26</f>
        <v>2033.26</v>
      </c>
      <c r="AI26">
        <f>集中式风电!AI26+分散式风电!AI26</f>
        <v>2046.67</v>
      </c>
      <c r="AJ26">
        <f>集中式风电!AJ26+分散式风电!AJ26</f>
        <v>2068.29</v>
      </c>
      <c r="AK26">
        <f>集中式风电!AK26+分散式风电!AK26</f>
        <v>2093.02</v>
      </c>
      <c r="AL26">
        <f>集中式风电!AL26+分散式风电!AL26</f>
        <v>2131.12</v>
      </c>
      <c r="AM26">
        <f>集中式风电!AM26+分散式风电!AM26</f>
        <v>2174.38</v>
      </c>
      <c r="AN26">
        <f>集中式风电!AN26+分散式风电!AN26</f>
        <v>2222.79</v>
      </c>
      <c r="AO26">
        <f>集中式风电!AO26+分散式风电!AO26</f>
        <v>2275.31</v>
      </c>
      <c r="AP26">
        <f>集中式风电!AP26+分散式风电!AP26</f>
        <v>2327.83</v>
      </c>
      <c r="AQ26">
        <f>集中式风电!AQ26+分散式风电!AQ26</f>
        <v>2384.49</v>
      </c>
      <c r="AR26">
        <f>集中式风电!AR26+分散式风电!AR26</f>
        <v>2430.83</v>
      </c>
      <c r="AS26">
        <f>集中式风电!AS26+分散式风电!AS26</f>
        <v>2473.07</v>
      </c>
      <c r="AT26">
        <f>集中式风电!AT26+分散式风电!AT26</f>
        <v>2510.17</v>
      </c>
      <c r="AU26">
        <f>集中式风电!AU26+分散式风电!AU26</f>
        <v>2552.38</v>
      </c>
      <c r="AV26">
        <f>集中式风电!AV26+分散式风电!AV26</f>
        <v>2584.3</v>
      </c>
      <c r="AW26">
        <f>集中式风电!AW26+分散式风电!AW26</f>
        <v>2621.38</v>
      </c>
      <c r="AX26">
        <f>集中式风电!AX26+分散式风电!AX26</f>
        <v>2646.1</v>
      </c>
      <c r="AY26">
        <f>集中式风电!AY26+分散式风电!AY26</f>
        <v>2672.88</v>
      </c>
      <c r="AZ26">
        <f>集中式风电!AZ26+分散式风电!AZ26</f>
        <v>2697.61</v>
      </c>
      <c r="BA26">
        <f>集中式风电!BA26+分散式风电!BA26</f>
        <v>2718.2</v>
      </c>
      <c r="BB26">
        <f>集中式风电!BB26+分散式风电!BB26</f>
        <v>2731.6</v>
      </c>
      <c r="BC26">
        <f>集中式风电!BC26+分散式风电!BC26</f>
        <v>2726.44</v>
      </c>
      <c r="BD26">
        <f>集中式风电!BD26+分散式风电!BD26</f>
        <v>2694.51</v>
      </c>
      <c r="BE26">
        <f>集中式风电!BE26+分散式风电!BE26</f>
        <v>2667.73</v>
      </c>
      <c r="BF26">
        <f>集中式风电!BF26+分散式风电!BF26</f>
        <v>2620.34</v>
      </c>
      <c r="BG26">
        <f>集中式风电!BG26+分散式风电!BG26</f>
        <v>2569.88</v>
      </c>
      <c r="BH26">
        <f>集中式风电!BH26+分散式风电!BH26</f>
        <v>2517.36</v>
      </c>
      <c r="BI26">
        <f>集中式风电!BI26+分散式风电!BI26</f>
        <v>2464.81</v>
      </c>
      <c r="BJ26">
        <f>集中式风电!BJ26+分散式风电!BJ26</f>
        <v>2423.63</v>
      </c>
      <c r="BK26">
        <f>集中式风电!BK26+分散式风电!BK26</f>
        <v>2381.4</v>
      </c>
      <c r="BL26">
        <f>集中式风电!BL26+分散式风电!BL26</f>
        <v>2330.92</v>
      </c>
      <c r="BM26">
        <f>集中式风电!BM26+分散式风电!BM26</f>
        <v>2300.03</v>
      </c>
      <c r="BN26">
        <f>集中式风电!BN26+分散式风电!BN26</f>
        <v>2296.92</v>
      </c>
      <c r="BO26">
        <f>集中式风电!BO26+分散式风电!BO26</f>
        <v>2301.05</v>
      </c>
      <c r="BP26">
        <f>集中式风电!BP26+分散式风电!BP26</f>
        <v>2317.54</v>
      </c>
      <c r="BQ26">
        <f>集中式风电!BQ26+分散式风电!BQ26</f>
        <v>2335.05</v>
      </c>
      <c r="BR26">
        <f>集中式风电!BR26+分散式风电!BR26</f>
        <v>2350.49</v>
      </c>
      <c r="BS26">
        <f>集中式风电!BS26+分散式风电!BS26</f>
        <v>2375.21</v>
      </c>
      <c r="BT26">
        <f>集中式风电!BT26+分散式风电!BT26</f>
        <v>2390.67</v>
      </c>
      <c r="BU26">
        <f>集中式风电!BU26+分散式风电!BU26</f>
        <v>2412.28</v>
      </c>
      <c r="BV26">
        <f>集中式风电!BV26+分散式风电!BV26</f>
        <v>2438.04</v>
      </c>
      <c r="BW26">
        <f>集中式风电!BW26+分散式风电!BW26</f>
        <v>2460.69</v>
      </c>
      <c r="BX26">
        <f>集中式风电!BX26+分散式风电!BX26</f>
        <v>2480.28</v>
      </c>
      <c r="BY26">
        <f>集中式风电!BY26+分散式风电!BY26</f>
        <v>2537.94</v>
      </c>
      <c r="BZ26">
        <f>集中式风电!BZ26+分散式风电!BZ26</f>
        <v>2569.9</v>
      </c>
      <c r="CA26">
        <f>集中式风电!CA26+分散式风电!CA26</f>
        <v>2600.78</v>
      </c>
      <c r="CB26">
        <f>集中式风电!CB26+分散式风电!CB26</f>
        <v>2634.77</v>
      </c>
      <c r="CC26">
        <f>集中式风电!CC26+分散式风电!CC26</f>
        <v>2657.42</v>
      </c>
      <c r="CD26">
        <f>集中式风电!CD26+分散式风电!CD26</f>
        <v>2678.02</v>
      </c>
      <c r="CE26">
        <f>集中式风电!CE26+分散式风电!CE26</f>
        <v>2674.95</v>
      </c>
      <c r="CF26">
        <f>集中式风电!CF26+分散式风电!CF26</f>
        <v>2677</v>
      </c>
      <c r="CG26">
        <f>集中式风电!CG26+分散式风电!CG26</f>
        <v>2676.99</v>
      </c>
      <c r="CH26">
        <f>集中式风电!CH26+分散式风电!CH26</f>
        <v>2667.75</v>
      </c>
      <c r="CI26">
        <f>集中式风电!CI26+分散式风电!CI26</f>
        <v>2660.52</v>
      </c>
      <c r="CJ26">
        <f>集中式风电!CJ26+分散式风电!CJ26</f>
        <v>2654.36</v>
      </c>
      <c r="CK26">
        <f>集中式风电!CK26+分散式风电!CK26</f>
        <v>2648.17</v>
      </c>
      <c r="CL26">
        <f>集中式风电!CL26+分散式风电!CL26</f>
        <v>2644.04</v>
      </c>
      <c r="CM26">
        <f>集中式风电!CM26+分散式风电!CM26</f>
        <v>2647.14</v>
      </c>
      <c r="CN26">
        <f>集中式风电!CN26+分散式风电!CN26</f>
        <v>2653.31</v>
      </c>
      <c r="CO26">
        <f>集中式风电!CO26+分散式风电!CO26</f>
        <v>2657.45</v>
      </c>
      <c r="CP26">
        <f>集中式风电!CP26+分散式风电!CP26</f>
        <v>2661.55</v>
      </c>
      <c r="CQ26">
        <f>集中式风电!CQ26+分散式风电!CQ26</f>
        <v>2669.8</v>
      </c>
      <c r="CR26">
        <f>集中式风电!CR26+分散式风电!CR26</f>
        <v>2680.1</v>
      </c>
      <c r="CS26">
        <f>集中式风电!CS26+分散式风电!CS26</f>
        <v>2685.24</v>
      </c>
    </row>
    <row r="27" spans="1:97">
      <c r="A27" s="9">
        <v>46260</v>
      </c>
      <c r="B27">
        <f>集中式风电!B27+分散式风电!B27</f>
        <v>2096.1</v>
      </c>
      <c r="C27">
        <f>集中式风电!C27+分散式风电!C27</f>
        <v>2048.72</v>
      </c>
      <c r="D27">
        <f>集中式风电!D27+分散式风电!D27</f>
        <v>2009.58</v>
      </c>
      <c r="E27">
        <f>集中式风电!E27+分散式风电!E27</f>
        <v>1964.24</v>
      </c>
      <c r="F27">
        <f>集中式风电!F27+分散式风电!F27</f>
        <v>1931.3</v>
      </c>
      <c r="G27">
        <f>集中式风电!G27+分散式风电!G27</f>
        <v>1903.48</v>
      </c>
      <c r="H27">
        <f>集中式风电!H27+分散式风电!H27</f>
        <v>1878.77</v>
      </c>
      <c r="I27">
        <f>集中式风电!I27+分散式风电!I27</f>
        <v>1860.24</v>
      </c>
      <c r="J27">
        <f>集中式风电!J27+分散式风电!J27</f>
        <v>1840.65</v>
      </c>
      <c r="K27">
        <f>集中式风电!K27+分散式风电!K27</f>
        <v>1838.59</v>
      </c>
      <c r="L27">
        <f>集中式风电!L27+分散式风电!L27</f>
        <v>1836.54</v>
      </c>
      <c r="M27">
        <f>集中式风电!M27+分散式风电!M27</f>
        <v>1839.63</v>
      </c>
      <c r="N27">
        <f>集中式风电!N27+分散式风电!N27</f>
        <v>1875.66</v>
      </c>
      <c r="O27">
        <f>集中式风电!O27+分散式风电!O27</f>
        <v>1945.72</v>
      </c>
      <c r="P27">
        <f>集中式风电!P27+分散式风电!P27</f>
        <v>2020.9</v>
      </c>
      <c r="Q27">
        <f>集中式风电!Q27+分散式风电!Q27</f>
        <v>2101.25</v>
      </c>
      <c r="R27">
        <f>集中式风电!R27+分散式风电!R27</f>
        <v>2190.86</v>
      </c>
      <c r="S27">
        <f>集中式风电!S27+分散式风电!S27</f>
        <v>2290.77</v>
      </c>
      <c r="T27">
        <f>集中式风电!T27+分散式风电!T27</f>
        <v>2390.68</v>
      </c>
      <c r="U27">
        <f>集中式风电!U27+分散式风电!U27</f>
        <v>2481.33</v>
      </c>
      <c r="V27">
        <f>集中式风电!V27+分散式风电!V27</f>
        <v>2555.47</v>
      </c>
      <c r="W27">
        <f>集中式风电!W27+分散式风电!W27</f>
        <v>2612.12</v>
      </c>
      <c r="X27">
        <f>集中式风电!X27+分散式风电!X27</f>
        <v>2663.62</v>
      </c>
      <c r="Y27">
        <f>集中式风电!Y27+分散式风电!Y27</f>
        <v>2709.98</v>
      </c>
      <c r="Z27">
        <f>集中式风电!Z27+分散式风电!Z27</f>
        <v>2734.68</v>
      </c>
      <c r="AA27">
        <f>集中式风电!AA27+分散式风电!AA27</f>
        <v>2731.61</v>
      </c>
      <c r="AB27">
        <f>集中式风电!AB27+分散式风电!AB27</f>
        <v>2727.49</v>
      </c>
      <c r="AC27">
        <f>集中式风电!AC27+分散式风电!AC27</f>
        <v>2725.43</v>
      </c>
      <c r="AD27">
        <f>集中式风电!AD27+分散式风电!AD27</f>
        <v>2685.26</v>
      </c>
      <c r="AE27">
        <f>集中式风电!AE27+分散式风电!AE27</f>
        <v>2596.67</v>
      </c>
      <c r="AF27">
        <f>集中式风电!AF27+分散式风电!AF27</f>
        <v>2525.61</v>
      </c>
      <c r="AG27">
        <f>集中式风电!AG27+分散式风电!AG27</f>
        <v>2455.57</v>
      </c>
      <c r="AH27">
        <f>集中式风电!AH27+分散式风电!AH27</f>
        <v>2400.99</v>
      </c>
      <c r="AI27">
        <f>集中式风电!AI27+分散式风电!AI27</f>
        <v>2358.75</v>
      </c>
      <c r="AJ27">
        <f>集中式风电!AJ27+分散式风电!AJ27</f>
        <v>2315.5</v>
      </c>
      <c r="AK27">
        <f>集中式风电!AK27+分散式风电!AK27</f>
        <v>2274.28</v>
      </c>
      <c r="AL27">
        <f>集中式风电!AL27+分散式风电!AL27</f>
        <v>2239.27</v>
      </c>
      <c r="AM27">
        <f>集中式风电!AM27+分散式风电!AM27</f>
        <v>2215.57</v>
      </c>
      <c r="AN27">
        <f>集中式风电!AN27+分散式风电!AN27</f>
        <v>2193.94</v>
      </c>
      <c r="AO27">
        <f>集中式风电!AO27+分散式风电!AO27</f>
        <v>2175.4</v>
      </c>
      <c r="AP27">
        <f>集中式风电!AP27+分散式风电!AP27</f>
        <v>2160.98</v>
      </c>
      <c r="AQ27">
        <f>集中式风电!AQ27+分散式风电!AQ27</f>
        <v>2151.72</v>
      </c>
      <c r="AR27">
        <f>集中式风电!AR27+分散式风电!AR27</f>
        <v>2140.39</v>
      </c>
      <c r="AS27">
        <f>集中式风电!AS27+分散式风电!AS27</f>
        <v>2133.16</v>
      </c>
      <c r="AT27">
        <f>集中式风电!AT27+分散式风电!AT27</f>
        <v>2116.69</v>
      </c>
      <c r="AU27">
        <f>集中式风电!AU27+分散式风电!AU27</f>
        <v>2097.12</v>
      </c>
      <c r="AV27">
        <f>集中式风电!AV27+分散式风电!AV27</f>
        <v>2075.5</v>
      </c>
      <c r="AW27">
        <f>集中式风电!AW27+分散式风电!AW27</f>
        <v>2053.87</v>
      </c>
      <c r="AX27">
        <f>集中式风电!AX27+分散式风电!AX27</f>
        <v>2032.22</v>
      </c>
      <c r="AY27">
        <f>集中式风电!AY27+分散式风电!AY27</f>
        <v>2006.48</v>
      </c>
      <c r="AZ27">
        <f>集中式风电!AZ27+分散式风电!AZ27</f>
        <v>1980.74</v>
      </c>
      <c r="BA27">
        <f>集中式风电!BA27+分散式风电!BA27</f>
        <v>1958.06</v>
      </c>
      <c r="BB27">
        <f>集中式风电!BB27+分散式风电!BB27</f>
        <v>1930.27</v>
      </c>
      <c r="BC27">
        <f>集中式风电!BC27+分散式风电!BC27</f>
        <v>1906.56</v>
      </c>
      <c r="BD27">
        <f>集中式风电!BD27+分散式风电!BD27</f>
        <v>1878.76</v>
      </c>
      <c r="BE27">
        <f>集中式风电!BE27+分散式风电!BE27</f>
        <v>1850.94</v>
      </c>
      <c r="BF27">
        <f>集中式风电!BF27+分散式风电!BF27</f>
        <v>1819</v>
      </c>
      <c r="BG27">
        <f>集中式风电!BG27+分散式风电!BG27</f>
        <v>1777.81</v>
      </c>
      <c r="BH27">
        <f>集中式风电!BH27+分散式风电!BH27</f>
        <v>1734.56</v>
      </c>
      <c r="BI27">
        <f>集中式风电!BI27+分散式风电!BI27</f>
        <v>1696.43</v>
      </c>
      <c r="BJ27">
        <f>集中式风电!BJ27+分散式风电!BJ27</f>
        <v>1636.69</v>
      </c>
      <c r="BK27">
        <f>集中式风电!BK27+分散式风电!BK27</f>
        <v>1575.92</v>
      </c>
      <c r="BL27">
        <f>集中式风电!BL27+分散式风电!BL27</f>
        <v>1515.16</v>
      </c>
      <c r="BM27">
        <f>集中式风电!BM27+分散式风电!BM27</f>
        <v>1457.48</v>
      </c>
      <c r="BN27">
        <f>集中式风电!BN27+分散式风电!BN27</f>
        <v>1410.09</v>
      </c>
      <c r="BO27">
        <f>集中式风电!BO27+分散式风电!BO27</f>
        <v>1373.01</v>
      </c>
      <c r="BP27">
        <f>集中式风电!BP27+分散式风电!BP27</f>
        <v>1331.81</v>
      </c>
      <c r="BQ27">
        <f>集中式风电!BQ27+分散式风电!BQ27</f>
        <v>1292.68</v>
      </c>
      <c r="BR27">
        <f>集中式风电!BR27+分散式风电!BR27</f>
        <v>1265.91</v>
      </c>
      <c r="BS27">
        <f>集中式风电!BS27+分散式风电!BS27</f>
        <v>1257.66</v>
      </c>
      <c r="BT27">
        <f>集中式风电!BT27+分散式风电!BT27</f>
        <v>1250.44</v>
      </c>
      <c r="BU27">
        <f>集中式风电!BU27+分散式风电!BU27</f>
        <v>1241.19</v>
      </c>
      <c r="BV27">
        <f>集中式风电!BV27+分散式风电!BV27</f>
        <v>1244.27</v>
      </c>
      <c r="BW27">
        <f>集中式风电!BW27+分散式风电!BW27</f>
        <v>1240.16</v>
      </c>
      <c r="BX27">
        <f>集中式风电!BX27+分散式风电!BX27</f>
        <v>1239.14</v>
      </c>
      <c r="BY27">
        <f>集中式风电!BY27+分散式风电!BY27</f>
        <v>1243.25</v>
      </c>
      <c r="BZ27">
        <f>集中式风电!BZ27+分散式风电!BZ27</f>
        <v>1244.27</v>
      </c>
      <c r="CA27">
        <f>集中式风电!CA27+分散式风电!CA27</f>
        <v>1232.96</v>
      </c>
      <c r="CB27">
        <f>集中式风电!CB27+分散式风电!CB27</f>
        <v>1223.67</v>
      </c>
      <c r="CC27">
        <f>集中式风电!CC27+分散式风电!CC27</f>
        <v>1212.36</v>
      </c>
      <c r="CD27">
        <f>集中式风电!CD27+分散式风电!CD27</f>
        <v>1197.94</v>
      </c>
      <c r="CE27">
        <f>集中式风电!CE27+分散式风电!CE27</f>
        <v>1186.59</v>
      </c>
      <c r="CF27">
        <f>集中式风电!CF27+分散式风电!CF27</f>
        <v>1174.23</v>
      </c>
      <c r="CG27">
        <f>集中式风电!CG27+分散式风电!CG27</f>
        <v>1159.82</v>
      </c>
      <c r="CH27">
        <f>集中式风电!CH27+分散式风电!CH27</f>
        <v>1155.7</v>
      </c>
      <c r="CI27">
        <f>集中式风电!CI27+分散式风电!CI27</f>
        <v>1154.69</v>
      </c>
      <c r="CJ27">
        <f>集中式风电!CJ27+分散式风电!CJ27</f>
        <v>1155.71</v>
      </c>
      <c r="CK27">
        <f>集中式风电!CK27+分散式风电!CK27</f>
        <v>1158.79</v>
      </c>
      <c r="CL27">
        <f>集中式风电!CL27+分散式风电!CL27</f>
        <v>1169.1</v>
      </c>
      <c r="CM27">
        <f>集中式风电!CM27+分散式风电!CM27</f>
        <v>1182.48</v>
      </c>
      <c r="CN27">
        <f>集中式风电!CN27+分散式风电!CN27</f>
        <v>1201.01</v>
      </c>
      <c r="CO27">
        <f>集中式风电!CO27+分散式风电!CO27</f>
        <v>1214.41</v>
      </c>
      <c r="CP27">
        <f>集中式风电!CP27+分散式风电!CP27</f>
        <v>1231.93</v>
      </c>
      <c r="CQ27">
        <f>集中式风电!CQ27+分散式风电!CQ27</f>
        <v>1252.52</v>
      </c>
      <c r="CR27">
        <f>集中式风电!CR27+分散式风电!CR27</f>
        <v>1275.17</v>
      </c>
      <c r="CS27">
        <f>集中式风电!CS27+分散式风电!CS27</f>
        <v>1298.87</v>
      </c>
    </row>
    <row r="28" spans="1:97">
      <c r="A28" s="9">
        <v>46261</v>
      </c>
      <c r="B28">
        <f>集中式风电!B28+分散式风电!B28</f>
        <v>1288.58</v>
      </c>
      <c r="C28">
        <f>集中式风电!C28+分散式风电!C28</f>
        <v>1320.5</v>
      </c>
      <c r="D28">
        <f>集中式风电!D28+分散式风电!D28</f>
        <v>1352.43</v>
      </c>
      <c r="E28">
        <f>集中式风电!E28+分散式风电!E28</f>
        <v>1382.29</v>
      </c>
      <c r="F28">
        <f>集中式风电!F28+分散式风电!F28</f>
        <v>1415.26</v>
      </c>
      <c r="G28">
        <f>集中式风电!G28+分散式风电!G28</f>
        <v>1451.32</v>
      </c>
      <c r="H28">
        <f>集中式风电!H28+分散式风电!H28</f>
        <v>1488.39</v>
      </c>
      <c r="I28">
        <f>集中式风电!I28+分散式风电!I28</f>
        <v>1524.46</v>
      </c>
      <c r="J28">
        <f>集中式风电!J28+分散式风电!J28</f>
        <v>1555.34</v>
      </c>
      <c r="K28">
        <f>集中式风电!K28+分散式风电!K28</f>
        <v>1585.2</v>
      </c>
      <c r="L28">
        <f>集中式风电!L28+分散式风电!L28</f>
        <v>1615.09</v>
      </c>
      <c r="M28">
        <f>集中式风电!M28+分散式风电!M28</f>
        <v>1647.02</v>
      </c>
      <c r="N28">
        <f>集中式风电!N28+分散式风电!N28</f>
        <v>1679.99</v>
      </c>
      <c r="O28">
        <f>集中式风电!O28+分散式风电!O28</f>
        <v>1711.92</v>
      </c>
      <c r="P28">
        <f>集中式风电!P28+分散式风电!P28</f>
        <v>1749</v>
      </c>
      <c r="Q28">
        <f>集中式风电!Q28+分散式风电!Q28</f>
        <v>1787.09</v>
      </c>
      <c r="R28">
        <f>集中式风电!R28+分散式风电!R28</f>
        <v>1829.33</v>
      </c>
      <c r="S28">
        <f>集中式风电!S28+分散式风电!S28</f>
        <v>1874.66</v>
      </c>
      <c r="T28">
        <f>集中式风电!T28+分散式风电!T28</f>
        <v>1919.98</v>
      </c>
      <c r="U28">
        <f>集中式风电!U28+分散式风电!U28</f>
        <v>1962.19</v>
      </c>
      <c r="V28">
        <f>集中式风电!V28+分散式风电!V28</f>
        <v>2004.43</v>
      </c>
      <c r="W28">
        <f>集中式风电!W28+分散式风电!W28</f>
        <v>2038.42</v>
      </c>
      <c r="X28">
        <f>集中式风电!X28+分散式风电!X28</f>
        <v>2074.49</v>
      </c>
      <c r="Y28">
        <f>集中式风电!Y28+分散式风电!Y28</f>
        <v>2105.38</v>
      </c>
      <c r="Z28">
        <f>集中式风电!Z28+分散式风电!Z28</f>
        <v>2121.85</v>
      </c>
      <c r="AA28">
        <f>集中式风电!AA28+分散式风电!AA28</f>
        <v>2120.82</v>
      </c>
      <c r="AB28">
        <f>集中式风电!AB28+分散式风电!AB28</f>
        <v>2119.79</v>
      </c>
      <c r="AC28">
        <f>集中式风电!AC28+分散式风电!AC28</f>
        <v>2119.79</v>
      </c>
      <c r="AD28">
        <f>集中式风电!AD28+分散式风电!AD28</f>
        <v>2097.13</v>
      </c>
      <c r="AE28">
        <f>集中式风电!AE28+分散式风电!AE28</f>
        <v>2051.81</v>
      </c>
      <c r="AF28">
        <f>集中式风电!AF28+分散式风电!AF28</f>
        <v>2000.31</v>
      </c>
      <c r="AG28">
        <f>集中式风电!AG28+分散式风电!AG28</f>
        <v>1952.93</v>
      </c>
      <c r="AH28">
        <f>集中式风电!AH28+分散式风电!AH28</f>
        <v>1899.37</v>
      </c>
      <c r="AI28">
        <f>集中式风电!AI28+分散式风电!AI28</f>
        <v>1845.82</v>
      </c>
      <c r="AJ28">
        <f>集中式风电!AJ28+分散式风电!AJ28</f>
        <v>1792.27</v>
      </c>
      <c r="AK28">
        <f>集中式风电!AK28+分散式风电!AK28</f>
        <v>1740.76</v>
      </c>
      <c r="AL28">
        <f>集中式风电!AL28+分散式风电!AL28</f>
        <v>1704.7</v>
      </c>
      <c r="AM28">
        <f>集中式风电!AM28+分散式风电!AM28</f>
        <v>1683.08</v>
      </c>
      <c r="AN28">
        <f>集中式风电!AN28+分散式风电!AN28</f>
        <v>1667.62</v>
      </c>
      <c r="AO28">
        <f>集中式风电!AO28+分散式风电!AO28</f>
        <v>1650.1</v>
      </c>
      <c r="AP28">
        <f>集中式风电!AP28+分散式风电!AP28</f>
        <v>1639.8</v>
      </c>
      <c r="AQ28">
        <f>集中式风电!AQ28+分散式风电!AQ28</f>
        <v>1634.66</v>
      </c>
      <c r="AR28">
        <f>集中式风电!AR28+分散式风电!AR28</f>
        <v>1633.62</v>
      </c>
      <c r="AS28">
        <f>集中式风电!AS28+分散式风电!AS28</f>
        <v>1634.67</v>
      </c>
      <c r="AT28">
        <f>集中式风电!AT28+分散式风电!AT28</f>
        <v>1641.87</v>
      </c>
      <c r="AU28">
        <f>集中式风电!AU28+分散式风电!AU28</f>
        <v>1656.3</v>
      </c>
      <c r="AV28">
        <f>集中式风电!AV28+分散式风电!AV28</f>
        <v>1672.77</v>
      </c>
      <c r="AW28">
        <f>集中式风电!AW28+分散式风电!AW28</f>
        <v>1689.24</v>
      </c>
      <c r="AX28">
        <f>集中式风电!AX28+分散式风电!AX28</f>
        <v>1715.01</v>
      </c>
      <c r="AY28">
        <f>集中式风电!AY28+分散式风电!AY28</f>
        <v>1748.98</v>
      </c>
      <c r="AZ28">
        <f>集中式风电!AZ28+分散式风电!AZ28</f>
        <v>1782.98</v>
      </c>
      <c r="BA28">
        <f>集中式风电!BA28+分散式风电!BA28</f>
        <v>1820.06</v>
      </c>
      <c r="BB28">
        <f>集中式风电!BB28+分散式风电!BB28</f>
        <v>1863.32</v>
      </c>
      <c r="BC28">
        <f>集中式风电!BC28+分散式风电!BC28</f>
        <v>1912.76</v>
      </c>
      <c r="BD28">
        <f>集中式风电!BD28+分散式风电!BD28</f>
        <v>1963.23</v>
      </c>
      <c r="BE28">
        <f>集中式风电!BE28+分散式风电!BE28</f>
        <v>2009.58</v>
      </c>
      <c r="BF28">
        <f>集中式风电!BF28+分散式风电!BF28</f>
        <v>2063.14</v>
      </c>
      <c r="BG28">
        <f>集中式风电!BG28+分散式风电!BG28</f>
        <v>2117.72</v>
      </c>
      <c r="BH28">
        <f>集中式风电!BH28+分散式风电!BH28</f>
        <v>2173.33</v>
      </c>
      <c r="BI28">
        <f>集中式风电!BI28+分散式风电!BI28</f>
        <v>2231.03</v>
      </c>
      <c r="BJ28">
        <f>集中式风电!BJ28+分散式风电!BJ28</f>
        <v>2288.69</v>
      </c>
      <c r="BK28">
        <f>集中式风电!BK28+分散式风电!BK28</f>
        <v>2347.42</v>
      </c>
      <c r="BL28">
        <f>集中式风电!BL28+分散式风电!BL28</f>
        <v>2409.2</v>
      </c>
      <c r="BM28">
        <f>集中式风电!BM28+分散式风电!BM28</f>
        <v>2469.98</v>
      </c>
      <c r="BN28">
        <f>集中式风电!BN28+分散式风电!BN28</f>
        <v>2548.25</v>
      </c>
      <c r="BO28">
        <f>集中式风电!BO28+分散式风电!BO28</f>
        <v>2633.74</v>
      </c>
      <c r="BP28">
        <f>集中式风电!BP28+分散式风电!BP28</f>
        <v>2723.35</v>
      </c>
      <c r="BQ28">
        <f>集中式风电!BQ28+分散式风电!BQ28</f>
        <v>2817.09</v>
      </c>
      <c r="BR28">
        <f>集中式风电!BR28+分散式风电!BR28</f>
        <v>2943.79</v>
      </c>
      <c r="BS28">
        <f>集中式风电!BS28+分散式风电!BS28</f>
        <v>3095.2</v>
      </c>
      <c r="BT28">
        <f>集中式风电!BT28+分散式风电!BT28</f>
        <v>3252.77</v>
      </c>
      <c r="BU28">
        <f>集中式风电!BU28+分散式风电!BU28</f>
        <v>3411.4</v>
      </c>
      <c r="BV28">
        <f>集中式风电!BV28+分散式风电!BV28</f>
        <v>3587.53</v>
      </c>
      <c r="BW28">
        <f>集中式风电!BW28+分散式风电!BW28</f>
        <v>3781.16</v>
      </c>
      <c r="BX28">
        <f>集中式风电!BX28+分散式风电!BX28</f>
        <v>3976.85</v>
      </c>
      <c r="BY28">
        <f>集中式风电!BY28+分散式风电!BY28</f>
        <v>4169.48</v>
      </c>
      <c r="BZ28">
        <f>集中式风电!BZ28+分散式风电!BZ28</f>
        <v>4340.47</v>
      </c>
      <c r="CA28">
        <f>集中式风电!CA28+分散式风电!CA28</f>
        <v>4494.95</v>
      </c>
      <c r="CB28">
        <f>集中式风电!CB28+分散式风电!CB28</f>
        <v>4642.25</v>
      </c>
      <c r="CC28">
        <f>集中式风电!CC28+分散式风电!CC28</f>
        <v>4778.21</v>
      </c>
      <c r="CD28">
        <f>集中式风电!CD28+分散式风电!CD28</f>
        <v>4898.72</v>
      </c>
      <c r="CE28">
        <f>集中式风电!CE28+分散式风电!CE28</f>
        <v>4951.25</v>
      </c>
      <c r="CF28">
        <f>集中式风电!CF28+分散式风电!CF28</f>
        <v>4995.54</v>
      </c>
      <c r="CG28">
        <f>集中式风电!CG28+分散式风电!CG28</f>
        <v>5030.55</v>
      </c>
      <c r="CH28">
        <f>集中式风电!CH28+分散式风电!CH28</f>
        <v>5040.85</v>
      </c>
      <c r="CI28">
        <f>集中式风电!CI28+分散式风电!CI28</f>
        <v>5021.27</v>
      </c>
      <c r="CJ28">
        <f>集中式风电!CJ28+分散式风电!CJ28</f>
        <v>4996.57</v>
      </c>
      <c r="CK28">
        <f>集中式风电!CK28+分散式风电!CK28</f>
        <v>4972.88</v>
      </c>
      <c r="CL28">
        <f>集中式风电!CL28+分散式风电!CL28</f>
        <v>4926.51</v>
      </c>
      <c r="CM28">
        <f>集中式风电!CM28+分散式风电!CM28</f>
        <v>4861.62</v>
      </c>
      <c r="CN28">
        <f>集中式风电!CN28+分散式风电!CN28</f>
        <v>4792.62</v>
      </c>
      <c r="CO28">
        <f>集中式风电!CO28+分散式风电!CO28</f>
        <v>4711.24</v>
      </c>
      <c r="CP28">
        <f>集中式风电!CP28+分散式风电!CP28</f>
        <v>4630.91</v>
      </c>
      <c r="CQ28">
        <f>集中式风电!CQ28+分散式风电!CQ28</f>
        <v>4544.39</v>
      </c>
      <c r="CR28">
        <f>集中式风电!CR28+分散式风电!CR28</f>
        <v>4451.71</v>
      </c>
      <c r="CS28">
        <f>集中式风电!CS28+分散式风电!CS28</f>
        <v>4371.35</v>
      </c>
    </row>
    <row r="29" spans="1:97">
      <c r="A29" s="9">
        <v>46262</v>
      </c>
      <c r="B29">
        <f>集中式风电!B29+分散式风电!B29</f>
        <v>3929.5</v>
      </c>
      <c r="C29">
        <f>集中式风电!C29+分散式风电!C29</f>
        <v>3816.19</v>
      </c>
      <c r="D29">
        <f>集中式风电!D29+分散式风电!D29</f>
        <v>3701.88</v>
      </c>
      <c r="E29">
        <f>集中式风电!E29+分散式风电!E29</f>
        <v>3585.48</v>
      </c>
      <c r="F29">
        <f>集中式风电!F29+分散式风电!F29</f>
        <v>3483.52</v>
      </c>
      <c r="G29">
        <f>集中式风电!G29+分散式风电!G29</f>
        <v>3398.03</v>
      </c>
      <c r="H29">
        <f>集中式风电!H29+分散式风电!H29</f>
        <v>3317.68</v>
      </c>
      <c r="I29">
        <f>集中式风电!I29+分散式风电!I29</f>
        <v>3240.42</v>
      </c>
      <c r="J29">
        <f>集中式风电!J29+分散式风电!J29</f>
        <v>3179.65</v>
      </c>
      <c r="K29">
        <f>集中式风电!K29+分散式风电!K29</f>
        <v>3126.09</v>
      </c>
      <c r="L29">
        <f>集中式风电!L29+分散式风电!L29</f>
        <v>3078.71</v>
      </c>
      <c r="M29">
        <f>集中式风电!M29+分散式风电!M29</f>
        <v>3034.42</v>
      </c>
      <c r="N29">
        <f>集中式风电!N29+分散式风电!N29</f>
        <v>2999.42</v>
      </c>
      <c r="O29">
        <f>集中式风电!O29+分散式风电!O29</f>
        <v>2973.66</v>
      </c>
      <c r="P29">
        <f>集中式风电!P29+分散式风电!P29</f>
        <v>2949.98</v>
      </c>
      <c r="Q29">
        <f>集中式风电!Q29+分散式风电!Q29</f>
        <v>2925.25</v>
      </c>
      <c r="R29">
        <f>集中式风电!R29+分散式风电!R29</f>
        <v>2900.53</v>
      </c>
      <c r="S29">
        <f>集中式风电!S29+分散式风电!S29</f>
        <v>2874.78</v>
      </c>
      <c r="T29">
        <f>集中式风电!T29+分散式风电!T29</f>
        <v>2844.91</v>
      </c>
      <c r="U29">
        <f>集中式风电!U29+分散式风电!U29</f>
        <v>2811.97</v>
      </c>
      <c r="V29">
        <f>集中式风电!V29+分散式风电!V29</f>
        <v>2767.66</v>
      </c>
      <c r="W29">
        <f>集中式风电!W29+分散式风电!W29</f>
        <v>2715.15</v>
      </c>
      <c r="X29">
        <f>集中式风电!X29+分散式风电!X29</f>
        <v>2658.48</v>
      </c>
      <c r="Y29">
        <f>集中式风电!Y29+分散式风电!Y29</f>
        <v>2596.68</v>
      </c>
      <c r="Z29">
        <f>集中式风电!Z29+分散式风电!Z29</f>
        <v>2502.94</v>
      </c>
      <c r="AA29">
        <f>集中式风电!AA29+分散式风电!AA29</f>
        <v>2416.44</v>
      </c>
      <c r="AB29">
        <f>集中式风电!AB29+分散式风电!AB29</f>
        <v>2333.01</v>
      </c>
      <c r="AC29">
        <f>集中式风电!AC29+分散式风电!AC29</f>
        <v>2254.72</v>
      </c>
      <c r="AD29">
        <f>集中式风电!AD29+分散式风电!AD29</f>
        <v>2158.93</v>
      </c>
      <c r="AE29">
        <f>集中式风电!AE29+分散式风电!AE29</f>
        <v>2054.92</v>
      </c>
      <c r="AF29">
        <f>集中式风电!AF29+分散式风电!AF29</f>
        <v>1951.91</v>
      </c>
      <c r="AG29">
        <f>集中式风电!AG29+分散式风电!AG29</f>
        <v>1848.92</v>
      </c>
      <c r="AH29">
        <f>集中式风电!AH29+分散式风电!AH29</f>
        <v>1767.54</v>
      </c>
      <c r="AI29">
        <f>集中式风电!AI29+分散式风电!AI29</f>
        <v>1694.41</v>
      </c>
      <c r="AJ29">
        <f>集中式风电!AJ29+分散式风电!AJ29</f>
        <v>1616.13</v>
      </c>
      <c r="AK29">
        <f>集中式风电!AK29+分散式风电!AK29</f>
        <v>1541.99</v>
      </c>
      <c r="AL29">
        <f>集中式风电!AL29+分散式风电!AL29</f>
        <v>1485.33</v>
      </c>
      <c r="AM29">
        <f>集中式风电!AM29+分散式风电!AM29</f>
        <v>1435.88</v>
      </c>
      <c r="AN29">
        <f>集中式风电!AN29+分散式风电!AN29</f>
        <v>1390.57</v>
      </c>
      <c r="AO29">
        <f>集中式风电!AO29+分散式风电!AO29</f>
        <v>1349.38</v>
      </c>
      <c r="AP29">
        <f>集中式风电!AP29+分散式风电!AP29</f>
        <v>1304.04</v>
      </c>
      <c r="AQ29">
        <f>集中式风电!AQ29+分散式风电!AQ29</f>
        <v>1257.7</v>
      </c>
      <c r="AR29">
        <f>集中式风电!AR29+分散式风电!AR29</f>
        <v>1218.55</v>
      </c>
      <c r="AS29">
        <f>集中式风电!AS29+分散式风电!AS29</f>
        <v>1181.46</v>
      </c>
      <c r="AT29">
        <f>集中式风电!AT29+分散式风电!AT29</f>
        <v>1144.39</v>
      </c>
      <c r="AU29">
        <f>集中式风电!AU29+分散式风电!AU29</f>
        <v>1107.3</v>
      </c>
      <c r="AV29">
        <f>集中式风电!AV29+分散式风电!AV29</f>
        <v>1069.18</v>
      </c>
      <c r="AW29">
        <f>集中式风电!AW29+分散式风电!AW29</f>
        <v>1031.09</v>
      </c>
      <c r="AX29">
        <f>集中式风电!AX29+分散式风电!AX29</f>
        <v>994</v>
      </c>
      <c r="AY29">
        <f>集中式风电!AY29+分散式风电!AY29</f>
        <v>961.03</v>
      </c>
      <c r="AZ29">
        <f>集中式风电!AZ29+分散式风电!AZ29</f>
        <v>929.11</v>
      </c>
      <c r="BA29">
        <f>集中式风电!BA29+分散式风电!BA29</f>
        <v>896.14</v>
      </c>
      <c r="BB29">
        <f>集中式风电!BB29+分散式风电!BB29</f>
        <v>867.3</v>
      </c>
      <c r="BC29">
        <f>集中式风电!BC29+分散式风电!BC29</f>
        <v>844.65</v>
      </c>
      <c r="BD29">
        <f>集中式风电!BD29+分散式风电!BD29</f>
        <v>823.02</v>
      </c>
      <c r="BE29">
        <f>集中式风电!BE29+分散式风电!BE29</f>
        <v>804.46</v>
      </c>
      <c r="BF29">
        <f>集中式风电!BF29+分散式风电!BF29</f>
        <v>780.79</v>
      </c>
      <c r="BG29">
        <f>集中式风电!BG29+分散式风电!BG29</f>
        <v>766.35</v>
      </c>
      <c r="BH29">
        <f>集中式风电!BH29+分散式风电!BH29</f>
        <v>752.97</v>
      </c>
      <c r="BI29">
        <f>集中式风电!BI29+分散式风电!BI29</f>
        <v>739.59</v>
      </c>
      <c r="BJ29">
        <f>集中式风电!BJ29+分散式风电!BJ29</f>
        <v>734.44</v>
      </c>
      <c r="BK29">
        <f>集中式风电!BK29+分散式风电!BK29</f>
        <v>736.49</v>
      </c>
      <c r="BL29">
        <f>集中式风电!BL29+分散式风电!BL29</f>
        <v>738.56</v>
      </c>
      <c r="BM29">
        <f>集中式风电!BM29+分散式风电!BM29</f>
        <v>744.74</v>
      </c>
      <c r="BN29">
        <f>集中式风电!BN29+分散式风电!BN29</f>
        <v>761.22</v>
      </c>
      <c r="BO29">
        <f>集中式风电!BO29+分散式风电!BO29</f>
        <v>785.92</v>
      </c>
      <c r="BP29">
        <f>集中式风电!BP29+分散式风电!BP29</f>
        <v>810.66</v>
      </c>
      <c r="BQ29">
        <f>集中式风电!BQ29+分散式风电!BQ29</f>
        <v>837.44</v>
      </c>
      <c r="BR29">
        <f>集中式风电!BR29+分散式风电!BR29</f>
        <v>874.49</v>
      </c>
      <c r="BS29">
        <f>集中式风电!BS29+分散式风电!BS29</f>
        <v>912.62</v>
      </c>
      <c r="BT29">
        <f>集中式风电!BT29+分散式风电!BT29</f>
        <v>954.85</v>
      </c>
      <c r="BU29">
        <f>集中式风电!BU29+分散式风电!BU29</f>
        <v>1002.21</v>
      </c>
      <c r="BV29">
        <f>集中式风电!BV29+分散式风电!BV29</f>
        <v>1052.71</v>
      </c>
      <c r="BW29">
        <f>集中式风电!BW29+分散式风电!BW29</f>
        <v>1101.1</v>
      </c>
      <c r="BX29">
        <f>集中式风电!BX29+分散式风电!BX29</f>
        <v>1150.53</v>
      </c>
      <c r="BY29">
        <f>集中式风电!BY29+分散式风电!BY29</f>
        <v>1195.88</v>
      </c>
      <c r="BZ29">
        <f>集中式风电!BZ29+分散式风电!BZ29</f>
        <v>1244.26</v>
      </c>
      <c r="CA29">
        <f>集中式风电!CA29+分散式风电!CA29</f>
        <v>1294.75</v>
      </c>
      <c r="CB29">
        <f>集中式风电!CB29+分散式风电!CB29</f>
        <v>1343.16</v>
      </c>
      <c r="CC29">
        <f>集中式风电!CC29+分散式风电!CC29</f>
        <v>1395.67</v>
      </c>
      <c r="CD29">
        <f>集中式风电!CD29+分散式风电!CD29</f>
        <v>1439.98</v>
      </c>
      <c r="CE29">
        <f>集中式风电!CE29+分散式风电!CE29</f>
        <v>1480.14</v>
      </c>
      <c r="CF29">
        <f>集中式风电!CF29+分散式风电!CF29</f>
        <v>1518.24</v>
      </c>
      <c r="CG29">
        <f>集中式风电!CG29+分散式风电!CG29</f>
        <v>1556.36</v>
      </c>
      <c r="CH29">
        <f>集中式风电!CH29+分散式风电!CH29</f>
        <v>1591.39</v>
      </c>
      <c r="CI29">
        <f>集中式风电!CI29+分散式风电!CI29</f>
        <v>1625.38</v>
      </c>
      <c r="CJ29">
        <f>集中式风电!CJ29+分散式风电!CJ29</f>
        <v>1661.43</v>
      </c>
      <c r="CK29">
        <f>集中式风电!CK29+分散式风电!CK29</f>
        <v>1699.53</v>
      </c>
      <c r="CL29">
        <f>集中式风电!CL29+分散式风电!CL29</f>
        <v>1736.62</v>
      </c>
      <c r="CM29">
        <f>集中式风电!CM29+分散式风电!CM29</f>
        <v>1779.86</v>
      </c>
      <c r="CN29">
        <f>集中式风电!CN29+分散式风电!CN29</f>
        <v>1819</v>
      </c>
      <c r="CO29">
        <f>集中式风电!CO29+分散式风电!CO29</f>
        <v>1856.1</v>
      </c>
      <c r="CP29">
        <f>集中式风电!CP29+分散式风电!CP29</f>
        <v>1891.11</v>
      </c>
      <c r="CQ29">
        <f>集中式风电!CQ29+分散式风电!CQ29</f>
        <v>1915.85</v>
      </c>
      <c r="CR29">
        <f>集中式风电!CR29+分散式风电!CR29</f>
        <v>1943.64</v>
      </c>
      <c r="CS29">
        <f>集中式风电!CS29+分散式风电!CS29</f>
        <v>1970.41</v>
      </c>
    </row>
    <row r="30" spans="1:97">
      <c r="A30" s="9">
        <v>46263</v>
      </c>
      <c r="B30">
        <f>集中式风电!B30+分散式风电!B30</f>
        <v>2026.06</v>
      </c>
      <c r="C30">
        <f>集中式风电!C30+分散式风电!C30</f>
        <v>2074.45</v>
      </c>
      <c r="D30">
        <f>集中式风电!D30+分散式风电!D30</f>
        <v>2120.81</v>
      </c>
      <c r="E30">
        <f>集中式风电!E30+分散式风电!E30</f>
        <v>2169.23</v>
      </c>
      <c r="F30">
        <f>集中式风电!F30+分散式风电!F30</f>
        <v>2213.49</v>
      </c>
      <c r="G30">
        <f>集中式风电!G30+分散式风电!G30</f>
        <v>2253.67</v>
      </c>
      <c r="H30">
        <f>集中式风电!H30+分散式风电!H30</f>
        <v>2294.88</v>
      </c>
      <c r="I30">
        <f>集中式风电!I30+分散式风电!I30</f>
        <v>2334</v>
      </c>
      <c r="J30">
        <f>集中式风电!J30+分散式风电!J30</f>
        <v>2369.04</v>
      </c>
      <c r="K30">
        <f>集中式风电!K30+分散式风电!K30</f>
        <v>2403.03</v>
      </c>
      <c r="L30">
        <f>集中式风电!L30+分散式风电!L30</f>
        <v>2439.07</v>
      </c>
      <c r="M30">
        <f>集中式风电!M30+分散式风电!M30</f>
        <v>2474.11</v>
      </c>
      <c r="N30">
        <f>集中式风电!N30+分散式风电!N30</f>
        <v>2506.03</v>
      </c>
      <c r="O30">
        <f>集中式风电!O30+分散式风电!O30</f>
        <v>2534.87</v>
      </c>
      <c r="P30">
        <f>集中式风电!P30+分散式风电!P30</f>
        <v>2560.64</v>
      </c>
      <c r="Q30">
        <f>集中式风电!Q30+分散式风电!Q30</f>
        <v>2586.37</v>
      </c>
      <c r="R30">
        <f>集中式风电!R30+分散式风电!R30</f>
        <v>2616.26</v>
      </c>
      <c r="S30">
        <f>集中式风电!S30+分散式风电!S30</f>
        <v>2645.08</v>
      </c>
      <c r="T30">
        <f>集中式风电!T30+分散式风电!T30</f>
        <v>2654.34</v>
      </c>
      <c r="U30">
        <f>集中式风电!U30+分散式风电!U30</f>
        <v>2681.13</v>
      </c>
      <c r="V30">
        <f>集中式风电!V30+分散式风电!V30</f>
        <v>2691.44</v>
      </c>
      <c r="W30">
        <f>集中式风电!W30+分散式风电!W30</f>
        <v>2685.26</v>
      </c>
      <c r="X30">
        <f>集中式风电!X30+分散式风电!X30</f>
        <v>2675.98</v>
      </c>
      <c r="Y30">
        <f>集中式风电!Y30+分散式风电!Y30</f>
        <v>2664.65</v>
      </c>
      <c r="Z30">
        <f>集中式风电!Z30+分散式风电!Z30</f>
        <v>2653.34</v>
      </c>
      <c r="AA30">
        <f>集中式风电!AA30+分散式风电!AA30</f>
        <v>2648.19</v>
      </c>
      <c r="AB30">
        <f>集中式风电!AB30+分散式风电!AB30</f>
        <v>2649.21</v>
      </c>
      <c r="AC30">
        <f>集中式风电!AC30+分散式风电!AC30</f>
        <v>2643.03</v>
      </c>
      <c r="AD30">
        <f>集中式风电!AD30+分散式风电!AD30</f>
        <v>2622.44</v>
      </c>
      <c r="AE30">
        <f>集中式风电!AE30+分散式风电!AE30</f>
        <v>2590.49</v>
      </c>
      <c r="AF30">
        <f>集中式风电!AF30+分散式风电!AF30</f>
        <v>2571.96</v>
      </c>
      <c r="AG30">
        <f>集中式风电!AG30+分散式风电!AG30</f>
        <v>2547.24</v>
      </c>
      <c r="AH30">
        <f>集中式风电!AH30+分散式风电!AH30</f>
        <v>2552.37</v>
      </c>
      <c r="AI30">
        <f>集中式风电!AI30+分散式风电!AI30</f>
        <v>2620.37</v>
      </c>
      <c r="AJ30">
        <f>集中式风电!AJ30+分散式风电!AJ30</f>
        <v>2694.53</v>
      </c>
      <c r="AK30">
        <f>集中式风电!AK30+分散式风电!AK30</f>
        <v>2772.79</v>
      </c>
      <c r="AL30">
        <f>集中式风电!AL30+分散式风电!AL30</f>
        <v>2884.04</v>
      </c>
      <c r="AM30">
        <f>集中式风电!AM30+分散式风电!AM30</f>
        <v>3016.91</v>
      </c>
      <c r="AN30">
        <f>集中式风电!AN30+分散式风电!AN30</f>
        <v>3153.9</v>
      </c>
      <c r="AO30">
        <f>集中式风电!AO30+分散式风电!AO30</f>
        <v>3295.02</v>
      </c>
      <c r="AP30">
        <f>集中式风电!AP30+分散式风电!AP30</f>
        <v>3445.41</v>
      </c>
      <c r="AQ30">
        <f>集中式风电!AQ30+分散式风电!AQ30</f>
        <v>3596.79</v>
      </c>
      <c r="AR30">
        <f>集中式风电!AR30+分散式风电!AR30</f>
        <v>3743.06</v>
      </c>
      <c r="AS30">
        <f>集中式风电!AS30+分散式风电!AS30</f>
        <v>3885.2</v>
      </c>
      <c r="AT30">
        <f>集中式风电!AT30+分散式风电!AT30</f>
        <v>4010.87</v>
      </c>
      <c r="AU30">
        <f>集中式风电!AU30+分散式风电!AU30</f>
        <v>4130.34</v>
      </c>
      <c r="AV30">
        <f>集中式风电!AV30+分散式风电!AV30</f>
        <v>4241.57</v>
      </c>
      <c r="AW30">
        <f>集中式风电!AW30+分散式风电!AW30</f>
        <v>4348.7</v>
      </c>
      <c r="AX30">
        <f>集中式风电!AX30+分散式风电!AX30</f>
        <v>4445.53</v>
      </c>
      <c r="AY30">
        <f>集中式风电!AY30+分散式风电!AY30</f>
        <v>4554.71</v>
      </c>
      <c r="AZ30">
        <f>集中式风电!AZ30+分散式风电!AZ30</f>
        <v>4628.86</v>
      </c>
      <c r="BA30">
        <f>集中式风电!BA30+分散式风电!BA30</f>
        <v>4713.32</v>
      </c>
      <c r="BB30">
        <f>集中式风电!BB30+分散式风电!BB30</f>
        <v>4793.65</v>
      </c>
      <c r="BC30">
        <f>集中式风电!BC30+分散式风电!BC30</f>
        <v>4871.93</v>
      </c>
      <c r="BD30">
        <f>集中式风电!BD30+分散式风电!BD30</f>
        <v>4939.9</v>
      </c>
      <c r="BE30">
        <f>集中式风电!BE30+分散式风电!BE30</f>
        <v>5014.07</v>
      </c>
      <c r="BF30">
        <f>集中式风电!BF30+分散式风电!BF30</f>
        <v>5075.87</v>
      </c>
      <c r="BG30">
        <f>集中式风电!BG30+分散式风电!BG30</f>
        <v>5126.35</v>
      </c>
      <c r="BH30">
        <f>集中式风电!BH30+分散式风电!BH30</f>
        <v>5173.73</v>
      </c>
      <c r="BI30">
        <f>集中式风电!BI30+分散式风电!BI30</f>
        <v>5220.07</v>
      </c>
      <c r="BJ30">
        <f>集中式风电!BJ30+分散式风电!BJ30</f>
        <v>5256.13</v>
      </c>
      <c r="BK30">
        <f>集中式风电!BK30+分散式风电!BK30</f>
        <v>5279.82</v>
      </c>
      <c r="BL30">
        <f>集中式风电!BL30+分散式风电!BL30</f>
        <v>5304.54</v>
      </c>
      <c r="BM30">
        <f>集中式风电!BM30+分散式风电!BM30</f>
        <v>5328.23</v>
      </c>
      <c r="BN30">
        <f>集中式风电!BN30+分散式风电!BN30</f>
        <v>5345.73</v>
      </c>
      <c r="BO30">
        <f>集中式风电!BO30+分散式风电!BO30</f>
        <v>5335.42</v>
      </c>
      <c r="BP30">
        <f>集中式风电!BP30+分散式风电!BP30</f>
        <v>5315.85</v>
      </c>
      <c r="BQ30">
        <f>集中式风电!BQ30+分散式风电!BQ30</f>
        <v>5296.28</v>
      </c>
      <c r="BR30">
        <f>集中式风电!BR30+分散式风电!BR30</f>
        <v>5258.19</v>
      </c>
      <c r="BS30">
        <f>集中式风电!BS30+分散式风电!BS30</f>
        <v>5201.53</v>
      </c>
      <c r="BT30">
        <f>集中式风电!BT30+分散式风电!BT30</f>
        <v>5142.81</v>
      </c>
      <c r="BU30">
        <f>集中式风电!BU30+分散式风电!BU30</f>
        <v>5076.91</v>
      </c>
      <c r="BV30">
        <f>集中式风电!BV30+分散式风电!BV30</f>
        <v>5024.36</v>
      </c>
      <c r="BW30">
        <f>集中式风电!BW30+分散式风电!BW30</f>
        <v>4985.24</v>
      </c>
      <c r="BX30">
        <f>集中式风电!BX30+分散式风电!BX30</f>
        <v>4912.11</v>
      </c>
      <c r="BY30">
        <f>集中式风电!BY30+分散式风电!BY30</f>
        <v>4819.4</v>
      </c>
      <c r="BZ30">
        <f>集中式风电!BZ30+分散式风电!BZ30</f>
        <v>4790.55</v>
      </c>
      <c r="CA30">
        <f>集中式风电!CA30+分散式风电!CA30</f>
        <v>4748.32</v>
      </c>
      <c r="CB30">
        <f>集中式风电!CB30+分散式风电!CB30</f>
        <v>4680.35</v>
      </c>
      <c r="CC30">
        <f>集中式风电!CC30+分散式风电!CC30</f>
        <v>4610.3</v>
      </c>
      <c r="CD30">
        <f>集中式风电!CD30+分散式风电!CD30</f>
        <v>4531.01</v>
      </c>
      <c r="CE30">
        <f>集中式风电!CE30+分散式风电!CE30</f>
        <v>4438.31</v>
      </c>
      <c r="CF30">
        <f>集中式风电!CF30+分散式风电!CF30</f>
        <v>4343.54</v>
      </c>
      <c r="CG30">
        <f>集中式风电!CG30+分散式风电!CG30</f>
        <v>4246.71</v>
      </c>
      <c r="CH30">
        <f>集中式风电!CH30+分散式风电!CH30</f>
        <v>4169.46</v>
      </c>
      <c r="CI30">
        <f>集中式风电!CI30+分散式风电!CI30</f>
        <v>4120.02</v>
      </c>
      <c r="CJ30">
        <f>集中式风电!CJ30+分散式风电!CJ30</f>
        <v>4058.22</v>
      </c>
      <c r="CK30">
        <f>集中式风电!CK30+分散式风电!CK30</f>
        <v>3994.37</v>
      </c>
      <c r="CL30">
        <f>集中式风电!CL30+分散式风电!CL30</f>
        <v>3936.69</v>
      </c>
      <c r="CM30">
        <f>集中式风电!CM30+分散式风电!CM30</f>
        <v>3901.68</v>
      </c>
      <c r="CN30">
        <f>集中式风电!CN30+分散式风电!CN30</f>
        <v>3877.99</v>
      </c>
      <c r="CO30">
        <f>集中式风电!CO30+分散式风电!CO30</f>
        <v>3851.19</v>
      </c>
      <c r="CP30">
        <f>集中式风电!CP30+分散式风电!CP30</f>
        <v>3826.47</v>
      </c>
      <c r="CQ30">
        <f>集中式风电!CQ30+分散式风电!CQ30</f>
        <v>3816.17</v>
      </c>
      <c r="CR30">
        <f>集中式风电!CR30+分散式风电!CR30</f>
        <v>3805.88</v>
      </c>
      <c r="CS30">
        <f>集中式风电!CS30+分散式风电!CS30</f>
        <v>3798.66</v>
      </c>
    </row>
    <row r="31" spans="1:97">
      <c r="A31" s="9">
        <v>46264</v>
      </c>
      <c r="B31">
        <f>集中式风电!B31+分散式风电!B31</f>
        <v>3424.77</v>
      </c>
      <c r="C31">
        <f>集中式风电!C31+分散式风电!C31</f>
        <v>3426.84</v>
      </c>
      <c r="D31">
        <f>集中式风电!D31+分散式风电!D31</f>
        <v>3431.99</v>
      </c>
      <c r="E31">
        <f>集中式风电!E31+分散式风电!E31</f>
        <v>3437.15</v>
      </c>
      <c r="F31">
        <f>集中式风电!F31+分散式风电!F31</f>
        <v>3442.29</v>
      </c>
      <c r="G31">
        <f>集中式风电!G31+分散式风电!G31</f>
        <v>3437.14</v>
      </c>
      <c r="H31">
        <f>集中式风电!H31+分散式风电!H31</f>
        <v>3429.94</v>
      </c>
      <c r="I31">
        <f>集中式风电!I31+分散式风电!I31</f>
        <v>3423.77</v>
      </c>
      <c r="J31">
        <f>集中式风电!J31+分散式风电!J31</f>
        <v>3390.78</v>
      </c>
      <c r="K31">
        <f>集中式风电!K31+分散式风电!K31</f>
        <v>3338.25</v>
      </c>
      <c r="L31">
        <f>集中式风电!L31+分散式风电!L31</f>
        <v>3281.61</v>
      </c>
      <c r="M31">
        <f>集中式风电!M31+分散式风电!M31</f>
        <v>3225.99</v>
      </c>
      <c r="N31">
        <f>集中式风电!N31+分散式风电!N31</f>
        <v>3173.48</v>
      </c>
      <c r="O31">
        <f>集中式风电!O31+分散式风电!O31</f>
        <v>3118.87</v>
      </c>
      <c r="P31">
        <f>集中式风电!P31+分散式风电!P31</f>
        <v>3051.93</v>
      </c>
      <c r="Q31">
        <f>集中式风电!Q31+分散式风电!Q31</f>
        <v>2995.28</v>
      </c>
      <c r="R31">
        <f>集中式风电!R31+分散式风电!R31</f>
        <v>2937.6</v>
      </c>
      <c r="S31">
        <f>集中式风电!S31+分散式风电!S31</f>
        <v>2878.89</v>
      </c>
      <c r="T31">
        <f>集中式风电!T31+分散式风电!T31</f>
        <v>2810.92</v>
      </c>
      <c r="U31">
        <f>集中式风电!U31+分散式风电!U31</f>
        <v>2743.98</v>
      </c>
      <c r="V31">
        <f>集中式风电!V31+分散式风电!V31</f>
        <v>2678.05</v>
      </c>
      <c r="W31">
        <f>集中式风电!W31+分散式风电!W31</f>
        <v>2610.07</v>
      </c>
      <c r="X31">
        <f>集中式风电!X31+分散式风电!X31</f>
        <v>2541.07</v>
      </c>
      <c r="Y31">
        <f>集中式风电!Y31+分散式风电!Y31</f>
        <v>2465.87</v>
      </c>
      <c r="Z31">
        <f>集中式风电!Z31+分散式风电!Z31</f>
        <v>2394.79</v>
      </c>
      <c r="AA31">
        <f>集中式风电!AA31+分散式风电!AA31</f>
        <v>2312.39</v>
      </c>
      <c r="AB31">
        <f>集中式风电!AB31+分散式风电!AB31</f>
        <v>2233.09</v>
      </c>
      <c r="AC31">
        <f>集中式风电!AC31+分散式风电!AC31</f>
        <v>2146.56</v>
      </c>
      <c r="AD31">
        <f>集中式风电!AD31+分散式风电!AD31</f>
        <v>2051.8</v>
      </c>
      <c r="AE31">
        <f>集中式风电!AE31+分散式风电!AE31</f>
        <v>1971.47</v>
      </c>
      <c r="AF31">
        <f>集中式风电!AF31+分散式风电!AF31</f>
        <v>1907.61</v>
      </c>
      <c r="AG31">
        <f>集中式风电!AG31+分散式风电!AG31</f>
        <v>1845.8</v>
      </c>
      <c r="AH31">
        <f>集中式风电!AH31+分散式风电!AH31</f>
        <v>1794.32</v>
      </c>
      <c r="AI31">
        <f>集中式风电!AI31+分散式风电!AI31</f>
        <v>1755.18</v>
      </c>
      <c r="AJ31">
        <f>集中式风电!AJ31+分散式风电!AJ31</f>
        <v>1718.09</v>
      </c>
      <c r="AK31">
        <f>集中式风电!AK31+分散式风电!AK31</f>
        <v>1684.09</v>
      </c>
      <c r="AL31">
        <f>集中式风电!AL31+分散式风电!AL31</f>
        <v>1686.16</v>
      </c>
      <c r="AM31">
        <f>集中式风电!AM31+分散式风电!AM31</f>
        <v>1728.37</v>
      </c>
      <c r="AN31">
        <f>集中式风电!AN31+分散式风电!AN31</f>
        <v>1775.76</v>
      </c>
      <c r="AO31">
        <f>集中式风电!AO31+分散式风电!AO31</f>
        <v>1826.24</v>
      </c>
      <c r="AP31">
        <f>集中式风电!AP31+分散式风电!AP31</f>
        <v>1892.14</v>
      </c>
      <c r="AQ31">
        <f>集中式风电!AQ31+分散式风电!AQ31</f>
        <v>1976.62</v>
      </c>
      <c r="AR31">
        <f>集中式风电!AR31+分散式风电!AR31</f>
        <v>2067.25</v>
      </c>
      <c r="AS31">
        <f>集中式风电!AS31+分散式风电!AS31</f>
        <v>2158.92</v>
      </c>
      <c r="AT31">
        <f>集中式风电!AT31+分散式风电!AT31</f>
        <v>2255.74</v>
      </c>
      <c r="AU31">
        <f>集中式风电!AU31+分散式风电!AU31</f>
        <v>2358.74</v>
      </c>
      <c r="AV31">
        <f>集中式风电!AV31+分散式风电!AV31</f>
        <v>2463.78</v>
      </c>
      <c r="AW31">
        <f>集中式风电!AW31+分散式风电!AW31</f>
        <v>2570.92</v>
      </c>
      <c r="AX31">
        <f>集中式风电!AX31+分散式风电!AX31</f>
        <v>2695.56</v>
      </c>
      <c r="AY31">
        <f>集中式风电!AY31+分散式风电!AY31</f>
        <v>2786.2</v>
      </c>
      <c r="AZ31">
        <f>集中式风电!AZ31+分散式风电!AZ31</f>
        <v>2867.55</v>
      </c>
      <c r="BA31">
        <f>集中式风电!BA31+分散式风电!BA31</f>
        <v>2971.59</v>
      </c>
      <c r="BB31">
        <f>集中式风电!BB31+分散式风电!BB31</f>
        <v>3068.41</v>
      </c>
      <c r="BC31">
        <f>集中式风电!BC31+分散式风电!BC31</f>
        <v>3174.5</v>
      </c>
      <c r="BD31">
        <f>集中式风电!BD31+分散式风电!BD31</f>
        <v>3253.8</v>
      </c>
      <c r="BE31">
        <f>集中式风电!BE31+分散式风电!BE31</f>
        <v>3342.4</v>
      </c>
      <c r="BF31">
        <f>集中式风电!BF31+分散式风电!BF31</f>
        <v>3394.9</v>
      </c>
      <c r="BG31">
        <f>集中式风电!BG31+分散式风电!BG31</f>
        <v>3425.81</v>
      </c>
      <c r="BH31">
        <f>集中式风电!BH31+分散式风电!BH31</f>
        <v>3459.81</v>
      </c>
      <c r="BI31">
        <f>集中式风电!BI31+分散式风电!BI31</f>
        <v>3486.59</v>
      </c>
      <c r="BJ31">
        <f>集中式风电!BJ31+分散式风电!BJ31</f>
        <v>3482.48</v>
      </c>
      <c r="BK31">
        <f>集中式风电!BK31+分散式风电!BK31</f>
        <v>3477.32</v>
      </c>
      <c r="BL31">
        <f>集中式风电!BL31+分散式风电!BL31</f>
        <v>3464.96</v>
      </c>
      <c r="BM31">
        <f>集中式风电!BM31+分散式风电!BM31</f>
        <v>3447.43</v>
      </c>
      <c r="BN31">
        <f>集中式风电!BN31+分散式风电!BN31</f>
        <v>3429.92</v>
      </c>
      <c r="BO31">
        <f>集中式风电!BO31+分散式风电!BO31</f>
        <v>3429.92</v>
      </c>
      <c r="BP31">
        <f>集中式风电!BP31+分散式风电!BP31</f>
        <v>3436.12</v>
      </c>
      <c r="BQ31">
        <f>集中式风电!BQ31+分散式风电!BQ31</f>
        <v>3476.27</v>
      </c>
      <c r="BR31">
        <f>集中式风电!BR31+分散式风电!BR31</f>
        <v>3495.84</v>
      </c>
      <c r="BS31">
        <f>集中式风电!BS31+分散式风电!BS31</f>
        <v>3535</v>
      </c>
      <c r="BT31">
        <f>集中式风电!BT31+分散式风电!BT31</f>
        <v>3566.91</v>
      </c>
      <c r="BU31">
        <f>集中式风电!BU31+分散式风电!BU31</f>
        <v>3615.32</v>
      </c>
      <c r="BV31">
        <f>集中式风电!BV31+分散式风电!BV31</f>
        <v>3664.77</v>
      </c>
      <c r="BW31">
        <f>集中式风电!BW31+分散式风电!BW31</f>
        <v>3726.58</v>
      </c>
      <c r="BX31">
        <f>集中式风电!BX31+分散式风电!BX31</f>
        <v>3781.16</v>
      </c>
      <c r="BY31">
        <f>集中式风电!BY31+分散式风电!BY31</f>
        <v>3855.32</v>
      </c>
      <c r="BZ31">
        <f>集中式风电!BZ31+分散式风电!BZ31</f>
        <v>3905.79</v>
      </c>
      <c r="CA31">
        <f>集中式风电!CA31+分散式风电!CA31</f>
        <v>4003.63</v>
      </c>
      <c r="CB31">
        <f>集中式风电!CB31+分散式风电!CB31</f>
        <v>4091.2</v>
      </c>
      <c r="CC31">
        <f>集中式风电!CC31+分散式风电!CC31</f>
        <v>4196.25</v>
      </c>
      <c r="CD31">
        <f>集中式风电!CD31+分散式风电!CD31</f>
        <v>4329.12</v>
      </c>
      <c r="CE31">
        <f>集中式风电!CE31+分散式风电!CE31</f>
        <v>4396.07</v>
      </c>
      <c r="CF31">
        <f>集中式风电!CF31+分散式风电!CF31</f>
        <v>4459.94</v>
      </c>
      <c r="CG31">
        <f>集中式风电!CG31+分散式风电!CG31</f>
        <v>4517.6</v>
      </c>
      <c r="CH31">
        <f>集中式风电!CH31+分散式风电!CH31</f>
        <v>4583.54</v>
      </c>
      <c r="CI31">
        <f>集中式风电!CI31+分散式风电!CI31</f>
        <v>4625.75</v>
      </c>
      <c r="CJ31">
        <f>集中式风电!CJ31+分散式风电!CJ31</f>
        <v>4657.7</v>
      </c>
      <c r="CK31">
        <f>集中式风电!CK31+分散式风电!CK31</f>
        <v>4719.48</v>
      </c>
      <c r="CL31">
        <f>集中式风电!CL31+分散式风电!CL31</f>
        <v>4785.41</v>
      </c>
      <c r="CM31">
        <f>集中式风电!CM31+分散式风电!CM31</f>
        <v>4870.9</v>
      </c>
      <c r="CN31">
        <f>集中式风电!CN31+分散式风电!CN31</f>
        <v>4932.69</v>
      </c>
      <c r="CO31">
        <f>集中式风电!CO31+分散式风电!CO31</f>
        <v>4998.61</v>
      </c>
      <c r="CP31">
        <f>集中式风电!CP31+分散式风电!CP31</f>
        <v>5063.52</v>
      </c>
      <c r="CQ31">
        <f>集中式风电!CQ31+分散式风电!CQ31</f>
        <v>5134.59</v>
      </c>
      <c r="CR31">
        <f>集中式风电!CR31+分散式风电!CR31</f>
        <v>5205.66</v>
      </c>
      <c r="CS31">
        <f>集中式风电!CS31+分散式风电!CS31</f>
        <v>5282.9</v>
      </c>
    </row>
    <row r="32" spans="1:97">
      <c r="A32" s="9">
        <v>46265</v>
      </c>
      <c r="B32">
        <f>集中式风电!B32+分散式风电!B32</f>
        <v>4539.26</v>
      </c>
      <c r="C32">
        <f>集中式风电!C32+分散式风电!C32</f>
        <v>4607.22</v>
      </c>
      <c r="D32">
        <f>集中式风电!D32+分散式风电!D32</f>
        <v>4689.61</v>
      </c>
      <c r="E32">
        <f>集中式风电!E32+分散式风电!E32</f>
        <v>4789.53</v>
      </c>
      <c r="F32">
        <f>集中式风电!F32+分散式风电!F32</f>
        <v>4890.49</v>
      </c>
      <c r="G32">
        <f>集中式风电!G32+分散式风电!G32</f>
        <v>5014.06</v>
      </c>
      <c r="H32">
        <f>集中式风电!H32+分散式风电!H32</f>
        <v>5142.83</v>
      </c>
      <c r="I32">
        <f>集中式风电!I32+分散式风电!I32</f>
        <v>5275.7</v>
      </c>
      <c r="J32">
        <f>集中式风电!J32+分散式风电!J32</f>
        <v>5425.04</v>
      </c>
      <c r="K32">
        <f>集中式风电!K32+分散式风电!K32</f>
        <v>5577.48</v>
      </c>
      <c r="L32">
        <f>集中式风电!L32+分散式风电!L32</f>
        <v>5700.06</v>
      </c>
      <c r="M32">
        <f>集中式风电!M32+分散式风电!M32</f>
        <v>5843.23</v>
      </c>
      <c r="N32">
        <f>集中式风电!N32+分散式风电!N32</f>
        <v>6001.86</v>
      </c>
      <c r="O32">
        <f>集中式风电!O32+分散式风电!O32</f>
        <v>6142.97</v>
      </c>
      <c r="P32">
        <f>集中式风电!P32+分散式风电!P32</f>
        <v>6270.68</v>
      </c>
      <c r="Q32">
        <f>集中式风电!Q32+分散式风电!Q32</f>
        <v>6420.04</v>
      </c>
      <c r="R32">
        <f>集中式风电!R32+分散式风电!R32</f>
        <v>6557.01</v>
      </c>
      <c r="S32">
        <f>集中式风电!S32+分散式风电!S32</f>
        <v>6673.42</v>
      </c>
      <c r="T32">
        <f>集中式风电!T32+分散式风电!T32</f>
        <v>6779.52</v>
      </c>
      <c r="U32">
        <f>集中式风电!U32+分散式风电!U32</f>
        <v>6880.44</v>
      </c>
      <c r="V32">
        <f>集中式风电!V32+分散式风电!V32</f>
        <v>6946.37</v>
      </c>
      <c r="W32">
        <f>集中式风电!W32+分散式风电!W32</f>
        <v>6972.11</v>
      </c>
      <c r="X32">
        <f>集中式风电!X32+分散式风电!X32</f>
        <v>6998.9</v>
      </c>
      <c r="Y32">
        <f>集中式风电!Y32+分散式风电!Y32</f>
        <v>7019.49</v>
      </c>
      <c r="Z32">
        <f>集中式风电!Z32+分散式风电!Z32</f>
        <v>6906.2</v>
      </c>
      <c r="AA32">
        <f>集中式风电!AA32+分散式风电!AA32</f>
        <v>6843.35</v>
      </c>
      <c r="AB32">
        <f>集中式风电!AB32+分散式风电!AB32</f>
        <v>6779.5</v>
      </c>
      <c r="AC32">
        <f>集中式风电!AC32+分散式风电!AC32</f>
        <v>6714.61</v>
      </c>
      <c r="AD32">
        <f>集中式风电!AD32+分散式风电!AD32</f>
        <v>6649.72</v>
      </c>
      <c r="AE32">
        <f>集中式风电!AE32+分散式风电!AE32</f>
        <v>6573.52</v>
      </c>
      <c r="AF32">
        <f>集中式风电!AF32+分散式风电!AF32</f>
        <v>6528.19</v>
      </c>
      <c r="AG32">
        <f>集中式风电!AG32+分散式风电!AG32</f>
        <v>6459.18</v>
      </c>
      <c r="AH32">
        <f>集中式风电!AH32+分散式风电!AH32</f>
        <v>6407.68</v>
      </c>
      <c r="AI32">
        <f>集中式风电!AI32+分散式风电!AI32</f>
        <v>6381.94</v>
      </c>
      <c r="AJ32">
        <f>集中式风电!AJ32+分散式风电!AJ32</f>
        <v>6358.24</v>
      </c>
      <c r="AK32">
        <f>集中式风电!AK32+分散式风电!AK32</f>
        <v>6335.57</v>
      </c>
      <c r="AL32">
        <f>集中式风电!AL32+分散式风电!AL32</f>
        <v>6308.79</v>
      </c>
      <c r="AM32">
        <f>集中式风电!AM32+分散式风电!AM32</f>
        <v>6261.43</v>
      </c>
      <c r="AN32">
        <f>集中式风电!AN32+分散式风电!AN32</f>
        <v>6205.8</v>
      </c>
      <c r="AO32">
        <f>集中式风电!AO32+分散式风电!AO32</f>
        <v>6155.33</v>
      </c>
      <c r="AP32">
        <f>集中式风电!AP32+分散式风电!AP32</f>
        <v>6093.51</v>
      </c>
      <c r="AQ32">
        <f>集中式风电!AQ32+分散式风电!AQ32</f>
        <v>6025.53</v>
      </c>
      <c r="AR32">
        <f>集中式风电!AR32+分散式风电!AR32</f>
        <v>5956.55</v>
      </c>
      <c r="AS32">
        <f>集中式风电!AS32+分散式风电!AS32</f>
        <v>5889.58</v>
      </c>
      <c r="AT32">
        <f>集中式风电!AT32+分散式风电!AT32</f>
        <v>5824.68</v>
      </c>
      <c r="AU32">
        <f>集中式风电!AU32+分散式风电!AU32</f>
        <v>5757.75</v>
      </c>
      <c r="AV32">
        <f>集中式风电!AV32+分散式风电!AV32</f>
        <v>5693.89</v>
      </c>
      <c r="AW32">
        <f>集中式风电!AW32+分散式风电!AW32</f>
        <v>5639.3</v>
      </c>
      <c r="AX32">
        <f>集中式风电!AX32+分散式风电!AX32</f>
        <v>5583.67</v>
      </c>
      <c r="AY32">
        <f>集中式风电!AY32+分散式风电!AY32</f>
        <v>5534.23</v>
      </c>
      <c r="AZ32">
        <f>集中式风电!AZ32+分散式风电!AZ32</f>
        <v>5486.85</v>
      </c>
      <c r="BA32">
        <f>集中式风电!BA32+分散式风电!BA32</f>
        <v>5441.52</v>
      </c>
      <c r="BB32">
        <f>集中式风电!BB32+分散式风电!BB32</f>
        <v>5404.45</v>
      </c>
      <c r="BC32">
        <f>集中式风电!BC32+分散式风电!BC32</f>
        <v>5378.69</v>
      </c>
      <c r="BD32">
        <f>集中式风电!BD32+分散式风电!BD32</f>
        <v>5355.01</v>
      </c>
      <c r="BE32">
        <f>集中式风电!BE32+分散式风电!BE32</f>
        <v>5361.19</v>
      </c>
      <c r="BF32">
        <f>集中式风电!BF32+分散式风电!BF32</f>
        <v>5340.58</v>
      </c>
      <c r="BG32">
        <f>集中式风电!BG32+分散式风电!BG32</f>
        <v>5336.47</v>
      </c>
      <c r="BH32">
        <f>集中式风电!BH32+分散式风电!BH32</f>
        <v>5337.48</v>
      </c>
      <c r="BI32">
        <f>集中式风电!BI32+分散式风电!BI32</f>
        <v>5347.79</v>
      </c>
      <c r="BJ32">
        <f>集中式风电!BJ32+分散式风电!BJ32</f>
        <v>5364.26</v>
      </c>
      <c r="BK32">
        <f>集中式风电!BK32+分散式风电!BK32</f>
        <v>5388.98</v>
      </c>
      <c r="BL32">
        <f>集中式风电!BL32+分散式风电!BL32</f>
        <v>5414.75</v>
      </c>
      <c r="BM32">
        <f>集中式风电!BM32+分散式风电!BM32</f>
        <v>5442.55</v>
      </c>
      <c r="BN32">
        <f>集中式风电!BN32+分散式风电!BN32</f>
        <v>5459.05</v>
      </c>
      <c r="BO32">
        <f>集中式风电!BO32+分散式风电!BO32</f>
        <v>5464.19</v>
      </c>
      <c r="BP32">
        <f>集中式风电!BP32+分散式风电!BP32</f>
        <v>5467.28</v>
      </c>
      <c r="BQ32">
        <f>集中式风电!BQ32+分散式风电!BQ32</f>
        <v>5469.32</v>
      </c>
      <c r="BR32">
        <f>集中式风电!BR32+分散式风电!BR32</f>
        <v>5478.6</v>
      </c>
      <c r="BS32">
        <f>集中式风电!BS32+分散式风电!BS32</f>
        <v>5497.14</v>
      </c>
      <c r="BT32">
        <f>集中式风电!BT32+分散式风电!BT32</f>
        <v>5518.77</v>
      </c>
      <c r="BU32">
        <f>集中式风电!BU32+分散式风电!BU32</f>
        <v>5535.25</v>
      </c>
      <c r="BV32">
        <f>集中式风电!BV32+分散式风电!BV32</f>
        <v>5580.56</v>
      </c>
      <c r="BW32">
        <f>集中式风电!BW32+分散式风电!BW32</f>
        <v>5650.62</v>
      </c>
      <c r="BX32">
        <f>集中式风电!BX32+分散式风电!BX32</f>
        <v>5721.68</v>
      </c>
      <c r="BY32">
        <f>集中式风电!BY32+分散式风电!BY32</f>
        <v>5792.74</v>
      </c>
      <c r="BZ32">
        <f>集中式风电!BZ32+分散式风电!BZ32</f>
        <v>5852.51</v>
      </c>
      <c r="CA32">
        <f>集中式风电!CA32+分散式风电!CA32</f>
        <v>5898.85</v>
      </c>
      <c r="CB32">
        <f>集中式风电!CB32+分散式风电!CB32</f>
        <v>5936.96</v>
      </c>
      <c r="CC32">
        <f>集中式风电!CC32+分散式风电!CC32</f>
        <v>5956.52</v>
      </c>
      <c r="CD32">
        <f>集中式风电!CD32+分散式风电!CD32</f>
        <v>5929.74</v>
      </c>
      <c r="CE32">
        <f>集中式风电!CE32+分散式风电!CE32</f>
        <v>5855.58</v>
      </c>
      <c r="CF32">
        <f>集中式风电!CF32+分散式风电!CF32</f>
        <v>5771.13</v>
      </c>
      <c r="CG32">
        <f>集中式风电!CG32+分散式风电!CG32</f>
        <v>5680.47</v>
      </c>
      <c r="CH32">
        <f>集中式风电!CH32+分散式风电!CH32</f>
        <v>5572.34</v>
      </c>
      <c r="CI32">
        <f>集中式风电!CI32+分散式风电!CI32</f>
        <v>5451.82</v>
      </c>
      <c r="CJ32">
        <f>集中式风电!CJ32+分散式风电!CJ32</f>
        <v>5331.32</v>
      </c>
      <c r="CK32">
        <f>集中式风电!CK32+分散式风电!CK32</f>
        <v>5215.94</v>
      </c>
      <c r="CL32">
        <f>集中式风电!CL32+分散式风电!CL32</f>
        <v>5099.55</v>
      </c>
      <c r="CM32">
        <f>集中式风电!CM32+分散式风电!CM32</f>
        <v>4986.25</v>
      </c>
      <c r="CN32">
        <f>集中式风电!CN32+分散式风电!CN32</f>
        <v>4876.05</v>
      </c>
      <c r="CO32">
        <f>集中式风电!CO32+分散式风电!CO32</f>
        <v>4787.47</v>
      </c>
      <c r="CP32">
        <f>集中式风电!CP32+分散式风电!CP32</f>
        <v>4688.58</v>
      </c>
      <c r="CQ32">
        <f>集中式风电!CQ32+分散式风电!CQ32</f>
        <v>4593.83</v>
      </c>
      <c r="CR32">
        <f>集中式风电!CR32+分散式风电!CR32</f>
        <v>4511.42</v>
      </c>
      <c r="CS32">
        <f>集中式风电!CS32+分散式风电!CS32</f>
        <v>4428.01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f>集中式光伏!B2+分布式光伏!B2</f>
        <v>0</v>
      </c>
      <c r="C2">
        <f>集中式光伏!C2+分布式光伏!C2</f>
        <v>0</v>
      </c>
      <c r="D2">
        <f>集中式光伏!D2+分布式光伏!D2</f>
        <v>0</v>
      </c>
      <c r="E2">
        <f>集中式光伏!E2+分布式光伏!E2</f>
        <v>0</v>
      </c>
      <c r="F2">
        <f>集中式光伏!F2+分布式光伏!F2</f>
        <v>0</v>
      </c>
      <c r="G2">
        <f>集中式光伏!G2+分布式光伏!G2</f>
        <v>0</v>
      </c>
      <c r="H2">
        <f>集中式光伏!H2+分布式光伏!H2</f>
        <v>0</v>
      </c>
      <c r="I2">
        <f>集中式光伏!I2+分布式光伏!I2</f>
        <v>0</v>
      </c>
      <c r="J2">
        <f>集中式光伏!J2+分布式光伏!J2</f>
        <v>0</v>
      </c>
      <c r="K2">
        <f>集中式光伏!K2+分布式光伏!K2</f>
        <v>0</v>
      </c>
      <c r="L2">
        <f>集中式光伏!L2+分布式光伏!L2</f>
        <v>0</v>
      </c>
      <c r="M2">
        <f>集中式光伏!M2+分布式光伏!M2</f>
        <v>0</v>
      </c>
      <c r="N2">
        <f>集中式光伏!N2+分布式光伏!N2</f>
        <v>0</v>
      </c>
      <c r="O2">
        <f>集中式光伏!O2+分布式光伏!O2</f>
        <v>0</v>
      </c>
      <c r="P2">
        <f>集中式光伏!P2+分布式光伏!P2</f>
        <v>0</v>
      </c>
      <c r="Q2">
        <f>集中式光伏!Q2+分布式光伏!Q2</f>
        <v>0</v>
      </c>
      <c r="R2">
        <f>集中式光伏!R2+分布式光伏!R2</f>
        <v>0</v>
      </c>
      <c r="S2">
        <f>集中式光伏!S2+分布式光伏!S2</f>
        <v>0</v>
      </c>
      <c r="T2">
        <f>集中式光伏!T2+分布式光伏!T2</f>
        <v>3</v>
      </c>
      <c r="U2">
        <f>集中式光伏!U2+分布式光伏!U2</f>
        <v>15</v>
      </c>
      <c r="V2">
        <f>集中式光伏!V2+分布式光伏!V2</f>
        <v>128.81</v>
      </c>
      <c r="W2">
        <f>集中式光伏!W2+分布式光伏!W2</f>
        <v>268.97</v>
      </c>
      <c r="X2">
        <f>集中式光伏!X2+分布式光伏!X2</f>
        <v>458.12</v>
      </c>
      <c r="Y2">
        <f>集中式光伏!Y2+分布式光伏!Y2</f>
        <v>699.2</v>
      </c>
      <c r="Z2">
        <f>集中式光伏!Z2+分布式光伏!Z2</f>
        <v>1010.2</v>
      </c>
      <c r="AA2">
        <f>集中式光伏!AA2+分布式光伏!AA2</f>
        <v>1393.02</v>
      </c>
      <c r="AB2">
        <f>集中式光伏!AB2+分布式光伏!AB2</f>
        <v>1824.9</v>
      </c>
      <c r="AC2">
        <f>集中式光伏!AC2+分布式光伏!AC2</f>
        <v>2300.21</v>
      </c>
      <c r="AD2">
        <f>集中式光伏!AD2+分布式光伏!AD2</f>
        <v>2842.23</v>
      </c>
      <c r="AE2">
        <f>集中式光伏!AE2+分布式光伏!AE2</f>
        <v>3363.11</v>
      </c>
      <c r="AF2">
        <f>集中式光伏!AF2+分布式光伏!AF2</f>
        <v>3886.79</v>
      </c>
      <c r="AG2">
        <f>集中式光伏!AG2+分布式光伏!AG2</f>
        <v>4394.99</v>
      </c>
      <c r="AH2">
        <f>集中式光伏!AH2+分布式光伏!AH2</f>
        <v>4876.29</v>
      </c>
      <c r="AI2">
        <f>集中式光伏!AI2+分布式光伏!AI2</f>
        <v>5325.01</v>
      </c>
      <c r="AJ2">
        <f>集中式光伏!AJ2+分布式光伏!AJ2</f>
        <v>5777.6</v>
      </c>
      <c r="AK2">
        <f>集中式光伏!AK2+分布式光伏!AK2</f>
        <v>6217.23</v>
      </c>
      <c r="AL2">
        <f>集中式光伏!AL2+分布式光伏!AL2</f>
        <v>6590.07</v>
      </c>
      <c r="AM2">
        <f>集中式光伏!AM2+分布式光伏!AM2</f>
        <v>6914.24</v>
      </c>
      <c r="AN2">
        <f>集中式光伏!AN2+分布式光伏!AN2</f>
        <v>7217</v>
      </c>
      <c r="AO2">
        <f>集中式光伏!AO2+分布式光伏!AO2</f>
        <v>7478.12</v>
      </c>
      <c r="AP2">
        <f>集中式光伏!AP2+分布式光伏!AP2</f>
        <v>7682.14</v>
      </c>
      <c r="AQ2">
        <f>集中式光伏!AQ2+分布式光伏!AQ2</f>
        <v>7877.78</v>
      </c>
      <c r="AR2">
        <f>集中式光伏!AR2+分布式光伏!AR2</f>
        <v>8012.96</v>
      </c>
      <c r="AS2">
        <f>集中式光伏!AS2+分布式光伏!AS2</f>
        <v>8105.89</v>
      </c>
      <c r="AT2">
        <f>集中式光伏!AT2+分布式光伏!AT2</f>
        <v>8148.29</v>
      </c>
      <c r="AU2">
        <f>集中式光伏!AU2+分布式光伏!AU2</f>
        <v>8159.48</v>
      </c>
      <c r="AV2">
        <f>集中式光伏!AV2+分布式光伏!AV2</f>
        <v>8133.74</v>
      </c>
      <c r="AW2">
        <f>集中式光伏!AW2+分布式光伏!AW2</f>
        <v>8098.83</v>
      </c>
      <c r="AX2">
        <f>集中式光伏!AX2+分布式光伏!AX2</f>
        <v>8073.33</v>
      </c>
      <c r="AY2">
        <f>集中式光伏!AY2+分布式光伏!AY2</f>
        <v>7984.91</v>
      </c>
      <c r="AZ2">
        <f>集中式光伏!AZ2+分布式光伏!AZ2</f>
        <v>7856.12</v>
      </c>
      <c r="BA2">
        <f>集中式光伏!BA2+分布式光伏!BA2</f>
        <v>7688.62</v>
      </c>
      <c r="BB2">
        <f>集中式光伏!BB2+分布式光伏!BB2</f>
        <v>7486.31</v>
      </c>
      <c r="BC2">
        <f>集中式光伏!BC2+分布式光伏!BC2</f>
        <v>7238.74</v>
      </c>
      <c r="BD2">
        <f>集中式光伏!BD2+分布式光伏!BD2</f>
        <v>6959.72</v>
      </c>
      <c r="BE2">
        <f>集中式光伏!BE2+分布式光伏!BE2</f>
        <v>6639.05</v>
      </c>
      <c r="BF2">
        <f>集中式光伏!BF2+分布式光伏!BF2</f>
        <v>6253.97</v>
      </c>
      <c r="BG2">
        <f>集中式光伏!BG2+分布式光伏!BG2</f>
        <v>5841.51</v>
      </c>
      <c r="BH2">
        <f>集中式光伏!BH2+分布式光伏!BH2</f>
        <v>5416.14</v>
      </c>
      <c r="BI2">
        <f>集中式光伏!BI2+分布式光伏!BI2</f>
        <v>4977.75</v>
      </c>
      <c r="BJ2">
        <f>集中式光伏!BJ2+分布式光伏!BJ2</f>
        <v>4554.14</v>
      </c>
      <c r="BK2">
        <f>集中式光伏!BK2+分布式光伏!BK2</f>
        <v>4147.11</v>
      </c>
      <c r="BL2">
        <f>集中式光伏!BL2+分布式光伏!BL2</f>
        <v>3727.77</v>
      </c>
      <c r="BM2">
        <f>集中式光伏!BM2+分布式光伏!BM2</f>
        <v>3319.4</v>
      </c>
      <c r="BN2">
        <f>集中式光伏!BN2+分布式光伏!BN2</f>
        <v>2917.15</v>
      </c>
      <c r="BO2">
        <f>集中式光伏!BO2+分布式光伏!BO2</f>
        <v>2530.86</v>
      </c>
      <c r="BP2">
        <f>集中式光伏!BP2+分布式光伏!BP2</f>
        <v>2150.44</v>
      </c>
      <c r="BQ2">
        <f>集中式光伏!BQ2+分布式光伏!BQ2</f>
        <v>1797.65</v>
      </c>
      <c r="BR2">
        <f>集中式光伏!BR2+分布式光伏!BR2</f>
        <v>1465.95</v>
      </c>
      <c r="BS2">
        <f>集中式光伏!BS2+分布式光伏!BS2</f>
        <v>1147.96</v>
      </c>
      <c r="BT2">
        <f>集中式光伏!BT2+分布式光伏!BT2</f>
        <v>873.09</v>
      </c>
      <c r="BU2">
        <f>集中式光伏!BU2+分布式光伏!BU2</f>
        <v>628.31</v>
      </c>
      <c r="BV2">
        <f>集中式光伏!BV2+分布式光伏!BV2</f>
        <v>436.46</v>
      </c>
      <c r="BW2">
        <f>集中式光伏!BW2+分布式光伏!BW2</f>
        <v>272.6</v>
      </c>
      <c r="BX2">
        <f>集中式光伏!BX2+分布式光伏!BX2</f>
        <v>128.86</v>
      </c>
      <c r="BY2">
        <f>集中式光伏!BY2+分布式光伏!BY2</f>
        <v>24</v>
      </c>
      <c r="BZ2">
        <f>集中式光伏!BZ2+分布式光伏!BZ2</f>
        <v>3</v>
      </c>
      <c r="CA2">
        <f>集中式光伏!CA2+分布式光伏!CA2</f>
        <v>0</v>
      </c>
      <c r="CB2">
        <f>集中式光伏!CB2+分布式光伏!CB2</f>
        <v>0</v>
      </c>
      <c r="CC2">
        <f>集中式光伏!CC2+分布式光伏!CC2</f>
        <v>0</v>
      </c>
      <c r="CD2">
        <f>集中式光伏!CD2+分布式光伏!CD2</f>
        <v>0</v>
      </c>
      <c r="CE2">
        <f>集中式光伏!CE2+分布式光伏!CE2</f>
        <v>0</v>
      </c>
      <c r="CF2">
        <f>集中式光伏!CF2+分布式光伏!CF2</f>
        <v>0</v>
      </c>
      <c r="CG2">
        <f>集中式光伏!CG2+分布式光伏!CG2</f>
        <v>0</v>
      </c>
      <c r="CH2">
        <f>集中式光伏!CH2+分布式光伏!CH2</f>
        <v>0</v>
      </c>
      <c r="CI2">
        <f>集中式光伏!CI2+分布式光伏!CI2</f>
        <v>0</v>
      </c>
      <c r="CJ2">
        <f>集中式光伏!CJ2+分布式光伏!CJ2</f>
        <v>0</v>
      </c>
      <c r="CK2">
        <f>集中式光伏!CK2+分布式光伏!CK2</f>
        <v>0</v>
      </c>
      <c r="CL2">
        <f>集中式光伏!CL2+分布式光伏!CL2</f>
        <v>0</v>
      </c>
      <c r="CM2">
        <f>集中式光伏!CM2+分布式光伏!CM2</f>
        <v>0</v>
      </c>
      <c r="CN2">
        <f>集中式光伏!CN2+分布式光伏!CN2</f>
        <v>0</v>
      </c>
      <c r="CO2">
        <f>集中式光伏!CO2+分布式光伏!CO2</f>
        <v>0</v>
      </c>
      <c r="CP2">
        <f>集中式光伏!CP2+分布式光伏!CP2</f>
        <v>0</v>
      </c>
      <c r="CQ2">
        <f>集中式光伏!CQ2+分布式光伏!CQ2</f>
        <v>0</v>
      </c>
      <c r="CR2">
        <f>集中式光伏!CR2+分布式光伏!CR2</f>
        <v>0</v>
      </c>
      <c r="CS2">
        <f>集中式光伏!CS2+分布式光伏!CS2</f>
        <v>0</v>
      </c>
    </row>
    <row r="3" spans="1:97">
      <c r="A3" s="9">
        <v>46236</v>
      </c>
      <c r="B3">
        <f>集中式光伏!B3+分布式光伏!B3</f>
        <v>0</v>
      </c>
      <c r="C3">
        <f>集中式光伏!C3+分布式光伏!C3</f>
        <v>0</v>
      </c>
      <c r="D3">
        <f>集中式光伏!D3+分布式光伏!D3</f>
        <v>0</v>
      </c>
      <c r="E3">
        <f>集中式光伏!E3+分布式光伏!E3</f>
        <v>0</v>
      </c>
      <c r="F3">
        <f>集中式光伏!F3+分布式光伏!F3</f>
        <v>0</v>
      </c>
      <c r="G3">
        <f>集中式光伏!G3+分布式光伏!G3</f>
        <v>0</v>
      </c>
      <c r="H3">
        <f>集中式光伏!H3+分布式光伏!H3</f>
        <v>0</v>
      </c>
      <c r="I3">
        <f>集中式光伏!I3+分布式光伏!I3</f>
        <v>0</v>
      </c>
      <c r="J3">
        <f>集中式光伏!J3+分布式光伏!J3</f>
        <v>0</v>
      </c>
      <c r="K3">
        <f>集中式光伏!K3+分布式光伏!K3</f>
        <v>0</v>
      </c>
      <c r="L3">
        <f>集中式光伏!L3+分布式光伏!L3</f>
        <v>0</v>
      </c>
      <c r="M3">
        <f>集中式光伏!M3+分布式光伏!M3</f>
        <v>0</v>
      </c>
      <c r="N3">
        <f>集中式光伏!N3+分布式光伏!N3</f>
        <v>0</v>
      </c>
      <c r="O3">
        <f>集中式光伏!O3+分布式光伏!O3</f>
        <v>0</v>
      </c>
      <c r="P3">
        <f>集中式光伏!P3+分布式光伏!P3</f>
        <v>0</v>
      </c>
      <c r="Q3">
        <f>集中式光伏!Q3+分布式光伏!Q3</f>
        <v>0</v>
      </c>
      <c r="R3">
        <f>集中式光伏!R3+分布式光伏!R3</f>
        <v>0</v>
      </c>
      <c r="S3">
        <f>集中式光伏!S3+分布式光伏!S3</f>
        <v>0</v>
      </c>
      <c r="T3">
        <f>集中式光伏!T3+分布式光伏!T3</f>
        <v>2</v>
      </c>
      <c r="U3">
        <f>集中式光伏!U3+分布式光伏!U3</f>
        <v>10</v>
      </c>
      <c r="V3">
        <f>集中式光伏!V3+分布式光伏!V3</f>
        <v>94.98</v>
      </c>
      <c r="W3">
        <f>集中式光伏!W3+分布式光伏!W3</f>
        <v>213.12</v>
      </c>
      <c r="X3">
        <f>集中式光伏!X3+分布式光伏!X3</f>
        <v>370.05</v>
      </c>
      <c r="Y3">
        <f>集中式光伏!Y3+分布式光伏!Y3</f>
        <v>571.37</v>
      </c>
      <c r="Z3">
        <f>集中式光伏!Z3+分布式光伏!Z3</f>
        <v>822.92</v>
      </c>
      <c r="AA3">
        <f>集中式光伏!AA3+分布式光伏!AA3</f>
        <v>1137.71</v>
      </c>
      <c r="AB3">
        <f>集中式光伏!AB3+分布式光伏!AB3</f>
        <v>1505</v>
      </c>
      <c r="AC3">
        <f>集中式光伏!AC3+分布式光伏!AC3</f>
        <v>1920.14</v>
      </c>
      <c r="AD3">
        <f>集中式光伏!AD3+分布式光伏!AD3</f>
        <v>2403.49</v>
      </c>
      <c r="AE3">
        <f>集中式光伏!AE3+分布式光伏!AE3</f>
        <v>2870.14</v>
      </c>
      <c r="AF3">
        <f>集中式光伏!AF3+分布式光伏!AF3</f>
        <v>3352.19</v>
      </c>
      <c r="AG3">
        <f>集中式光伏!AG3+分布式光伏!AG3</f>
        <v>3835.86</v>
      </c>
      <c r="AH3">
        <f>集中式光伏!AH3+分布式光伏!AH3</f>
        <v>4323.39</v>
      </c>
      <c r="AI3">
        <f>集中式光伏!AI3+分布式光伏!AI3</f>
        <v>4796.82</v>
      </c>
      <c r="AJ3">
        <f>集中式光伏!AJ3+分布式光伏!AJ3</f>
        <v>5247.79</v>
      </c>
      <c r="AK3">
        <f>集中式光伏!AK3+分布式光伏!AK3</f>
        <v>5673.28</v>
      </c>
      <c r="AL3">
        <f>集中式光伏!AL3+分布式光伏!AL3</f>
        <v>6067.14</v>
      </c>
      <c r="AM3">
        <f>集中式光伏!AM3+分布式光伏!AM3</f>
        <v>6419.45</v>
      </c>
      <c r="AN3">
        <f>集中式光伏!AN3+分布式光伏!AN3</f>
        <v>6727.68</v>
      </c>
      <c r="AO3">
        <f>集中式光伏!AO3+分布式光伏!AO3</f>
        <v>7019.29</v>
      </c>
      <c r="AP3">
        <f>集中式光伏!AP3+分布式光伏!AP3</f>
        <v>7251.45</v>
      </c>
      <c r="AQ3">
        <f>集中式光伏!AQ3+分布式光伏!AQ3</f>
        <v>7482.13</v>
      </c>
      <c r="AR3">
        <f>集中式光伏!AR3+分布式光伏!AR3</f>
        <v>7677.13</v>
      </c>
      <c r="AS3">
        <f>集中式光伏!AS3+分布式光伏!AS3</f>
        <v>7832.3</v>
      </c>
      <c r="AT3">
        <f>集中式光伏!AT3+分布式光伏!AT3</f>
        <v>7937.32</v>
      </c>
      <c r="AU3">
        <f>集中式光伏!AU3+分布式光伏!AU3</f>
        <v>7993.33</v>
      </c>
      <c r="AV3">
        <f>集中式光伏!AV3+分布式光伏!AV3</f>
        <v>8010.71</v>
      </c>
      <c r="AW3">
        <f>集中式光伏!AW3+分布式光伏!AW3</f>
        <v>7996.05</v>
      </c>
      <c r="AX3">
        <f>集中式光伏!AX3+分布式光伏!AX3</f>
        <v>7969.77</v>
      </c>
      <c r="AY3">
        <f>集中式光伏!AY3+分布式光伏!AY3</f>
        <v>7893.18</v>
      </c>
      <c r="AZ3">
        <f>集中式光伏!AZ3+分布式光伏!AZ3</f>
        <v>7781.37</v>
      </c>
      <c r="BA3">
        <f>集中式光伏!BA3+分布式光伏!BA3</f>
        <v>7647.39</v>
      </c>
      <c r="BB3">
        <f>集中式光伏!BB3+分布式光伏!BB3</f>
        <v>7484.36</v>
      </c>
      <c r="BC3">
        <f>集中式光伏!BC3+分布式光伏!BC3</f>
        <v>7275.68</v>
      </c>
      <c r="BD3">
        <f>集中式光伏!BD3+分布式光伏!BD3</f>
        <v>7052.13</v>
      </c>
      <c r="BE3">
        <f>集中式光伏!BE3+分布式光伏!BE3</f>
        <v>6800.61</v>
      </c>
      <c r="BF3">
        <f>集中式光伏!BF3+分布式光伏!BF3</f>
        <v>6489.11</v>
      </c>
      <c r="BG3">
        <f>集中式光伏!BG3+分布式光伏!BG3</f>
        <v>6178.93</v>
      </c>
      <c r="BH3">
        <f>集中式光伏!BH3+分布式光伏!BH3</f>
        <v>5815.97</v>
      </c>
      <c r="BI3">
        <f>集中式光伏!BI3+分布式光伏!BI3</f>
        <v>5422.75</v>
      </c>
      <c r="BJ3">
        <f>集中式光伏!BJ3+分布式光伏!BJ3</f>
        <v>5019.72</v>
      </c>
      <c r="BK3">
        <f>集中式光伏!BK3+分布式光伏!BK3</f>
        <v>4633.09</v>
      </c>
      <c r="BL3">
        <f>集中式光伏!BL3+分布式光伏!BL3</f>
        <v>4228.56</v>
      </c>
      <c r="BM3">
        <f>集中式光伏!BM3+分布式光伏!BM3</f>
        <v>3807.69</v>
      </c>
      <c r="BN3">
        <f>集中式光伏!BN3+分布式光伏!BN3</f>
        <v>3373.29</v>
      </c>
      <c r="BO3">
        <f>集中式光伏!BO3+分布式光伏!BO3</f>
        <v>2945.19</v>
      </c>
      <c r="BP3">
        <f>集中式光伏!BP3+分布式光伏!BP3</f>
        <v>2506.44</v>
      </c>
      <c r="BQ3">
        <f>集中式光伏!BQ3+分布式光伏!BQ3</f>
        <v>2085.54</v>
      </c>
      <c r="BR3">
        <f>集中式光伏!BR3+分布式光伏!BR3</f>
        <v>1696.37</v>
      </c>
      <c r="BS3">
        <f>集中式光伏!BS3+分布式光伏!BS3</f>
        <v>1315.77</v>
      </c>
      <c r="BT3">
        <f>集中式光伏!BT3+分布式光伏!BT3</f>
        <v>993.36</v>
      </c>
      <c r="BU3">
        <f>集中式光伏!BU3+分布式光伏!BU3</f>
        <v>707.88</v>
      </c>
      <c r="BV3">
        <f>集中式光伏!BV3+分布式光伏!BV3</f>
        <v>481.45</v>
      </c>
      <c r="BW3">
        <f>集中式光伏!BW3+分布式光伏!BW3</f>
        <v>294.84</v>
      </c>
      <c r="BX3">
        <f>集中式光伏!BX3+分布式光伏!BX3</f>
        <v>133.76</v>
      </c>
      <c r="BY3">
        <f>集中式光伏!BY3+分布式光伏!BY3</f>
        <v>23</v>
      </c>
      <c r="BZ3">
        <f>集中式光伏!BZ3+分布式光伏!BZ3</f>
        <v>4</v>
      </c>
      <c r="CA3">
        <f>集中式光伏!CA3+分布式光伏!CA3</f>
        <v>0</v>
      </c>
      <c r="CB3">
        <f>集中式光伏!CB3+分布式光伏!CB3</f>
        <v>0</v>
      </c>
      <c r="CC3">
        <f>集中式光伏!CC3+分布式光伏!CC3</f>
        <v>0</v>
      </c>
      <c r="CD3">
        <f>集中式光伏!CD3+分布式光伏!CD3</f>
        <v>0</v>
      </c>
      <c r="CE3">
        <f>集中式光伏!CE3+分布式光伏!CE3</f>
        <v>0</v>
      </c>
      <c r="CF3">
        <f>集中式光伏!CF3+分布式光伏!CF3</f>
        <v>0</v>
      </c>
      <c r="CG3">
        <f>集中式光伏!CG3+分布式光伏!CG3</f>
        <v>0</v>
      </c>
      <c r="CH3">
        <f>集中式光伏!CH3+分布式光伏!CH3</f>
        <v>0</v>
      </c>
      <c r="CI3">
        <f>集中式光伏!CI3+分布式光伏!CI3</f>
        <v>0</v>
      </c>
      <c r="CJ3">
        <f>集中式光伏!CJ3+分布式光伏!CJ3</f>
        <v>0</v>
      </c>
      <c r="CK3">
        <f>集中式光伏!CK3+分布式光伏!CK3</f>
        <v>0</v>
      </c>
      <c r="CL3">
        <f>集中式光伏!CL3+分布式光伏!CL3</f>
        <v>0</v>
      </c>
      <c r="CM3">
        <f>集中式光伏!CM3+分布式光伏!CM3</f>
        <v>0</v>
      </c>
      <c r="CN3">
        <f>集中式光伏!CN3+分布式光伏!CN3</f>
        <v>0</v>
      </c>
      <c r="CO3">
        <f>集中式光伏!CO3+分布式光伏!CO3</f>
        <v>0</v>
      </c>
      <c r="CP3">
        <f>集中式光伏!CP3+分布式光伏!CP3</f>
        <v>0</v>
      </c>
      <c r="CQ3">
        <f>集中式光伏!CQ3+分布式光伏!CQ3</f>
        <v>0</v>
      </c>
      <c r="CR3">
        <f>集中式光伏!CR3+分布式光伏!CR3</f>
        <v>0</v>
      </c>
      <c r="CS3">
        <f>集中式光伏!CS3+分布式光伏!CS3</f>
        <v>0</v>
      </c>
    </row>
    <row r="4" spans="1:97">
      <c r="A4" s="9">
        <v>46237</v>
      </c>
      <c r="B4">
        <f>集中式光伏!B4+分布式光伏!B4</f>
        <v>0</v>
      </c>
      <c r="C4">
        <f>集中式光伏!C4+分布式光伏!C4</f>
        <v>0</v>
      </c>
      <c r="D4">
        <f>集中式光伏!D4+分布式光伏!D4</f>
        <v>0</v>
      </c>
      <c r="E4">
        <f>集中式光伏!E4+分布式光伏!E4</f>
        <v>0</v>
      </c>
      <c r="F4">
        <f>集中式光伏!F4+分布式光伏!F4</f>
        <v>0</v>
      </c>
      <c r="G4">
        <f>集中式光伏!G4+分布式光伏!G4</f>
        <v>0</v>
      </c>
      <c r="H4">
        <f>集中式光伏!H4+分布式光伏!H4</f>
        <v>0</v>
      </c>
      <c r="I4">
        <f>集中式光伏!I4+分布式光伏!I4</f>
        <v>0</v>
      </c>
      <c r="J4">
        <f>集中式光伏!J4+分布式光伏!J4</f>
        <v>0</v>
      </c>
      <c r="K4">
        <f>集中式光伏!K4+分布式光伏!K4</f>
        <v>0</v>
      </c>
      <c r="L4">
        <f>集中式光伏!L4+分布式光伏!L4</f>
        <v>0</v>
      </c>
      <c r="M4">
        <f>集中式光伏!M4+分布式光伏!M4</f>
        <v>0</v>
      </c>
      <c r="N4">
        <f>集中式光伏!N4+分布式光伏!N4</f>
        <v>0</v>
      </c>
      <c r="O4">
        <f>集中式光伏!O4+分布式光伏!O4</f>
        <v>0</v>
      </c>
      <c r="P4">
        <f>集中式光伏!P4+分布式光伏!P4</f>
        <v>0</v>
      </c>
      <c r="Q4">
        <f>集中式光伏!Q4+分布式光伏!Q4</f>
        <v>0</v>
      </c>
      <c r="R4">
        <f>集中式光伏!R4+分布式光伏!R4</f>
        <v>0</v>
      </c>
      <c r="S4">
        <f>集中式光伏!S4+分布式光伏!S4</f>
        <v>0</v>
      </c>
      <c r="T4">
        <f>集中式光伏!T4+分布式光伏!T4</f>
        <v>1</v>
      </c>
      <c r="U4">
        <f>集中式光伏!U4+分布式光伏!U4</f>
        <v>10</v>
      </c>
      <c r="V4">
        <f>集中式光伏!V4+分布式光伏!V4</f>
        <v>105.69</v>
      </c>
      <c r="W4">
        <f>集中式光伏!W4+分布式光伏!W4</f>
        <v>243.46</v>
      </c>
      <c r="X4">
        <f>集中式光伏!X4+分布式光伏!X4</f>
        <v>431.9</v>
      </c>
      <c r="Y4">
        <f>集中式光伏!Y4+分布式光伏!Y4</f>
        <v>672.66</v>
      </c>
      <c r="Z4">
        <f>集中式光伏!Z4+分布式光伏!Z4</f>
        <v>976.32</v>
      </c>
      <c r="AA4">
        <f>集中式光伏!AA4+分布式光伏!AA4</f>
        <v>1371.92</v>
      </c>
      <c r="AB4">
        <f>集中式光伏!AB4+分布式光伏!AB4</f>
        <v>1825.25</v>
      </c>
      <c r="AC4">
        <f>集中式光伏!AC4+分布式光伏!AC4</f>
        <v>2328.85</v>
      </c>
      <c r="AD4">
        <f>集中式光伏!AD4+分布式光伏!AD4</f>
        <v>2919.4</v>
      </c>
      <c r="AE4">
        <f>集中式光伏!AE4+分布式光伏!AE4</f>
        <v>3500.37</v>
      </c>
      <c r="AF4">
        <f>集中式光伏!AF4+分布式光伏!AF4</f>
        <v>4093.65</v>
      </c>
      <c r="AG4">
        <f>集中式光伏!AG4+分布式光伏!AG4</f>
        <v>4675.76</v>
      </c>
      <c r="AH4">
        <f>集中式光伏!AH4+分布式光伏!AH4</f>
        <v>5230.91</v>
      </c>
      <c r="AI4">
        <f>集中式光伏!AI4+分布式光伏!AI4</f>
        <v>5759.62</v>
      </c>
      <c r="AJ4">
        <f>集中式光伏!AJ4+分布式光伏!AJ4</f>
        <v>6271.64</v>
      </c>
      <c r="AK4">
        <f>集中式光伏!AK4+分布式光伏!AK4</f>
        <v>6758.01</v>
      </c>
      <c r="AL4">
        <f>集中式光伏!AL4+分布式光伏!AL4</f>
        <v>7183.22</v>
      </c>
      <c r="AM4">
        <f>集中式光伏!AM4+分布式光伏!AM4</f>
        <v>7565.32</v>
      </c>
      <c r="AN4">
        <f>集中式光伏!AN4+分布式光伏!AN4</f>
        <v>7918.25</v>
      </c>
      <c r="AO4">
        <f>集中式光伏!AO4+分布式光伏!AO4</f>
        <v>8222.1</v>
      </c>
      <c r="AP4">
        <f>集中式光伏!AP4+分布式光伏!AP4</f>
        <v>8457.93</v>
      </c>
      <c r="AQ4">
        <f>集中式光伏!AQ4+分布式光伏!AQ4</f>
        <v>8668.46</v>
      </c>
      <c r="AR4">
        <f>集中式光伏!AR4+分布式光伏!AR4</f>
        <v>8829.71</v>
      </c>
      <c r="AS4">
        <f>集中式光伏!AS4+分布式光伏!AS4</f>
        <v>8957.23</v>
      </c>
      <c r="AT4">
        <f>集中式光伏!AT4+分布式光伏!AT4</f>
        <v>9040.42</v>
      </c>
      <c r="AU4">
        <f>集中式光伏!AU4+分布式光伏!AU4</f>
        <v>9070.75</v>
      </c>
      <c r="AV4">
        <f>集中式光伏!AV4+分布式光伏!AV4</f>
        <v>9073.15</v>
      </c>
      <c r="AW4">
        <f>集中式光伏!AW4+分布式光伏!AW4</f>
        <v>9061.88</v>
      </c>
      <c r="AX4">
        <f>集中式光伏!AX4+分布式光伏!AX4</f>
        <v>9038.53</v>
      </c>
      <c r="AY4">
        <f>集中式光伏!AY4+分布式光伏!AY4</f>
        <v>8969.73</v>
      </c>
      <c r="AZ4">
        <f>集中式光伏!AZ4+分布式光伏!AZ4</f>
        <v>8861.96</v>
      </c>
      <c r="BA4">
        <f>集中式光伏!BA4+分布式光伏!BA4</f>
        <v>8737.04</v>
      </c>
      <c r="BB4">
        <f>集中式光伏!BB4+分布式光伏!BB4</f>
        <v>8576.39</v>
      </c>
      <c r="BC4">
        <f>集中式光伏!BC4+分布式光伏!BC4</f>
        <v>8395.78</v>
      </c>
      <c r="BD4">
        <f>集中式光伏!BD4+分布式光伏!BD4</f>
        <v>8182.85</v>
      </c>
      <c r="BE4">
        <f>集中式光伏!BE4+分布式光伏!BE4</f>
        <v>7945.87</v>
      </c>
      <c r="BF4">
        <f>集中式光伏!BF4+分布式光伏!BF4</f>
        <v>7637.19</v>
      </c>
      <c r="BG4">
        <f>集中式光伏!BG4+分布式光伏!BG4</f>
        <v>7310.37</v>
      </c>
      <c r="BH4">
        <f>集中式光伏!BH4+分布式光伏!BH4</f>
        <v>6957.57</v>
      </c>
      <c r="BI4">
        <f>集中式光伏!BI4+分布式光伏!BI4</f>
        <v>6557.82</v>
      </c>
      <c r="BJ4">
        <f>集中式光伏!BJ4+分布式光伏!BJ4</f>
        <v>6133.51</v>
      </c>
      <c r="BK4">
        <f>集中式光伏!BK4+分布式光伏!BK4</f>
        <v>5699.88</v>
      </c>
      <c r="BL4">
        <f>集中式光伏!BL4+分布式光伏!BL4</f>
        <v>5216.18</v>
      </c>
      <c r="BM4">
        <f>集中式光伏!BM4+分布式光伏!BM4</f>
        <v>4712.95</v>
      </c>
      <c r="BN4">
        <f>集中式光伏!BN4+分布式光伏!BN4</f>
        <v>4179.98</v>
      </c>
      <c r="BO4">
        <f>集中式光伏!BO4+分布式光伏!BO4</f>
        <v>3616.77</v>
      </c>
      <c r="BP4">
        <f>集中式光伏!BP4+分布式光伏!BP4</f>
        <v>3054.92</v>
      </c>
      <c r="BQ4">
        <f>集中式光伏!BQ4+分布式光伏!BQ4</f>
        <v>2515.36</v>
      </c>
      <c r="BR4">
        <f>集中式光伏!BR4+分布式光伏!BR4</f>
        <v>2021.3</v>
      </c>
      <c r="BS4">
        <f>集中式光伏!BS4+分布式光伏!BS4</f>
        <v>1552.13</v>
      </c>
      <c r="BT4">
        <f>集中式光伏!BT4+分布式光伏!BT4</f>
        <v>1154.98</v>
      </c>
      <c r="BU4">
        <f>集中式光伏!BU4+分布式光伏!BU4</f>
        <v>812.77</v>
      </c>
      <c r="BV4">
        <f>集中式光伏!BV4+分布式光伏!BV4</f>
        <v>544.01</v>
      </c>
      <c r="BW4">
        <f>集中式光伏!BW4+分布式光伏!BW4</f>
        <v>322.19</v>
      </c>
      <c r="BX4">
        <f>集中式光伏!BX4+分布式光伏!BX4</f>
        <v>139.9</v>
      </c>
      <c r="BY4">
        <f>集中式光伏!BY4+分布式光伏!BY4</f>
        <v>23</v>
      </c>
      <c r="BZ4">
        <f>集中式光伏!BZ4+分布式光伏!BZ4</f>
        <v>2</v>
      </c>
      <c r="CA4">
        <f>集中式光伏!CA4+分布式光伏!CA4</f>
        <v>0</v>
      </c>
      <c r="CB4">
        <f>集中式光伏!CB4+分布式光伏!CB4</f>
        <v>0</v>
      </c>
      <c r="CC4">
        <f>集中式光伏!CC4+分布式光伏!CC4</f>
        <v>0</v>
      </c>
      <c r="CD4">
        <f>集中式光伏!CD4+分布式光伏!CD4</f>
        <v>0</v>
      </c>
      <c r="CE4">
        <f>集中式光伏!CE4+分布式光伏!CE4</f>
        <v>0</v>
      </c>
      <c r="CF4">
        <f>集中式光伏!CF4+分布式光伏!CF4</f>
        <v>0</v>
      </c>
      <c r="CG4">
        <f>集中式光伏!CG4+分布式光伏!CG4</f>
        <v>0</v>
      </c>
      <c r="CH4">
        <f>集中式光伏!CH4+分布式光伏!CH4</f>
        <v>0</v>
      </c>
      <c r="CI4">
        <f>集中式光伏!CI4+分布式光伏!CI4</f>
        <v>0</v>
      </c>
      <c r="CJ4">
        <f>集中式光伏!CJ4+分布式光伏!CJ4</f>
        <v>0</v>
      </c>
      <c r="CK4">
        <f>集中式光伏!CK4+分布式光伏!CK4</f>
        <v>0</v>
      </c>
      <c r="CL4">
        <f>集中式光伏!CL4+分布式光伏!CL4</f>
        <v>0</v>
      </c>
      <c r="CM4">
        <f>集中式光伏!CM4+分布式光伏!CM4</f>
        <v>0</v>
      </c>
      <c r="CN4">
        <f>集中式光伏!CN4+分布式光伏!CN4</f>
        <v>0</v>
      </c>
      <c r="CO4">
        <f>集中式光伏!CO4+分布式光伏!CO4</f>
        <v>0</v>
      </c>
      <c r="CP4">
        <f>集中式光伏!CP4+分布式光伏!CP4</f>
        <v>0</v>
      </c>
      <c r="CQ4">
        <f>集中式光伏!CQ4+分布式光伏!CQ4</f>
        <v>0</v>
      </c>
      <c r="CR4">
        <f>集中式光伏!CR4+分布式光伏!CR4</f>
        <v>0</v>
      </c>
      <c r="CS4">
        <f>集中式光伏!CS4+分布式光伏!CS4</f>
        <v>0</v>
      </c>
    </row>
    <row r="5" spans="1:97">
      <c r="A5" s="9">
        <v>46238</v>
      </c>
      <c r="B5">
        <f>集中式光伏!B5+分布式光伏!B5</f>
        <v>0</v>
      </c>
      <c r="C5">
        <f>集中式光伏!C5+分布式光伏!C5</f>
        <v>0</v>
      </c>
      <c r="D5">
        <f>集中式光伏!D5+分布式光伏!D5</f>
        <v>0</v>
      </c>
      <c r="E5">
        <f>集中式光伏!E5+分布式光伏!E5</f>
        <v>0</v>
      </c>
      <c r="F5">
        <f>集中式光伏!F5+分布式光伏!F5</f>
        <v>0</v>
      </c>
      <c r="G5">
        <f>集中式光伏!G5+分布式光伏!G5</f>
        <v>0</v>
      </c>
      <c r="H5">
        <f>集中式光伏!H5+分布式光伏!H5</f>
        <v>0</v>
      </c>
      <c r="I5">
        <f>集中式光伏!I5+分布式光伏!I5</f>
        <v>0</v>
      </c>
      <c r="J5">
        <f>集中式光伏!J5+分布式光伏!J5</f>
        <v>0</v>
      </c>
      <c r="K5">
        <f>集中式光伏!K5+分布式光伏!K5</f>
        <v>0</v>
      </c>
      <c r="L5">
        <f>集中式光伏!L5+分布式光伏!L5</f>
        <v>0</v>
      </c>
      <c r="M5">
        <f>集中式光伏!M5+分布式光伏!M5</f>
        <v>0</v>
      </c>
      <c r="N5">
        <f>集中式光伏!N5+分布式光伏!N5</f>
        <v>0</v>
      </c>
      <c r="O5">
        <f>集中式光伏!O5+分布式光伏!O5</f>
        <v>0</v>
      </c>
      <c r="P5">
        <f>集中式光伏!P5+分布式光伏!P5</f>
        <v>0</v>
      </c>
      <c r="Q5">
        <f>集中式光伏!Q5+分布式光伏!Q5</f>
        <v>0</v>
      </c>
      <c r="R5">
        <f>集中式光伏!R5+分布式光伏!R5</f>
        <v>0</v>
      </c>
      <c r="S5">
        <f>集中式光伏!S5+分布式光伏!S5</f>
        <v>0</v>
      </c>
      <c r="T5">
        <f>集中式光伏!T5+分布式光伏!T5</f>
        <v>1</v>
      </c>
      <c r="U5">
        <f>集中式光伏!U5+分布式光伏!U5</f>
        <v>9</v>
      </c>
      <c r="V5">
        <f>集中式光伏!V5+分布式光伏!V5</f>
        <v>98.61</v>
      </c>
      <c r="W5">
        <f>集中式光伏!W5+分布式光伏!W5</f>
        <v>238.42</v>
      </c>
      <c r="X5">
        <f>集中式光伏!X5+分布式光伏!X5</f>
        <v>423.55</v>
      </c>
      <c r="Y5">
        <f>集中式光伏!Y5+分布式光伏!Y5</f>
        <v>664.64</v>
      </c>
      <c r="Z5">
        <f>集中式光伏!Z5+分布式光伏!Z5</f>
        <v>957.19</v>
      </c>
      <c r="AA5">
        <f>集中式光伏!AA5+分布式光伏!AA5</f>
        <v>1350.14</v>
      </c>
      <c r="AB5">
        <f>集中式光伏!AB5+分布式光伏!AB5</f>
        <v>1799.57</v>
      </c>
      <c r="AC5">
        <f>集中式光伏!AC5+分布式光伏!AC5</f>
        <v>2302.69</v>
      </c>
      <c r="AD5">
        <f>集中式光伏!AD5+分布式光伏!AD5</f>
        <v>2889.74</v>
      </c>
      <c r="AE5">
        <f>集中式光伏!AE5+分布式光伏!AE5</f>
        <v>3463.9</v>
      </c>
      <c r="AF5">
        <f>集中式光伏!AF5+分布式光伏!AF5</f>
        <v>4041.91</v>
      </c>
      <c r="AG5">
        <f>集中式光伏!AG5+分布式光伏!AG5</f>
        <v>4620.32</v>
      </c>
      <c r="AH5">
        <f>集中式光伏!AH5+分布式光伏!AH5</f>
        <v>5176.61</v>
      </c>
      <c r="AI5">
        <f>集中式光伏!AI5+分布式光伏!AI5</f>
        <v>5729.51</v>
      </c>
      <c r="AJ5">
        <f>集中式光伏!AJ5+分布式光伏!AJ5</f>
        <v>6258.29</v>
      </c>
      <c r="AK5">
        <f>集中式光伏!AK5+分布式光伏!AK5</f>
        <v>6755.03</v>
      </c>
      <c r="AL5">
        <f>集中式光伏!AL5+分布式光伏!AL5</f>
        <v>7187.91</v>
      </c>
      <c r="AM5">
        <f>集中式光伏!AM5+分布式光伏!AM5</f>
        <v>7570.13</v>
      </c>
      <c r="AN5">
        <f>集中式光伏!AN5+分布式光伏!AN5</f>
        <v>7920.23</v>
      </c>
      <c r="AO5">
        <f>集中式光伏!AO5+分布式光伏!AO5</f>
        <v>8232.61</v>
      </c>
      <c r="AP5">
        <f>集中式光伏!AP5+分布式光伏!AP5</f>
        <v>8466.44</v>
      </c>
      <c r="AQ5">
        <f>集中式光伏!AQ5+分布式光伏!AQ5</f>
        <v>8666.92</v>
      </c>
      <c r="AR5">
        <f>集中式光伏!AR5+分布式光伏!AR5</f>
        <v>8831.97</v>
      </c>
      <c r="AS5">
        <f>集中式光伏!AS5+分布式光伏!AS5</f>
        <v>8956.72</v>
      </c>
      <c r="AT5">
        <f>集中式光伏!AT5+分布式光伏!AT5</f>
        <v>9027.27</v>
      </c>
      <c r="AU5">
        <f>集中式光伏!AU5+分布式光伏!AU5</f>
        <v>9040.75</v>
      </c>
      <c r="AV5">
        <f>集中式光伏!AV5+分布式光伏!AV5</f>
        <v>9041.07</v>
      </c>
      <c r="AW5">
        <f>集中式光伏!AW5+分布式光伏!AW5</f>
        <v>9017.55</v>
      </c>
      <c r="AX5">
        <f>集中式光伏!AX5+分布式光伏!AX5</f>
        <v>8985.26</v>
      </c>
      <c r="AY5">
        <f>集中式光伏!AY5+分布式光伏!AY5</f>
        <v>8888.22</v>
      </c>
      <c r="AZ5">
        <f>集中式光伏!AZ5+分布式光伏!AZ5</f>
        <v>8767.79</v>
      </c>
      <c r="BA5">
        <f>集中式光伏!BA5+分布式光伏!BA5</f>
        <v>8634.02</v>
      </c>
      <c r="BB5">
        <f>集中式光伏!BB5+分布式光伏!BB5</f>
        <v>8468.86</v>
      </c>
      <c r="BC5">
        <f>集中式光伏!BC5+分布式光伏!BC5</f>
        <v>8279.16</v>
      </c>
      <c r="BD5">
        <f>集中式光伏!BD5+分布式光伏!BD5</f>
        <v>8060.5</v>
      </c>
      <c r="BE5">
        <f>集中式光伏!BE5+分布式光伏!BE5</f>
        <v>7817.38</v>
      </c>
      <c r="BF5">
        <f>集中式光伏!BF5+分布式光伏!BF5</f>
        <v>7503.61</v>
      </c>
      <c r="BG5">
        <f>集中式光伏!BG5+分布式光伏!BG5</f>
        <v>7178.26</v>
      </c>
      <c r="BH5">
        <f>集中式光伏!BH5+分布式光伏!BH5</f>
        <v>6787.78</v>
      </c>
      <c r="BI5">
        <f>集中式光伏!BI5+分布式光伏!BI5</f>
        <v>6384.95</v>
      </c>
      <c r="BJ5">
        <f>集中式光伏!BJ5+分布式光伏!BJ5</f>
        <v>5953.25</v>
      </c>
      <c r="BK5">
        <f>集中式光伏!BK5+分布式光伏!BK5</f>
        <v>5496.99</v>
      </c>
      <c r="BL5">
        <f>集中式光伏!BL5+分布式光伏!BL5</f>
        <v>5027.1</v>
      </c>
      <c r="BM5">
        <f>集中式光伏!BM5+分布式光伏!BM5</f>
        <v>4532.06</v>
      </c>
      <c r="BN5">
        <f>集中式光伏!BN5+分布式光伏!BN5</f>
        <v>3993</v>
      </c>
      <c r="BO5">
        <f>集中式光伏!BO5+分布式光伏!BO5</f>
        <v>3448.38</v>
      </c>
      <c r="BP5">
        <f>集中式光伏!BP5+分布式光伏!BP5</f>
        <v>2910.76</v>
      </c>
      <c r="BQ5">
        <f>集中式光伏!BQ5+分布式光伏!BQ5</f>
        <v>2397.8</v>
      </c>
      <c r="BR5">
        <f>集中式光伏!BR5+分布式光伏!BR5</f>
        <v>1928.66</v>
      </c>
      <c r="BS5">
        <f>集中式光伏!BS5+分布式光伏!BS5</f>
        <v>1481.14</v>
      </c>
      <c r="BT5">
        <f>集中式光伏!BT5+分布式光伏!BT5</f>
        <v>1100.81</v>
      </c>
      <c r="BU5">
        <f>集中式光伏!BU5+分布式光伏!BU5</f>
        <v>772.26</v>
      </c>
      <c r="BV5">
        <f>集中式光伏!BV5+分布式光伏!BV5</f>
        <v>512.1</v>
      </c>
      <c r="BW5">
        <f>集中式光伏!BW5+分布式光伏!BW5</f>
        <v>305.4</v>
      </c>
      <c r="BX5">
        <f>集中式光伏!BX5+分布式光伏!BX5</f>
        <v>129.44</v>
      </c>
      <c r="BY5">
        <f>集中式光伏!BY5+分布式光伏!BY5</f>
        <v>20</v>
      </c>
      <c r="BZ5">
        <f>集中式光伏!BZ5+分布式光伏!BZ5</f>
        <v>1</v>
      </c>
      <c r="CA5">
        <f>集中式光伏!CA5+分布式光伏!CA5</f>
        <v>0</v>
      </c>
      <c r="CB5">
        <f>集中式光伏!CB5+分布式光伏!CB5</f>
        <v>0</v>
      </c>
      <c r="CC5">
        <f>集中式光伏!CC5+分布式光伏!CC5</f>
        <v>0</v>
      </c>
      <c r="CD5">
        <f>集中式光伏!CD5+分布式光伏!CD5</f>
        <v>0</v>
      </c>
      <c r="CE5">
        <f>集中式光伏!CE5+分布式光伏!CE5</f>
        <v>0</v>
      </c>
      <c r="CF5">
        <f>集中式光伏!CF5+分布式光伏!CF5</f>
        <v>0</v>
      </c>
      <c r="CG5">
        <f>集中式光伏!CG5+分布式光伏!CG5</f>
        <v>0</v>
      </c>
      <c r="CH5">
        <f>集中式光伏!CH5+分布式光伏!CH5</f>
        <v>0</v>
      </c>
      <c r="CI5">
        <f>集中式光伏!CI5+分布式光伏!CI5</f>
        <v>0</v>
      </c>
      <c r="CJ5">
        <f>集中式光伏!CJ5+分布式光伏!CJ5</f>
        <v>0</v>
      </c>
      <c r="CK5">
        <f>集中式光伏!CK5+分布式光伏!CK5</f>
        <v>0</v>
      </c>
      <c r="CL5">
        <f>集中式光伏!CL5+分布式光伏!CL5</f>
        <v>0</v>
      </c>
      <c r="CM5">
        <f>集中式光伏!CM5+分布式光伏!CM5</f>
        <v>0</v>
      </c>
      <c r="CN5">
        <f>集中式光伏!CN5+分布式光伏!CN5</f>
        <v>0</v>
      </c>
      <c r="CO5">
        <f>集中式光伏!CO5+分布式光伏!CO5</f>
        <v>0</v>
      </c>
      <c r="CP5">
        <f>集中式光伏!CP5+分布式光伏!CP5</f>
        <v>0</v>
      </c>
      <c r="CQ5">
        <f>集中式光伏!CQ5+分布式光伏!CQ5</f>
        <v>0</v>
      </c>
      <c r="CR5">
        <f>集中式光伏!CR5+分布式光伏!CR5</f>
        <v>0</v>
      </c>
      <c r="CS5">
        <f>集中式光伏!CS5+分布式光伏!CS5</f>
        <v>0</v>
      </c>
    </row>
    <row r="6" spans="1:97">
      <c r="A6" s="9">
        <v>46239</v>
      </c>
      <c r="B6">
        <f>集中式光伏!B6+分布式光伏!B6</f>
        <v>0</v>
      </c>
      <c r="C6">
        <f>集中式光伏!C6+分布式光伏!C6</f>
        <v>0</v>
      </c>
      <c r="D6">
        <f>集中式光伏!D6+分布式光伏!D6</f>
        <v>0</v>
      </c>
      <c r="E6">
        <f>集中式光伏!E6+分布式光伏!E6</f>
        <v>0</v>
      </c>
      <c r="F6">
        <f>集中式光伏!F6+分布式光伏!F6</f>
        <v>0</v>
      </c>
      <c r="G6">
        <f>集中式光伏!G6+分布式光伏!G6</f>
        <v>0</v>
      </c>
      <c r="H6">
        <f>集中式光伏!H6+分布式光伏!H6</f>
        <v>0</v>
      </c>
      <c r="I6">
        <f>集中式光伏!I6+分布式光伏!I6</f>
        <v>0</v>
      </c>
      <c r="J6">
        <f>集中式光伏!J6+分布式光伏!J6</f>
        <v>0</v>
      </c>
      <c r="K6">
        <f>集中式光伏!K6+分布式光伏!K6</f>
        <v>0</v>
      </c>
      <c r="L6">
        <f>集中式光伏!L6+分布式光伏!L6</f>
        <v>0</v>
      </c>
      <c r="M6">
        <f>集中式光伏!M6+分布式光伏!M6</f>
        <v>0</v>
      </c>
      <c r="N6">
        <f>集中式光伏!N6+分布式光伏!N6</f>
        <v>0</v>
      </c>
      <c r="O6">
        <f>集中式光伏!O6+分布式光伏!O6</f>
        <v>0</v>
      </c>
      <c r="P6">
        <f>集中式光伏!P6+分布式光伏!P6</f>
        <v>0</v>
      </c>
      <c r="Q6">
        <f>集中式光伏!Q6+分布式光伏!Q6</f>
        <v>0</v>
      </c>
      <c r="R6">
        <f>集中式光伏!R6+分布式光伏!R6</f>
        <v>0</v>
      </c>
      <c r="S6">
        <f>集中式光伏!S6+分布式光伏!S6</f>
        <v>0</v>
      </c>
      <c r="T6">
        <f>集中式光伏!T6+分布式光伏!T6</f>
        <v>1</v>
      </c>
      <c r="U6">
        <f>集中式光伏!U6+分布式光伏!U6</f>
        <v>7</v>
      </c>
      <c r="V6">
        <f>集中式光伏!V6+分布式光伏!V6</f>
        <v>90.38</v>
      </c>
      <c r="W6">
        <f>集中式光伏!W6+分布式光伏!W6</f>
        <v>227.92</v>
      </c>
      <c r="X6">
        <f>集中式光伏!X6+分布式光伏!X6</f>
        <v>414.54</v>
      </c>
      <c r="Y6">
        <f>集中式光伏!Y6+分布式光伏!Y6</f>
        <v>659.74</v>
      </c>
      <c r="Z6">
        <f>集中式光伏!Z6+分布式光伏!Z6</f>
        <v>967.11</v>
      </c>
      <c r="AA6">
        <f>集中式光伏!AA6+分布式光伏!AA6</f>
        <v>1373.62</v>
      </c>
      <c r="AB6">
        <f>集中式光伏!AB6+分布式光伏!AB6</f>
        <v>1838.64</v>
      </c>
      <c r="AC6">
        <f>集中式光伏!AC6+分布式光伏!AC6</f>
        <v>2351.81</v>
      </c>
      <c r="AD6">
        <f>集中式光伏!AD6+分布式光伏!AD6</f>
        <v>2947.23</v>
      </c>
      <c r="AE6">
        <f>集中式光伏!AE6+分布式光伏!AE6</f>
        <v>3631.86</v>
      </c>
      <c r="AF6">
        <f>集中式光伏!AF6+分布式光伏!AF6</f>
        <v>4241.76</v>
      </c>
      <c r="AG6">
        <f>集中式光伏!AG6+分布式光伏!AG6</f>
        <v>4844.38</v>
      </c>
      <c r="AH6">
        <f>集中式光伏!AH6+分布式光伏!AH6</f>
        <v>5416.26</v>
      </c>
      <c r="AI6">
        <f>集中式光伏!AI6+分布式光伏!AI6</f>
        <v>5889.39</v>
      </c>
      <c r="AJ6">
        <f>集中式光伏!AJ6+分布式光伏!AJ6</f>
        <v>6405.35</v>
      </c>
      <c r="AK6">
        <f>集中式光伏!AK6+分布式光伏!AK6</f>
        <v>6904.13</v>
      </c>
      <c r="AL6">
        <f>集中式光伏!AL6+分布式光伏!AL6</f>
        <v>7333.69</v>
      </c>
      <c r="AM6">
        <f>集中式光伏!AM6+分布式光伏!AM6</f>
        <v>7703.85</v>
      </c>
      <c r="AN6">
        <f>集中式光伏!AN6+分布式光伏!AN6</f>
        <v>8049.28</v>
      </c>
      <c r="AO6">
        <f>集中式光伏!AO6+分布式光伏!AO6</f>
        <v>8355.12</v>
      </c>
      <c r="AP6">
        <f>集中式光伏!AP6+分布式光伏!AP6</f>
        <v>8584.54</v>
      </c>
      <c r="AQ6">
        <f>集中式光伏!AQ6+分布式光伏!AQ6</f>
        <v>8791.76</v>
      </c>
      <c r="AR6">
        <f>集中式光伏!AR6+分布式光伏!AR6</f>
        <v>8941.97</v>
      </c>
      <c r="AS6">
        <f>集中式光伏!AS6+分布式光伏!AS6</f>
        <v>9059.92</v>
      </c>
      <c r="AT6">
        <f>集中式光伏!AT6+分布式光伏!AT6</f>
        <v>9137.81</v>
      </c>
      <c r="AU6">
        <f>集中式光伏!AU6+分布式光伏!AU6</f>
        <v>9167.78</v>
      </c>
      <c r="AV6">
        <f>集中式光伏!AV6+分布式光伏!AV6</f>
        <v>9188.84</v>
      </c>
      <c r="AW6">
        <f>集中式光伏!AW6+分布式光伏!AW6</f>
        <v>9173.83</v>
      </c>
      <c r="AX6">
        <f>集中式光伏!AX6+分布式光伏!AX6</f>
        <v>9152.13</v>
      </c>
      <c r="AY6">
        <f>集中式光伏!AY6+分布式光伏!AY6</f>
        <v>9068.71</v>
      </c>
      <c r="AZ6">
        <f>集中式光伏!AZ6+分布式光伏!AZ6</f>
        <v>8945.65</v>
      </c>
      <c r="BA6">
        <f>集中式光伏!BA6+分布式光伏!BA6</f>
        <v>8810.56</v>
      </c>
      <c r="BB6">
        <f>集中式光伏!BB6+分布式光伏!BB6</f>
        <v>8643.48</v>
      </c>
      <c r="BC6">
        <f>集中式光伏!BC6+分布式光伏!BC6</f>
        <v>8453.94</v>
      </c>
      <c r="BD6">
        <f>集中式光伏!BD6+分布式光伏!BD6</f>
        <v>8238.9</v>
      </c>
      <c r="BE6">
        <f>集中式光伏!BE6+分布式光伏!BE6</f>
        <v>7994.05</v>
      </c>
      <c r="BF6">
        <f>集中式光伏!BF6+分布式光伏!BF6</f>
        <v>7666.71</v>
      </c>
      <c r="BG6">
        <f>集中式光伏!BG6+分布式光伏!BG6</f>
        <v>7320.21</v>
      </c>
      <c r="BH6">
        <f>集中式光伏!BH6+分布式光伏!BH6</f>
        <v>6940.72</v>
      </c>
      <c r="BI6">
        <f>集中式光伏!BI6+分布式光伏!BI6</f>
        <v>6511.97</v>
      </c>
      <c r="BJ6">
        <f>集中式光伏!BJ6+分布式光伏!BJ6</f>
        <v>6067.25</v>
      </c>
      <c r="BK6">
        <f>集中式光伏!BK6+分布式光伏!BK6</f>
        <v>5584.11</v>
      </c>
      <c r="BL6">
        <f>集中式光伏!BL6+分布式光伏!BL6</f>
        <v>5084.63</v>
      </c>
      <c r="BM6">
        <f>集中式光伏!BM6+分布式光伏!BM6</f>
        <v>4573.33</v>
      </c>
      <c r="BN6">
        <f>集中式光伏!BN6+分布式光伏!BN6</f>
        <v>4033.18</v>
      </c>
      <c r="BO6">
        <f>集中式光伏!BO6+分布式光伏!BO6</f>
        <v>3472.14</v>
      </c>
      <c r="BP6">
        <f>集中式光伏!BP6+分布式光伏!BP6</f>
        <v>2917.97</v>
      </c>
      <c r="BQ6">
        <f>集中式光伏!BQ6+分布式光伏!BQ6</f>
        <v>2388.42</v>
      </c>
      <c r="BR6">
        <f>集中式光伏!BR6+分布式光伏!BR6</f>
        <v>1909.74</v>
      </c>
      <c r="BS6">
        <f>集中式光伏!BS6+分布式光伏!BS6</f>
        <v>1479.4</v>
      </c>
      <c r="BT6">
        <f>集中式光伏!BT6+分布式光伏!BT6</f>
        <v>1099.11</v>
      </c>
      <c r="BU6">
        <f>集中式光伏!BU6+分布式光伏!BU6</f>
        <v>770.05</v>
      </c>
      <c r="BV6">
        <f>集中式光伏!BV6+分布式光伏!BV6</f>
        <v>509.82</v>
      </c>
      <c r="BW6">
        <f>集中式光伏!BW6+分布式光伏!BW6</f>
        <v>294.36</v>
      </c>
      <c r="BX6">
        <f>集中式光伏!BX6+分布式光伏!BX6</f>
        <v>125.15</v>
      </c>
      <c r="BY6">
        <f>集中式光伏!BY6+分布式光伏!BY6</f>
        <v>19</v>
      </c>
      <c r="BZ6">
        <f>集中式光伏!BZ6+分布式光伏!BZ6</f>
        <v>1</v>
      </c>
      <c r="CA6">
        <f>集中式光伏!CA6+分布式光伏!CA6</f>
        <v>0</v>
      </c>
      <c r="CB6">
        <f>集中式光伏!CB6+分布式光伏!CB6</f>
        <v>0</v>
      </c>
      <c r="CC6">
        <f>集中式光伏!CC6+分布式光伏!CC6</f>
        <v>0</v>
      </c>
      <c r="CD6">
        <f>集中式光伏!CD6+分布式光伏!CD6</f>
        <v>0</v>
      </c>
      <c r="CE6">
        <f>集中式光伏!CE6+分布式光伏!CE6</f>
        <v>0</v>
      </c>
      <c r="CF6">
        <f>集中式光伏!CF6+分布式光伏!CF6</f>
        <v>0</v>
      </c>
      <c r="CG6">
        <f>集中式光伏!CG6+分布式光伏!CG6</f>
        <v>0</v>
      </c>
      <c r="CH6">
        <f>集中式光伏!CH6+分布式光伏!CH6</f>
        <v>0</v>
      </c>
      <c r="CI6">
        <f>集中式光伏!CI6+分布式光伏!CI6</f>
        <v>0</v>
      </c>
      <c r="CJ6">
        <f>集中式光伏!CJ6+分布式光伏!CJ6</f>
        <v>0</v>
      </c>
      <c r="CK6">
        <f>集中式光伏!CK6+分布式光伏!CK6</f>
        <v>0</v>
      </c>
      <c r="CL6">
        <f>集中式光伏!CL6+分布式光伏!CL6</f>
        <v>0</v>
      </c>
      <c r="CM6">
        <f>集中式光伏!CM6+分布式光伏!CM6</f>
        <v>0</v>
      </c>
      <c r="CN6">
        <f>集中式光伏!CN6+分布式光伏!CN6</f>
        <v>0</v>
      </c>
      <c r="CO6">
        <f>集中式光伏!CO6+分布式光伏!CO6</f>
        <v>0</v>
      </c>
      <c r="CP6">
        <f>集中式光伏!CP6+分布式光伏!CP6</f>
        <v>0</v>
      </c>
      <c r="CQ6">
        <f>集中式光伏!CQ6+分布式光伏!CQ6</f>
        <v>0</v>
      </c>
      <c r="CR6">
        <f>集中式光伏!CR6+分布式光伏!CR6</f>
        <v>0</v>
      </c>
      <c r="CS6">
        <f>集中式光伏!CS6+分布式光伏!CS6</f>
        <v>0</v>
      </c>
    </row>
    <row r="7" spans="1:97">
      <c r="A7" s="9">
        <v>46240</v>
      </c>
      <c r="B7">
        <f>集中式光伏!B7+分布式光伏!B7</f>
        <v>0</v>
      </c>
      <c r="C7">
        <f>集中式光伏!C7+分布式光伏!C7</f>
        <v>0</v>
      </c>
      <c r="D7">
        <f>集中式光伏!D7+分布式光伏!D7</f>
        <v>0</v>
      </c>
      <c r="E7">
        <f>集中式光伏!E7+分布式光伏!E7</f>
        <v>0</v>
      </c>
      <c r="F7">
        <f>集中式光伏!F7+分布式光伏!F7</f>
        <v>0</v>
      </c>
      <c r="G7">
        <f>集中式光伏!G7+分布式光伏!G7</f>
        <v>0</v>
      </c>
      <c r="H7">
        <f>集中式光伏!H7+分布式光伏!H7</f>
        <v>0</v>
      </c>
      <c r="I7">
        <f>集中式光伏!I7+分布式光伏!I7</f>
        <v>0</v>
      </c>
      <c r="J7">
        <f>集中式光伏!J7+分布式光伏!J7</f>
        <v>0</v>
      </c>
      <c r="K7">
        <f>集中式光伏!K7+分布式光伏!K7</f>
        <v>0</v>
      </c>
      <c r="L7">
        <f>集中式光伏!L7+分布式光伏!L7</f>
        <v>0</v>
      </c>
      <c r="M7">
        <f>集中式光伏!M7+分布式光伏!M7</f>
        <v>0</v>
      </c>
      <c r="N7">
        <f>集中式光伏!N7+分布式光伏!N7</f>
        <v>0</v>
      </c>
      <c r="O7">
        <f>集中式光伏!O7+分布式光伏!O7</f>
        <v>0</v>
      </c>
      <c r="P7">
        <f>集中式光伏!P7+分布式光伏!P7</f>
        <v>0</v>
      </c>
      <c r="Q7">
        <f>集中式光伏!Q7+分布式光伏!Q7</f>
        <v>0</v>
      </c>
      <c r="R7">
        <f>集中式光伏!R7+分布式光伏!R7</f>
        <v>0</v>
      </c>
      <c r="S7">
        <f>集中式光伏!S7+分布式光伏!S7</f>
        <v>0</v>
      </c>
      <c r="T7">
        <f>集中式光伏!T7+分布式光伏!T7</f>
        <v>1</v>
      </c>
      <c r="U7">
        <f>集中式光伏!U7+分布式光伏!U7</f>
        <v>7</v>
      </c>
      <c r="V7">
        <f>集中式光伏!V7+分布式光伏!V7</f>
        <v>83.76</v>
      </c>
      <c r="W7">
        <f>集中式光伏!W7+分布式光伏!W7</f>
        <v>216.68</v>
      </c>
      <c r="X7">
        <f>集中式光伏!X7+分布式光伏!X7</f>
        <v>393.08</v>
      </c>
      <c r="Y7">
        <f>集中式光伏!Y7+分布式光伏!Y7</f>
        <v>628.04</v>
      </c>
      <c r="Z7">
        <f>集中式光伏!Z7+分布式光伏!Z7</f>
        <v>908.92</v>
      </c>
      <c r="AA7">
        <f>集中式光伏!AA7+分布式光伏!AA7</f>
        <v>1270.22</v>
      </c>
      <c r="AB7">
        <f>集中式光伏!AB7+分布式光伏!AB7</f>
        <v>1692</v>
      </c>
      <c r="AC7">
        <f>集中式光伏!AC7+分布式光伏!AC7</f>
        <v>2156.79</v>
      </c>
      <c r="AD7">
        <f>集中式光伏!AD7+分布式光伏!AD7</f>
        <v>2700.53</v>
      </c>
      <c r="AE7">
        <f>集中式光伏!AE7+分布式光伏!AE7</f>
        <v>3244.66</v>
      </c>
      <c r="AF7">
        <f>集中式光伏!AF7+分布式光伏!AF7</f>
        <v>3792.62</v>
      </c>
      <c r="AG7">
        <f>集中式光伏!AG7+分布式光伏!AG7</f>
        <v>4332.8</v>
      </c>
      <c r="AH7">
        <f>集中式光伏!AH7+分布式光伏!AH7</f>
        <v>4856.26</v>
      </c>
      <c r="AI7">
        <f>集中式光伏!AI7+分布式光伏!AI7</f>
        <v>5359.75</v>
      </c>
      <c r="AJ7">
        <f>集中式光伏!AJ7+分布式光伏!AJ7</f>
        <v>5863.5</v>
      </c>
      <c r="AK7">
        <f>集中式光伏!AK7+分布式光伏!AK7</f>
        <v>6331.86</v>
      </c>
      <c r="AL7">
        <f>集中式光伏!AL7+分布式光伏!AL7</f>
        <v>6750.6</v>
      </c>
      <c r="AM7">
        <f>集中式光伏!AM7+分布式光伏!AM7</f>
        <v>7114.62</v>
      </c>
      <c r="AN7">
        <f>集中式光伏!AN7+分布式光伏!AN7</f>
        <v>7449.44</v>
      </c>
      <c r="AO7">
        <f>集中式光伏!AO7+分布式光伏!AO7</f>
        <v>7739.51</v>
      </c>
      <c r="AP7">
        <f>集中式光伏!AP7+分布式光伏!AP7</f>
        <v>7959.55</v>
      </c>
      <c r="AQ7">
        <f>集中式光伏!AQ7+分布式光伏!AQ7</f>
        <v>8163.9</v>
      </c>
      <c r="AR7">
        <f>集中式光伏!AR7+分布式光伏!AR7</f>
        <v>8322.2</v>
      </c>
      <c r="AS7">
        <f>集中式光伏!AS7+分布式光伏!AS7</f>
        <v>8445.06</v>
      </c>
      <c r="AT7">
        <f>集中式光伏!AT7+分布式光伏!AT7</f>
        <v>8532.81</v>
      </c>
      <c r="AU7">
        <f>集中式光伏!AU7+分布式光伏!AU7</f>
        <v>8580.36</v>
      </c>
      <c r="AV7">
        <f>集中式光伏!AV7+分布式光伏!AV7</f>
        <v>8593.23</v>
      </c>
      <c r="AW7">
        <f>集中式光伏!AW7+分布式光伏!AW7</f>
        <v>8574.19</v>
      </c>
      <c r="AX7">
        <f>集中式光伏!AX7+分布式光伏!AX7</f>
        <v>8553.13</v>
      </c>
      <c r="AY7">
        <f>集中式光伏!AY7+分布式光伏!AY7</f>
        <v>8472.7</v>
      </c>
      <c r="AZ7">
        <f>集中式光伏!AZ7+分布式光伏!AZ7</f>
        <v>8352.21</v>
      </c>
      <c r="BA7">
        <f>集中式光伏!BA7+分布式光伏!BA7</f>
        <v>8221.28</v>
      </c>
      <c r="BB7">
        <f>集中式光伏!BB7+分布式光伏!BB7</f>
        <v>8060.06</v>
      </c>
      <c r="BC7">
        <f>集中式光伏!BC7+分布式光伏!BC7</f>
        <v>7862.91</v>
      </c>
      <c r="BD7">
        <f>集中式光伏!BD7+分布式光伏!BD7</f>
        <v>7621.8</v>
      </c>
      <c r="BE7">
        <f>集中式光伏!BE7+分布式光伏!BE7</f>
        <v>7359.69</v>
      </c>
      <c r="BF7">
        <f>集中式光伏!BF7+分布式光伏!BF7</f>
        <v>7025.85</v>
      </c>
      <c r="BG7">
        <f>集中式光伏!BG7+分布式光伏!BG7</f>
        <v>6684.03</v>
      </c>
      <c r="BH7">
        <f>集中式光伏!BH7+分布式光伏!BH7</f>
        <v>6307.58</v>
      </c>
      <c r="BI7">
        <f>集中式光伏!BI7+分布式光伏!BI7</f>
        <v>5908.73</v>
      </c>
      <c r="BJ7">
        <f>集中式光伏!BJ7+分布式光伏!BJ7</f>
        <v>5486.48</v>
      </c>
      <c r="BK7">
        <f>集中式光伏!BK7+分布式光伏!BK7</f>
        <v>5050.45</v>
      </c>
      <c r="BL7">
        <f>集中式光伏!BL7+分布式光伏!BL7</f>
        <v>4597.14</v>
      </c>
      <c r="BM7">
        <f>集中式光伏!BM7+分布式光伏!BM7</f>
        <v>4125.42</v>
      </c>
      <c r="BN7">
        <f>集中式光伏!BN7+分布式光伏!BN7</f>
        <v>3646.4</v>
      </c>
      <c r="BO7">
        <f>集中式光伏!BO7+分布式光伏!BO7</f>
        <v>3149.36</v>
      </c>
      <c r="BP7">
        <f>集中式光伏!BP7+分布式光伏!BP7</f>
        <v>2653.39</v>
      </c>
      <c r="BQ7">
        <f>集中式光伏!BQ7+分布式光伏!BQ7</f>
        <v>2180.28</v>
      </c>
      <c r="BR7">
        <f>集中式光伏!BR7+分布式光伏!BR7</f>
        <v>1749.79</v>
      </c>
      <c r="BS7">
        <f>集中式光伏!BS7+分布式光伏!BS7</f>
        <v>1343.91</v>
      </c>
      <c r="BT7">
        <f>集中式光伏!BT7+分布式光伏!BT7</f>
        <v>995.77</v>
      </c>
      <c r="BU7">
        <f>集中式光伏!BU7+分布式光伏!BU7</f>
        <v>692.76</v>
      </c>
      <c r="BV7">
        <f>集中式光伏!BV7+分布式光伏!BV7</f>
        <v>456</v>
      </c>
      <c r="BW7">
        <f>集中式光伏!BW7+分布式光伏!BW7</f>
        <v>270.87</v>
      </c>
      <c r="BX7">
        <f>集中式光伏!BX7+分布式光伏!BX7</f>
        <v>114.51</v>
      </c>
      <c r="BY7">
        <f>集中式光伏!BY7+分布式光伏!BY7</f>
        <v>17</v>
      </c>
      <c r="BZ7">
        <f>集中式光伏!BZ7+分布式光伏!BZ7</f>
        <v>1</v>
      </c>
      <c r="CA7">
        <f>集中式光伏!CA7+分布式光伏!CA7</f>
        <v>0</v>
      </c>
      <c r="CB7">
        <f>集中式光伏!CB7+分布式光伏!CB7</f>
        <v>0</v>
      </c>
      <c r="CC7">
        <f>集中式光伏!CC7+分布式光伏!CC7</f>
        <v>0</v>
      </c>
      <c r="CD7">
        <f>集中式光伏!CD7+分布式光伏!CD7</f>
        <v>0</v>
      </c>
      <c r="CE7">
        <f>集中式光伏!CE7+分布式光伏!CE7</f>
        <v>0</v>
      </c>
      <c r="CF7">
        <f>集中式光伏!CF7+分布式光伏!CF7</f>
        <v>0</v>
      </c>
      <c r="CG7">
        <f>集中式光伏!CG7+分布式光伏!CG7</f>
        <v>0</v>
      </c>
      <c r="CH7">
        <f>集中式光伏!CH7+分布式光伏!CH7</f>
        <v>0</v>
      </c>
      <c r="CI7">
        <f>集中式光伏!CI7+分布式光伏!CI7</f>
        <v>0</v>
      </c>
      <c r="CJ7">
        <f>集中式光伏!CJ7+分布式光伏!CJ7</f>
        <v>0</v>
      </c>
      <c r="CK7">
        <f>集中式光伏!CK7+分布式光伏!CK7</f>
        <v>0</v>
      </c>
      <c r="CL7">
        <f>集中式光伏!CL7+分布式光伏!CL7</f>
        <v>0</v>
      </c>
      <c r="CM7">
        <f>集中式光伏!CM7+分布式光伏!CM7</f>
        <v>0</v>
      </c>
      <c r="CN7">
        <f>集中式光伏!CN7+分布式光伏!CN7</f>
        <v>0</v>
      </c>
      <c r="CO7">
        <f>集中式光伏!CO7+分布式光伏!CO7</f>
        <v>0</v>
      </c>
      <c r="CP7">
        <f>集中式光伏!CP7+分布式光伏!CP7</f>
        <v>0</v>
      </c>
      <c r="CQ7">
        <f>集中式光伏!CQ7+分布式光伏!CQ7</f>
        <v>0</v>
      </c>
      <c r="CR7">
        <f>集中式光伏!CR7+分布式光伏!CR7</f>
        <v>0</v>
      </c>
      <c r="CS7">
        <f>集中式光伏!CS7+分布式光伏!CS7</f>
        <v>0</v>
      </c>
    </row>
    <row r="8" spans="1:97">
      <c r="A8" s="9">
        <v>46241</v>
      </c>
      <c r="B8">
        <f>集中式光伏!B8+分布式光伏!B8</f>
        <v>0</v>
      </c>
      <c r="C8">
        <f>集中式光伏!C8+分布式光伏!C8</f>
        <v>0</v>
      </c>
      <c r="D8">
        <f>集中式光伏!D8+分布式光伏!D8</f>
        <v>0</v>
      </c>
      <c r="E8">
        <f>集中式光伏!E8+分布式光伏!E8</f>
        <v>0</v>
      </c>
      <c r="F8">
        <f>集中式光伏!F8+分布式光伏!F8</f>
        <v>0</v>
      </c>
      <c r="G8">
        <f>集中式光伏!G8+分布式光伏!G8</f>
        <v>0</v>
      </c>
      <c r="H8">
        <f>集中式光伏!H8+分布式光伏!H8</f>
        <v>0</v>
      </c>
      <c r="I8">
        <f>集中式光伏!I8+分布式光伏!I8</f>
        <v>0</v>
      </c>
      <c r="J8">
        <f>集中式光伏!J8+分布式光伏!J8</f>
        <v>0</v>
      </c>
      <c r="K8">
        <f>集中式光伏!K8+分布式光伏!K8</f>
        <v>0</v>
      </c>
      <c r="L8">
        <f>集中式光伏!L8+分布式光伏!L8</f>
        <v>0</v>
      </c>
      <c r="M8">
        <f>集中式光伏!M8+分布式光伏!M8</f>
        <v>0</v>
      </c>
      <c r="N8">
        <f>集中式光伏!N8+分布式光伏!N8</f>
        <v>0</v>
      </c>
      <c r="O8">
        <f>集中式光伏!O8+分布式光伏!O8</f>
        <v>0</v>
      </c>
      <c r="P8">
        <f>集中式光伏!P8+分布式光伏!P8</f>
        <v>0</v>
      </c>
      <c r="Q8">
        <f>集中式光伏!Q8+分布式光伏!Q8</f>
        <v>0</v>
      </c>
      <c r="R8">
        <f>集中式光伏!R8+分布式光伏!R8</f>
        <v>0</v>
      </c>
      <c r="S8">
        <f>集中式光伏!S8+分布式光伏!S8</f>
        <v>0</v>
      </c>
      <c r="T8">
        <f>集中式光伏!T8+分布式光伏!T8</f>
        <v>1</v>
      </c>
      <c r="U8">
        <f>集中式光伏!U8+分布式光伏!U8</f>
        <v>6</v>
      </c>
      <c r="V8">
        <f>集中式光伏!V8+分布式光伏!V8</f>
        <v>64.52</v>
      </c>
      <c r="W8">
        <f>集中式光伏!W8+分布式光伏!W8</f>
        <v>163.72</v>
      </c>
      <c r="X8">
        <f>集中式光伏!X8+分布式光伏!X8</f>
        <v>292.49</v>
      </c>
      <c r="Y8">
        <f>集中式光伏!Y8+分布式光伏!Y8</f>
        <v>462.2</v>
      </c>
      <c r="Z8">
        <f>集中式光伏!Z8+分布式光伏!Z8</f>
        <v>666.66</v>
      </c>
      <c r="AA8">
        <f>集中式光伏!AA8+分布式光伏!AA8</f>
        <v>913.58</v>
      </c>
      <c r="AB8">
        <f>集中式光伏!AB8+分布式光伏!AB8</f>
        <v>1203.64</v>
      </c>
      <c r="AC8">
        <f>集中式光伏!AC8+分布式光伏!AC8</f>
        <v>1516.05</v>
      </c>
      <c r="AD8">
        <f>集中式光伏!AD8+分布式光伏!AD8</f>
        <v>1863.68</v>
      </c>
      <c r="AE8">
        <f>集中式光伏!AE8+分布式光伏!AE8</f>
        <v>2231.4</v>
      </c>
      <c r="AF8">
        <f>集中式光伏!AF8+分布式光伏!AF8</f>
        <v>2620.54</v>
      </c>
      <c r="AG8">
        <f>集中式光伏!AG8+分布式光伏!AG8</f>
        <v>2998.8</v>
      </c>
      <c r="AH8">
        <f>集中式光伏!AH8+分布式光伏!AH8</f>
        <v>3358.6</v>
      </c>
      <c r="AI8">
        <f>集中式光伏!AI8+分布式光伏!AI8</f>
        <v>3738.93</v>
      </c>
      <c r="AJ8">
        <f>集中式光伏!AJ8+分布式光伏!AJ8</f>
        <v>4130.32</v>
      </c>
      <c r="AK8">
        <f>集中式光伏!AK8+分布式光伏!AK8</f>
        <v>4504.32</v>
      </c>
      <c r="AL8">
        <f>集中式光伏!AL8+分布式光伏!AL8</f>
        <v>4863.12</v>
      </c>
      <c r="AM8">
        <f>集中式光伏!AM8+分布式光伏!AM8</f>
        <v>5209.94</v>
      </c>
      <c r="AN8">
        <f>集中式光伏!AN8+分布式光伏!AN8</f>
        <v>5549.53</v>
      </c>
      <c r="AO8">
        <f>集中式光伏!AO8+分布式光伏!AO8</f>
        <v>5890.98</v>
      </c>
      <c r="AP8">
        <f>集中式光伏!AP8+分布式光伏!AP8</f>
        <v>6198.68</v>
      </c>
      <c r="AQ8">
        <f>集中式光伏!AQ8+分布式光伏!AQ8</f>
        <v>6523.29</v>
      </c>
      <c r="AR8">
        <f>集中式光伏!AR8+分布式光伏!AR8</f>
        <v>6817.69</v>
      </c>
      <c r="AS8">
        <f>集中式光伏!AS8+分布式光伏!AS8</f>
        <v>7086.32</v>
      </c>
      <c r="AT8">
        <f>集中式光伏!AT8+分布式光伏!AT8</f>
        <v>7310.52</v>
      </c>
      <c r="AU8">
        <f>集中式光伏!AU8+分布式光伏!AU8</f>
        <v>7508.17</v>
      </c>
      <c r="AV8">
        <f>集中式光伏!AV8+分布式光伏!AV8</f>
        <v>7664.5</v>
      </c>
      <c r="AW8">
        <f>集中式光伏!AW8+分布式光伏!AW8</f>
        <v>7759.27</v>
      </c>
      <c r="AX8">
        <f>集中式光伏!AX8+分布式光伏!AX8</f>
        <v>7834.49</v>
      </c>
      <c r="AY8">
        <f>集中式光伏!AY8+分布式光伏!AY8</f>
        <v>7846.97</v>
      </c>
      <c r="AZ8">
        <f>集中式光伏!AZ8+分布式光伏!AZ8</f>
        <v>7802.19</v>
      </c>
      <c r="BA8">
        <f>集中式光伏!BA8+分布式光伏!BA8</f>
        <v>7753.44</v>
      </c>
      <c r="BB8">
        <f>集中式光伏!BB8+分布式光伏!BB8</f>
        <v>7688.95</v>
      </c>
      <c r="BC8">
        <f>集中式光伏!BC8+分布式光伏!BC8</f>
        <v>7584.88</v>
      </c>
      <c r="BD8">
        <f>集中式光伏!BD8+分布式光伏!BD8</f>
        <v>7462.91</v>
      </c>
      <c r="BE8">
        <f>集中式光伏!BE8+分布式光伏!BE8</f>
        <v>7308.27</v>
      </c>
      <c r="BF8">
        <f>集中式光伏!BF8+分布式光伏!BF8</f>
        <v>7082.02</v>
      </c>
      <c r="BG8">
        <f>集中式光伏!BG8+分布式光伏!BG8</f>
        <v>6834.54</v>
      </c>
      <c r="BH8">
        <f>集中式光伏!BH8+分布式光伏!BH8</f>
        <v>6555.23</v>
      </c>
      <c r="BI8">
        <f>集中式光伏!BI8+分布式光伏!BI8</f>
        <v>6213.85</v>
      </c>
      <c r="BJ8">
        <f>集中式光伏!BJ8+分布式光伏!BJ8</f>
        <v>5841.79</v>
      </c>
      <c r="BK8">
        <f>集中式光伏!BK8+分布式光伏!BK8</f>
        <v>5431.16</v>
      </c>
      <c r="BL8">
        <f>集中式光伏!BL8+分布式光伏!BL8</f>
        <v>4981.4</v>
      </c>
      <c r="BM8">
        <f>集中式光伏!BM8+分布式光伏!BM8</f>
        <v>4503.7</v>
      </c>
      <c r="BN8">
        <f>集中式光伏!BN8+分布式光伏!BN8</f>
        <v>3988.17</v>
      </c>
      <c r="BO8">
        <f>集中式光伏!BO8+分布式光伏!BO8</f>
        <v>3444.33</v>
      </c>
      <c r="BP8">
        <f>集中式光伏!BP8+分布式光伏!BP8</f>
        <v>2906.38</v>
      </c>
      <c r="BQ8">
        <f>集中式光伏!BQ8+分布式光伏!BQ8</f>
        <v>2384.45</v>
      </c>
      <c r="BR8">
        <f>集中式光伏!BR8+分布式光伏!BR8</f>
        <v>1921.69</v>
      </c>
      <c r="BS8">
        <f>集中式光伏!BS8+分布式光伏!BS8</f>
        <v>1474.97</v>
      </c>
      <c r="BT8">
        <f>集中式光伏!BT8+分布式光伏!BT8</f>
        <v>1078.85</v>
      </c>
      <c r="BU8">
        <f>集中式光伏!BU8+分布式光伏!BU8</f>
        <v>746.3</v>
      </c>
      <c r="BV8">
        <f>集中式光伏!BV8+分布式光伏!BV8</f>
        <v>489.68</v>
      </c>
      <c r="BW8">
        <f>集中式光伏!BW8+分布式光伏!BW8</f>
        <v>279.77</v>
      </c>
      <c r="BX8">
        <f>集中式光伏!BX8+分布式光伏!BX8</f>
        <v>115.73</v>
      </c>
      <c r="BY8">
        <f>集中式光伏!BY8+分布式光伏!BY8</f>
        <v>15</v>
      </c>
      <c r="BZ8">
        <f>集中式光伏!BZ8+分布式光伏!BZ8</f>
        <v>0</v>
      </c>
      <c r="CA8">
        <f>集中式光伏!CA8+分布式光伏!CA8</f>
        <v>0</v>
      </c>
      <c r="CB8">
        <f>集中式光伏!CB8+分布式光伏!CB8</f>
        <v>0</v>
      </c>
      <c r="CC8">
        <f>集中式光伏!CC8+分布式光伏!CC8</f>
        <v>0</v>
      </c>
      <c r="CD8">
        <f>集中式光伏!CD8+分布式光伏!CD8</f>
        <v>0</v>
      </c>
      <c r="CE8">
        <f>集中式光伏!CE8+分布式光伏!CE8</f>
        <v>0</v>
      </c>
      <c r="CF8">
        <f>集中式光伏!CF8+分布式光伏!CF8</f>
        <v>0</v>
      </c>
      <c r="CG8">
        <f>集中式光伏!CG8+分布式光伏!CG8</f>
        <v>0</v>
      </c>
      <c r="CH8">
        <f>集中式光伏!CH8+分布式光伏!CH8</f>
        <v>0</v>
      </c>
      <c r="CI8">
        <f>集中式光伏!CI8+分布式光伏!CI8</f>
        <v>0</v>
      </c>
      <c r="CJ8">
        <f>集中式光伏!CJ8+分布式光伏!CJ8</f>
        <v>0</v>
      </c>
      <c r="CK8">
        <f>集中式光伏!CK8+分布式光伏!CK8</f>
        <v>0</v>
      </c>
      <c r="CL8">
        <f>集中式光伏!CL8+分布式光伏!CL8</f>
        <v>0</v>
      </c>
      <c r="CM8">
        <f>集中式光伏!CM8+分布式光伏!CM8</f>
        <v>0</v>
      </c>
      <c r="CN8">
        <f>集中式光伏!CN8+分布式光伏!CN8</f>
        <v>0</v>
      </c>
      <c r="CO8">
        <f>集中式光伏!CO8+分布式光伏!CO8</f>
        <v>0</v>
      </c>
      <c r="CP8">
        <f>集中式光伏!CP8+分布式光伏!CP8</f>
        <v>0</v>
      </c>
      <c r="CQ8">
        <f>集中式光伏!CQ8+分布式光伏!CQ8</f>
        <v>0</v>
      </c>
      <c r="CR8">
        <f>集中式光伏!CR8+分布式光伏!CR8</f>
        <v>0</v>
      </c>
      <c r="CS8">
        <f>集中式光伏!CS8+分布式光伏!CS8</f>
        <v>0</v>
      </c>
    </row>
    <row r="9" spans="1:97">
      <c r="A9" s="9">
        <v>46242</v>
      </c>
      <c r="B9">
        <f>集中式光伏!B9+分布式光伏!B9</f>
        <v>0</v>
      </c>
      <c r="C9">
        <f>集中式光伏!C9+分布式光伏!C9</f>
        <v>0</v>
      </c>
      <c r="D9">
        <f>集中式光伏!D9+分布式光伏!D9</f>
        <v>0</v>
      </c>
      <c r="E9">
        <f>集中式光伏!E9+分布式光伏!E9</f>
        <v>0</v>
      </c>
      <c r="F9">
        <f>集中式光伏!F9+分布式光伏!F9</f>
        <v>0</v>
      </c>
      <c r="G9">
        <f>集中式光伏!G9+分布式光伏!G9</f>
        <v>0</v>
      </c>
      <c r="H9">
        <f>集中式光伏!H9+分布式光伏!H9</f>
        <v>0</v>
      </c>
      <c r="I9">
        <f>集中式光伏!I9+分布式光伏!I9</f>
        <v>0</v>
      </c>
      <c r="J9">
        <f>集中式光伏!J9+分布式光伏!J9</f>
        <v>0</v>
      </c>
      <c r="K9">
        <f>集中式光伏!K9+分布式光伏!K9</f>
        <v>0</v>
      </c>
      <c r="L9">
        <f>集中式光伏!L9+分布式光伏!L9</f>
        <v>0</v>
      </c>
      <c r="M9">
        <f>集中式光伏!M9+分布式光伏!M9</f>
        <v>0</v>
      </c>
      <c r="N9">
        <f>集中式光伏!N9+分布式光伏!N9</f>
        <v>0</v>
      </c>
      <c r="O9">
        <f>集中式光伏!O9+分布式光伏!O9</f>
        <v>0</v>
      </c>
      <c r="P9">
        <f>集中式光伏!P9+分布式光伏!P9</f>
        <v>0</v>
      </c>
      <c r="Q9">
        <f>集中式光伏!Q9+分布式光伏!Q9</f>
        <v>0</v>
      </c>
      <c r="R9">
        <f>集中式光伏!R9+分布式光伏!R9</f>
        <v>0</v>
      </c>
      <c r="S9">
        <f>集中式光伏!S9+分布式光伏!S9</f>
        <v>0</v>
      </c>
      <c r="T9">
        <f>集中式光伏!T9+分布式光伏!T9</f>
        <v>1</v>
      </c>
      <c r="U9">
        <f>集中式光伏!U9+分布式光伏!U9</f>
        <v>6</v>
      </c>
      <c r="V9">
        <f>集中式光伏!V9+分布式光伏!V9</f>
        <v>92.36</v>
      </c>
      <c r="W9">
        <f>集中式光伏!W9+分布式光伏!W9</f>
        <v>238.91</v>
      </c>
      <c r="X9">
        <f>集中式光伏!X9+分布式光伏!X9</f>
        <v>438.94</v>
      </c>
      <c r="Y9">
        <f>集中式光伏!Y9+分布式光伏!Y9</f>
        <v>714.27</v>
      </c>
      <c r="Z9">
        <f>集中式光伏!Z9+分布式光伏!Z9</f>
        <v>1073.04</v>
      </c>
      <c r="AA9">
        <f>集中式光伏!AA9+分布式光伏!AA9</f>
        <v>1543.7</v>
      </c>
      <c r="AB9">
        <f>集中式光伏!AB9+分布式光伏!AB9</f>
        <v>2098.9</v>
      </c>
      <c r="AC9">
        <f>集中式光伏!AC9+分布式光伏!AC9</f>
        <v>2699.94</v>
      </c>
      <c r="AD9">
        <f>集中式光伏!AD9+分布式光伏!AD9</f>
        <v>3377.48</v>
      </c>
      <c r="AE9">
        <f>集中式光伏!AE9+分布式光伏!AE9</f>
        <v>4035.03</v>
      </c>
      <c r="AF9">
        <f>集中式光伏!AF9+分布式光伏!AF9</f>
        <v>4698.19</v>
      </c>
      <c r="AG9">
        <f>集中式光伏!AG9+分布式光伏!AG9</f>
        <v>5353.34</v>
      </c>
      <c r="AH9">
        <f>集中式光伏!AH9+分布式光伏!AH9</f>
        <v>5957.86</v>
      </c>
      <c r="AI9">
        <f>集中式光伏!AI9+分布式光伏!AI9</f>
        <v>6542.96</v>
      </c>
      <c r="AJ9">
        <f>集中式光伏!AJ9+分布式光伏!AJ9</f>
        <v>7094.56</v>
      </c>
      <c r="AK9">
        <f>集中式光伏!AK9+分布式光伏!AK9</f>
        <v>7602.5</v>
      </c>
      <c r="AL9">
        <f>集中式光伏!AL9+分布式光伏!AL9</f>
        <v>8036.2</v>
      </c>
      <c r="AM9">
        <f>集中式光伏!AM9+分布式光伏!AM9</f>
        <v>8408.27</v>
      </c>
      <c r="AN9">
        <f>集中式光伏!AN9+分布式光伏!AN9</f>
        <v>8739.99</v>
      </c>
      <c r="AO9">
        <f>集中式光伏!AO9+分布式光伏!AO9</f>
        <v>9021.32</v>
      </c>
      <c r="AP9">
        <f>集中式光伏!AP9+分布式光伏!AP9</f>
        <v>9226.07</v>
      </c>
      <c r="AQ9">
        <f>集中式光伏!AQ9+分布式光伏!AQ9</f>
        <v>9402.05</v>
      </c>
      <c r="AR9">
        <f>集中式光伏!AR9+分布式光伏!AR9</f>
        <v>9533.29</v>
      </c>
      <c r="AS9">
        <f>集中式光伏!AS9+分布式光伏!AS9</f>
        <v>9640.6</v>
      </c>
      <c r="AT9">
        <f>集中式光伏!AT9+分布式光伏!AT9</f>
        <v>9705.52</v>
      </c>
      <c r="AU9">
        <f>集中式光伏!AU9+分布式光伏!AU9</f>
        <v>9722.33</v>
      </c>
      <c r="AV9">
        <f>集中式光伏!AV9+分布式光伏!AV9</f>
        <v>9713.79</v>
      </c>
      <c r="AW9">
        <f>集中式光伏!AW9+分布式光伏!AW9</f>
        <v>9667.42</v>
      </c>
      <c r="AX9">
        <f>集中式光伏!AX9+分布式光伏!AX9</f>
        <v>9617.54</v>
      </c>
      <c r="AY9">
        <f>集中式光伏!AY9+分布式光伏!AY9</f>
        <v>9546.98</v>
      </c>
      <c r="AZ9">
        <f>集中式光伏!AZ9+分布式光伏!AZ9</f>
        <v>9413.25</v>
      </c>
      <c r="BA9">
        <f>集中式光伏!BA9+分布式光伏!BA9</f>
        <v>9272.88</v>
      </c>
      <c r="BB9">
        <f>集中式光伏!BB9+分布式光伏!BB9</f>
        <v>9104.98</v>
      </c>
      <c r="BC9">
        <f>集中式光伏!BC9+分布式光伏!BC9</f>
        <v>8914.13</v>
      </c>
      <c r="BD9">
        <f>集中式光伏!BD9+分布式光伏!BD9</f>
        <v>8682.24</v>
      </c>
      <c r="BE9">
        <f>集中式光伏!BE9+分布式光伏!BE9</f>
        <v>8416.95</v>
      </c>
      <c r="BF9">
        <f>集中式光伏!BF9+分布式光伏!BF9</f>
        <v>8092.23</v>
      </c>
      <c r="BG9">
        <f>集中式光伏!BG9+分布式光伏!BG9</f>
        <v>7761.78</v>
      </c>
      <c r="BH9">
        <f>集中式光伏!BH9+分布式光伏!BH9</f>
        <v>7404.37</v>
      </c>
      <c r="BI9">
        <f>集中式光伏!BI9+分布式光伏!BI9</f>
        <v>6965.82</v>
      </c>
      <c r="BJ9">
        <f>集中式光伏!BJ9+分布式光伏!BJ9</f>
        <v>6520.7</v>
      </c>
      <c r="BK9">
        <f>集中式光伏!BK9+分布式光伏!BK9</f>
        <v>6037.17</v>
      </c>
      <c r="BL9">
        <f>集中式光伏!BL9+分布式光伏!BL9</f>
        <v>5495.36</v>
      </c>
      <c r="BM9">
        <f>集中式光伏!BM9+分布式光伏!BM9</f>
        <v>4951.38</v>
      </c>
      <c r="BN9">
        <f>集中式光伏!BN9+分布式光伏!BN9</f>
        <v>4364.85</v>
      </c>
      <c r="BO9">
        <f>集中式光伏!BO9+分布式光伏!BO9</f>
        <v>3752.3</v>
      </c>
      <c r="BP9">
        <f>集中式光伏!BP9+分布式光伏!BP9</f>
        <v>3138.8</v>
      </c>
      <c r="BQ9">
        <f>集中式光伏!BQ9+分布式光伏!BQ9</f>
        <v>2564.92</v>
      </c>
      <c r="BR9">
        <f>集中式光伏!BR9+分布式光伏!BR9</f>
        <v>2049.4</v>
      </c>
      <c r="BS9">
        <f>集中式光伏!BS9+分布式光伏!BS9</f>
        <v>1558.93</v>
      </c>
      <c r="BT9">
        <f>集中式光伏!BT9+分布式光伏!BT9</f>
        <v>1129.1</v>
      </c>
      <c r="BU9">
        <f>集中式光伏!BU9+分布式光伏!BU9</f>
        <v>771.65</v>
      </c>
      <c r="BV9">
        <f>集中式光伏!BV9+分布式光伏!BV9</f>
        <v>492.09</v>
      </c>
      <c r="BW9">
        <f>集中式光伏!BW9+分布式光伏!BW9</f>
        <v>275.05</v>
      </c>
      <c r="BX9">
        <f>集中式光伏!BX9+分布式光伏!BX9</f>
        <v>107.77</v>
      </c>
      <c r="BY9">
        <f>集中式光伏!BY9+分布式光伏!BY9</f>
        <v>14</v>
      </c>
      <c r="BZ9">
        <f>集中式光伏!BZ9+分布式光伏!BZ9</f>
        <v>0</v>
      </c>
      <c r="CA9">
        <f>集中式光伏!CA9+分布式光伏!CA9</f>
        <v>0</v>
      </c>
      <c r="CB9">
        <f>集中式光伏!CB9+分布式光伏!CB9</f>
        <v>0</v>
      </c>
      <c r="CC9">
        <f>集中式光伏!CC9+分布式光伏!CC9</f>
        <v>0</v>
      </c>
      <c r="CD9">
        <f>集中式光伏!CD9+分布式光伏!CD9</f>
        <v>0</v>
      </c>
      <c r="CE9">
        <f>集中式光伏!CE9+分布式光伏!CE9</f>
        <v>0</v>
      </c>
      <c r="CF9">
        <f>集中式光伏!CF9+分布式光伏!CF9</f>
        <v>0</v>
      </c>
      <c r="CG9">
        <f>集中式光伏!CG9+分布式光伏!CG9</f>
        <v>0</v>
      </c>
      <c r="CH9">
        <f>集中式光伏!CH9+分布式光伏!CH9</f>
        <v>0</v>
      </c>
      <c r="CI9">
        <f>集中式光伏!CI9+分布式光伏!CI9</f>
        <v>0</v>
      </c>
      <c r="CJ9">
        <f>集中式光伏!CJ9+分布式光伏!CJ9</f>
        <v>0</v>
      </c>
      <c r="CK9">
        <f>集中式光伏!CK9+分布式光伏!CK9</f>
        <v>0</v>
      </c>
      <c r="CL9">
        <f>集中式光伏!CL9+分布式光伏!CL9</f>
        <v>0</v>
      </c>
      <c r="CM9">
        <f>集中式光伏!CM9+分布式光伏!CM9</f>
        <v>0</v>
      </c>
      <c r="CN9">
        <f>集中式光伏!CN9+分布式光伏!CN9</f>
        <v>0</v>
      </c>
      <c r="CO9">
        <f>集中式光伏!CO9+分布式光伏!CO9</f>
        <v>0</v>
      </c>
      <c r="CP9">
        <f>集中式光伏!CP9+分布式光伏!CP9</f>
        <v>0</v>
      </c>
      <c r="CQ9">
        <f>集中式光伏!CQ9+分布式光伏!CQ9</f>
        <v>0</v>
      </c>
      <c r="CR9">
        <f>集中式光伏!CR9+分布式光伏!CR9</f>
        <v>0</v>
      </c>
      <c r="CS9">
        <f>集中式光伏!CS9+分布式光伏!CS9</f>
        <v>0</v>
      </c>
    </row>
    <row r="10" spans="1:97">
      <c r="A10" s="9">
        <v>46243</v>
      </c>
      <c r="B10">
        <f>集中式光伏!B10+分布式光伏!B10</f>
        <v>0</v>
      </c>
      <c r="C10">
        <f>集中式光伏!C10+分布式光伏!C10</f>
        <v>0</v>
      </c>
      <c r="D10">
        <f>集中式光伏!D10+分布式光伏!D10</f>
        <v>0</v>
      </c>
      <c r="E10">
        <f>集中式光伏!E10+分布式光伏!E10</f>
        <v>0</v>
      </c>
      <c r="F10">
        <f>集中式光伏!F10+分布式光伏!F10</f>
        <v>0</v>
      </c>
      <c r="G10">
        <f>集中式光伏!G10+分布式光伏!G10</f>
        <v>0</v>
      </c>
      <c r="H10">
        <f>集中式光伏!H10+分布式光伏!H10</f>
        <v>0</v>
      </c>
      <c r="I10">
        <f>集中式光伏!I10+分布式光伏!I10</f>
        <v>0</v>
      </c>
      <c r="J10">
        <f>集中式光伏!J10+分布式光伏!J10</f>
        <v>0</v>
      </c>
      <c r="K10">
        <f>集中式光伏!K10+分布式光伏!K10</f>
        <v>0</v>
      </c>
      <c r="L10">
        <f>集中式光伏!L10+分布式光伏!L10</f>
        <v>0</v>
      </c>
      <c r="M10">
        <f>集中式光伏!M10+分布式光伏!M10</f>
        <v>0</v>
      </c>
      <c r="N10">
        <f>集中式光伏!N10+分布式光伏!N10</f>
        <v>0</v>
      </c>
      <c r="O10">
        <f>集中式光伏!O10+分布式光伏!O10</f>
        <v>0</v>
      </c>
      <c r="P10">
        <f>集中式光伏!P10+分布式光伏!P10</f>
        <v>0</v>
      </c>
      <c r="Q10">
        <f>集中式光伏!Q10+分布式光伏!Q10</f>
        <v>0</v>
      </c>
      <c r="R10">
        <f>集中式光伏!R10+分布式光伏!R10</f>
        <v>0</v>
      </c>
      <c r="S10">
        <f>集中式光伏!S10+分布式光伏!S10</f>
        <v>0</v>
      </c>
      <c r="T10">
        <f>集中式光伏!T10+分布式光伏!T10</f>
        <v>0</v>
      </c>
      <c r="U10">
        <f>集中式光伏!U10+分布式光伏!U10</f>
        <v>4</v>
      </c>
      <c r="V10">
        <f>集中式光伏!V10+分布式光伏!V10</f>
        <v>83.25</v>
      </c>
      <c r="W10">
        <f>集中式光伏!W10+分布式光伏!W10</f>
        <v>219.65</v>
      </c>
      <c r="X10">
        <f>集中式光伏!X10+分布式光伏!X10</f>
        <v>406.27</v>
      </c>
      <c r="Y10">
        <f>集中式光伏!Y10+分布式光伏!Y10</f>
        <v>666.22</v>
      </c>
      <c r="Z10">
        <f>集中式光伏!Z10+分布式光伏!Z10</f>
        <v>1013.18</v>
      </c>
      <c r="AA10">
        <f>集中式光伏!AA10+分布式光伏!AA10</f>
        <v>1464.03</v>
      </c>
      <c r="AB10">
        <f>集中式光伏!AB10+分布式光伏!AB10</f>
        <v>2006.39</v>
      </c>
      <c r="AC10">
        <f>集中式光伏!AC10+分布式光伏!AC10</f>
        <v>2594.57</v>
      </c>
      <c r="AD10">
        <f>集中式光伏!AD10+分布式光伏!AD10</f>
        <v>3254.84</v>
      </c>
      <c r="AE10">
        <f>集中式光伏!AE10+分布式光伏!AE10</f>
        <v>3899.54</v>
      </c>
      <c r="AF10">
        <f>集中式光伏!AF10+分布式光伏!AF10</f>
        <v>4551.94</v>
      </c>
      <c r="AG10">
        <f>集中式光伏!AG10+分布式光伏!AG10</f>
        <v>5202.66</v>
      </c>
      <c r="AH10">
        <f>集中式光伏!AH10+分布式光伏!AH10</f>
        <v>5818.39</v>
      </c>
      <c r="AI10">
        <f>集中式光伏!AI10+分布式光伏!AI10</f>
        <v>6424.28</v>
      </c>
      <c r="AJ10">
        <f>集中式光伏!AJ10+分布式光伏!AJ10</f>
        <v>6985.84</v>
      </c>
      <c r="AK10">
        <f>集中式光伏!AK10+分布式光伏!AK10</f>
        <v>7509.46</v>
      </c>
      <c r="AL10">
        <f>集中式光伏!AL10+分布式光伏!AL10</f>
        <v>7963.38</v>
      </c>
      <c r="AM10">
        <f>集中式光伏!AM10+分布式光伏!AM10</f>
        <v>8359.34</v>
      </c>
      <c r="AN10">
        <f>集中式光伏!AN10+分布式光伏!AN10</f>
        <v>8709.65</v>
      </c>
      <c r="AO10">
        <f>集中式光伏!AO10+分布式光伏!AO10</f>
        <v>9001.72</v>
      </c>
      <c r="AP10">
        <f>集中式光伏!AP10+分布式光伏!AP10</f>
        <v>9221.23</v>
      </c>
      <c r="AQ10">
        <f>集中式光伏!AQ10+分布式光伏!AQ10</f>
        <v>9410.82</v>
      </c>
      <c r="AR10">
        <f>集中式光伏!AR10+分布式光伏!AR10</f>
        <v>9567.89</v>
      </c>
      <c r="AS10">
        <f>集中式光伏!AS10+分布式光伏!AS10</f>
        <v>9694.47</v>
      </c>
      <c r="AT10">
        <f>集中式光伏!AT10+分布式光伏!AT10</f>
        <v>9774.8</v>
      </c>
      <c r="AU10">
        <f>集中式光伏!AU10+分布式光伏!AU10</f>
        <v>9825.46</v>
      </c>
      <c r="AV10">
        <f>集中式光伏!AV10+分布式光伏!AV10</f>
        <v>9830.68</v>
      </c>
      <c r="AW10">
        <f>集中式光伏!AW10+分布式光伏!AW10</f>
        <v>9804.62</v>
      </c>
      <c r="AX10">
        <f>集中式光伏!AX10+分布式光伏!AX10</f>
        <v>9775.87</v>
      </c>
      <c r="AY10">
        <f>集中式光伏!AY10+分布式光伏!AY10</f>
        <v>9729.5</v>
      </c>
      <c r="AZ10">
        <f>集中式光伏!AZ10+分布式光伏!AZ10</f>
        <v>9627.77</v>
      </c>
      <c r="BA10">
        <f>集中式光伏!BA10+分布式光伏!BA10</f>
        <v>9522.78</v>
      </c>
      <c r="BB10">
        <f>集中式光伏!BB10+分布式光伏!BB10</f>
        <v>9399.84</v>
      </c>
      <c r="BC10">
        <f>集中式光伏!BC10+分布式光伏!BC10</f>
        <v>9251.65</v>
      </c>
      <c r="BD10">
        <f>集中式光伏!BD10+分布式光伏!BD10</f>
        <v>9076.82</v>
      </c>
      <c r="BE10">
        <f>集中式光伏!BE10+分布式光伏!BE10</f>
        <v>8860.02</v>
      </c>
      <c r="BF10">
        <f>集中式光伏!BF10+分布式光伏!BF10</f>
        <v>8565.87</v>
      </c>
      <c r="BG10">
        <f>集中式光伏!BG10+分布式光伏!BG10</f>
        <v>8258.09</v>
      </c>
      <c r="BH10">
        <f>集中式光伏!BH10+分布式光伏!BH10</f>
        <v>7899.23</v>
      </c>
      <c r="BI10">
        <f>集中式光伏!BI10+分布式光伏!BI10</f>
        <v>7456.02</v>
      </c>
      <c r="BJ10">
        <f>集中式光伏!BJ10+分布式光伏!BJ10</f>
        <v>6999.96</v>
      </c>
      <c r="BK10">
        <f>集中式光伏!BK10+分布式光伏!BK10</f>
        <v>6503.53</v>
      </c>
      <c r="BL10">
        <f>集中式光伏!BL10+分布式光伏!BL10</f>
        <v>5929.98</v>
      </c>
      <c r="BM10">
        <f>集中式光伏!BM10+分布式光伏!BM10</f>
        <v>5355.61</v>
      </c>
      <c r="BN10">
        <f>集中式光伏!BN10+分布式光伏!BN10</f>
        <v>4732.02</v>
      </c>
      <c r="BO10">
        <f>集中式光伏!BO10+分布式光伏!BO10</f>
        <v>4071.53</v>
      </c>
      <c r="BP10">
        <f>集中式光伏!BP10+分布式光伏!BP10</f>
        <v>3400.97</v>
      </c>
      <c r="BQ10">
        <f>集中式光伏!BQ10+分布式光伏!BQ10</f>
        <v>2758.87</v>
      </c>
      <c r="BR10">
        <f>集中式光伏!BR10+分布式光伏!BR10</f>
        <v>2190.66</v>
      </c>
      <c r="BS10">
        <f>集中式光伏!BS10+分布式光伏!BS10</f>
        <v>1655.46</v>
      </c>
      <c r="BT10">
        <f>集中式光伏!BT10+分布式光伏!BT10</f>
        <v>1189.09</v>
      </c>
      <c r="BU10">
        <f>集中式光伏!BU10+分布式光伏!BU10</f>
        <v>801.69</v>
      </c>
      <c r="BV10">
        <f>集中式光伏!BV10+分布式光伏!BV10</f>
        <v>504.99</v>
      </c>
      <c r="BW10">
        <f>集中式光伏!BW10+分布式光伏!BW10</f>
        <v>273.59</v>
      </c>
      <c r="BX10">
        <f>集中式光伏!BX10+分布式光伏!BX10</f>
        <v>107.33</v>
      </c>
      <c r="BY10">
        <f>集中式光伏!BY10+分布式光伏!BY10</f>
        <v>14</v>
      </c>
      <c r="BZ10">
        <f>集中式光伏!BZ10+分布式光伏!BZ10</f>
        <v>0</v>
      </c>
      <c r="CA10">
        <f>集中式光伏!CA10+分布式光伏!CA10</f>
        <v>0</v>
      </c>
      <c r="CB10">
        <f>集中式光伏!CB10+分布式光伏!CB10</f>
        <v>0</v>
      </c>
      <c r="CC10">
        <f>集中式光伏!CC10+分布式光伏!CC10</f>
        <v>0</v>
      </c>
      <c r="CD10">
        <f>集中式光伏!CD10+分布式光伏!CD10</f>
        <v>0</v>
      </c>
      <c r="CE10">
        <f>集中式光伏!CE10+分布式光伏!CE10</f>
        <v>0</v>
      </c>
      <c r="CF10">
        <f>集中式光伏!CF10+分布式光伏!CF10</f>
        <v>0</v>
      </c>
      <c r="CG10">
        <f>集中式光伏!CG10+分布式光伏!CG10</f>
        <v>0</v>
      </c>
      <c r="CH10">
        <f>集中式光伏!CH10+分布式光伏!CH10</f>
        <v>0</v>
      </c>
      <c r="CI10">
        <f>集中式光伏!CI10+分布式光伏!CI10</f>
        <v>0</v>
      </c>
      <c r="CJ10">
        <f>集中式光伏!CJ10+分布式光伏!CJ10</f>
        <v>0</v>
      </c>
      <c r="CK10">
        <f>集中式光伏!CK10+分布式光伏!CK10</f>
        <v>0</v>
      </c>
      <c r="CL10">
        <f>集中式光伏!CL10+分布式光伏!CL10</f>
        <v>0</v>
      </c>
      <c r="CM10">
        <f>集中式光伏!CM10+分布式光伏!CM10</f>
        <v>0</v>
      </c>
      <c r="CN10">
        <f>集中式光伏!CN10+分布式光伏!CN10</f>
        <v>0</v>
      </c>
      <c r="CO10">
        <f>集中式光伏!CO10+分布式光伏!CO10</f>
        <v>0</v>
      </c>
      <c r="CP10">
        <f>集中式光伏!CP10+分布式光伏!CP10</f>
        <v>0</v>
      </c>
      <c r="CQ10">
        <f>集中式光伏!CQ10+分布式光伏!CQ10</f>
        <v>0</v>
      </c>
      <c r="CR10">
        <f>集中式光伏!CR10+分布式光伏!CR10</f>
        <v>0</v>
      </c>
      <c r="CS10">
        <f>集中式光伏!CS10+分布式光伏!CS10</f>
        <v>0</v>
      </c>
    </row>
    <row r="11" spans="1:97">
      <c r="A11" s="9">
        <v>46244</v>
      </c>
      <c r="B11">
        <f>集中式光伏!B11+分布式光伏!B11</f>
        <v>0</v>
      </c>
      <c r="C11">
        <f>集中式光伏!C11+分布式光伏!C11</f>
        <v>0</v>
      </c>
      <c r="D11">
        <f>集中式光伏!D11+分布式光伏!D11</f>
        <v>0</v>
      </c>
      <c r="E11">
        <f>集中式光伏!E11+分布式光伏!E11</f>
        <v>0</v>
      </c>
      <c r="F11">
        <f>集中式光伏!F11+分布式光伏!F11</f>
        <v>0</v>
      </c>
      <c r="G11">
        <f>集中式光伏!G11+分布式光伏!G11</f>
        <v>0</v>
      </c>
      <c r="H11">
        <f>集中式光伏!H11+分布式光伏!H11</f>
        <v>0</v>
      </c>
      <c r="I11">
        <f>集中式光伏!I11+分布式光伏!I11</f>
        <v>0</v>
      </c>
      <c r="J11">
        <f>集中式光伏!J11+分布式光伏!J11</f>
        <v>0</v>
      </c>
      <c r="K11">
        <f>集中式光伏!K11+分布式光伏!K11</f>
        <v>0</v>
      </c>
      <c r="L11">
        <f>集中式光伏!L11+分布式光伏!L11</f>
        <v>0</v>
      </c>
      <c r="M11">
        <f>集中式光伏!M11+分布式光伏!M11</f>
        <v>0</v>
      </c>
      <c r="N11">
        <f>集中式光伏!N11+分布式光伏!N11</f>
        <v>0</v>
      </c>
      <c r="O11">
        <f>集中式光伏!O11+分布式光伏!O11</f>
        <v>0</v>
      </c>
      <c r="P11">
        <f>集中式光伏!P11+分布式光伏!P11</f>
        <v>0</v>
      </c>
      <c r="Q11">
        <f>集中式光伏!Q11+分布式光伏!Q11</f>
        <v>0</v>
      </c>
      <c r="R11">
        <f>集中式光伏!R11+分布式光伏!R11</f>
        <v>0</v>
      </c>
      <c r="S11">
        <f>集中式光伏!S11+分布式光伏!S11</f>
        <v>0</v>
      </c>
      <c r="T11">
        <f>集中式光伏!T11+分布式光伏!T11</f>
        <v>0</v>
      </c>
      <c r="U11">
        <f>集中式光伏!U11+分布式光伏!U11</f>
        <v>4</v>
      </c>
      <c r="V11">
        <f>集中式光伏!V11+分布式光伏!V11</f>
        <v>53.93</v>
      </c>
      <c r="W11">
        <f>集中式光伏!W11+分布式光伏!W11</f>
        <v>158.96</v>
      </c>
      <c r="X11">
        <f>集中式光伏!X11+分布式光伏!X11</f>
        <v>297.01</v>
      </c>
      <c r="Y11">
        <f>集中式光伏!Y11+分布式光伏!Y11</f>
        <v>494.43</v>
      </c>
      <c r="Z11">
        <f>集中式光伏!Z11+分布式光伏!Z11</f>
        <v>748.68</v>
      </c>
      <c r="AA11">
        <f>集中式光伏!AA11+分布式光伏!AA11</f>
        <v>1086.2</v>
      </c>
      <c r="AB11">
        <f>集中式光伏!AB11+分布式光伏!AB11</f>
        <v>1492.52</v>
      </c>
      <c r="AC11">
        <f>集中式光伏!AC11+分布式光伏!AC11</f>
        <v>1934.91</v>
      </c>
      <c r="AD11">
        <f>集中式光伏!AD11+分布式光伏!AD11</f>
        <v>2450.83</v>
      </c>
      <c r="AE11">
        <f>集中式光伏!AE11+分布式光伏!AE11</f>
        <v>2986.36</v>
      </c>
      <c r="AF11">
        <f>集中式光伏!AF11+分布式光伏!AF11</f>
        <v>3543.51</v>
      </c>
      <c r="AG11">
        <f>集中式光伏!AG11+分布式光伏!AG11</f>
        <v>4110.89</v>
      </c>
      <c r="AH11">
        <f>集中式光伏!AH11+分布式光伏!AH11</f>
        <v>4654.27</v>
      </c>
      <c r="AI11">
        <f>集中式光伏!AI11+分布式光伏!AI11</f>
        <v>5183.39</v>
      </c>
      <c r="AJ11">
        <f>集中式光伏!AJ11+分布式光伏!AJ11</f>
        <v>5695.68</v>
      </c>
      <c r="AK11">
        <f>集中式光伏!AK11+分布式光伏!AK11</f>
        <v>6159.26</v>
      </c>
      <c r="AL11">
        <f>集中式光伏!AL11+分布式光伏!AL11</f>
        <v>6559.77</v>
      </c>
      <c r="AM11">
        <f>集中式光伏!AM11+分布式光伏!AM11</f>
        <v>6914.88</v>
      </c>
      <c r="AN11">
        <f>集中式光伏!AN11+分布式光伏!AN11</f>
        <v>7225.79</v>
      </c>
      <c r="AO11">
        <f>集中式光伏!AO11+分布式光伏!AO11</f>
        <v>7511.6</v>
      </c>
      <c r="AP11">
        <f>集中式光伏!AP11+分布式光伏!AP11</f>
        <v>7727.43</v>
      </c>
      <c r="AQ11">
        <f>集中式光伏!AQ11+分布式光伏!AQ11</f>
        <v>7923.12</v>
      </c>
      <c r="AR11">
        <f>集中式光伏!AR11+分布式光伏!AR11</f>
        <v>8081.42</v>
      </c>
      <c r="AS11">
        <f>集中式光伏!AS11+分布式光伏!AS11</f>
        <v>8202.42</v>
      </c>
      <c r="AT11">
        <f>集中式光伏!AT11+分布式光伏!AT11</f>
        <v>8318.56</v>
      </c>
      <c r="AU11">
        <f>集中式光伏!AU11+分布式光伏!AU11</f>
        <v>8419.81</v>
      </c>
      <c r="AV11">
        <f>集中式光伏!AV11+分布式光伏!AV11</f>
        <v>8487.89</v>
      </c>
      <c r="AW11">
        <f>集中式光伏!AW11+分布式光伏!AW11</f>
        <v>8515.63</v>
      </c>
      <c r="AX11">
        <f>集中式光伏!AX11+分布式光伏!AX11</f>
        <v>8533.27</v>
      </c>
      <c r="AY11">
        <f>集中式光伏!AY11+分布式光伏!AY11</f>
        <v>8516.35</v>
      </c>
      <c r="AZ11">
        <f>集中式光伏!AZ11+分布式光伏!AZ11</f>
        <v>8447.83</v>
      </c>
      <c r="BA11">
        <f>集中式光伏!BA11+分布式光伏!BA11</f>
        <v>8380.83</v>
      </c>
      <c r="BB11">
        <f>集中式光伏!BB11+分布式光伏!BB11</f>
        <v>8285.82</v>
      </c>
      <c r="BC11">
        <f>集中式光伏!BC11+分布式光伏!BC11</f>
        <v>8135.55</v>
      </c>
      <c r="BD11">
        <f>集中式光伏!BD11+分布式光伏!BD11</f>
        <v>7963.65</v>
      </c>
      <c r="BE11">
        <f>集中式光伏!BE11+分布式光伏!BE11</f>
        <v>7746.89</v>
      </c>
      <c r="BF11">
        <f>集中式光伏!BF11+分布式光伏!BF11</f>
        <v>7451.43</v>
      </c>
      <c r="BG11">
        <f>集中式光伏!BG11+分布式光伏!BG11</f>
        <v>7142.46</v>
      </c>
      <c r="BH11">
        <f>集中式光伏!BH11+分布式光伏!BH11</f>
        <v>6807.09</v>
      </c>
      <c r="BI11">
        <f>集中式光伏!BI11+分布式光伏!BI11</f>
        <v>6421.77</v>
      </c>
      <c r="BJ11">
        <f>集中式光伏!BJ11+分布式光伏!BJ11</f>
        <v>6000.2</v>
      </c>
      <c r="BK11">
        <f>集中式光伏!BK11+分布式光伏!BK11</f>
        <v>5543.2</v>
      </c>
      <c r="BL11">
        <f>集中式光伏!BL11+分布式光伏!BL11</f>
        <v>5050.52</v>
      </c>
      <c r="BM11">
        <f>集中式光伏!BM11+分布式光伏!BM11</f>
        <v>4551</v>
      </c>
      <c r="BN11">
        <f>集中式光伏!BN11+分布式光伏!BN11</f>
        <v>4022.56</v>
      </c>
      <c r="BO11">
        <f>集中式光伏!BO11+分布式光伏!BO11</f>
        <v>3472.52</v>
      </c>
      <c r="BP11">
        <f>集中式光伏!BP11+分布式光伏!BP11</f>
        <v>2921.38</v>
      </c>
      <c r="BQ11">
        <f>集中式光伏!BQ11+分布式光伏!BQ11</f>
        <v>2388.52</v>
      </c>
      <c r="BR11">
        <f>集中式光伏!BR11+分布式光伏!BR11</f>
        <v>1904.33</v>
      </c>
      <c r="BS11">
        <f>集中式光伏!BS11+分布式光伏!BS11</f>
        <v>1446.78</v>
      </c>
      <c r="BT11">
        <f>集中式光伏!BT11+分布式光伏!BT11</f>
        <v>1045.31</v>
      </c>
      <c r="BU11">
        <f>集中式光伏!BU11+分布式光伏!BU11</f>
        <v>707.45</v>
      </c>
      <c r="BV11">
        <f>集中式光伏!BV11+分布式光伏!BV11</f>
        <v>444.82</v>
      </c>
      <c r="BW11">
        <f>集中式光伏!BW11+分布式光伏!BW11</f>
        <v>232.43</v>
      </c>
      <c r="BX11">
        <f>集中式光伏!BX11+分布式光伏!BX11</f>
        <v>94.65</v>
      </c>
      <c r="BY11">
        <f>集中式光伏!BY11+分布式光伏!BY11</f>
        <v>11</v>
      </c>
      <c r="BZ11">
        <f>集中式光伏!BZ11+分布式光伏!BZ11</f>
        <v>0</v>
      </c>
      <c r="CA11">
        <f>集中式光伏!CA11+分布式光伏!CA11</f>
        <v>0</v>
      </c>
      <c r="CB11">
        <f>集中式光伏!CB11+分布式光伏!CB11</f>
        <v>0</v>
      </c>
      <c r="CC11">
        <f>集中式光伏!CC11+分布式光伏!CC11</f>
        <v>0</v>
      </c>
      <c r="CD11">
        <f>集中式光伏!CD11+分布式光伏!CD11</f>
        <v>0</v>
      </c>
      <c r="CE11">
        <f>集中式光伏!CE11+分布式光伏!CE11</f>
        <v>0</v>
      </c>
      <c r="CF11">
        <f>集中式光伏!CF11+分布式光伏!CF11</f>
        <v>0</v>
      </c>
      <c r="CG11">
        <f>集中式光伏!CG11+分布式光伏!CG11</f>
        <v>0</v>
      </c>
      <c r="CH11">
        <f>集中式光伏!CH11+分布式光伏!CH11</f>
        <v>0</v>
      </c>
      <c r="CI11">
        <f>集中式光伏!CI11+分布式光伏!CI11</f>
        <v>0</v>
      </c>
      <c r="CJ11">
        <f>集中式光伏!CJ11+分布式光伏!CJ11</f>
        <v>0</v>
      </c>
      <c r="CK11">
        <f>集中式光伏!CK11+分布式光伏!CK11</f>
        <v>0</v>
      </c>
      <c r="CL11">
        <f>集中式光伏!CL11+分布式光伏!CL11</f>
        <v>0</v>
      </c>
      <c r="CM11">
        <f>集中式光伏!CM11+分布式光伏!CM11</f>
        <v>0</v>
      </c>
      <c r="CN11">
        <f>集中式光伏!CN11+分布式光伏!CN11</f>
        <v>0</v>
      </c>
      <c r="CO11">
        <f>集中式光伏!CO11+分布式光伏!CO11</f>
        <v>0</v>
      </c>
      <c r="CP11">
        <f>集中式光伏!CP11+分布式光伏!CP11</f>
        <v>0</v>
      </c>
      <c r="CQ11">
        <f>集中式光伏!CQ11+分布式光伏!CQ11</f>
        <v>0</v>
      </c>
      <c r="CR11">
        <f>集中式光伏!CR11+分布式光伏!CR11</f>
        <v>0</v>
      </c>
      <c r="CS11">
        <f>集中式光伏!CS11+分布式光伏!CS11</f>
        <v>0</v>
      </c>
    </row>
    <row r="12" spans="1:97">
      <c r="A12" s="9">
        <v>46245</v>
      </c>
      <c r="B12">
        <f>集中式光伏!B12+分布式光伏!B12</f>
        <v>0</v>
      </c>
      <c r="C12">
        <f>集中式光伏!C12+分布式光伏!C12</f>
        <v>0</v>
      </c>
      <c r="D12">
        <f>集中式光伏!D12+分布式光伏!D12</f>
        <v>0</v>
      </c>
      <c r="E12">
        <f>集中式光伏!E12+分布式光伏!E12</f>
        <v>0</v>
      </c>
      <c r="F12">
        <f>集中式光伏!F12+分布式光伏!F12</f>
        <v>0</v>
      </c>
      <c r="G12">
        <f>集中式光伏!G12+分布式光伏!G12</f>
        <v>0</v>
      </c>
      <c r="H12">
        <f>集中式光伏!H12+分布式光伏!H12</f>
        <v>0</v>
      </c>
      <c r="I12">
        <f>集中式光伏!I12+分布式光伏!I12</f>
        <v>0</v>
      </c>
      <c r="J12">
        <f>集中式光伏!J12+分布式光伏!J12</f>
        <v>0</v>
      </c>
      <c r="K12">
        <f>集中式光伏!K12+分布式光伏!K12</f>
        <v>0</v>
      </c>
      <c r="L12">
        <f>集中式光伏!L12+分布式光伏!L12</f>
        <v>0</v>
      </c>
      <c r="M12">
        <f>集中式光伏!M12+分布式光伏!M12</f>
        <v>0</v>
      </c>
      <c r="N12">
        <f>集中式光伏!N12+分布式光伏!N12</f>
        <v>0</v>
      </c>
      <c r="O12">
        <f>集中式光伏!O12+分布式光伏!O12</f>
        <v>0</v>
      </c>
      <c r="P12">
        <f>集中式光伏!P12+分布式光伏!P12</f>
        <v>0</v>
      </c>
      <c r="Q12">
        <f>集中式光伏!Q12+分布式光伏!Q12</f>
        <v>0</v>
      </c>
      <c r="R12">
        <f>集中式光伏!R12+分布式光伏!R12</f>
        <v>0</v>
      </c>
      <c r="S12">
        <f>集中式光伏!S12+分布式光伏!S12</f>
        <v>0</v>
      </c>
      <c r="T12">
        <f>集中式光伏!T12+分布式光伏!T12</f>
        <v>0</v>
      </c>
      <c r="U12">
        <f>集中式光伏!U12+分布式光伏!U12</f>
        <v>4</v>
      </c>
      <c r="V12">
        <f>集中式光伏!V12+分布式光伏!V12</f>
        <v>59.93</v>
      </c>
      <c r="W12">
        <f>集中式光伏!W12+分布式光伏!W12</f>
        <v>159.22</v>
      </c>
      <c r="X12">
        <f>集中式光伏!X12+分布式光伏!X12</f>
        <v>303.63</v>
      </c>
      <c r="Y12">
        <f>集中式光伏!Y12+分布式光伏!Y12</f>
        <v>498.49</v>
      </c>
      <c r="Z12">
        <f>集中式光伏!Z12+分布式光伏!Z12</f>
        <v>760.8</v>
      </c>
      <c r="AA12">
        <f>集中式光伏!AA12+分布式光伏!AA12</f>
        <v>1096.9</v>
      </c>
      <c r="AB12">
        <f>集中式光伏!AB12+分布式光伏!AB12</f>
        <v>1486.12</v>
      </c>
      <c r="AC12">
        <f>集中式光伏!AC12+分布式光伏!AC12</f>
        <v>1923.67</v>
      </c>
      <c r="AD12">
        <f>集中式光伏!AD12+分布式光伏!AD12</f>
        <v>2442.07</v>
      </c>
      <c r="AE12">
        <f>集中式光伏!AE12+分布式光伏!AE12</f>
        <v>2972.95</v>
      </c>
      <c r="AF12">
        <f>集中式光伏!AF12+分布式光伏!AF12</f>
        <v>3521.21</v>
      </c>
      <c r="AG12">
        <f>集中式光伏!AG12+分布式光伏!AG12</f>
        <v>4078.06</v>
      </c>
      <c r="AH12">
        <f>集中式光伏!AH12+分布式光伏!AH12</f>
        <v>4616.19</v>
      </c>
      <c r="AI12">
        <f>集中式光伏!AI12+分布式光伏!AI12</f>
        <v>5147.09</v>
      </c>
      <c r="AJ12">
        <f>集中式光伏!AJ12+分布式光伏!AJ12</f>
        <v>5678.4</v>
      </c>
      <c r="AK12">
        <f>集中式光伏!AK12+分布式光伏!AK12</f>
        <v>6172.35</v>
      </c>
      <c r="AL12">
        <f>集中式光伏!AL12+分布式光伏!AL12</f>
        <v>6626.23</v>
      </c>
      <c r="AM12">
        <f>集中式光伏!AM12+分布式光伏!AM12</f>
        <v>7034.24</v>
      </c>
      <c r="AN12">
        <f>集中式光伏!AN12+分布式光伏!AN12</f>
        <v>7398.39</v>
      </c>
      <c r="AO12">
        <f>集中式光伏!AO12+分布式光伏!AO12</f>
        <v>7720.59</v>
      </c>
      <c r="AP12">
        <f>集中式光伏!AP12+分布式光伏!AP12</f>
        <v>7968</v>
      </c>
      <c r="AQ12">
        <f>集中式光伏!AQ12+分布式光伏!AQ12</f>
        <v>8189.17</v>
      </c>
      <c r="AR12">
        <f>集中式光伏!AR12+分布式光伏!AR12</f>
        <v>8374.38</v>
      </c>
      <c r="AS12">
        <f>集中式光伏!AS12+分布式光伏!AS12</f>
        <v>8507.62</v>
      </c>
      <c r="AT12">
        <f>集中式光伏!AT12+分布式光伏!AT12</f>
        <v>8610.23</v>
      </c>
      <c r="AU12">
        <f>集中式光伏!AU12+分布式光伏!AU12</f>
        <v>8657.88</v>
      </c>
      <c r="AV12">
        <f>集中式光伏!AV12+分布式光伏!AV12</f>
        <v>8674.7</v>
      </c>
      <c r="AW12">
        <f>集中式光伏!AW12+分布式光伏!AW12</f>
        <v>8634.85</v>
      </c>
      <c r="AX12">
        <f>集中式光伏!AX12+分布式光伏!AX12</f>
        <v>8595.61</v>
      </c>
      <c r="AY12">
        <f>集中式光伏!AY12+分布式光伏!AY12</f>
        <v>8520.27</v>
      </c>
      <c r="AZ12">
        <f>集中式光伏!AZ12+分布式光伏!AZ12</f>
        <v>8394.07</v>
      </c>
      <c r="BA12">
        <f>集中式光伏!BA12+分布式光伏!BA12</f>
        <v>8267.04</v>
      </c>
      <c r="BB12">
        <f>集中式光伏!BB12+分布式光伏!BB12</f>
        <v>8120.76</v>
      </c>
      <c r="BC12">
        <f>集中式光伏!BC12+分布式光伏!BC12</f>
        <v>7933.55</v>
      </c>
      <c r="BD12">
        <f>集中式光伏!BD12+分布式光伏!BD12</f>
        <v>7718.39</v>
      </c>
      <c r="BE12">
        <f>集中式光伏!BE12+分布式光伏!BE12</f>
        <v>7471.31</v>
      </c>
      <c r="BF12">
        <f>集中式光伏!BF12+分布式光伏!BF12</f>
        <v>7165.9</v>
      </c>
      <c r="BG12">
        <f>集中式光伏!BG12+分布式光伏!BG12</f>
        <v>6841.25</v>
      </c>
      <c r="BH12">
        <f>集中式光伏!BH12+分布式光伏!BH12</f>
        <v>6482.1</v>
      </c>
      <c r="BI12">
        <f>集中式光伏!BI12+分布式光伏!BI12</f>
        <v>6090.75</v>
      </c>
      <c r="BJ12">
        <f>集中式光伏!BJ12+分布式光伏!BJ12</f>
        <v>5678.15</v>
      </c>
      <c r="BK12">
        <f>集中式光伏!BK12+分布式光伏!BK12</f>
        <v>5237.54</v>
      </c>
      <c r="BL12">
        <f>集中式光伏!BL12+分布式光伏!BL12</f>
        <v>4772.69</v>
      </c>
      <c r="BM12">
        <f>集中式光伏!BM12+分布式光伏!BM12</f>
        <v>4293.26</v>
      </c>
      <c r="BN12">
        <f>集中式光伏!BN12+分布式光伏!BN12</f>
        <v>3788</v>
      </c>
      <c r="BO12">
        <f>集中式光伏!BO12+分布式光伏!BO12</f>
        <v>3263.88</v>
      </c>
      <c r="BP12">
        <f>集中式光伏!BP12+分布式光伏!BP12</f>
        <v>2728.04</v>
      </c>
      <c r="BQ12">
        <f>集中式光伏!BQ12+分布式光伏!BQ12</f>
        <v>2218.47</v>
      </c>
      <c r="BR12">
        <f>集中式光伏!BR12+分布式光伏!BR12</f>
        <v>1750.43</v>
      </c>
      <c r="BS12">
        <f>集中式光伏!BS12+分布式光伏!BS12</f>
        <v>1326.05</v>
      </c>
      <c r="BT12">
        <f>集中式光伏!BT12+分布式光伏!BT12</f>
        <v>954.03</v>
      </c>
      <c r="BU12">
        <f>集中式光伏!BU12+分布式光伏!BU12</f>
        <v>640.61</v>
      </c>
      <c r="BV12">
        <f>集中式光伏!BV12+分布式光伏!BV12</f>
        <v>391.77</v>
      </c>
      <c r="BW12">
        <f>集中式光伏!BW12+分布式光伏!BW12</f>
        <v>198.01</v>
      </c>
      <c r="BX12">
        <f>集中式光伏!BX12+分布式光伏!BX12</f>
        <v>79.15</v>
      </c>
      <c r="BY12">
        <f>集中式光伏!BY12+分布式光伏!BY12</f>
        <v>8</v>
      </c>
      <c r="BZ12">
        <f>集中式光伏!BZ12+分布式光伏!BZ12</f>
        <v>0</v>
      </c>
      <c r="CA12">
        <f>集中式光伏!CA12+分布式光伏!CA12</f>
        <v>0</v>
      </c>
      <c r="CB12">
        <f>集中式光伏!CB12+分布式光伏!CB12</f>
        <v>0</v>
      </c>
      <c r="CC12">
        <f>集中式光伏!CC12+分布式光伏!CC12</f>
        <v>0</v>
      </c>
      <c r="CD12">
        <f>集中式光伏!CD12+分布式光伏!CD12</f>
        <v>0</v>
      </c>
      <c r="CE12">
        <f>集中式光伏!CE12+分布式光伏!CE12</f>
        <v>0</v>
      </c>
      <c r="CF12">
        <f>集中式光伏!CF12+分布式光伏!CF12</f>
        <v>0</v>
      </c>
      <c r="CG12">
        <f>集中式光伏!CG12+分布式光伏!CG12</f>
        <v>0</v>
      </c>
      <c r="CH12">
        <f>集中式光伏!CH12+分布式光伏!CH12</f>
        <v>0</v>
      </c>
      <c r="CI12">
        <f>集中式光伏!CI12+分布式光伏!CI12</f>
        <v>0</v>
      </c>
      <c r="CJ12">
        <f>集中式光伏!CJ12+分布式光伏!CJ12</f>
        <v>0</v>
      </c>
      <c r="CK12">
        <f>集中式光伏!CK12+分布式光伏!CK12</f>
        <v>0</v>
      </c>
      <c r="CL12">
        <f>集中式光伏!CL12+分布式光伏!CL12</f>
        <v>0</v>
      </c>
      <c r="CM12">
        <f>集中式光伏!CM12+分布式光伏!CM12</f>
        <v>0</v>
      </c>
      <c r="CN12">
        <f>集中式光伏!CN12+分布式光伏!CN12</f>
        <v>0</v>
      </c>
      <c r="CO12">
        <f>集中式光伏!CO12+分布式光伏!CO12</f>
        <v>0</v>
      </c>
      <c r="CP12">
        <f>集中式光伏!CP12+分布式光伏!CP12</f>
        <v>0</v>
      </c>
      <c r="CQ12">
        <f>集中式光伏!CQ12+分布式光伏!CQ12</f>
        <v>0</v>
      </c>
      <c r="CR12">
        <f>集中式光伏!CR12+分布式光伏!CR12</f>
        <v>0</v>
      </c>
      <c r="CS12">
        <f>集中式光伏!CS12+分布式光伏!CS12</f>
        <v>0</v>
      </c>
    </row>
    <row r="13" spans="1:97">
      <c r="A13" s="9">
        <v>46246</v>
      </c>
      <c r="B13">
        <f>集中式光伏!B13+分布式光伏!B13</f>
        <v>0</v>
      </c>
      <c r="C13">
        <f>集中式光伏!C13+分布式光伏!C13</f>
        <v>0</v>
      </c>
      <c r="D13">
        <f>集中式光伏!D13+分布式光伏!D13</f>
        <v>0</v>
      </c>
      <c r="E13">
        <f>集中式光伏!E13+分布式光伏!E13</f>
        <v>0</v>
      </c>
      <c r="F13">
        <f>集中式光伏!F13+分布式光伏!F13</f>
        <v>0</v>
      </c>
      <c r="G13">
        <f>集中式光伏!G13+分布式光伏!G13</f>
        <v>0</v>
      </c>
      <c r="H13">
        <f>集中式光伏!H13+分布式光伏!H13</f>
        <v>0</v>
      </c>
      <c r="I13">
        <f>集中式光伏!I13+分布式光伏!I13</f>
        <v>0</v>
      </c>
      <c r="J13">
        <f>集中式光伏!J13+分布式光伏!J13</f>
        <v>0</v>
      </c>
      <c r="K13">
        <f>集中式光伏!K13+分布式光伏!K13</f>
        <v>0</v>
      </c>
      <c r="L13">
        <f>集中式光伏!L13+分布式光伏!L13</f>
        <v>0</v>
      </c>
      <c r="M13">
        <f>集中式光伏!M13+分布式光伏!M13</f>
        <v>0</v>
      </c>
      <c r="N13">
        <f>集中式光伏!N13+分布式光伏!N13</f>
        <v>0</v>
      </c>
      <c r="O13">
        <f>集中式光伏!O13+分布式光伏!O13</f>
        <v>0</v>
      </c>
      <c r="P13">
        <f>集中式光伏!P13+分布式光伏!P13</f>
        <v>0</v>
      </c>
      <c r="Q13">
        <f>集中式光伏!Q13+分布式光伏!Q13</f>
        <v>0</v>
      </c>
      <c r="R13">
        <f>集中式光伏!R13+分布式光伏!R13</f>
        <v>0</v>
      </c>
      <c r="S13">
        <f>集中式光伏!S13+分布式光伏!S13</f>
        <v>0</v>
      </c>
      <c r="T13">
        <f>集中式光伏!T13+分布式光伏!T13</f>
        <v>0</v>
      </c>
      <c r="U13">
        <f>集中式光伏!U13+分布式光伏!U13</f>
        <v>3</v>
      </c>
      <c r="V13">
        <f>集中式光伏!V13+分布式光伏!V13</f>
        <v>56.24</v>
      </c>
      <c r="W13">
        <f>集中式光伏!W13+分布式光伏!W13</f>
        <v>163.47</v>
      </c>
      <c r="X13">
        <f>集中式光伏!X13+分布式光伏!X13</f>
        <v>301.36</v>
      </c>
      <c r="Y13">
        <f>集中式光伏!Y13+分布式光伏!Y13</f>
        <v>496.7</v>
      </c>
      <c r="Z13">
        <f>集中式光伏!Z13+分布式光伏!Z13</f>
        <v>754.99</v>
      </c>
      <c r="AA13">
        <f>集中式光伏!AA13+分布式光伏!AA13</f>
        <v>1081.61</v>
      </c>
      <c r="AB13">
        <f>集中式光伏!AB13+分布式光伏!AB13</f>
        <v>1461.74</v>
      </c>
      <c r="AC13">
        <f>集中式光伏!AC13+分布式光伏!AC13</f>
        <v>1865.81</v>
      </c>
      <c r="AD13">
        <f>集中式光伏!AD13+分布式光伏!AD13</f>
        <v>2341.15</v>
      </c>
      <c r="AE13">
        <f>集中式光伏!AE13+分布式光伏!AE13</f>
        <v>2805.41</v>
      </c>
      <c r="AF13">
        <f>集中式光伏!AF13+分布式光伏!AF13</f>
        <v>3277.01</v>
      </c>
      <c r="AG13">
        <f>集中式光伏!AG13+分布式光伏!AG13</f>
        <v>3739.12</v>
      </c>
      <c r="AH13">
        <f>集中式光伏!AH13+分布式光伏!AH13</f>
        <v>4175.49</v>
      </c>
      <c r="AI13">
        <f>集中式光伏!AI13+分布式光伏!AI13</f>
        <v>4587.74</v>
      </c>
      <c r="AJ13">
        <f>集中式光伏!AJ13+分布式光伏!AJ13</f>
        <v>4992.05</v>
      </c>
      <c r="AK13">
        <f>集中式光伏!AK13+分布式光伏!AK13</f>
        <v>5360.23</v>
      </c>
      <c r="AL13">
        <f>集中式光伏!AL13+分布式光伏!AL13</f>
        <v>5666.86</v>
      </c>
      <c r="AM13">
        <f>集中式光伏!AM13+分布式光伏!AM13</f>
        <v>5939.91</v>
      </c>
      <c r="AN13">
        <f>集中式光伏!AN13+分布式光伏!AN13</f>
        <v>6188.1</v>
      </c>
      <c r="AO13">
        <f>集中式光伏!AO13+分布式光伏!AO13</f>
        <v>6401.06</v>
      </c>
      <c r="AP13">
        <f>集中式光伏!AP13+分布式光伏!AP13</f>
        <v>6546.43</v>
      </c>
      <c r="AQ13">
        <f>集中式光伏!AQ13+分布式光伏!AQ13</f>
        <v>6675.59</v>
      </c>
      <c r="AR13">
        <f>集中式光伏!AR13+分布式光伏!AR13</f>
        <v>6774.14</v>
      </c>
      <c r="AS13">
        <f>集中式光伏!AS13+分布式光伏!AS13</f>
        <v>6827.82</v>
      </c>
      <c r="AT13">
        <f>集中式光伏!AT13+分布式光伏!AT13</f>
        <v>6821.45</v>
      </c>
      <c r="AU13">
        <f>集中式光伏!AU13+分布式光伏!AU13</f>
        <v>6787.9</v>
      </c>
      <c r="AV13">
        <f>集中式光伏!AV13+分布式光伏!AV13</f>
        <v>6733.55</v>
      </c>
      <c r="AW13">
        <f>集中式光伏!AW13+分布式光伏!AW13</f>
        <v>6654.36</v>
      </c>
      <c r="AX13">
        <f>集中式光伏!AX13+分布式光伏!AX13</f>
        <v>6557.18</v>
      </c>
      <c r="AY13">
        <f>集中式光伏!AY13+分布式光伏!AY13</f>
        <v>6422.08</v>
      </c>
      <c r="AZ13">
        <f>集中式光伏!AZ13+分布式光伏!AZ13</f>
        <v>6232.72</v>
      </c>
      <c r="BA13">
        <f>集中式光伏!BA13+分布式光伏!BA13</f>
        <v>6056.1</v>
      </c>
      <c r="BB13">
        <f>集中式光伏!BB13+分布式光伏!BB13</f>
        <v>5846.33</v>
      </c>
      <c r="BC13">
        <f>集中式光伏!BC13+分布式光伏!BC13</f>
        <v>5609.73</v>
      </c>
      <c r="BD13">
        <f>集中式光伏!BD13+分布式光伏!BD13</f>
        <v>5356.04</v>
      </c>
      <c r="BE13">
        <f>集中式光伏!BE13+分布式光伏!BE13</f>
        <v>5078.03</v>
      </c>
      <c r="BF13">
        <f>集中式光伏!BF13+分布式光伏!BF13</f>
        <v>4747.43</v>
      </c>
      <c r="BG13">
        <f>集中式光伏!BG13+分布式光伏!BG13</f>
        <v>4422.17</v>
      </c>
      <c r="BH13">
        <f>集中式光伏!BH13+分布式光伏!BH13</f>
        <v>4081.19</v>
      </c>
      <c r="BI13">
        <f>集中式光伏!BI13+分布式光伏!BI13</f>
        <v>3757.94</v>
      </c>
      <c r="BJ13">
        <f>集中式光伏!BJ13+分布式光伏!BJ13</f>
        <v>3427.38</v>
      </c>
      <c r="BK13">
        <f>集中式光伏!BK13+分布式光伏!BK13</f>
        <v>3097.98</v>
      </c>
      <c r="BL13">
        <f>集中式光伏!BL13+分布式光伏!BL13</f>
        <v>2762.36</v>
      </c>
      <c r="BM13">
        <f>集中式光伏!BM13+分布式光伏!BM13</f>
        <v>2423.33</v>
      </c>
      <c r="BN13">
        <f>集中式光伏!BN13+分布式光伏!BN13</f>
        <v>2100.94</v>
      </c>
      <c r="BO13">
        <f>集中式光伏!BO13+分布式光伏!BO13</f>
        <v>1792.99</v>
      </c>
      <c r="BP13">
        <f>集中式光伏!BP13+分布式光伏!BP13</f>
        <v>1481.88</v>
      </c>
      <c r="BQ13">
        <f>集中式光伏!BQ13+分布式光伏!BQ13</f>
        <v>1197.1</v>
      </c>
      <c r="BR13">
        <f>集中式光伏!BR13+分布式光伏!BR13</f>
        <v>943.48</v>
      </c>
      <c r="BS13">
        <f>集中式光伏!BS13+分布式光伏!BS13</f>
        <v>707.47</v>
      </c>
      <c r="BT13">
        <f>集中式光伏!BT13+分布式光伏!BT13</f>
        <v>507.53</v>
      </c>
      <c r="BU13">
        <f>集中式光伏!BU13+分布式光伏!BU13</f>
        <v>347.77</v>
      </c>
      <c r="BV13">
        <f>集中式光伏!BV13+分布式光伏!BV13</f>
        <v>214.75</v>
      </c>
      <c r="BW13">
        <f>集中式光伏!BW13+分布式光伏!BW13</f>
        <v>102.89</v>
      </c>
      <c r="BX13">
        <f>集中式光伏!BX13+分布式光伏!BX13</f>
        <v>41.14</v>
      </c>
      <c r="BY13">
        <f>集中式光伏!BY13+分布式光伏!BY13</f>
        <v>4</v>
      </c>
      <c r="BZ13">
        <f>集中式光伏!BZ13+分布式光伏!BZ13</f>
        <v>0</v>
      </c>
      <c r="CA13">
        <f>集中式光伏!CA13+分布式光伏!CA13</f>
        <v>0</v>
      </c>
      <c r="CB13">
        <f>集中式光伏!CB13+分布式光伏!CB13</f>
        <v>0</v>
      </c>
      <c r="CC13">
        <f>集中式光伏!CC13+分布式光伏!CC13</f>
        <v>0</v>
      </c>
      <c r="CD13">
        <f>集中式光伏!CD13+分布式光伏!CD13</f>
        <v>0</v>
      </c>
      <c r="CE13">
        <f>集中式光伏!CE13+分布式光伏!CE13</f>
        <v>0</v>
      </c>
      <c r="CF13">
        <f>集中式光伏!CF13+分布式光伏!CF13</f>
        <v>0</v>
      </c>
      <c r="CG13">
        <f>集中式光伏!CG13+分布式光伏!CG13</f>
        <v>0</v>
      </c>
      <c r="CH13">
        <f>集中式光伏!CH13+分布式光伏!CH13</f>
        <v>0</v>
      </c>
      <c r="CI13">
        <f>集中式光伏!CI13+分布式光伏!CI13</f>
        <v>0</v>
      </c>
      <c r="CJ13">
        <f>集中式光伏!CJ13+分布式光伏!CJ13</f>
        <v>0</v>
      </c>
      <c r="CK13">
        <f>集中式光伏!CK13+分布式光伏!CK13</f>
        <v>0</v>
      </c>
      <c r="CL13">
        <f>集中式光伏!CL13+分布式光伏!CL13</f>
        <v>0</v>
      </c>
      <c r="CM13">
        <f>集中式光伏!CM13+分布式光伏!CM13</f>
        <v>0</v>
      </c>
      <c r="CN13">
        <f>集中式光伏!CN13+分布式光伏!CN13</f>
        <v>0</v>
      </c>
      <c r="CO13">
        <f>集中式光伏!CO13+分布式光伏!CO13</f>
        <v>0</v>
      </c>
      <c r="CP13">
        <f>集中式光伏!CP13+分布式光伏!CP13</f>
        <v>0</v>
      </c>
      <c r="CQ13">
        <f>集中式光伏!CQ13+分布式光伏!CQ13</f>
        <v>0</v>
      </c>
      <c r="CR13">
        <f>集中式光伏!CR13+分布式光伏!CR13</f>
        <v>0</v>
      </c>
      <c r="CS13">
        <f>集中式光伏!CS13+分布式光伏!CS13</f>
        <v>0</v>
      </c>
    </row>
    <row r="14" spans="1:97">
      <c r="A14" s="9">
        <v>46247</v>
      </c>
      <c r="B14">
        <f>集中式光伏!B14+分布式光伏!B14</f>
        <v>0</v>
      </c>
      <c r="C14">
        <f>集中式光伏!C14+分布式光伏!C14</f>
        <v>0</v>
      </c>
      <c r="D14">
        <f>集中式光伏!D14+分布式光伏!D14</f>
        <v>0</v>
      </c>
      <c r="E14">
        <f>集中式光伏!E14+分布式光伏!E14</f>
        <v>0</v>
      </c>
      <c r="F14">
        <f>集中式光伏!F14+分布式光伏!F14</f>
        <v>0</v>
      </c>
      <c r="G14">
        <f>集中式光伏!G14+分布式光伏!G14</f>
        <v>0</v>
      </c>
      <c r="H14">
        <f>集中式光伏!H14+分布式光伏!H14</f>
        <v>0</v>
      </c>
      <c r="I14">
        <f>集中式光伏!I14+分布式光伏!I14</f>
        <v>0</v>
      </c>
      <c r="J14">
        <f>集中式光伏!J14+分布式光伏!J14</f>
        <v>0</v>
      </c>
      <c r="K14">
        <f>集中式光伏!K14+分布式光伏!K14</f>
        <v>0</v>
      </c>
      <c r="L14">
        <f>集中式光伏!L14+分布式光伏!L14</f>
        <v>0</v>
      </c>
      <c r="M14">
        <f>集中式光伏!M14+分布式光伏!M14</f>
        <v>0</v>
      </c>
      <c r="N14">
        <f>集中式光伏!N14+分布式光伏!N14</f>
        <v>0</v>
      </c>
      <c r="O14">
        <f>集中式光伏!O14+分布式光伏!O14</f>
        <v>0</v>
      </c>
      <c r="P14">
        <f>集中式光伏!P14+分布式光伏!P14</f>
        <v>0</v>
      </c>
      <c r="Q14">
        <f>集中式光伏!Q14+分布式光伏!Q14</f>
        <v>0</v>
      </c>
      <c r="R14">
        <f>集中式光伏!R14+分布式光伏!R14</f>
        <v>0</v>
      </c>
      <c r="S14">
        <f>集中式光伏!S14+分布式光伏!S14</f>
        <v>0</v>
      </c>
      <c r="T14">
        <f>集中式光伏!T14+分布式光伏!T14</f>
        <v>0</v>
      </c>
      <c r="U14">
        <f>集中式光伏!U14+分布式光伏!U14</f>
        <v>1</v>
      </c>
      <c r="V14">
        <f>集中式光伏!V14+分布式光伏!V14</f>
        <v>21.75</v>
      </c>
      <c r="W14">
        <f>集中式光伏!W14+分布式光伏!W14</f>
        <v>58.34</v>
      </c>
      <c r="X14">
        <f>集中式光伏!X14+分布式光伏!X14</f>
        <v>106.97</v>
      </c>
      <c r="Y14">
        <f>集中式光伏!Y14+分布式光伏!Y14</f>
        <v>169.63</v>
      </c>
      <c r="Z14">
        <f>集中式光伏!Z14+分布式光伏!Z14</f>
        <v>251.46</v>
      </c>
      <c r="AA14">
        <f>集中式光伏!AA14+分布式光伏!AA14</f>
        <v>342.08</v>
      </c>
      <c r="AB14">
        <f>集中式光伏!AB14+分布式光伏!AB14</f>
        <v>451.22</v>
      </c>
      <c r="AC14">
        <f>集中式光伏!AC14+分布式光伏!AC14</f>
        <v>569.53</v>
      </c>
      <c r="AD14">
        <f>集中式光伏!AD14+分布式光伏!AD14</f>
        <v>683.93</v>
      </c>
      <c r="AE14">
        <f>集中式光伏!AE14+分布式光伏!AE14</f>
        <v>827.81</v>
      </c>
      <c r="AF14">
        <f>集中式光伏!AF14+分布式光伏!AF14</f>
        <v>991.43</v>
      </c>
      <c r="AG14">
        <f>集中式光伏!AG14+分布式光伏!AG14</f>
        <v>1151.89</v>
      </c>
      <c r="AH14">
        <f>集中式光伏!AH14+分布式光伏!AH14</f>
        <v>1334.78</v>
      </c>
      <c r="AI14">
        <f>集中式光伏!AI14+分布式光伏!AI14</f>
        <v>1528.38</v>
      </c>
      <c r="AJ14">
        <f>集中式光伏!AJ14+分布式光伏!AJ14</f>
        <v>1720.54</v>
      </c>
      <c r="AK14">
        <f>集中式光伏!AK14+分布式光伏!AK14</f>
        <v>1924.24</v>
      </c>
      <c r="AL14">
        <f>集中式光伏!AL14+分布式光伏!AL14</f>
        <v>2109.31</v>
      </c>
      <c r="AM14">
        <f>集中式光伏!AM14+分布式光伏!AM14</f>
        <v>2288.02</v>
      </c>
      <c r="AN14">
        <f>集中式光伏!AN14+分布式光伏!AN14</f>
        <v>2461.39</v>
      </c>
      <c r="AO14">
        <f>集中式光伏!AO14+分布式光伏!AO14</f>
        <v>2643.98</v>
      </c>
      <c r="AP14">
        <f>集中式光伏!AP14+分布式光伏!AP14</f>
        <v>2810.32</v>
      </c>
      <c r="AQ14">
        <f>集中式光伏!AQ14+分布式光伏!AQ14</f>
        <v>2975.41</v>
      </c>
      <c r="AR14">
        <f>集中式光伏!AR14+分布式光伏!AR14</f>
        <v>3129.8</v>
      </c>
      <c r="AS14">
        <f>集中式光伏!AS14+分布式光伏!AS14</f>
        <v>3289.54</v>
      </c>
      <c r="AT14">
        <f>集中式光伏!AT14+分布式光伏!AT14</f>
        <v>3431.42</v>
      </c>
      <c r="AU14">
        <f>集中式光伏!AU14+分布式光伏!AU14</f>
        <v>3573.73</v>
      </c>
      <c r="AV14">
        <f>集中式光伏!AV14+分布式光伏!AV14</f>
        <v>3710.52</v>
      </c>
      <c r="AW14">
        <f>集中式光伏!AW14+分布式光伏!AW14</f>
        <v>3823.18</v>
      </c>
      <c r="AX14">
        <f>集中式光伏!AX14+分布式光伏!AX14</f>
        <v>3908.6</v>
      </c>
      <c r="AY14">
        <f>集中式光伏!AY14+分布式光伏!AY14</f>
        <v>3966.58</v>
      </c>
      <c r="AZ14">
        <f>集中式光伏!AZ14+分布式光伏!AZ14</f>
        <v>4024.66</v>
      </c>
      <c r="BA14">
        <f>集中式光伏!BA14+分布式光伏!BA14</f>
        <v>4074.28</v>
      </c>
      <c r="BB14">
        <f>集中式光伏!BB14+分布式光伏!BB14</f>
        <v>4078.09</v>
      </c>
      <c r="BC14">
        <f>集中式光伏!BC14+分布式光伏!BC14</f>
        <v>4089.75</v>
      </c>
      <c r="BD14">
        <f>集中式光伏!BD14+分布式光伏!BD14</f>
        <v>4093.87</v>
      </c>
      <c r="BE14">
        <f>集中式光伏!BE14+分布式光伏!BE14</f>
        <v>4078.1</v>
      </c>
      <c r="BF14">
        <f>集中式光伏!BF14+分布式光伏!BF14</f>
        <v>4027.01</v>
      </c>
      <c r="BG14">
        <f>集中式光伏!BG14+分布式光伏!BG14</f>
        <v>3959.95</v>
      </c>
      <c r="BH14">
        <f>集中式光伏!BH14+分布式光伏!BH14</f>
        <v>3859.32</v>
      </c>
      <c r="BI14">
        <f>集中式光伏!BI14+分布式光伏!BI14</f>
        <v>3730.67</v>
      </c>
      <c r="BJ14">
        <f>集中式光伏!BJ14+分布式光伏!BJ14</f>
        <v>3564.23</v>
      </c>
      <c r="BK14">
        <f>集中式光伏!BK14+分布式光伏!BK14</f>
        <v>3362.22</v>
      </c>
      <c r="BL14">
        <f>集中式光伏!BL14+分布式光伏!BL14</f>
        <v>3127.87</v>
      </c>
      <c r="BM14">
        <f>集中式光伏!BM14+分布式光伏!BM14</f>
        <v>2880.96</v>
      </c>
      <c r="BN14">
        <f>集中式光伏!BN14+分布式光伏!BN14</f>
        <v>2594.71</v>
      </c>
      <c r="BO14">
        <f>集中式光伏!BO14+分布式光伏!BO14</f>
        <v>2296.61</v>
      </c>
      <c r="BP14">
        <f>集中式光伏!BP14+分布式光伏!BP14</f>
        <v>1956.12</v>
      </c>
      <c r="BQ14">
        <f>集中式光伏!BQ14+分布式光伏!BQ14</f>
        <v>1625.93</v>
      </c>
      <c r="BR14">
        <f>集中式光伏!BR14+分布式光伏!BR14</f>
        <v>1319.99</v>
      </c>
      <c r="BS14">
        <f>集中式光伏!BS14+分布式光伏!BS14</f>
        <v>1021.17</v>
      </c>
      <c r="BT14">
        <f>集中式光伏!BT14+分布式光伏!BT14</f>
        <v>744.4</v>
      </c>
      <c r="BU14">
        <f>集中式光伏!BU14+分布式光伏!BU14</f>
        <v>505.24</v>
      </c>
      <c r="BV14">
        <f>集中式光伏!BV14+分布式光伏!BV14</f>
        <v>303.24</v>
      </c>
      <c r="BW14">
        <f>集中式光伏!BW14+分布式光伏!BW14</f>
        <v>150.39</v>
      </c>
      <c r="BX14">
        <f>集中式光伏!BX14+分布式光伏!BX14</f>
        <v>59.69</v>
      </c>
      <c r="BY14">
        <f>集中式光伏!BY14+分布式光伏!BY14</f>
        <v>6</v>
      </c>
      <c r="BZ14">
        <f>集中式光伏!BZ14+分布式光伏!BZ14</f>
        <v>0</v>
      </c>
      <c r="CA14">
        <f>集中式光伏!CA14+分布式光伏!CA14</f>
        <v>0</v>
      </c>
      <c r="CB14">
        <f>集中式光伏!CB14+分布式光伏!CB14</f>
        <v>0</v>
      </c>
      <c r="CC14">
        <f>集中式光伏!CC14+分布式光伏!CC14</f>
        <v>0</v>
      </c>
      <c r="CD14">
        <f>集中式光伏!CD14+分布式光伏!CD14</f>
        <v>0</v>
      </c>
      <c r="CE14">
        <f>集中式光伏!CE14+分布式光伏!CE14</f>
        <v>0</v>
      </c>
      <c r="CF14">
        <f>集中式光伏!CF14+分布式光伏!CF14</f>
        <v>0</v>
      </c>
      <c r="CG14">
        <f>集中式光伏!CG14+分布式光伏!CG14</f>
        <v>0</v>
      </c>
      <c r="CH14">
        <f>集中式光伏!CH14+分布式光伏!CH14</f>
        <v>0</v>
      </c>
      <c r="CI14">
        <f>集中式光伏!CI14+分布式光伏!CI14</f>
        <v>0</v>
      </c>
      <c r="CJ14">
        <f>集中式光伏!CJ14+分布式光伏!CJ14</f>
        <v>0</v>
      </c>
      <c r="CK14">
        <f>集中式光伏!CK14+分布式光伏!CK14</f>
        <v>0</v>
      </c>
      <c r="CL14">
        <f>集中式光伏!CL14+分布式光伏!CL14</f>
        <v>0</v>
      </c>
      <c r="CM14">
        <f>集中式光伏!CM14+分布式光伏!CM14</f>
        <v>0</v>
      </c>
      <c r="CN14">
        <f>集中式光伏!CN14+分布式光伏!CN14</f>
        <v>0</v>
      </c>
      <c r="CO14">
        <f>集中式光伏!CO14+分布式光伏!CO14</f>
        <v>0</v>
      </c>
      <c r="CP14">
        <f>集中式光伏!CP14+分布式光伏!CP14</f>
        <v>0</v>
      </c>
      <c r="CQ14">
        <f>集中式光伏!CQ14+分布式光伏!CQ14</f>
        <v>0</v>
      </c>
      <c r="CR14">
        <f>集中式光伏!CR14+分布式光伏!CR14</f>
        <v>0</v>
      </c>
      <c r="CS14">
        <f>集中式光伏!CS14+分布式光伏!CS14</f>
        <v>0</v>
      </c>
    </row>
    <row r="15" spans="1:97">
      <c r="A15" s="9">
        <v>46248</v>
      </c>
      <c r="B15">
        <f>集中式光伏!B15+分布式光伏!B15</f>
        <v>0</v>
      </c>
      <c r="C15">
        <f>集中式光伏!C15+分布式光伏!C15</f>
        <v>0</v>
      </c>
      <c r="D15">
        <f>集中式光伏!D15+分布式光伏!D15</f>
        <v>0</v>
      </c>
      <c r="E15">
        <f>集中式光伏!E15+分布式光伏!E15</f>
        <v>0</v>
      </c>
      <c r="F15">
        <f>集中式光伏!F15+分布式光伏!F15</f>
        <v>0</v>
      </c>
      <c r="G15">
        <f>集中式光伏!G15+分布式光伏!G15</f>
        <v>0</v>
      </c>
      <c r="H15">
        <f>集中式光伏!H15+分布式光伏!H15</f>
        <v>0</v>
      </c>
      <c r="I15">
        <f>集中式光伏!I15+分布式光伏!I15</f>
        <v>0</v>
      </c>
      <c r="J15">
        <f>集中式光伏!J15+分布式光伏!J15</f>
        <v>0</v>
      </c>
      <c r="K15">
        <f>集中式光伏!K15+分布式光伏!K15</f>
        <v>0</v>
      </c>
      <c r="L15">
        <f>集中式光伏!L15+分布式光伏!L15</f>
        <v>0</v>
      </c>
      <c r="M15">
        <f>集中式光伏!M15+分布式光伏!M15</f>
        <v>0</v>
      </c>
      <c r="N15">
        <f>集中式光伏!N15+分布式光伏!N15</f>
        <v>0</v>
      </c>
      <c r="O15">
        <f>集中式光伏!O15+分布式光伏!O15</f>
        <v>0</v>
      </c>
      <c r="P15">
        <f>集中式光伏!P15+分布式光伏!P15</f>
        <v>0</v>
      </c>
      <c r="Q15">
        <f>集中式光伏!Q15+分布式光伏!Q15</f>
        <v>0</v>
      </c>
      <c r="R15">
        <f>集中式光伏!R15+分布式光伏!R15</f>
        <v>0</v>
      </c>
      <c r="S15">
        <f>集中式光伏!S15+分布式光伏!S15</f>
        <v>0</v>
      </c>
      <c r="T15">
        <f>集中式光伏!T15+分布式光伏!T15</f>
        <v>0</v>
      </c>
      <c r="U15">
        <f>集中式光伏!U15+分布式光伏!U15</f>
        <v>2</v>
      </c>
      <c r="V15">
        <f>集中式光伏!V15+分布式光伏!V15</f>
        <v>47.06</v>
      </c>
      <c r="W15">
        <f>集中式光伏!W15+分布式光伏!W15</f>
        <v>146.49</v>
      </c>
      <c r="X15">
        <f>集中式光伏!X15+分布式光伏!X15</f>
        <v>298.6</v>
      </c>
      <c r="Y15">
        <f>集中式光伏!Y15+分布式光伏!Y15</f>
        <v>509.62</v>
      </c>
      <c r="Z15">
        <f>集中式光伏!Z15+分布式光伏!Z15</f>
        <v>806.44</v>
      </c>
      <c r="AA15">
        <f>集中式光伏!AA15+分布式光伏!AA15</f>
        <v>1191.02</v>
      </c>
      <c r="AB15">
        <f>集中式光伏!AB15+分布式光伏!AB15</f>
        <v>1661.48</v>
      </c>
      <c r="AC15">
        <f>集中式光伏!AC15+分布式光伏!AC15</f>
        <v>2160.76</v>
      </c>
      <c r="AD15">
        <f>集中式光伏!AD15+分布式光伏!AD15</f>
        <v>2747.8</v>
      </c>
      <c r="AE15">
        <f>集中式光伏!AE15+分布式光伏!AE15</f>
        <v>3323.51</v>
      </c>
      <c r="AF15">
        <f>集中式光伏!AF15+分布式光伏!AF15</f>
        <v>3919.93</v>
      </c>
      <c r="AG15">
        <f>集中式光伏!AG15+分布式光伏!AG15</f>
        <v>4523.69</v>
      </c>
      <c r="AH15">
        <f>集中式光伏!AH15+分布式光伏!AH15</f>
        <v>5101.69</v>
      </c>
      <c r="AI15">
        <f>集中式光伏!AI15+分布式光伏!AI15</f>
        <v>5666.94</v>
      </c>
      <c r="AJ15">
        <f>集中式光伏!AJ15+分布式光伏!AJ15</f>
        <v>6211.05</v>
      </c>
      <c r="AK15">
        <f>集中式光伏!AK15+分布式光伏!AK15</f>
        <v>6724.76</v>
      </c>
      <c r="AL15">
        <f>集中式光伏!AL15+分布式光伏!AL15</f>
        <v>7169.86</v>
      </c>
      <c r="AM15">
        <f>集中式光伏!AM15+分布式光伏!AM15</f>
        <v>7566.38</v>
      </c>
      <c r="AN15">
        <f>集中式光伏!AN15+分布式光伏!AN15</f>
        <v>7933.85</v>
      </c>
      <c r="AO15">
        <f>集中式光伏!AO15+分布式光伏!AO15</f>
        <v>8262.68</v>
      </c>
      <c r="AP15">
        <f>集中式光伏!AP15+分布式光伏!AP15</f>
        <v>8513.88</v>
      </c>
      <c r="AQ15">
        <f>集中式光伏!AQ15+分布式光伏!AQ15</f>
        <v>8715.71</v>
      </c>
      <c r="AR15">
        <f>集中式光伏!AR15+分布式光伏!AR15</f>
        <v>8870.53</v>
      </c>
      <c r="AS15">
        <f>集中式光伏!AS15+分布式光伏!AS15</f>
        <v>8989.08</v>
      </c>
      <c r="AT15">
        <f>集中式光伏!AT15+分布式光伏!AT15</f>
        <v>9071.1</v>
      </c>
      <c r="AU15">
        <f>集中式光伏!AU15+分布式光伏!AU15</f>
        <v>9122.09</v>
      </c>
      <c r="AV15">
        <f>集中式光伏!AV15+分布式光伏!AV15</f>
        <v>9130.73</v>
      </c>
      <c r="AW15">
        <f>集中式光伏!AW15+分布式光伏!AW15</f>
        <v>9111.75</v>
      </c>
      <c r="AX15">
        <f>集中式光伏!AX15+分布式光伏!AX15</f>
        <v>9081.63</v>
      </c>
      <c r="AY15">
        <f>集中式光伏!AY15+分布式光伏!AY15</f>
        <v>9008.73</v>
      </c>
      <c r="AZ15">
        <f>集中式光伏!AZ15+分布式光伏!AZ15</f>
        <v>8899.13</v>
      </c>
      <c r="BA15">
        <f>集中式光伏!BA15+分布式光伏!BA15</f>
        <v>8769.77</v>
      </c>
      <c r="BB15">
        <f>集中式光伏!BB15+分布式光伏!BB15</f>
        <v>8626.12</v>
      </c>
      <c r="BC15">
        <f>集中式光伏!BC15+分布式光伏!BC15</f>
        <v>8452.06</v>
      </c>
      <c r="BD15">
        <f>集中式光伏!BD15+分布式光伏!BD15</f>
        <v>8243.25</v>
      </c>
      <c r="BE15">
        <f>集中式光伏!BE15+分布式光伏!BE15</f>
        <v>8006.15</v>
      </c>
      <c r="BF15">
        <f>集中式光伏!BF15+分布式光伏!BF15</f>
        <v>7697.4</v>
      </c>
      <c r="BG15">
        <f>集中式光伏!BG15+分布式光伏!BG15</f>
        <v>7373.97</v>
      </c>
      <c r="BH15">
        <f>集中式光伏!BH15+分布式光伏!BH15</f>
        <v>7017.9</v>
      </c>
      <c r="BI15">
        <f>集中式光伏!BI15+分布式光伏!BI15</f>
        <v>6617.88</v>
      </c>
      <c r="BJ15">
        <f>集中式光伏!BJ15+分布式光伏!BJ15</f>
        <v>6181.78</v>
      </c>
      <c r="BK15">
        <f>集中式光伏!BK15+分布式光伏!BK15</f>
        <v>5703.7</v>
      </c>
      <c r="BL15">
        <f>集中式光伏!BL15+分布式光伏!BL15</f>
        <v>5198.6</v>
      </c>
      <c r="BM15">
        <f>集中式光伏!BM15+分布式光伏!BM15</f>
        <v>4662.96</v>
      </c>
      <c r="BN15">
        <f>集中式光伏!BN15+分布式光伏!BN15</f>
        <v>4106.79</v>
      </c>
      <c r="BO15">
        <f>集中式光伏!BO15+分布式光伏!BO15</f>
        <v>3509.26</v>
      </c>
      <c r="BP15">
        <f>集中式光伏!BP15+分布式光伏!BP15</f>
        <v>2923.88</v>
      </c>
      <c r="BQ15">
        <f>集中式光伏!BQ15+分布式光伏!BQ15</f>
        <v>2365.26</v>
      </c>
      <c r="BR15">
        <f>集中式光伏!BR15+分布式光伏!BR15</f>
        <v>1865.71</v>
      </c>
      <c r="BS15">
        <f>集中式光伏!BS15+分布式光伏!BS15</f>
        <v>1388.77</v>
      </c>
      <c r="BT15">
        <f>集中式光伏!BT15+分布式光伏!BT15</f>
        <v>975.57</v>
      </c>
      <c r="BU15">
        <f>集中式光伏!BU15+分布式光伏!BU15</f>
        <v>634.34</v>
      </c>
      <c r="BV15">
        <f>集中式光伏!BV15+分布式光伏!BV15</f>
        <v>371.98</v>
      </c>
      <c r="BW15">
        <f>集中式光伏!BW15+分布式光伏!BW15</f>
        <v>170.24</v>
      </c>
      <c r="BX15">
        <f>集中式光伏!BX15+分布式光伏!BX15</f>
        <v>57.66</v>
      </c>
      <c r="BY15">
        <f>集中式光伏!BY15+分布式光伏!BY15</f>
        <v>5</v>
      </c>
      <c r="BZ15">
        <f>集中式光伏!BZ15+分布式光伏!BZ15</f>
        <v>0</v>
      </c>
      <c r="CA15">
        <f>集中式光伏!CA15+分布式光伏!CA15</f>
        <v>0</v>
      </c>
      <c r="CB15">
        <f>集中式光伏!CB15+分布式光伏!CB15</f>
        <v>0</v>
      </c>
      <c r="CC15">
        <f>集中式光伏!CC15+分布式光伏!CC15</f>
        <v>0</v>
      </c>
      <c r="CD15">
        <f>集中式光伏!CD15+分布式光伏!CD15</f>
        <v>0</v>
      </c>
      <c r="CE15">
        <f>集中式光伏!CE15+分布式光伏!CE15</f>
        <v>0</v>
      </c>
      <c r="CF15">
        <f>集中式光伏!CF15+分布式光伏!CF15</f>
        <v>0</v>
      </c>
      <c r="CG15">
        <f>集中式光伏!CG15+分布式光伏!CG15</f>
        <v>0</v>
      </c>
      <c r="CH15">
        <f>集中式光伏!CH15+分布式光伏!CH15</f>
        <v>0</v>
      </c>
      <c r="CI15">
        <f>集中式光伏!CI15+分布式光伏!CI15</f>
        <v>0</v>
      </c>
      <c r="CJ15">
        <f>集中式光伏!CJ15+分布式光伏!CJ15</f>
        <v>0</v>
      </c>
      <c r="CK15">
        <f>集中式光伏!CK15+分布式光伏!CK15</f>
        <v>0</v>
      </c>
      <c r="CL15">
        <f>集中式光伏!CL15+分布式光伏!CL15</f>
        <v>0</v>
      </c>
      <c r="CM15">
        <f>集中式光伏!CM15+分布式光伏!CM15</f>
        <v>0</v>
      </c>
      <c r="CN15">
        <f>集中式光伏!CN15+分布式光伏!CN15</f>
        <v>0</v>
      </c>
      <c r="CO15">
        <f>集中式光伏!CO15+分布式光伏!CO15</f>
        <v>0</v>
      </c>
      <c r="CP15">
        <f>集中式光伏!CP15+分布式光伏!CP15</f>
        <v>0</v>
      </c>
      <c r="CQ15">
        <f>集中式光伏!CQ15+分布式光伏!CQ15</f>
        <v>0</v>
      </c>
      <c r="CR15">
        <f>集中式光伏!CR15+分布式光伏!CR15</f>
        <v>0</v>
      </c>
      <c r="CS15">
        <f>集中式光伏!CS15+分布式光伏!CS15</f>
        <v>0</v>
      </c>
    </row>
    <row r="16" spans="1:97">
      <c r="A16" s="9">
        <v>46249</v>
      </c>
      <c r="B16">
        <f>集中式光伏!B16+分布式光伏!B16</f>
        <v>0</v>
      </c>
      <c r="C16">
        <f>集中式光伏!C16+分布式光伏!C16</f>
        <v>0</v>
      </c>
      <c r="D16">
        <f>集中式光伏!D16+分布式光伏!D16</f>
        <v>0</v>
      </c>
      <c r="E16">
        <f>集中式光伏!E16+分布式光伏!E16</f>
        <v>0</v>
      </c>
      <c r="F16">
        <f>集中式光伏!F16+分布式光伏!F16</f>
        <v>0</v>
      </c>
      <c r="G16">
        <f>集中式光伏!G16+分布式光伏!G16</f>
        <v>0</v>
      </c>
      <c r="H16">
        <f>集中式光伏!H16+分布式光伏!H16</f>
        <v>0</v>
      </c>
      <c r="I16">
        <f>集中式光伏!I16+分布式光伏!I16</f>
        <v>0</v>
      </c>
      <c r="J16">
        <f>集中式光伏!J16+分布式光伏!J16</f>
        <v>0</v>
      </c>
      <c r="K16">
        <f>集中式光伏!K16+分布式光伏!K16</f>
        <v>0</v>
      </c>
      <c r="L16">
        <f>集中式光伏!L16+分布式光伏!L16</f>
        <v>0</v>
      </c>
      <c r="M16">
        <f>集中式光伏!M16+分布式光伏!M16</f>
        <v>0</v>
      </c>
      <c r="N16">
        <f>集中式光伏!N16+分布式光伏!N16</f>
        <v>0</v>
      </c>
      <c r="O16">
        <f>集中式光伏!O16+分布式光伏!O16</f>
        <v>0</v>
      </c>
      <c r="P16">
        <f>集中式光伏!P16+分布式光伏!P16</f>
        <v>0</v>
      </c>
      <c r="Q16">
        <f>集中式光伏!Q16+分布式光伏!Q16</f>
        <v>0</v>
      </c>
      <c r="R16">
        <f>集中式光伏!R16+分布式光伏!R16</f>
        <v>0</v>
      </c>
      <c r="S16">
        <f>集中式光伏!S16+分布式光伏!S16</f>
        <v>0</v>
      </c>
      <c r="T16">
        <f>集中式光伏!T16+分布式光伏!T16</f>
        <v>0</v>
      </c>
      <c r="U16">
        <f>集中式光伏!U16+分布式光伏!U16</f>
        <v>2</v>
      </c>
      <c r="V16">
        <f>集中式光伏!V16+分布式光伏!V16</f>
        <v>44.89</v>
      </c>
      <c r="W16">
        <f>集中式光伏!W16+分布式光伏!W16</f>
        <v>142.35</v>
      </c>
      <c r="X16">
        <f>集中式光伏!X16+分布式光伏!X16</f>
        <v>290.57</v>
      </c>
      <c r="Y16">
        <f>集中式光伏!Y16+分布式光伏!Y16</f>
        <v>498.59</v>
      </c>
      <c r="Z16">
        <f>集中式光伏!Z16+分布式光伏!Z16</f>
        <v>780.46</v>
      </c>
      <c r="AA16">
        <f>集中式光伏!AA16+分布式光伏!AA16</f>
        <v>1144.08</v>
      </c>
      <c r="AB16">
        <f>集中式光伏!AB16+分布式光伏!AB16</f>
        <v>1584.83</v>
      </c>
      <c r="AC16">
        <f>集中式光伏!AC16+分布式光伏!AC16</f>
        <v>2060</v>
      </c>
      <c r="AD16">
        <f>集中式光伏!AD16+分布式光伏!AD16</f>
        <v>2627</v>
      </c>
      <c r="AE16">
        <f>集中式光伏!AE16+分布式光伏!AE16</f>
        <v>3188.39</v>
      </c>
      <c r="AF16">
        <f>集中式光伏!AF16+分布式光伏!AF16</f>
        <v>3775.7</v>
      </c>
      <c r="AG16">
        <f>集中式光伏!AG16+分布式光伏!AG16</f>
        <v>4353.81</v>
      </c>
      <c r="AH16">
        <f>集中式光伏!AH16+分布式光伏!AH16</f>
        <v>4917.46</v>
      </c>
      <c r="AI16">
        <f>集中式光伏!AI16+分布式光伏!AI16</f>
        <v>5459.2</v>
      </c>
      <c r="AJ16">
        <f>集中式光伏!AJ16+分布式光伏!AJ16</f>
        <v>5994.15</v>
      </c>
      <c r="AK16">
        <f>集中式光伏!AK16+分布式光伏!AK16</f>
        <v>6488.48</v>
      </c>
      <c r="AL16">
        <f>集中式光伏!AL16+分布式光伏!AL16</f>
        <v>6923.51</v>
      </c>
      <c r="AM16">
        <f>集中式光伏!AM16+分布式光伏!AM16</f>
        <v>7294.48</v>
      </c>
      <c r="AN16">
        <f>集中式光伏!AN16+分布式光伏!AN16</f>
        <v>7634.63</v>
      </c>
      <c r="AO16">
        <f>集中式光伏!AO16+分布式光伏!AO16</f>
        <v>7931.79</v>
      </c>
      <c r="AP16">
        <f>集中式光伏!AP16+分布式光伏!AP16</f>
        <v>8153.27</v>
      </c>
      <c r="AQ16">
        <f>集中式光伏!AQ16+分布式光伏!AQ16</f>
        <v>8348.23</v>
      </c>
      <c r="AR16">
        <f>集中式光伏!AR16+分布式光伏!AR16</f>
        <v>8479.9</v>
      </c>
      <c r="AS16">
        <f>集中式光伏!AS16+分布式光伏!AS16</f>
        <v>8584.66</v>
      </c>
      <c r="AT16">
        <f>集中式光伏!AT16+分布式光伏!AT16</f>
        <v>8649.42</v>
      </c>
      <c r="AU16">
        <f>集中式光伏!AU16+分布式光伏!AU16</f>
        <v>8682.06</v>
      </c>
      <c r="AV16">
        <f>集中式光伏!AV16+分布式光伏!AV16</f>
        <v>8684.31</v>
      </c>
      <c r="AW16">
        <f>集中式光伏!AW16+分布式光伏!AW16</f>
        <v>8655.65</v>
      </c>
      <c r="AX16">
        <f>集中式光伏!AX16+分布式光伏!AX16</f>
        <v>8613</v>
      </c>
      <c r="AY16">
        <f>集中式光伏!AY16+分布式光伏!AY16</f>
        <v>8533.82</v>
      </c>
      <c r="AZ16">
        <f>集中式光伏!AZ16+分布式光伏!AZ16</f>
        <v>8407.02</v>
      </c>
      <c r="BA16">
        <f>集中式光伏!BA16+分布式光伏!BA16</f>
        <v>8272.72</v>
      </c>
      <c r="BB16">
        <f>集中式光伏!BB16+分布式光伏!BB16</f>
        <v>8114.42</v>
      </c>
      <c r="BC16">
        <f>集中式光伏!BC16+分布式光伏!BC16</f>
        <v>7918.04</v>
      </c>
      <c r="BD16">
        <f>集中式光伏!BD16+分布式光伏!BD16</f>
        <v>7699.62</v>
      </c>
      <c r="BE16">
        <f>集中式光伏!BE16+分布式光伏!BE16</f>
        <v>7451.64</v>
      </c>
      <c r="BF16">
        <f>集中式光伏!BF16+分布式光伏!BF16</f>
        <v>7136.37</v>
      </c>
      <c r="BG16">
        <f>集中式光伏!BG16+分布式光伏!BG16</f>
        <v>6809.27</v>
      </c>
      <c r="BH16">
        <f>集中式光伏!BH16+分布式光伏!BH16</f>
        <v>6443.35</v>
      </c>
      <c r="BI16">
        <f>集中式光伏!BI16+分布式光伏!BI16</f>
        <v>6050.17</v>
      </c>
      <c r="BJ16">
        <f>集中式光伏!BJ16+分布式光伏!BJ16</f>
        <v>5618.05</v>
      </c>
      <c r="BK16">
        <f>集中式光伏!BK16+分布式光伏!BK16</f>
        <v>5148.7</v>
      </c>
      <c r="BL16">
        <f>集中式光伏!BL16+分布式光伏!BL16</f>
        <v>4641.94</v>
      </c>
      <c r="BM16">
        <f>集中式光伏!BM16+分布式光伏!BM16</f>
        <v>4138.71</v>
      </c>
      <c r="BN16">
        <f>集中式光伏!BN16+分布式光伏!BN16</f>
        <v>3633.06</v>
      </c>
      <c r="BO16">
        <f>集中式光伏!BO16+分布式光伏!BO16</f>
        <v>3098.58</v>
      </c>
      <c r="BP16">
        <f>集中式光伏!BP16+分布式光伏!BP16</f>
        <v>2573.03</v>
      </c>
      <c r="BQ16">
        <f>集中式光伏!BQ16+分布式光伏!BQ16</f>
        <v>2074.78</v>
      </c>
      <c r="BR16">
        <f>集中式光伏!BR16+分布式光伏!BR16</f>
        <v>1629.38</v>
      </c>
      <c r="BS16">
        <f>集中式光伏!BS16+分布式光伏!BS16</f>
        <v>1197.7</v>
      </c>
      <c r="BT16">
        <f>集中式光伏!BT16+分布式光伏!BT16</f>
        <v>844.8</v>
      </c>
      <c r="BU16">
        <f>集中式光伏!BU16+分布式光伏!BU16</f>
        <v>548.5</v>
      </c>
      <c r="BV16">
        <f>集中式光伏!BV16+分布式光伏!BV16</f>
        <v>326.8</v>
      </c>
      <c r="BW16">
        <f>集中式光伏!BW16+分布式光伏!BW16</f>
        <v>145.95</v>
      </c>
      <c r="BX16">
        <f>集中式光伏!BX16+分布式光伏!BX16</f>
        <v>53.38</v>
      </c>
      <c r="BY16">
        <f>集中式光伏!BY16+分布式光伏!BY16</f>
        <v>3</v>
      </c>
      <c r="BZ16">
        <f>集中式光伏!BZ16+分布式光伏!BZ16</f>
        <v>0</v>
      </c>
      <c r="CA16">
        <f>集中式光伏!CA16+分布式光伏!CA16</f>
        <v>0</v>
      </c>
      <c r="CB16">
        <f>集中式光伏!CB16+分布式光伏!CB16</f>
        <v>0</v>
      </c>
      <c r="CC16">
        <f>集中式光伏!CC16+分布式光伏!CC16</f>
        <v>0</v>
      </c>
      <c r="CD16">
        <f>集中式光伏!CD16+分布式光伏!CD16</f>
        <v>0</v>
      </c>
      <c r="CE16">
        <f>集中式光伏!CE16+分布式光伏!CE16</f>
        <v>0</v>
      </c>
      <c r="CF16">
        <f>集中式光伏!CF16+分布式光伏!CF16</f>
        <v>0</v>
      </c>
      <c r="CG16">
        <f>集中式光伏!CG16+分布式光伏!CG16</f>
        <v>0</v>
      </c>
      <c r="CH16">
        <f>集中式光伏!CH16+分布式光伏!CH16</f>
        <v>0</v>
      </c>
      <c r="CI16">
        <f>集中式光伏!CI16+分布式光伏!CI16</f>
        <v>0</v>
      </c>
      <c r="CJ16">
        <f>集中式光伏!CJ16+分布式光伏!CJ16</f>
        <v>0</v>
      </c>
      <c r="CK16">
        <f>集中式光伏!CK16+分布式光伏!CK16</f>
        <v>0</v>
      </c>
      <c r="CL16">
        <f>集中式光伏!CL16+分布式光伏!CL16</f>
        <v>0</v>
      </c>
      <c r="CM16">
        <f>集中式光伏!CM16+分布式光伏!CM16</f>
        <v>0</v>
      </c>
      <c r="CN16">
        <f>集中式光伏!CN16+分布式光伏!CN16</f>
        <v>0</v>
      </c>
      <c r="CO16">
        <f>集中式光伏!CO16+分布式光伏!CO16</f>
        <v>0</v>
      </c>
      <c r="CP16">
        <f>集中式光伏!CP16+分布式光伏!CP16</f>
        <v>0</v>
      </c>
      <c r="CQ16">
        <f>集中式光伏!CQ16+分布式光伏!CQ16</f>
        <v>0</v>
      </c>
      <c r="CR16">
        <f>集中式光伏!CR16+分布式光伏!CR16</f>
        <v>0</v>
      </c>
      <c r="CS16">
        <f>集中式光伏!CS16+分布式光伏!CS16</f>
        <v>0</v>
      </c>
    </row>
    <row r="17" spans="1:97">
      <c r="A17" s="9">
        <v>46250</v>
      </c>
      <c r="B17">
        <f>集中式光伏!B17+分布式光伏!B17</f>
        <v>0</v>
      </c>
      <c r="C17">
        <f>集中式光伏!C17+分布式光伏!C17</f>
        <v>0</v>
      </c>
      <c r="D17">
        <f>集中式光伏!D17+分布式光伏!D17</f>
        <v>0</v>
      </c>
      <c r="E17">
        <f>集中式光伏!E17+分布式光伏!E17</f>
        <v>0</v>
      </c>
      <c r="F17">
        <f>集中式光伏!F17+分布式光伏!F17</f>
        <v>0</v>
      </c>
      <c r="G17">
        <f>集中式光伏!G17+分布式光伏!G17</f>
        <v>0</v>
      </c>
      <c r="H17">
        <f>集中式光伏!H17+分布式光伏!H17</f>
        <v>0</v>
      </c>
      <c r="I17">
        <f>集中式光伏!I17+分布式光伏!I17</f>
        <v>0</v>
      </c>
      <c r="J17">
        <f>集中式光伏!J17+分布式光伏!J17</f>
        <v>0</v>
      </c>
      <c r="K17">
        <f>集中式光伏!K17+分布式光伏!K17</f>
        <v>0</v>
      </c>
      <c r="L17">
        <f>集中式光伏!L17+分布式光伏!L17</f>
        <v>0</v>
      </c>
      <c r="M17">
        <f>集中式光伏!M17+分布式光伏!M17</f>
        <v>0</v>
      </c>
      <c r="N17">
        <f>集中式光伏!N17+分布式光伏!N17</f>
        <v>0</v>
      </c>
      <c r="O17">
        <f>集中式光伏!O17+分布式光伏!O17</f>
        <v>0</v>
      </c>
      <c r="P17">
        <f>集中式光伏!P17+分布式光伏!P17</f>
        <v>0</v>
      </c>
      <c r="Q17">
        <f>集中式光伏!Q17+分布式光伏!Q17</f>
        <v>0</v>
      </c>
      <c r="R17">
        <f>集中式光伏!R17+分布式光伏!R17</f>
        <v>0</v>
      </c>
      <c r="S17">
        <f>集中式光伏!S17+分布式光伏!S17</f>
        <v>0</v>
      </c>
      <c r="T17">
        <f>集中式光伏!T17+分布式光伏!T17</f>
        <v>0</v>
      </c>
      <c r="U17">
        <f>集中式光伏!U17+分布式光伏!U17</f>
        <v>2</v>
      </c>
      <c r="V17">
        <f>集中式光伏!V17+分布式光伏!V17</f>
        <v>38.56</v>
      </c>
      <c r="W17">
        <f>集中式光伏!W17+分布式光伏!W17</f>
        <v>130.93</v>
      </c>
      <c r="X17">
        <f>集中式光伏!X17+分布式光伏!X17</f>
        <v>277.28</v>
      </c>
      <c r="Y17">
        <f>集中式光伏!Y17+分布式光伏!Y17</f>
        <v>473.36</v>
      </c>
      <c r="Z17">
        <f>集中式光伏!Z17+分布式光伏!Z17</f>
        <v>747.86</v>
      </c>
      <c r="AA17">
        <f>集中式光伏!AA17+分布式光伏!AA17</f>
        <v>1108.92</v>
      </c>
      <c r="AB17">
        <f>集中式光伏!AB17+分布式光伏!AB17</f>
        <v>1546.13</v>
      </c>
      <c r="AC17">
        <f>集中式光伏!AC17+分布式光伏!AC17</f>
        <v>2019.38</v>
      </c>
      <c r="AD17">
        <f>集中式光伏!AD17+分布式光伏!AD17</f>
        <v>2581.95</v>
      </c>
      <c r="AE17">
        <f>集中式光伏!AE17+分布式光伏!AE17</f>
        <v>3137.2</v>
      </c>
      <c r="AF17">
        <f>集中式光伏!AF17+分布式光伏!AF17</f>
        <v>3719.62</v>
      </c>
      <c r="AG17">
        <f>集中式光伏!AG17+分布式光伏!AG17</f>
        <v>4297.97</v>
      </c>
      <c r="AH17">
        <f>集中式光伏!AH17+分布式光伏!AH17</f>
        <v>4867.26</v>
      </c>
      <c r="AI17">
        <f>集中式光伏!AI17+分布式光伏!AI17</f>
        <v>5403.19</v>
      </c>
      <c r="AJ17">
        <f>集中式光伏!AJ17+分布式光伏!AJ17</f>
        <v>5929.63</v>
      </c>
      <c r="AK17">
        <f>集中式光伏!AK17+分布式光伏!AK17</f>
        <v>6404.48</v>
      </c>
      <c r="AL17">
        <f>集中式光伏!AL17+分布式光伏!AL17</f>
        <v>6829.97</v>
      </c>
      <c r="AM17">
        <f>集中式光伏!AM17+分布式光伏!AM17</f>
        <v>7213.67</v>
      </c>
      <c r="AN17">
        <f>集中式光伏!AN17+分布式光伏!AN17</f>
        <v>7553.07</v>
      </c>
      <c r="AO17">
        <f>集中式光伏!AO17+分布式光伏!AO17</f>
        <v>7841.03</v>
      </c>
      <c r="AP17">
        <f>集中式光伏!AP17+分布式光伏!AP17</f>
        <v>8062.78</v>
      </c>
      <c r="AQ17">
        <f>集中式光伏!AQ17+分布式光伏!AQ17</f>
        <v>8228.6</v>
      </c>
      <c r="AR17">
        <f>集中式光伏!AR17+分布式光伏!AR17</f>
        <v>8342.58</v>
      </c>
      <c r="AS17">
        <f>集中式光伏!AS17+分布式光伏!AS17</f>
        <v>8430.27</v>
      </c>
      <c r="AT17">
        <f>集中式光伏!AT17+分布式光伏!AT17</f>
        <v>8455.53</v>
      </c>
      <c r="AU17">
        <f>集中式光伏!AU17+分布式光伏!AU17</f>
        <v>8437.07</v>
      </c>
      <c r="AV17">
        <f>集中式光伏!AV17+分布式光伏!AV17</f>
        <v>8393.94</v>
      </c>
      <c r="AW17">
        <f>集中式光伏!AW17+分布式光伏!AW17</f>
        <v>8322.72</v>
      </c>
      <c r="AX17">
        <f>集中式光伏!AX17+分布式光伏!AX17</f>
        <v>8228.19</v>
      </c>
      <c r="AY17">
        <f>集中式光伏!AY17+分布式光伏!AY17</f>
        <v>8101.54</v>
      </c>
      <c r="AZ17">
        <f>集中式光伏!AZ17+分布式光伏!AZ17</f>
        <v>7928.9</v>
      </c>
      <c r="BA17">
        <f>集中式光伏!BA17+分布式光伏!BA17</f>
        <v>7723.15</v>
      </c>
      <c r="BB17">
        <f>集中式光伏!BB17+分布式光伏!BB17</f>
        <v>7499.65</v>
      </c>
      <c r="BC17">
        <f>集中式光伏!BC17+分布式光伏!BC17</f>
        <v>7230.53</v>
      </c>
      <c r="BD17">
        <f>集中式光伏!BD17+分布式光伏!BD17</f>
        <v>6916.44</v>
      </c>
      <c r="BE17">
        <f>集中式光伏!BE17+分布式光伏!BE17</f>
        <v>6576.42</v>
      </c>
      <c r="BF17">
        <f>集中式光伏!BF17+分布式光伏!BF17</f>
        <v>6179.56</v>
      </c>
      <c r="BG17">
        <f>集中式光伏!BG17+分布式光伏!BG17</f>
        <v>5743.2</v>
      </c>
      <c r="BH17">
        <f>集中式光伏!BH17+分布式光伏!BH17</f>
        <v>5295.77</v>
      </c>
      <c r="BI17">
        <f>集中式光伏!BI17+分布式光伏!BI17</f>
        <v>4867.11</v>
      </c>
      <c r="BJ17">
        <f>集中式光伏!BJ17+分布式光伏!BJ17</f>
        <v>4420.45</v>
      </c>
      <c r="BK17">
        <f>集中式光伏!BK17+分布式光伏!BK17</f>
        <v>3970.6</v>
      </c>
      <c r="BL17">
        <f>集中式光伏!BL17+分布式光伏!BL17</f>
        <v>3500.43</v>
      </c>
      <c r="BM17">
        <f>集中式光伏!BM17+分布式光伏!BM17</f>
        <v>3061.81</v>
      </c>
      <c r="BN17">
        <f>集中式光伏!BN17+分布式光伏!BN17</f>
        <v>2629.29</v>
      </c>
      <c r="BO17">
        <f>集中式光伏!BO17+分布式光伏!BO17</f>
        <v>2175.36</v>
      </c>
      <c r="BP17">
        <f>集中式光伏!BP17+分布式光伏!BP17</f>
        <v>1741.09</v>
      </c>
      <c r="BQ17">
        <f>集中式光伏!BQ17+分布式光伏!BQ17</f>
        <v>1360.57</v>
      </c>
      <c r="BR17">
        <f>集中式光伏!BR17+分布式光伏!BR17</f>
        <v>1038.68</v>
      </c>
      <c r="BS17">
        <f>集中式光伏!BS17+分布式光伏!BS17</f>
        <v>762.67</v>
      </c>
      <c r="BT17">
        <f>集中式光伏!BT17+分布式光伏!BT17</f>
        <v>530.5</v>
      </c>
      <c r="BU17">
        <f>集中式光伏!BU17+分布式光伏!BU17</f>
        <v>350.13</v>
      </c>
      <c r="BV17">
        <f>集中式光伏!BV17+分布式光伏!BV17</f>
        <v>200.03</v>
      </c>
      <c r="BW17">
        <f>集中式光伏!BW17+分布式光伏!BW17</f>
        <v>86.17</v>
      </c>
      <c r="BX17">
        <f>集中式光伏!BX17+分布式光伏!BX17</f>
        <v>27.89</v>
      </c>
      <c r="BY17">
        <f>集中式光伏!BY17+分布式光伏!BY17</f>
        <v>1</v>
      </c>
      <c r="BZ17">
        <f>集中式光伏!BZ17+分布式光伏!BZ17</f>
        <v>0</v>
      </c>
      <c r="CA17">
        <f>集中式光伏!CA17+分布式光伏!CA17</f>
        <v>0</v>
      </c>
      <c r="CB17">
        <f>集中式光伏!CB17+分布式光伏!CB17</f>
        <v>0</v>
      </c>
      <c r="CC17">
        <f>集中式光伏!CC17+分布式光伏!CC17</f>
        <v>0</v>
      </c>
      <c r="CD17">
        <f>集中式光伏!CD17+分布式光伏!CD17</f>
        <v>0</v>
      </c>
      <c r="CE17">
        <f>集中式光伏!CE17+分布式光伏!CE17</f>
        <v>0</v>
      </c>
      <c r="CF17">
        <f>集中式光伏!CF17+分布式光伏!CF17</f>
        <v>0</v>
      </c>
      <c r="CG17">
        <f>集中式光伏!CG17+分布式光伏!CG17</f>
        <v>0</v>
      </c>
      <c r="CH17">
        <f>集中式光伏!CH17+分布式光伏!CH17</f>
        <v>0</v>
      </c>
      <c r="CI17">
        <f>集中式光伏!CI17+分布式光伏!CI17</f>
        <v>0</v>
      </c>
      <c r="CJ17">
        <f>集中式光伏!CJ17+分布式光伏!CJ17</f>
        <v>0</v>
      </c>
      <c r="CK17">
        <f>集中式光伏!CK17+分布式光伏!CK17</f>
        <v>0</v>
      </c>
      <c r="CL17">
        <f>集中式光伏!CL17+分布式光伏!CL17</f>
        <v>0</v>
      </c>
      <c r="CM17">
        <f>集中式光伏!CM17+分布式光伏!CM17</f>
        <v>0</v>
      </c>
      <c r="CN17">
        <f>集中式光伏!CN17+分布式光伏!CN17</f>
        <v>0</v>
      </c>
      <c r="CO17">
        <f>集中式光伏!CO17+分布式光伏!CO17</f>
        <v>0</v>
      </c>
      <c r="CP17">
        <f>集中式光伏!CP17+分布式光伏!CP17</f>
        <v>0</v>
      </c>
      <c r="CQ17">
        <f>集中式光伏!CQ17+分布式光伏!CQ17</f>
        <v>0</v>
      </c>
      <c r="CR17">
        <f>集中式光伏!CR17+分布式光伏!CR17</f>
        <v>0</v>
      </c>
      <c r="CS17">
        <f>集中式光伏!CS17+分布式光伏!CS17</f>
        <v>0</v>
      </c>
    </row>
    <row r="18" spans="1:97">
      <c r="A18" s="9">
        <v>46251</v>
      </c>
      <c r="B18">
        <f>集中式光伏!B18+分布式光伏!B18</f>
        <v>0</v>
      </c>
      <c r="C18">
        <f>集中式光伏!C18+分布式光伏!C18</f>
        <v>0</v>
      </c>
      <c r="D18">
        <f>集中式光伏!D18+分布式光伏!D18</f>
        <v>0</v>
      </c>
      <c r="E18">
        <f>集中式光伏!E18+分布式光伏!E18</f>
        <v>0</v>
      </c>
      <c r="F18">
        <f>集中式光伏!F18+分布式光伏!F18</f>
        <v>0</v>
      </c>
      <c r="G18">
        <f>集中式光伏!G18+分布式光伏!G18</f>
        <v>0</v>
      </c>
      <c r="H18">
        <f>集中式光伏!H18+分布式光伏!H18</f>
        <v>0</v>
      </c>
      <c r="I18">
        <f>集中式光伏!I18+分布式光伏!I18</f>
        <v>0</v>
      </c>
      <c r="J18">
        <f>集中式光伏!J18+分布式光伏!J18</f>
        <v>0</v>
      </c>
      <c r="K18">
        <f>集中式光伏!K18+分布式光伏!K18</f>
        <v>0</v>
      </c>
      <c r="L18">
        <f>集中式光伏!L18+分布式光伏!L18</f>
        <v>0</v>
      </c>
      <c r="M18">
        <f>集中式光伏!M18+分布式光伏!M18</f>
        <v>0</v>
      </c>
      <c r="N18">
        <f>集中式光伏!N18+分布式光伏!N18</f>
        <v>0</v>
      </c>
      <c r="O18">
        <f>集中式光伏!O18+分布式光伏!O18</f>
        <v>0</v>
      </c>
      <c r="P18">
        <f>集中式光伏!P18+分布式光伏!P18</f>
        <v>0</v>
      </c>
      <c r="Q18">
        <f>集中式光伏!Q18+分布式光伏!Q18</f>
        <v>0</v>
      </c>
      <c r="R18">
        <f>集中式光伏!R18+分布式光伏!R18</f>
        <v>0</v>
      </c>
      <c r="S18">
        <f>集中式光伏!S18+分布式光伏!S18</f>
        <v>0</v>
      </c>
      <c r="T18">
        <f>集中式光伏!T18+分布式光伏!T18</f>
        <v>0</v>
      </c>
      <c r="U18">
        <f>集中式光伏!U18+分布式光伏!U18</f>
        <v>1</v>
      </c>
      <c r="V18">
        <f>集中式光伏!V18+分布式光伏!V18</f>
        <v>23.13</v>
      </c>
      <c r="W18">
        <f>集中式光伏!W18+分布式光伏!W18</f>
        <v>75.18</v>
      </c>
      <c r="X18">
        <f>集中式光伏!X18+分布式光伏!X18</f>
        <v>152.74</v>
      </c>
      <c r="Y18">
        <f>集中式光伏!Y18+分布式光伏!Y18</f>
        <v>256.06</v>
      </c>
      <c r="Z18">
        <f>集中式光伏!Z18+分布式光伏!Z18</f>
        <v>397.84</v>
      </c>
      <c r="AA18">
        <f>集中式光伏!AA18+分布式光伏!AA18</f>
        <v>582.4</v>
      </c>
      <c r="AB18">
        <f>集中式光伏!AB18+分布式光伏!AB18</f>
        <v>798.15</v>
      </c>
      <c r="AC18">
        <f>集中式光伏!AC18+分布式光伏!AC18</f>
        <v>1040.32</v>
      </c>
      <c r="AD18">
        <f>集中式光伏!AD18+分布式光伏!AD18</f>
        <v>1304.51</v>
      </c>
      <c r="AE18">
        <f>集中式光伏!AE18+分布式光伏!AE18</f>
        <v>1586.27</v>
      </c>
      <c r="AF18">
        <f>集中式光伏!AF18+分布式光伏!AF18</f>
        <v>1908.81</v>
      </c>
      <c r="AG18">
        <f>集中式光伏!AG18+分布式光伏!AG18</f>
        <v>2225.43</v>
      </c>
      <c r="AH18">
        <f>集中式光伏!AH18+分布式光伏!AH18</f>
        <v>2525.74</v>
      </c>
      <c r="AI18">
        <f>集中式光伏!AI18+分布式光伏!AI18</f>
        <v>2828.97</v>
      </c>
      <c r="AJ18">
        <f>集中式光伏!AJ18+分布式光伏!AJ18</f>
        <v>3135.01</v>
      </c>
      <c r="AK18">
        <f>集中式光伏!AK18+分布式光伏!AK18</f>
        <v>3422.75</v>
      </c>
      <c r="AL18">
        <f>集中式光伏!AL18+分布式光伏!AL18</f>
        <v>3691.85</v>
      </c>
      <c r="AM18">
        <f>集中式光伏!AM18+分布式光伏!AM18</f>
        <v>3956.46</v>
      </c>
      <c r="AN18">
        <f>集中式光伏!AN18+分布式光伏!AN18</f>
        <v>4232.86</v>
      </c>
      <c r="AO18">
        <f>集中式光伏!AO18+分布式光伏!AO18</f>
        <v>4491.17</v>
      </c>
      <c r="AP18">
        <f>集中式光伏!AP18+分布式光伏!AP18</f>
        <v>4749.87</v>
      </c>
      <c r="AQ18">
        <f>集中式光伏!AQ18+分布式光伏!AQ18</f>
        <v>5020.33</v>
      </c>
      <c r="AR18">
        <f>集中式光伏!AR18+分布式光伏!AR18</f>
        <v>5271.87</v>
      </c>
      <c r="AS18">
        <f>集中式光伏!AS18+分布式光伏!AS18</f>
        <v>5491.1</v>
      </c>
      <c r="AT18">
        <f>集中式光伏!AT18+分布式光伏!AT18</f>
        <v>5675.96</v>
      </c>
      <c r="AU18">
        <f>集中式光伏!AU18+分布式光伏!AU18</f>
        <v>5854.46</v>
      </c>
      <c r="AV18">
        <f>集中式光伏!AV18+分布式光伏!AV18</f>
        <v>6011.49</v>
      </c>
      <c r="AW18">
        <f>集中式光伏!AW18+分布式光伏!AW18</f>
        <v>6140.04</v>
      </c>
      <c r="AX18">
        <f>集中式光伏!AX18+分布式光伏!AX18</f>
        <v>6226.7</v>
      </c>
      <c r="AY18">
        <f>集中式光伏!AY18+分布式光伏!AY18</f>
        <v>6302</v>
      </c>
      <c r="AZ18">
        <f>集中式光伏!AZ18+分布式光伏!AZ18</f>
        <v>6342.66</v>
      </c>
      <c r="BA18">
        <f>集中式光伏!BA18+分布式光伏!BA18</f>
        <v>6355.28</v>
      </c>
      <c r="BB18">
        <f>集中式光伏!BB18+分布式光伏!BB18</f>
        <v>6320.95</v>
      </c>
      <c r="BC18">
        <f>集中式光伏!BC18+分布式光伏!BC18</f>
        <v>6249.55</v>
      </c>
      <c r="BD18">
        <f>集中式光伏!BD18+分布式光伏!BD18</f>
        <v>6159.67</v>
      </c>
      <c r="BE18">
        <f>集中式光伏!BE18+分布式光伏!BE18</f>
        <v>6037.45</v>
      </c>
      <c r="BF18">
        <f>集中式光伏!BF18+分布式光伏!BF18</f>
        <v>5878.13</v>
      </c>
      <c r="BG18">
        <f>集中式光伏!BG18+分布式光伏!BG18</f>
        <v>5680.62</v>
      </c>
      <c r="BH18">
        <f>集中式光伏!BH18+分布式光伏!BH18</f>
        <v>5441.74</v>
      </c>
      <c r="BI18">
        <f>集中式光伏!BI18+分布式光伏!BI18</f>
        <v>5169.07</v>
      </c>
      <c r="BJ18">
        <f>集中式光伏!BJ18+分布式光伏!BJ18</f>
        <v>4880.57</v>
      </c>
      <c r="BK18">
        <f>集中式光伏!BK18+分布式光伏!BK18</f>
        <v>4540.72</v>
      </c>
      <c r="BL18">
        <f>集中式光伏!BL18+分布式光伏!BL18</f>
        <v>4157.6</v>
      </c>
      <c r="BM18">
        <f>集中式光伏!BM18+分布式光伏!BM18</f>
        <v>3745.37</v>
      </c>
      <c r="BN18">
        <f>集中式光伏!BN18+分布式光伏!BN18</f>
        <v>3317.2</v>
      </c>
      <c r="BO18">
        <f>集中式光伏!BO18+分布式光伏!BO18</f>
        <v>2871.83</v>
      </c>
      <c r="BP18">
        <f>集中式光伏!BP18+分布式光伏!BP18</f>
        <v>2407.63</v>
      </c>
      <c r="BQ18">
        <f>集中式光伏!BQ18+分布式光伏!BQ18</f>
        <v>1966.84</v>
      </c>
      <c r="BR18">
        <f>集中式光伏!BR18+分布式光伏!BR18</f>
        <v>1539.22</v>
      </c>
      <c r="BS18">
        <f>集中式光伏!BS18+分布式光伏!BS18</f>
        <v>1145.52</v>
      </c>
      <c r="BT18">
        <f>集中式光伏!BT18+分布式光伏!BT18</f>
        <v>812.29</v>
      </c>
      <c r="BU18">
        <f>集中式光伏!BU18+分布式光伏!BU18</f>
        <v>531.15</v>
      </c>
      <c r="BV18">
        <f>集中式光伏!BV18+分布式光伏!BV18</f>
        <v>304.78</v>
      </c>
      <c r="BW18">
        <f>集中式光伏!BW18+分布式光伏!BW18</f>
        <v>125.12</v>
      </c>
      <c r="BX18">
        <f>集中式光伏!BX18+分布式光伏!BX18</f>
        <v>43.49</v>
      </c>
      <c r="BY18">
        <f>集中式光伏!BY18+分布式光伏!BY18</f>
        <v>1</v>
      </c>
      <c r="BZ18">
        <f>集中式光伏!BZ18+分布式光伏!BZ18</f>
        <v>0</v>
      </c>
      <c r="CA18">
        <f>集中式光伏!CA18+分布式光伏!CA18</f>
        <v>0</v>
      </c>
      <c r="CB18">
        <f>集中式光伏!CB18+分布式光伏!CB18</f>
        <v>0</v>
      </c>
      <c r="CC18">
        <f>集中式光伏!CC18+分布式光伏!CC18</f>
        <v>0</v>
      </c>
      <c r="CD18">
        <f>集中式光伏!CD18+分布式光伏!CD18</f>
        <v>0</v>
      </c>
      <c r="CE18">
        <f>集中式光伏!CE18+分布式光伏!CE18</f>
        <v>0</v>
      </c>
      <c r="CF18">
        <f>集中式光伏!CF18+分布式光伏!CF18</f>
        <v>0</v>
      </c>
      <c r="CG18">
        <f>集中式光伏!CG18+分布式光伏!CG18</f>
        <v>0</v>
      </c>
      <c r="CH18">
        <f>集中式光伏!CH18+分布式光伏!CH18</f>
        <v>0</v>
      </c>
      <c r="CI18">
        <f>集中式光伏!CI18+分布式光伏!CI18</f>
        <v>0</v>
      </c>
      <c r="CJ18">
        <f>集中式光伏!CJ18+分布式光伏!CJ18</f>
        <v>0</v>
      </c>
      <c r="CK18">
        <f>集中式光伏!CK18+分布式光伏!CK18</f>
        <v>0</v>
      </c>
      <c r="CL18">
        <f>集中式光伏!CL18+分布式光伏!CL18</f>
        <v>0</v>
      </c>
      <c r="CM18">
        <f>集中式光伏!CM18+分布式光伏!CM18</f>
        <v>0</v>
      </c>
      <c r="CN18">
        <f>集中式光伏!CN18+分布式光伏!CN18</f>
        <v>0</v>
      </c>
      <c r="CO18">
        <f>集中式光伏!CO18+分布式光伏!CO18</f>
        <v>0</v>
      </c>
      <c r="CP18">
        <f>集中式光伏!CP18+分布式光伏!CP18</f>
        <v>0</v>
      </c>
      <c r="CQ18">
        <f>集中式光伏!CQ18+分布式光伏!CQ18</f>
        <v>0</v>
      </c>
      <c r="CR18">
        <f>集中式光伏!CR18+分布式光伏!CR18</f>
        <v>0</v>
      </c>
      <c r="CS18">
        <f>集中式光伏!CS18+分布式光伏!CS18</f>
        <v>0</v>
      </c>
    </row>
    <row r="19" spans="1:97">
      <c r="A19" s="9">
        <v>46252</v>
      </c>
      <c r="B19">
        <f>集中式光伏!B19+分布式光伏!B19</f>
        <v>0</v>
      </c>
      <c r="C19">
        <f>集中式光伏!C19+分布式光伏!C19</f>
        <v>0</v>
      </c>
      <c r="D19">
        <f>集中式光伏!D19+分布式光伏!D19</f>
        <v>0</v>
      </c>
      <c r="E19">
        <f>集中式光伏!E19+分布式光伏!E19</f>
        <v>0</v>
      </c>
      <c r="F19">
        <f>集中式光伏!F19+分布式光伏!F19</f>
        <v>0</v>
      </c>
      <c r="G19">
        <f>集中式光伏!G19+分布式光伏!G19</f>
        <v>0</v>
      </c>
      <c r="H19">
        <f>集中式光伏!H19+分布式光伏!H19</f>
        <v>0</v>
      </c>
      <c r="I19">
        <f>集中式光伏!I19+分布式光伏!I19</f>
        <v>0</v>
      </c>
      <c r="J19">
        <f>集中式光伏!J19+分布式光伏!J19</f>
        <v>0</v>
      </c>
      <c r="K19">
        <f>集中式光伏!K19+分布式光伏!K19</f>
        <v>0</v>
      </c>
      <c r="L19">
        <f>集中式光伏!L19+分布式光伏!L19</f>
        <v>0</v>
      </c>
      <c r="M19">
        <f>集中式光伏!M19+分布式光伏!M19</f>
        <v>0</v>
      </c>
      <c r="N19">
        <f>集中式光伏!N19+分布式光伏!N19</f>
        <v>0</v>
      </c>
      <c r="O19">
        <f>集中式光伏!O19+分布式光伏!O19</f>
        <v>0</v>
      </c>
      <c r="P19">
        <f>集中式光伏!P19+分布式光伏!P19</f>
        <v>0</v>
      </c>
      <c r="Q19">
        <f>集中式光伏!Q19+分布式光伏!Q19</f>
        <v>0</v>
      </c>
      <c r="R19">
        <f>集中式光伏!R19+分布式光伏!R19</f>
        <v>0</v>
      </c>
      <c r="S19">
        <f>集中式光伏!S19+分布式光伏!S19</f>
        <v>0</v>
      </c>
      <c r="T19">
        <f>集中式光伏!T19+分布式光伏!T19</f>
        <v>0</v>
      </c>
      <c r="U19">
        <f>集中式光伏!U19+分布式光伏!U19</f>
        <v>1</v>
      </c>
      <c r="V19">
        <f>集中式光伏!V19+分布式光伏!V19</f>
        <v>23.56</v>
      </c>
      <c r="W19">
        <f>集中式光伏!W19+分布式光伏!W19</f>
        <v>91.98</v>
      </c>
      <c r="X19">
        <f>集中式光伏!X19+分布式光伏!X19</f>
        <v>202.51</v>
      </c>
      <c r="Y19">
        <f>集中式光伏!Y19+分布式光伏!Y19</f>
        <v>346.64</v>
      </c>
      <c r="Z19">
        <f>集中式光伏!Z19+分布式光伏!Z19</f>
        <v>550.02</v>
      </c>
      <c r="AA19">
        <f>集中式光伏!AA19+分布式光伏!AA19</f>
        <v>810.03</v>
      </c>
      <c r="AB19">
        <f>集中式光伏!AB19+分布式光伏!AB19</f>
        <v>1105.41</v>
      </c>
      <c r="AC19">
        <f>集中式光伏!AC19+分布式光伏!AC19</f>
        <v>1429.9</v>
      </c>
      <c r="AD19">
        <f>集中式光伏!AD19+分布式光伏!AD19</f>
        <v>1820.87</v>
      </c>
      <c r="AE19">
        <f>集中式光伏!AE19+分布式光伏!AE19</f>
        <v>2199.44</v>
      </c>
      <c r="AF19">
        <f>集中式光伏!AF19+分布式光伏!AF19</f>
        <v>2603.33</v>
      </c>
      <c r="AG19">
        <f>集中式光伏!AG19+分布式光伏!AG19</f>
        <v>2999.81</v>
      </c>
      <c r="AH19">
        <f>集中式光伏!AH19+分布式光伏!AH19</f>
        <v>3407.38</v>
      </c>
      <c r="AI19">
        <f>集中式光伏!AI19+分布式光伏!AI19</f>
        <v>3784.15</v>
      </c>
      <c r="AJ19">
        <f>集中式光伏!AJ19+分布式光伏!AJ19</f>
        <v>4156.21</v>
      </c>
      <c r="AK19">
        <f>集中式光伏!AK19+分布式光伏!AK19</f>
        <v>4493.69</v>
      </c>
      <c r="AL19">
        <f>集中式光伏!AL19+分布式光伏!AL19</f>
        <v>4811.92</v>
      </c>
      <c r="AM19">
        <f>集中式光伏!AM19+分布式光伏!AM19</f>
        <v>5084.83</v>
      </c>
      <c r="AN19">
        <f>集中式光伏!AN19+分布式光伏!AN19</f>
        <v>5364.17</v>
      </c>
      <c r="AO19">
        <f>集中式光伏!AO19+分布式光伏!AO19</f>
        <v>5609.38</v>
      </c>
      <c r="AP19">
        <f>集中式光伏!AP19+分布式光伏!AP19</f>
        <v>5832.37</v>
      </c>
      <c r="AQ19">
        <f>集中式光伏!AQ19+分布式光伏!AQ19</f>
        <v>6058.81</v>
      </c>
      <c r="AR19">
        <f>集中式光伏!AR19+分布式光伏!AR19</f>
        <v>6252.03</v>
      </c>
      <c r="AS19">
        <f>集中式光伏!AS19+分布式光伏!AS19</f>
        <v>6417.91</v>
      </c>
      <c r="AT19">
        <f>集中式光伏!AT19+分布式光伏!AT19</f>
        <v>6503.83</v>
      </c>
      <c r="AU19">
        <f>集中式光伏!AU19+分布式光伏!AU19</f>
        <v>6553.04</v>
      </c>
      <c r="AV19">
        <f>集中式光伏!AV19+分布式光伏!AV19</f>
        <v>6577.36</v>
      </c>
      <c r="AW19">
        <f>集中式光伏!AW19+分布式光伏!AW19</f>
        <v>6592.01</v>
      </c>
      <c r="AX19">
        <f>集中式光伏!AX19+分布式光伏!AX19</f>
        <v>6570.25</v>
      </c>
      <c r="AY19">
        <f>集中式光伏!AY19+分布式光伏!AY19</f>
        <v>6518.36</v>
      </c>
      <c r="AZ19">
        <f>集中式光伏!AZ19+分布式光伏!AZ19</f>
        <v>6426.15</v>
      </c>
      <c r="BA19">
        <f>集中式光伏!BA19+分布式光伏!BA19</f>
        <v>6305.56</v>
      </c>
      <c r="BB19">
        <f>集中式光伏!BB19+分布式光伏!BB19</f>
        <v>6177.05</v>
      </c>
      <c r="BC19">
        <f>集中式光伏!BC19+分布式光伏!BC19</f>
        <v>6028.06</v>
      </c>
      <c r="BD19">
        <f>集中式光伏!BD19+分布式光伏!BD19</f>
        <v>5832.54</v>
      </c>
      <c r="BE19">
        <f>集中式光伏!BE19+分布式光伏!BE19</f>
        <v>5621.7</v>
      </c>
      <c r="BF19">
        <f>集中式光伏!BF19+分布式光伏!BF19</f>
        <v>5379.07</v>
      </c>
      <c r="BG19">
        <f>集中式光伏!BG19+分布式光伏!BG19</f>
        <v>5105.81</v>
      </c>
      <c r="BH19">
        <f>集中式光伏!BH19+分布式光伏!BH19</f>
        <v>4809.94</v>
      </c>
      <c r="BI19">
        <f>集中式光伏!BI19+分布式光伏!BI19</f>
        <v>4502.05</v>
      </c>
      <c r="BJ19">
        <f>集中式光伏!BJ19+分布式光伏!BJ19</f>
        <v>4175.82</v>
      </c>
      <c r="BK19">
        <f>集中式光伏!BK19+分布式光伏!BK19</f>
        <v>3829.69</v>
      </c>
      <c r="BL19">
        <f>集中式光伏!BL19+分布式光伏!BL19</f>
        <v>3468.34</v>
      </c>
      <c r="BM19">
        <f>集中式光伏!BM19+分布式光伏!BM19</f>
        <v>3109.4</v>
      </c>
      <c r="BN19">
        <f>集中式光伏!BN19+分布式光伏!BN19</f>
        <v>2760.68</v>
      </c>
      <c r="BO19">
        <f>集中式光伏!BO19+分布式光伏!BO19</f>
        <v>2363.3</v>
      </c>
      <c r="BP19">
        <f>集中式光伏!BP19+分布式光伏!BP19</f>
        <v>1973.6</v>
      </c>
      <c r="BQ19">
        <f>集中式光伏!BQ19+分布式光伏!BQ19</f>
        <v>1604.04</v>
      </c>
      <c r="BR19">
        <f>集中式光伏!BR19+分布式光伏!BR19</f>
        <v>1268.07</v>
      </c>
      <c r="BS19">
        <f>集中式光伏!BS19+分布式光伏!BS19</f>
        <v>945.78</v>
      </c>
      <c r="BT19">
        <f>集中式光伏!BT19+分布式光伏!BT19</f>
        <v>662.5</v>
      </c>
      <c r="BU19">
        <f>集中式光伏!BU19+分布式光伏!BU19</f>
        <v>432.48</v>
      </c>
      <c r="BV19">
        <f>集中式光伏!BV19+分布式光伏!BV19</f>
        <v>247.35</v>
      </c>
      <c r="BW19">
        <f>集中式光伏!BW19+分布式光伏!BW19</f>
        <v>109.97</v>
      </c>
      <c r="BX19">
        <f>集中式光伏!BX19+分布式光伏!BX19</f>
        <v>41.1</v>
      </c>
      <c r="BY19">
        <f>集中式光伏!BY19+分布式光伏!BY19</f>
        <v>1</v>
      </c>
      <c r="BZ19">
        <f>集中式光伏!BZ19+分布式光伏!BZ19</f>
        <v>0</v>
      </c>
      <c r="CA19">
        <f>集中式光伏!CA19+分布式光伏!CA19</f>
        <v>0</v>
      </c>
      <c r="CB19">
        <f>集中式光伏!CB19+分布式光伏!CB19</f>
        <v>0</v>
      </c>
      <c r="CC19">
        <f>集中式光伏!CC19+分布式光伏!CC19</f>
        <v>0</v>
      </c>
      <c r="CD19">
        <f>集中式光伏!CD19+分布式光伏!CD19</f>
        <v>0</v>
      </c>
      <c r="CE19">
        <f>集中式光伏!CE19+分布式光伏!CE19</f>
        <v>0</v>
      </c>
      <c r="CF19">
        <f>集中式光伏!CF19+分布式光伏!CF19</f>
        <v>0</v>
      </c>
      <c r="CG19">
        <f>集中式光伏!CG19+分布式光伏!CG19</f>
        <v>0</v>
      </c>
      <c r="CH19">
        <f>集中式光伏!CH19+分布式光伏!CH19</f>
        <v>0</v>
      </c>
      <c r="CI19">
        <f>集中式光伏!CI19+分布式光伏!CI19</f>
        <v>0</v>
      </c>
      <c r="CJ19">
        <f>集中式光伏!CJ19+分布式光伏!CJ19</f>
        <v>0</v>
      </c>
      <c r="CK19">
        <f>集中式光伏!CK19+分布式光伏!CK19</f>
        <v>0</v>
      </c>
      <c r="CL19">
        <f>集中式光伏!CL19+分布式光伏!CL19</f>
        <v>0</v>
      </c>
      <c r="CM19">
        <f>集中式光伏!CM19+分布式光伏!CM19</f>
        <v>0</v>
      </c>
      <c r="CN19">
        <f>集中式光伏!CN19+分布式光伏!CN19</f>
        <v>0</v>
      </c>
      <c r="CO19">
        <f>集中式光伏!CO19+分布式光伏!CO19</f>
        <v>0</v>
      </c>
      <c r="CP19">
        <f>集中式光伏!CP19+分布式光伏!CP19</f>
        <v>0</v>
      </c>
      <c r="CQ19">
        <f>集中式光伏!CQ19+分布式光伏!CQ19</f>
        <v>0</v>
      </c>
      <c r="CR19">
        <f>集中式光伏!CR19+分布式光伏!CR19</f>
        <v>0</v>
      </c>
      <c r="CS19">
        <f>集中式光伏!CS19+分布式光伏!CS19</f>
        <v>0</v>
      </c>
    </row>
    <row r="20" spans="1:97">
      <c r="A20" s="9">
        <v>46253</v>
      </c>
      <c r="B20">
        <f>集中式光伏!B20+分布式光伏!B20</f>
        <v>0</v>
      </c>
      <c r="C20">
        <f>集中式光伏!C20+分布式光伏!C20</f>
        <v>0</v>
      </c>
      <c r="D20">
        <f>集中式光伏!D20+分布式光伏!D20</f>
        <v>0</v>
      </c>
      <c r="E20">
        <f>集中式光伏!E20+分布式光伏!E20</f>
        <v>0</v>
      </c>
      <c r="F20">
        <f>集中式光伏!F20+分布式光伏!F20</f>
        <v>0</v>
      </c>
      <c r="G20">
        <f>集中式光伏!G20+分布式光伏!G20</f>
        <v>0</v>
      </c>
      <c r="H20">
        <f>集中式光伏!H20+分布式光伏!H20</f>
        <v>0</v>
      </c>
      <c r="I20">
        <f>集中式光伏!I20+分布式光伏!I20</f>
        <v>0</v>
      </c>
      <c r="J20">
        <f>集中式光伏!J20+分布式光伏!J20</f>
        <v>0</v>
      </c>
      <c r="K20">
        <f>集中式光伏!K20+分布式光伏!K20</f>
        <v>0</v>
      </c>
      <c r="L20">
        <f>集中式光伏!L20+分布式光伏!L20</f>
        <v>0</v>
      </c>
      <c r="M20">
        <f>集中式光伏!M20+分布式光伏!M20</f>
        <v>0</v>
      </c>
      <c r="N20">
        <f>集中式光伏!N20+分布式光伏!N20</f>
        <v>0</v>
      </c>
      <c r="O20">
        <f>集中式光伏!O20+分布式光伏!O20</f>
        <v>0</v>
      </c>
      <c r="P20">
        <f>集中式光伏!P20+分布式光伏!P20</f>
        <v>0</v>
      </c>
      <c r="Q20">
        <f>集中式光伏!Q20+分布式光伏!Q20</f>
        <v>0</v>
      </c>
      <c r="R20">
        <f>集中式光伏!R20+分布式光伏!R20</f>
        <v>0</v>
      </c>
      <c r="S20">
        <f>集中式光伏!S20+分布式光伏!S20</f>
        <v>0</v>
      </c>
      <c r="T20">
        <f>集中式光伏!T20+分布式光伏!T20</f>
        <v>0</v>
      </c>
      <c r="U20">
        <f>集中式光伏!U20+分布式光伏!U20</f>
        <v>1</v>
      </c>
      <c r="V20">
        <f>集中式光伏!V20+分布式光伏!V20</f>
        <v>25.27</v>
      </c>
      <c r="W20">
        <f>集中式光伏!W20+分布式光伏!W20</f>
        <v>102.62</v>
      </c>
      <c r="X20">
        <f>集中式光伏!X20+分布式光伏!X20</f>
        <v>229.94</v>
      </c>
      <c r="Y20">
        <f>集中式光伏!Y20+分布式光伏!Y20</f>
        <v>408.29</v>
      </c>
      <c r="Z20">
        <f>集中式光伏!Z20+分布式光伏!Z20</f>
        <v>673.38</v>
      </c>
      <c r="AA20">
        <f>集中式光伏!AA20+分布式光伏!AA20</f>
        <v>1018.54</v>
      </c>
      <c r="AB20">
        <f>集中式光伏!AB20+分布式光伏!AB20</f>
        <v>1420.75</v>
      </c>
      <c r="AC20">
        <f>集中式光伏!AC20+分布式光伏!AC20</f>
        <v>1878.71</v>
      </c>
      <c r="AD20">
        <f>集中式光伏!AD20+分布式光伏!AD20</f>
        <v>2409.71</v>
      </c>
      <c r="AE20">
        <f>集中式光伏!AE20+分布式光伏!AE20</f>
        <v>2947.71</v>
      </c>
      <c r="AF20">
        <f>集中式光伏!AF20+分布式光伏!AF20</f>
        <v>3513.33</v>
      </c>
      <c r="AG20">
        <f>集中式光伏!AG20+分布式光伏!AG20</f>
        <v>4086.84</v>
      </c>
      <c r="AH20">
        <f>集中式光伏!AH20+分布式光伏!AH20</f>
        <v>4659.04</v>
      </c>
      <c r="AI20">
        <f>集中式光伏!AI20+分布式光伏!AI20</f>
        <v>5201.19</v>
      </c>
      <c r="AJ20">
        <f>集中式光伏!AJ20+分布式光伏!AJ20</f>
        <v>5753.33</v>
      </c>
      <c r="AK20">
        <f>集中式光伏!AK20+分布式光伏!AK20</f>
        <v>6239.55</v>
      </c>
      <c r="AL20">
        <f>集中式光伏!AL20+分布式光伏!AL20</f>
        <v>6684.62</v>
      </c>
      <c r="AM20">
        <f>集中式光伏!AM20+分布式光伏!AM20</f>
        <v>7075.58</v>
      </c>
      <c r="AN20">
        <f>集中式光伏!AN20+分布式光伏!AN20</f>
        <v>7443.41</v>
      </c>
      <c r="AO20">
        <f>集中式光伏!AO20+分布式光伏!AO20</f>
        <v>7735.77</v>
      </c>
      <c r="AP20">
        <f>集中式光伏!AP20+分布式光伏!AP20</f>
        <v>7971.89</v>
      </c>
      <c r="AQ20">
        <f>集中式光伏!AQ20+分布式光伏!AQ20</f>
        <v>8172.31</v>
      </c>
      <c r="AR20">
        <f>集中式光伏!AR20+分布式光伏!AR20</f>
        <v>8350.41</v>
      </c>
      <c r="AS20">
        <f>集中式光伏!AS20+分布式光伏!AS20</f>
        <v>8486.11</v>
      </c>
      <c r="AT20">
        <f>集中式光伏!AT20+分布式光伏!AT20</f>
        <v>8550.23</v>
      </c>
      <c r="AU20">
        <f>集中式光伏!AU20+分布式光伏!AU20</f>
        <v>8576.86</v>
      </c>
      <c r="AV20">
        <f>集中式光伏!AV20+分布式光伏!AV20</f>
        <v>8581.06</v>
      </c>
      <c r="AW20">
        <f>集中式光伏!AW20+分布式光伏!AW20</f>
        <v>8556.9</v>
      </c>
      <c r="AX20">
        <f>集中式光伏!AX20+分布式光伏!AX20</f>
        <v>8501.02</v>
      </c>
      <c r="AY20">
        <f>集中式光伏!AY20+分布式光伏!AY20</f>
        <v>8434.78</v>
      </c>
      <c r="AZ20">
        <f>集中式光伏!AZ20+分布式光伏!AZ20</f>
        <v>8315.69</v>
      </c>
      <c r="BA20">
        <f>集中式光伏!BA20+分布式光伏!BA20</f>
        <v>8174.47</v>
      </c>
      <c r="BB20">
        <f>集中式光伏!BB20+分布式光伏!BB20</f>
        <v>8006.53</v>
      </c>
      <c r="BC20">
        <f>集中式光伏!BC20+分布式光伏!BC20</f>
        <v>7794.09</v>
      </c>
      <c r="BD20">
        <f>集中式光伏!BD20+分布式光伏!BD20</f>
        <v>7544.41</v>
      </c>
      <c r="BE20">
        <f>集中式光伏!BE20+分布式光伏!BE20</f>
        <v>7294.42</v>
      </c>
      <c r="BF20">
        <f>集中式光伏!BF20+分布式光伏!BF20</f>
        <v>6979.09</v>
      </c>
      <c r="BG20">
        <f>集中式光伏!BG20+分布式光伏!BG20</f>
        <v>6628.99</v>
      </c>
      <c r="BH20">
        <f>集中式光伏!BH20+分布式光伏!BH20</f>
        <v>6239.56</v>
      </c>
      <c r="BI20">
        <f>集中式光伏!BI20+分布式光伏!BI20</f>
        <v>5821.6</v>
      </c>
      <c r="BJ20">
        <f>集中式光伏!BJ20+分布式光伏!BJ20</f>
        <v>5379.17</v>
      </c>
      <c r="BK20">
        <f>集中式光伏!BK20+分布式光伏!BK20</f>
        <v>4919.13</v>
      </c>
      <c r="BL20">
        <f>集中式光伏!BL20+分布式光伏!BL20</f>
        <v>4435.09</v>
      </c>
      <c r="BM20">
        <f>集中式光伏!BM20+分布式光伏!BM20</f>
        <v>3947.69</v>
      </c>
      <c r="BN20">
        <f>集中式光伏!BN20+分布式光伏!BN20</f>
        <v>3471.7</v>
      </c>
      <c r="BO20">
        <f>集中式光伏!BO20+分布式光伏!BO20</f>
        <v>2953.87</v>
      </c>
      <c r="BP20">
        <f>集中式光伏!BP20+分布式光伏!BP20</f>
        <v>2444.02</v>
      </c>
      <c r="BQ20">
        <f>集中式光伏!BQ20+分布式光伏!BQ20</f>
        <v>1958.35</v>
      </c>
      <c r="BR20">
        <f>集中式光伏!BR20+分布式光伏!BR20</f>
        <v>1524.16</v>
      </c>
      <c r="BS20">
        <f>集中式光伏!BS20+分布式光伏!BS20</f>
        <v>1119.72</v>
      </c>
      <c r="BT20">
        <f>集中式光伏!BT20+分布式光伏!BT20</f>
        <v>769.52</v>
      </c>
      <c r="BU20">
        <f>集中式光伏!BU20+分布式光伏!BU20</f>
        <v>487.65</v>
      </c>
      <c r="BV20">
        <f>集中式光伏!BV20+分布式光伏!BV20</f>
        <v>274.73</v>
      </c>
      <c r="BW20">
        <f>集中式光伏!BW20+分布式光伏!BW20</f>
        <v>111.47</v>
      </c>
      <c r="BX20">
        <f>集中式光伏!BX20+分布式光伏!BX20</f>
        <v>36.13</v>
      </c>
      <c r="BY20">
        <f>集中式光伏!BY20+分布式光伏!BY20</f>
        <v>1</v>
      </c>
      <c r="BZ20">
        <f>集中式光伏!BZ20+分布式光伏!BZ20</f>
        <v>0</v>
      </c>
      <c r="CA20">
        <f>集中式光伏!CA20+分布式光伏!CA20</f>
        <v>0</v>
      </c>
      <c r="CB20">
        <f>集中式光伏!CB20+分布式光伏!CB20</f>
        <v>0</v>
      </c>
      <c r="CC20">
        <f>集中式光伏!CC20+分布式光伏!CC20</f>
        <v>0</v>
      </c>
      <c r="CD20">
        <f>集中式光伏!CD20+分布式光伏!CD20</f>
        <v>0</v>
      </c>
      <c r="CE20">
        <f>集中式光伏!CE20+分布式光伏!CE20</f>
        <v>0</v>
      </c>
      <c r="CF20">
        <f>集中式光伏!CF20+分布式光伏!CF20</f>
        <v>0</v>
      </c>
      <c r="CG20">
        <f>集中式光伏!CG20+分布式光伏!CG20</f>
        <v>0</v>
      </c>
      <c r="CH20">
        <f>集中式光伏!CH20+分布式光伏!CH20</f>
        <v>0</v>
      </c>
      <c r="CI20">
        <f>集中式光伏!CI20+分布式光伏!CI20</f>
        <v>0</v>
      </c>
      <c r="CJ20">
        <f>集中式光伏!CJ20+分布式光伏!CJ20</f>
        <v>0</v>
      </c>
      <c r="CK20">
        <f>集中式光伏!CK20+分布式光伏!CK20</f>
        <v>0</v>
      </c>
      <c r="CL20">
        <f>集中式光伏!CL20+分布式光伏!CL20</f>
        <v>0</v>
      </c>
      <c r="CM20">
        <f>集中式光伏!CM20+分布式光伏!CM20</f>
        <v>0</v>
      </c>
      <c r="CN20">
        <f>集中式光伏!CN20+分布式光伏!CN20</f>
        <v>0</v>
      </c>
      <c r="CO20">
        <f>集中式光伏!CO20+分布式光伏!CO20</f>
        <v>0</v>
      </c>
      <c r="CP20">
        <f>集中式光伏!CP20+分布式光伏!CP20</f>
        <v>0</v>
      </c>
      <c r="CQ20">
        <f>集中式光伏!CQ20+分布式光伏!CQ20</f>
        <v>0</v>
      </c>
      <c r="CR20">
        <f>集中式光伏!CR20+分布式光伏!CR20</f>
        <v>0</v>
      </c>
      <c r="CS20">
        <f>集中式光伏!CS20+分布式光伏!CS20</f>
        <v>0</v>
      </c>
    </row>
    <row r="21" spans="1:97">
      <c r="A21" s="9">
        <v>46254</v>
      </c>
      <c r="B21">
        <f>集中式光伏!B21+分布式光伏!B21</f>
        <v>0</v>
      </c>
      <c r="C21">
        <f>集中式光伏!C21+分布式光伏!C21</f>
        <v>0</v>
      </c>
      <c r="D21">
        <f>集中式光伏!D21+分布式光伏!D21</f>
        <v>0</v>
      </c>
      <c r="E21">
        <f>集中式光伏!E21+分布式光伏!E21</f>
        <v>0</v>
      </c>
      <c r="F21">
        <f>集中式光伏!F21+分布式光伏!F21</f>
        <v>0</v>
      </c>
      <c r="G21">
        <f>集中式光伏!G21+分布式光伏!G21</f>
        <v>0</v>
      </c>
      <c r="H21">
        <f>集中式光伏!H21+分布式光伏!H21</f>
        <v>0</v>
      </c>
      <c r="I21">
        <f>集中式光伏!I21+分布式光伏!I21</f>
        <v>0</v>
      </c>
      <c r="J21">
        <f>集中式光伏!J21+分布式光伏!J21</f>
        <v>0</v>
      </c>
      <c r="K21">
        <f>集中式光伏!K21+分布式光伏!K21</f>
        <v>0</v>
      </c>
      <c r="L21">
        <f>集中式光伏!L21+分布式光伏!L21</f>
        <v>0</v>
      </c>
      <c r="M21">
        <f>集中式光伏!M21+分布式光伏!M21</f>
        <v>0</v>
      </c>
      <c r="N21">
        <f>集中式光伏!N21+分布式光伏!N21</f>
        <v>0</v>
      </c>
      <c r="O21">
        <f>集中式光伏!O21+分布式光伏!O21</f>
        <v>0</v>
      </c>
      <c r="P21">
        <f>集中式光伏!P21+分布式光伏!P21</f>
        <v>0</v>
      </c>
      <c r="Q21">
        <f>集中式光伏!Q21+分布式光伏!Q21</f>
        <v>0</v>
      </c>
      <c r="R21">
        <f>集中式光伏!R21+分布式光伏!R21</f>
        <v>0</v>
      </c>
      <c r="S21">
        <f>集中式光伏!S21+分布式光伏!S21</f>
        <v>0</v>
      </c>
      <c r="T21">
        <f>集中式光伏!T21+分布式光伏!T21</f>
        <v>0</v>
      </c>
      <c r="U21">
        <f>集中式光伏!U21+分布式光伏!U21</f>
        <v>1</v>
      </c>
      <c r="V21">
        <f>集中式光伏!V21+分布式光伏!V21</f>
        <v>23.82</v>
      </c>
      <c r="W21">
        <f>集中式光伏!W21+分布式光伏!W21</f>
        <v>103.7</v>
      </c>
      <c r="X21">
        <f>集中式光伏!X21+分布式光伏!X21</f>
        <v>233.99</v>
      </c>
      <c r="Y21">
        <f>集中式光伏!Y21+分布式光伏!Y21</f>
        <v>417.14</v>
      </c>
      <c r="Z21">
        <f>集中式光伏!Z21+分布式光伏!Z21</f>
        <v>685.3</v>
      </c>
      <c r="AA21">
        <f>集中式光伏!AA21+分布式光伏!AA21</f>
        <v>1031.51</v>
      </c>
      <c r="AB21">
        <f>集中式光伏!AB21+分布式光伏!AB21</f>
        <v>1440.54</v>
      </c>
      <c r="AC21">
        <f>集中式光伏!AC21+分布式光伏!AC21</f>
        <v>1896.36</v>
      </c>
      <c r="AD21">
        <f>集中式光伏!AD21+分布式光伏!AD21</f>
        <v>2423.02</v>
      </c>
      <c r="AE21">
        <f>集中式光伏!AE21+分布式光伏!AE21</f>
        <v>2958.24</v>
      </c>
      <c r="AF21">
        <f>集中式光伏!AF21+分布式光伏!AF21</f>
        <v>3521.65</v>
      </c>
      <c r="AG21">
        <f>集中式光伏!AG21+分布式光伏!AG21</f>
        <v>4081.18</v>
      </c>
      <c r="AH21">
        <f>集中式光伏!AH21+分布式光伏!AH21</f>
        <v>4679.96</v>
      </c>
      <c r="AI21">
        <f>集中式光伏!AI21+分布式光伏!AI21</f>
        <v>5256.59</v>
      </c>
      <c r="AJ21">
        <f>集中式光伏!AJ21+分布式光伏!AJ21</f>
        <v>5809.66</v>
      </c>
      <c r="AK21">
        <f>集中式光伏!AK21+分布式光伏!AK21</f>
        <v>6310.65</v>
      </c>
      <c r="AL21">
        <f>集中式光伏!AL21+分布式光伏!AL21</f>
        <v>6769.84</v>
      </c>
      <c r="AM21">
        <f>集中式光伏!AM21+分布式光伏!AM21</f>
        <v>7202.92</v>
      </c>
      <c r="AN21">
        <f>集中式光伏!AN21+分布式光伏!AN21</f>
        <v>7598.46</v>
      </c>
      <c r="AO21">
        <f>集中式光伏!AO21+分布式光伏!AO21</f>
        <v>7931.01</v>
      </c>
      <c r="AP21">
        <f>集中式光伏!AP21+分布式光伏!AP21</f>
        <v>8197.94</v>
      </c>
      <c r="AQ21">
        <f>集中式光伏!AQ21+分布式光伏!AQ21</f>
        <v>8423.99</v>
      </c>
      <c r="AR21">
        <f>集中式光伏!AR21+分布式光伏!AR21</f>
        <v>8616.73</v>
      </c>
      <c r="AS21">
        <f>集中式光伏!AS21+分布式光伏!AS21</f>
        <v>8778.12</v>
      </c>
      <c r="AT21">
        <f>集中式光伏!AT21+分布式光伏!AT21</f>
        <v>8870.64</v>
      </c>
      <c r="AU21">
        <f>集中式光伏!AU21+分布式光伏!AU21</f>
        <v>8913.43</v>
      </c>
      <c r="AV21">
        <f>集中式光伏!AV21+分布式光伏!AV21</f>
        <v>8935.79</v>
      </c>
      <c r="AW21">
        <f>集中式光伏!AW21+分布式光伏!AW21</f>
        <v>8918.75</v>
      </c>
      <c r="AX21">
        <f>集中式光伏!AX21+分布式光伏!AX21</f>
        <v>8883.52</v>
      </c>
      <c r="AY21">
        <f>集中式光伏!AY21+分布式光伏!AY21</f>
        <v>8808.16</v>
      </c>
      <c r="AZ21">
        <f>集中式光伏!AZ21+分布式光伏!AZ21</f>
        <v>8684.03</v>
      </c>
      <c r="BA21">
        <f>集中式光伏!BA21+分布式光伏!BA21</f>
        <v>8533.09</v>
      </c>
      <c r="BB21">
        <f>集中式光伏!BB21+分布式光伏!BB21</f>
        <v>8355.32</v>
      </c>
      <c r="BC21">
        <f>集中式光伏!BC21+分布式光伏!BC21</f>
        <v>8150.23</v>
      </c>
      <c r="BD21">
        <f>集中式光伏!BD21+分布式光伏!BD21</f>
        <v>7883.49</v>
      </c>
      <c r="BE21">
        <f>集中式光伏!BE21+分布式光伏!BE21</f>
        <v>7600.26</v>
      </c>
      <c r="BF21">
        <f>集中式光伏!BF21+分布式光伏!BF21</f>
        <v>7266.84</v>
      </c>
      <c r="BG21">
        <f>集中式光伏!BG21+分布式光伏!BG21</f>
        <v>6899.36</v>
      </c>
      <c r="BH21">
        <f>集中式光伏!BH21+分布式光伏!BH21</f>
        <v>6508.52</v>
      </c>
      <c r="BI21">
        <f>集中式光伏!BI21+分布式光伏!BI21</f>
        <v>6103.29</v>
      </c>
      <c r="BJ21">
        <f>集中式光伏!BJ21+分布式光伏!BJ21</f>
        <v>5659.2</v>
      </c>
      <c r="BK21">
        <f>集中式光伏!BK21+分布式光伏!BK21</f>
        <v>5170.95</v>
      </c>
      <c r="BL21">
        <f>集中式光伏!BL21+分布式光伏!BL21</f>
        <v>4660.66</v>
      </c>
      <c r="BM21">
        <f>集中式光伏!BM21+分布式光伏!BM21</f>
        <v>4136.51</v>
      </c>
      <c r="BN21">
        <f>集中式光伏!BN21+分布式光伏!BN21</f>
        <v>3631.7</v>
      </c>
      <c r="BO21">
        <f>集中式光伏!BO21+分布式光伏!BO21</f>
        <v>3076.64</v>
      </c>
      <c r="BP21">
        <f>集中式光伏!BP21+分布式光伏!BP21</f>
        <v>2530.26</v>
      </c>
      <c r="BQ21">
        <f>集中式光伏!BQ21+分布式光伏!BQ21</f>
        <v>2005.46</v>
      </c>
      <c r="BR21">
        <f>集中式光伏!BR21+分布式光伏!BR21</f>
        <v>1547.98</v>
      </c>
      <c r="BS21">
        <f>集中式光伏!BS21+分布式光伏!BS21</f>
        <v>1124.95</v>
      </c>
      <c r="BT21">
        <f>集中式光伏!BT21+分布式光伏!BT21</f>
        <v>765.76</v>
      </c>
      <c r="BU21">
        <f>集中式光伏!BU21+分布式光伏!BU21</f>
        <v>466.38</v>
      </c>
      <c r="BV21">
        <f>集中式光伏!BV21+分布式光伏!BV21</f>
        <v>250.93</v>
      </c>
      <c r="BW21">
        <f>集中式光伏!BW21+分布式光伏!BW21</f>
        <v>105.24</v>
      </c>
      <c r="BX21">
        <f>集中式光伏!BX21+分布式光伏!BX21</f>
        <v>31.79</v>
      </c>
      <c r="BY21">
        <f>集中式光伏!BY21+分布式光伏!BY21</f>
        <v>0</v>
      </c>
      <c r="BZ21">
        <f>集中式光伏!BZ21+分布式光伏!BZ21</f>
        <v>0</v>
      </c>
      <c r="CA21">
        <f>集中式光伏!CA21+分布式光伏!CA21</f>
        <v>0</v>
      </c>
      <c r="CB21">
        <f>集中式光伏!CB21+分布式光伏!CB21</f>
        <v>0</v>
      </c>
      <c r="CC21">
        <f>集中式光伏!CC21+分布式光伏!CC21</f>
        <v>0</v>
      </c>
      <c r="CD21">
        <f>集中式光伏!CD21+分布式光伏!CD21</f>
        <v>0</v>
      </c>
      <c r="CE21">
        <f>集中式光伏!CE21+分布式光伏!CE21</f>
        <v>0</v>
      </c>
      <c r="CF21">
        <f>集中式光伏!CF21+分布式光伏!CF21</f>
        <v>0</v>
      </c>
      <c r="CG21">
        <f>集中式光伏!CG21+分布式光伏!CG21</f>
        <v>0</v>
      </c>
      <c r="CH21">
        <f>集中式光伏!CH21+分布式光伏!CH21</f>
        <v>0</v>
      </c>
      <c r="CI21">
        <f>集中式光伏!CI21+分布式光伏!CI21</f>
        <v>0</v>
      </c>
      <c r="CJ21">
        <f>集中式光伏!CJ21+分布式光伏!CJ21</f>
        <v>0</v>
      </c>
      <c r="CK21">
        <f>集中式光伏!CK21+分布式光伏!CK21</f>
        <v>0</v>
      </c>
      <c r="CL21">
        <f>集中式光伏!CL21+分布式光伏!CL21</f>
        <v>0</v>
      </c>
      <c r="CM21">
        <f>集中式光伏!CM21+分布式光伏!CM21</f>
        <v>0</v>
      </c>
      <c r="CN21">
        <f>集中式光伏!CN21+分布式光伏!CN21</f>
        <v>0</v>
      </c>
      <c r="CO21">
        <f>集中式光伏!CO21+分布式光伏!CO21</f>
        <v>0</v>
      </c>
      <c r="CP21">
        <f>集中式光伏!CP21+分布式光伏!CP21</f>
        <v>0</v>
      </c>
      <c r="CQ21">
        <f>集中式光伏!CQ21+分布式光伏!CQ21</f>
        <v>0</v>
      </c>
      <c r="CR21">
        <f>集中式光伏!CR21+分布式光伏!CR21</f>
        <v>0</v>
      </c>
      <c r="CS21">
        <f>集中式光伏!CS21+分布式光伏!CS21</f>
        <v>0</v>
      </c>
    </row>
    <row r="22" spans="1:97">
      <c r="A22" s="9">
        <v>46255</v>
      </c>
      <c r="B22">
        <f>集中式光伏!B22+分布式光伏!B22</f>
        <v>0</v>
      </c>
      <c r="C22">
        <f>集中式光伏!C22+分布式光伏!C22</f>
        <v>0</v>
      </c>
      <c r="D22">
        <f>集中式光伏!D22+分布式光伏!D22</f>
        <v>0</v>
      </c>
      <c r="E22">
        <f>集中式光伏!E22+分布式光伏!E22</f>
        <v>0</v>
      </c>
      <c r="F22">
        <f>集中式光伏!F22+分布式光伏!F22</f>
        <v>0</v>
      </c>
      <c r="G22">
        <f>集中式光伏!G22+分布式光伏!G22</f>
        <v>0</v>
      </c>
      <c r="H22">
        <f>集中式光伏!H22+分布式光伏!H22</f>
        <v>0</v>
      </c>
      <c r="I22">
        <f>集中式光伏!I22+分布式光伏!I22</f>
        <v>0</v>
      </c>
      <c r="J22">
        <f>集中式光伏!J22+分布式光伏!J22</f>
        <v>0</v>
      </c>
      <c r="K22">
        <f>集中式光伏!K22+分布式光伏!K22</f>
        <v>0</v>
      </c>
      <c r="L22">
        <f>集中式光伏!L22+分布式光伏!L22</f>
        <v>0</v>
      </c>
      <c r="M22">
        <f>集中式光伏!M22+分布式光伏!M22</f>
        <v>0</v>
      </c>
      <c r="N22">
        <f>集中式光伏!N22+分布式光伏!N22</f>
        <v>0</v>
      </c>
      <c r="O22">
        <f>集中式光伏!O22+分布式光伏!O22</f>
        <v>0</v>
      </c>
      <c r="P22">
        <f>集中式光伏!P22+分布式光伏!P22</f>
        <v>0</v>
      </c>
      <c r="Q22">
        <f>集中式光伏!Q22+分布式光伏!Q22</f>
        <v>0</v>
      </c>
      <c r="R22">
        <f>集中式光伏!R22+分布式光伏!R22</f>
        <v>0</v>
      </c>
      <c r="S22">
        <f>集中式光伏!S22+分布式光伏!S22</f>
        <v>0</v>
      </c>
      <c r="T22">
        <f>集中式光伏!T22+分布式光伏!T22</f>
        <v>0</v>
      </c>
      <c r="U22">
        <f>集中式光伏!U22+分布式光伏!U22</f>
        <v>1</v>
      </c>
      <c r="V22">
        <f>集中式光伏!V22+分布式光伏!V22</f>
        <v>21.15</v>
      </c>
      <c r="W22">
        <f>集中式光伏!W22+分布式光伏!W22</f>
        <v>97.28</v>
      </c>
      <c r="X22">
        <f>集中式光伏!X22+分布式光伏!X22</f>
        <v>225.25</v>
      </c>
      <c r="Y22">
        <f>集中式光伏!Y22+分布式光伏!Y22</f>
        <v>406.12</v>
      </c>
      <c r="Z22">
        <f>集中式光伏!Z22+分布式光伏!Z22</f>
        <v>672.41</v>
      </c>
      <c r="AA22">
        <f>集中式光伏!AA22+分布式光伏!AA22</f>
        <v>1016.78</v>
      </c>
      <c r="AB22">
        <f>集中式光伏!AB22+分布式光伏!AB22</f>
        <v>1423.66</v>
      </c>
      <c r="AC22">
        <f>集中式光伏!AC22+分布式光伏!AC22</f>
        <v>1870.91</v>
      </c>
      <c r="AD22">
        <f>集中式光伏!AD22+分布式光伏!AD22</f>
        <v>2396.83</v>
      </c>
      <c r="AE22">
        <f>集中式光伏!AE22+分布式光伏!AE22</f>
        <v>2913.65</v>
      </c>
      <c r="AF22">
        <f>集中式光伏!AF22+分布式光伏!AF22</f>
        <v>3470.56</v>
      </c>
      <c r="AG22">
        <f>集中式光伏!AG22+分布式光伏!AG22</f>
        <v>4024.27</v>
      </c>
      <c r="AH22">
        <f>集中式光伏!AH22+分布式光伏!AH22</f>
        <v>4607</v>
      </c>
      <c r="AI22">
        <f>集中式光伏!AI22+分布式光伏!AI22</f>
        <v>5160.48</v>
      </c>
      <c r="AJ22">
        <f>集中式光伏!AJ22+分布式光伏!AJ22</f>
        <v>5693.02</v>
      </c>
      <c r="AK22">
        <f>集中式光伏!AK22+分布式光伏!AK22</f>
        <v>6176.33</v>
      </c>
      <c r="AL22">
        <f>集中式光伏!AL22+分布式光伏!AL22</f>
        <v>6613.66</v>
      </c>
      <c r="AM22">
        <f>集中式光伏!AM22+分布式光伏!AM22</f>
        <v>7015.11</v>
      </c>
      <c r="AN22">
        <f>集中式光伏!AN22+分布式光伏!AN22</f>
        <v>7389.68</v>
      </c>
      <c r="AO22">
        <f>集中式光伏!AO22+分布式光伏!AO22</f>
        <v>7701.3</v>
      </c>
      <c r="AP22">
        <f>集中式光伏!AP22+分布式光伏!AP22</f>
        <v>7983.45</v>
      </c>
      <c r="AQ22">
        <f>集中式光伏!AQ22+分布式光伏!AQ22</f>
        <v>8238.72</v>
      </c>
      <c r="AR22">
        <f>集中式光伏!AR22+分布式光伏!AR22</f>
        <v>8440.41</v>
      </c>
      <c r="AS22">
        <f>集中式光伏!AS22+分布式光伏!AS22</f>
        <v>8618.98</v>
      </c>
      <c r="AT22">
        <f>集中式光伏!AT22+分布式光伏!AT22</f>
        <v>8745.74</v>
      </c>
      <c r="AU22">
        <f>集中式光伏!AU22+分布式光伏!AU22</f>
        <v>8810.69</v>
      </c>
      <c r="AV22">
        <f>集中式光伏!AV22+分布式光伏!AV22</f>
        <v>8853.91</v>
      </c>
      <c r="AW22">
        <f>集中式光伏!AW22+分布式光伏!AW22</f>
        <v>8867.01</v>
      </c>
      <c r="AX22">
        <f>集中式光伏!AX22+分布式光伏!AX22</f>
        <v>8836.21</v>
      </c>
      <c r="AY22">
        <f>集中式光伏!AY22+分布式光伏!AY22</f>
        <v>8762.86</v>
      </c>
      <c r="AZ22">
        <f>集中式光伏!AZ22+分布式光伏!AZ22</f>
        <v>8629.73</v>
      </c>
      <c r="BA22">
        <f>集中式光伏!BA22+分布式光伏!BA22</f>
        <v>8468.45</v>
      </c>
      <c r="BB22">
        <f>集中式光伏!BB22+分布式光伏!BB22</f>
        <v>8297.21</v>
      </c>
      <c r="BC22">
        <f>集中式光伏!BC22+分布式光伏!BC22</f>
        <v>8073.13</v>
      </c>
      <c r="BD22">
        <f>集中式光伏!BD22+分布式光伏!BD22</f>
        <v>7819.24</v>
      </c>
      <c r="BE22">
        <f>集中式光伏!BE22+分布式光伏!BE22</f>
        <v>7539.85</v>
      </c>
      <c r="BF22">
        <f>集中式光伏!BF22+分布式光伏!BF22</f>
        <v>7197.9</v>
      </c>
      <c r="BG22">
        <f>集中式光伏!BG22+分布式光伏!BG22</f>
        <v>6835.29</v>
      </c>
      <c r="BH22">
        <f>集中式光伏!BH22+分布式光伏!BH22</f>
        <v>6439.39</v>
      </c>
      <c r="BI22">
        <f>集中式光伏!BI22+分布式光伏!BI22</f>
        <v>6006.96</v>
      </c>
      <c r="BJ22">
        <f>集中式光伏!BJ22+分布式光伏!BJ22</f>
        <v>5551.16</v>
      </c>
      <c r="BK22">
        <f>集中式光伏!BK22+分布式光伏!BK22</f>
        <v>5048.6</v>
      </c>
      <c r="BL22">
        <f>集中式光伏!BL22+分布式光伏!BL22</f>
        <v>4521.93</v>
      </c>
      <c r="BM22">
        <f>集中式光伏!BM22+分布式光伏!BM22</f>
        <v>4010.12</v>
      </c>
      <c r="BN22">
        <f>集中式光伏!BN22+分布式光伏!BN22</f>
        <v>3524.19</v>
      </c>
      <c r="BO22">
        <f>集中式光伏!BO22+分布式光伏!BO22</f>
        <v>2986.07</v>
      </c>
      <c r="BP22">
        <f>集中式光伏!BP22+分布式光伏!BP22</f>
        <v>2455.37</v>
      </c>
      <c r="BQ22">
        <f>集中式光伏!BQ22+分布式光伏!BQ22</f>
        <v>1954.54</v>
      </c>
      <c r="BR22">
        <f>集中式光伏!BR22+分布式光伏!BR22</f>
        <v>1509.18</v>
      </c>
      <c r="BS22">
        <f>集中式光伏!BS22+分布式光伏!BS22</f>
        <v>1100.56</v>
      </c>
      <c r="BT22">
        <f>集中式光伏!BT22+分布式光伏!BT22</f>
        <v>743.92</v>
      </c>
      <c r="BU22">
        <f>集中式光伏!BU22+分布式光伏!BU22</f>
        <v>447.3</v>
      </c>
      <c r="BV22">
        <f>集中式光伏!BV22+分布式光伏!BV22</f>
        <v>231.93</v>
      </c>
      <c r="BW22">
        <f>集中式光伏!BW22+分布式光伏!BW22</f>
        <v>99.35</v>
      </c>
      <c r="BX22">
        <f>集中式光伏!BX22+分布式光伏!BX22</f>
        <v>29.72</v>
      </c>
      <c r="BY22">
        <f>集中式光伏!BY22+分布式光伏!BY22</f>
        <v>0</v>
      </c>
      <c r="BZ22">
        <f>集中式光伏!BZ22+分布式光伏!BZ22</f>
        <v>0</v>
      </c>
      <c r="CA22">
        <f>集中式光伏!CA22+分布式光伏!CA22</f>
        <v>0</v>
      </c>
      <c r="CB22">
        <f>集中式光伏!CB22+分布式光伏!CB22</f>
        <v>0</v>
      </c>
      <c r="CC22">
        <f>集中式光伏!CC22+分布式光伏!CC22</f>
        <v>0</v>
      </c>
      <c r="CD22">
        <f>集中式光伏!CD22+分布式光伏!CD22</f>
        <v>0</v>
      </c>
      <c r="CE22">
        <f>集中式光伏!CE22+分布式光伏!CE22</f>
        <v>0</v>
      </c>
      <c r="CF22">
        <f>集中式光伏!CF22+分布式光伏!CF22</f>
        <v>0</v>
      </c>
      <c r="CG22">
        <f>集中式光伏!CG22+分布式光伏!CG22</f>
        <v>0</v>
      </c>
      <c r="CH22">
        <f>集中式光伏!CH22+分布式光伏!CH22</f>
        <v>0</v>
      </c>
      <c r="CI22">
        <f>集中式光伏!CI22+分布式光伏!CI22</f>
        <v>0</v>
      </c>
      <c r="CJ22">
        <f>集中式光伏!CJ22+分布式光伏!CJ22</f>
        <v>0</v>
      </c>
      <c r="CK22">
        <f>集中式光伏!CK22+分布式光伏!CK22</f>
        <v>0</v>
      </c>
      <c r="CL22">
        <f>集中式光伏!CL22+分布式光伏!CL22</f>
        <v>0</v>
      </c>
      <c r="CM22">
        <f>集中式光伏!CM22+分布式光伏!CM22</f>
        <v>0</v>
      </c>
      <c r="CN22">
        <f>集中式光伏!CN22+分布式光伏!CN22</f>
        <v>0</v>
      </c>
      <c r="CO22">
        <f>集中式光伏!CO22+分布式光伏!CO22</f>
        <v>0</v>
      </c>
      <c r="CP22">
        <f>集中式光伏!CP22+分布式光伏!CP22</f>
        <v>0</v>
      </c>
      <c r="CQ22">
        <f>集中式光伏!CQ22+分布式光伏!CQ22</f>
        <v>0</v>
      </c>
      <c r="CR22">
        <f>集中式光伏!CR22+分布式光伏!CR22</f>
        <v>0</v>
      </c>
      <c r="CS22">
        <f>集中式光伏!CS22+分布式光伏!CS22</f>
        <v>0</v>
      </c>
    </row>
    <row r="23" spans="1:97">
      <c r="A23" s="9">
        <v>46256</v>
      </c>
      <c r="B23">
        <f>集中式光伏!B23+分布式光伏!B23</f>
        <v>0</v>
      </c>
      <c r="C23">
        <f>集中式光伏!C23+分布式光伏!C23</f>
        <v>0</v>
      </c>
      <c r="D23">
        <f>集中式光伏!D23+分布式光伏!D23</f>
        <v>0</v>
      </c>
      <c r="E23">
        <f>集中式光伏!E23+分布式光伏!E23</f>
        <v>0</v>
      </c>
      <c r="F23">
        <f>集中式光伏!F23+分布式光伏!F23</f>
        <v>0</v>
      </c>
      <c r="G23">
        <f>集中式光伏!G23+分布式光伏!G23</f>
        <v>0</v>
      </c>
      <c r="H23">
        <f>集中式光伏!H23+分布式光伏!H23</f>
        <v>0</v>
      </c>
      <c r="I23">
        <f>集中式光伏!I23+分布式光伏!I23</f>
        <v>0</v>
      </c>
      <c r="J23">
        <f>集中式光伏!J23+分布式光伏!J23</f>
        <v>0</v>
      </c>
      <c r="K23">
        <f>集中式光伏!K23+分布式光伏!K23</f>
        <v>0</v>
      </c>
      <c r="L23">
        <f>集中式光伏!L23+分布式光伏!L23</f>
        <v>0</v>
      </c>
      <c r="M23">
        <f>集中式光伏!M23+分布式光伏!M23</f>
        <v>0</v>
      </c>
      <c r="N23">
        <f>集中式光伏!N23+分布式光伏!N23</f>
        <v>0</v>
      </c>
      <c r="O23">
        <f>集中式光伏!O23+分布式光伏!O23</f>
        <v>0</v>
      </c>
      <c r="P23">
        <f>集中式光伏!P23+分布式光伏!P23</f>
        <v>0</v>
      </c>
      <c r="Q23">
        <f>集中式光伏!Q23+分布式光伏!Q23</f>
        <v>0</v>
      </c>
      <c r="R23">
        <f>集中式光伏!R23+分布式光伏!R23</f>
        <v>0</v>
      </c>
      <c r="S23">
        <f>集中式光伏!S23+分布式光伏!S23</f>
        <v>0</v>
      </c>
      <c r="T23">
        <f>集中式光伏!T23+分布式光伏!T23</f>
        <v>0</v>
      </c>
      <c r="U23">
        <f>集中式光伏!U23+分布式光伏!U23</f>
        <v>0</v>
      </c>
      <c r="V23">
        <f>集中式光伏!V23+分布式光伏!V23</f>
        <v>17.27</v>
      </c>
      <c r="W23">
        <f>集中式光伏!W23+分布式光伏!W23</f>
        <v>88.14</v>
      </c>
      <c r="X23">
        <f>集中式光伏!X23+分布式光伏!X23</f>
        <v>199.58</v>
      </c>
      <c r="Y23">
        <f>集中式光伏!Y23+分布式光伏!Y23</f>
        <v>362.88</v>
      </c>
      <c r="Z23">
        <f>集中式光伏!Z23+分布式光伏!Z23</f>
        <v>602.2</v>
      </c>
      <c r="AA23">
        <f>集中式光伏!AA23+分布式光伏!AA23</f>
        <v>913.64</v>
      </c>
      <c r="AB23">
        <f>集中式光伏!AB23+分布式光伏!AB23</f>
        <v>1283.91</v>
      </c>
      <c r="AC23">
        <f>集中式光伏!AC23+分布式光伏!AC23</f>
        <v>1693.77</v>
      </c>
      <c r="AD23">
        <f>集中式光伏!AD23+分布式光伏!AD23</f>
        <v>2173.83</v>
      </c>
      <c r="AE23">
        <f>集中式光伏!AE23+分布式光伏!AE23</f>
        <v>2646.32</v>
      </c>
      <c r="AF23">
        <f>集中式光伏!AF23+分布式光伏!AF23</f>
        <v>3150.14</v>
      </c>
      <c r="AG23">
        <f>集中式光伏!AG23+分布式光伏!AG23</f>
        <v>3644.39</v>
      </c>
      <c r="AH23">
        <f>集中式光伏!AH23+分布式光伏!AH23</f>
        <v>4169.08</v>
      </c>
      <c r="AI23">
        <f>集中式光伏!AI23+分布式光伏!AI23</f>
        <v>4672.27</v>
      </c>
      <c r="AJ23">
        <f>集中式光伏!AJ23+分布式光伏!AJ23</f>
        <v>5173.34</v>
      </c>
      <c r="AK23">
        <f>集中式光伏!AK23+分布式光伏!AK23</f>
        <v>5639.3</v>
      </c>
      <c r="AL23">
        <f>集中式光伏!AL23+分布式光伏!AL23</f>
        <v>6056.42</v>
      </c>
      <c r="AM23">
        <f>集中式光伏!AM23+分布式光伏!AM23</f>
        <v>6440.93</v>
      </c>
      <c r="AN23">
        <f>集中式光伏!AN23+分布式光伏!AN23</f>
        <v>6804.89</v>
      </c>
      <c r="AO23">
        <f>集中式光伏!AO23+分布式光伏!AO23</f>
        <v>7112.5</v>
      </c>
      <c r="AP23">
        <f>集中式光伏!AP23+分布式光伏!AP23</f>
        <v>7382.6</v>
      </c>
      <c r="AQ23">
        <f>集中式光伏!AQ23+分布式光伏!AQ23</f>
        <v>7607.11</v>
      </c>
      <c r="AR23">
        <f>集中式光伏!AR23+分布式光伏!AR23</f>
        <v>7785.6</v>
      </c>
      <c r="AS23">
        <f>集中式光伏!AS23+分布式光伏!AS23</f>
        <v>7940.39</v>
      </c>
      <c r="AT23">
        <f>集中式光伏!AT23+分布式光伏!AT23</f>
        <v>8030.15</v>
      </c>
      <c r="AU23">
        <f>集中式光伏!AU23+分布式光伏!AU23</f>
        <v>8075.78</v>
      </c>
      <c r="AV23">
        <f>集中式光伏!AV23+分布式光伏!AV23</f>
        <v>8083.93</v>
      </c>
      <c r="AW23">
        <f>集中式光伏!AW23+分布式光伏!AW23</f>
        <v>8068.98</v>
      </c>
      <c r="AX23">
        <f>集中式光伏!AX23+分布式光伏!AX23</f>
        <v>8016.83</v>
      </c>
      <c r="AY23">
        <f>集中式光伏!AY23+分布式光伏!AY23</f>
        <v>7948.76</v>
      </c>
      <c r="AZ23">
        <f>集中式光伏!AZ23+分布式光伏!AZ23</f>
        <v>7840.49</v>
      </c>
      <c r="BA23">
        <f>集中式光伏!BA23+分布式光伏!BA23</f>
        <v>7705.65</v>
      </c>
      <c r="BB23">
        <f>集中式光伏!BB23+分布式光伏!BB23</f>
        <v>7553.1</v>
      </c>
      <c r="BC23">
        <f>集中式光伏!BC23+分布式光伏!BC23</f>
        <v>7365.74</v>
      </c>
      <c r="BD23">
        <f>集中式光伏!BD23+分布式光伏!BD23</f>
        <v>7140.06</v>
      </c>
      <c r="BE23">
        <f>集中式光伏!BE23+分布式光伏!BE23</f>
        <v>6883.87</v>
      </c>
      <c r="BF23">
        <f>集中式光伏!BF23+分布式光伏!BF23</f>
        <v>6590.13</v>
      </c>
      <c r="BG23">
        <f>集中式光伏!BG23+分布式光伏!BG23</f>
        <v>6278.13</v>
      </c>
      <c r="BH23">
        <f>集中式光伏!BH23+分布式光伏!BH23</f>
        <v>5927.77</v>
      </c>
      <c r="BI23">
        <f>集中式光伏!BI23+分布式光伏!BI23</f>
        <v>5557.56</v>
      </c>
      <c r="BJ23">
        <f>集中式光伏!BJ23+分布式光伏!BJ23</f>
        <v>5155.61</v>
      </c>
      <c r="BK23">
        <f>集中式光伏!BK23+分布式光伏!BK23</f>
        <v>4708.08</v>
      </c>
      <c r="BL23">
        <f>集中式光伏!BL23+分布式光伏!BL23</f>
        <v>4239.95</v>
      </c>
      <c r="BM23">
        <f>集中式光伏!BM23+分布式光伏!BM23</f>
        <v>3760.4</v>
      </c>
      <c r="BN23">
        <f>集中式光伏!BN23+分布式光伏!BN23</f>
        <v>3300.21</v>
      </c>
      <c r="BO23">
        <f>集中式光伏!BO23+分布式光伏!BO23</f>
        <v>2795.09</v>
      </c>
      <c r="BP23">
        <f>集中式光伏!BP23+分布式光伏!BP23</f>
        <v>2302.78</v>
      </c>
      <c r="BQ23">
        <f>集中式光伏!BQ23+分布式光伏!BQ23</f>
        <v>1831.28</v>
      </c>
      <c r="BR23">
        <f>集中式光伏!BR23+分布式光伏!BR23</f>
        <v>1412.71</v>
      </c>
      <c r="BS23">
        <f>集中式光伏!BS23+分布式光伏!BS23</f>
        <v>1027.96</v>
      </c>
      <c r="BT23">
        <f>集中式光伏!BT23+分布式光伏!BT23</f>
        <v>694.35</v>
      </c>
      <c r="BU23">
        <f>集中式光伏!BU23+分布式光伏!BU23</f>
        <v>414.58</v>
      </c>
      <c r="BV23">
        <f>集中式光伏!BV23+分布式光伏!BV23</f>
        <v>210.89</v>
      </c>
      <c r="BW23">
        <f>集中式光伏!BW23+分布式光伏!BW23</f>
        <v>94.46</v>
      </c>
      <c r="BX23">
        <f>集中式光伏!BX23+分布式光伏!BX23</f>
        <v>29.68</v>
      </c>
      <c r="BY23">
        <f>集中式光伏!BY23+分布式光伏!BY23</f>
        <v>1</v>
      </c>
      <c r="BZ23">
        <f>集中式光伏!BZ23+分布式光伏!BZ23</f>
        <v>0</v>
      </c>
      <c r="CA23">
        <f>集中式光伏!CA23+分布式光伏!CA23</f>
        <v>0</v>
      </c>
      <c r="CB23">
        <f>集中式光伏!CB23+分布式光伏!CB23</f>
        <v>0</v>
      </c>
      <c r="CC23">
        <f>集中式光伏!CC23+分布式光伏!CC23</f>
        <v>0</v>
      </c>
      <c r="CD23">
        <f>集中式光伏!CD23+分布式光伏!CD23</f>
        <v>0</v>
      </c>
      <c r="CE23">
        <f>集中式光伏!CE23+分布式光伏!CE23</f>
        <v>0</v>
      </c>
      <c r="CF23">
        <f>集中式光伏!CF23+分布式光伏!CF23</f>
        <v>0</v>
      </c>
      <c r="CG23">
        <f>集中式光伏!CG23+分布式光伏!CG23</f>
        <v>0</v>
      </c>
      <c r="CH23">
        <f>集中式光伏!CH23+分布式光伏!CH23</f>
        <v>0</v>
      </c>
      <c r="CI23">
        <f>集中式光伏!CI23+分布式光伏!CI23</f>
        <v>0</v>
      </c>
      <c r="CJ23">
        <f>集中式光伏!CJ23+分布式光伏!CJ23</f>
        <v>0</v>
      </c>
      <c r="CK23">
        <f>集中式光伏!CK23+分布式光伏!CK23</f>
        <v>0</v>
      </c>
      <c r="CL23">
        <f>集中式光伏!CL23+分布式光伏!CL23</f>
        <v>0</v>
      </c>
      <c r="CM23">
        <f>集中式光伏!CM23+分布式光伏!CM23</f>
        <v>0</v>
      </c>
      <c r="CN23">
        <f>集中式光伏!CN23+分布式光伏!CN23</f>
        <v>0</v>
      </c>
      <c r="CO23">
        <f>集中式光伏!CO23+分布式光伏!CO23</f>
        <v>0</v>
      </c>
      <c r="CP23">
        <f>集中式光伏!CP23+分布式光伏!CP23</f>
        <v>0</v>
      </c>
      <c r="CQ23">
        <f>集中式光伏!CQ23+分布式光伏!CQ23</f>
        <v>0</v>
      </c>
      <c r="CR23">
        <f>集中式光伏!CR23+分布式光伏!CR23</f>
        <v>0</v>
      </c>
      <c r="CS23">
        <f>集中式光伏!CS23+分布式光伏!CS23</f>
        <v>0</v>
      </c>
    </row>
    <row r="24" spans="1:97">
      <c r="A24" s="9">
        <v>46257</v>
      </c>
      <c r="B24">
        <f>集中式光伏!B24+分布式光伏!B24</f>
        <v>0</v>
      </c>
      <c r="C24">
        <f>集中式光伏!C24+分布式光伏!C24</f>
        <v>0</v>
      </c>
      <c r="D24">
        <f>集中式光伏!D24+分布式光伏!D24</f>
        <v>0</v>
      </c>
      <c r="E24">
        <f>集中式光伏!E24+分布式光伏!E24</f>
        <v>0</v>
      </c>
      <c r="F24">
        <f>集中式光伏!F24+分布式光伏!F24</f>
        <v>0</v>
      </c>
      <c r="G24">
        <f>集中式光伏!G24+分布式光伏!G24</f>
        <v>0</v>
      </c>
      <c r="H24">
        <f>集中式光伏!H24+分布式光伏!H24</f>
        <v>0</v>
      </c>
      <c r="I24">
        <f>集中式光伏!I24+分布式光伏!I24</f>
        <v>0</v>
      </c>
      <c r="J24">
        <f>集中式光伏!J24+分布式光伏!J24</f>
        <v>0</v>
      </c>
      <c r="K24">
        <f>集中式光伏!K24+分布式光伏!K24</f>
        <v>0</v>
      </c>
      <c r="L24">
        <f>集中式光伏!L24+分布式光伏!L24</f>
        <v>0</v>
      </c>
      <c r="M24">
        <f>集中式光伏!M24+分布式光伏!M24</f>
        <v>0</v>
      </c>
      <c r="N24">
        <f>集中式光伏!N24+分布式光伏!N24</f>
        <v>0</v>
      </c>
      <c r="O24">
        <f>集中式光伏!O24+分布式光伏!O24</f>
        <v>0</v>
      </c>
      <c r="P24">
        <f>集中式光伏!P24+分布式光伏!P24</f>
        <v>0</v>
      </c>
      <c r="Q24">
        <f>集中式光伏!Q24+分布式光伏!Q24</f>
        <v>0</v>
      </c>
      <c r="R24">
        <f>集中式光伏!R24+分布式光伏!R24</f>
        <v>0</v>
      </c>
      <c r="S24">
        <f>集中式光伏!S24+分布式光伏!S24</f>
        <v>0</v>
      </c>
      <c r="T24">
        <f>集中式光伏!T24+分布式光伏!T24</f>
        <v>0</v>
      </c>
      <c r="U24">
        <f>集中式光伏!U24+分布式光伏!U24</f>
        <v>0</v>
      </c>
      <c r="V24">
        <f>集中式光伏!V24+分布式光伏!V24</f>
        <v>17.38</v>
      </c>
      <c r="W24">
        <f>集中式光伏!W24+分布式光伏!W24</f>
        <v>77.46</v>
      </c>
      <c r="X24">
        <f>集中式光伏!X24+分布式光伏!X24</f>
        <v>180.46</v>
      </c>
      <c r="Y24">
        <f>集中式光伏!Y24+分布式光伏!Y24</f>
        <v>330.69</v>
      </c>
      <c r="Z24">
        <f>集中式光伏!Z24+分布式光伏!Z24</f>
        <v>552.76</v>
      </c>
      <c r="AA24">
        <f>集中式光伏!AA24+分布式光伏!AA24</f>
        <v>845.25</v>
      </c>
      <c r="AB24">
        <f>集中式光伏!AB24+分布式光伏!AB24</f>
        <v>1184.71</v>
      </c>
      <c r="AC24">
        <f>集中式光伏!AC24+分布式光伏!AC24</f>
        <v>1579.75</v>
      </c>
      <c r="AD24">
        <f>集中式光伏!AD24+分布式光伏!AD24</f>
        <v>1984.2</v>
      </c>
      <c r="AE24">
        <f>集中式光伏!AE24+分布式光伏!AE24</f>
        <v>2407.52</v>
      </c>
      <c r="AF24">
        <f>集中式光伏!AF24+分布式光伏!AF24</f>
        <v>2842.03</v>
      </c>
      <c r="AG24">
        <f>集中式光伏!AG24+分布式光伏!AG24</f>
        <v>3270.58</v>
      </c>
      <c r="AH24">
        <f>集中式光伏!AH24+分布式光伏!AH24</f>
        <v>3727.68</v>
      </c>
      <c r="AI24">
        <f>集中式光伏!AI24+分布式光伏!AI24</f>
        <v>4155.99</v>
      </c>
      <c r="AJ24">
        <f>集中式光伏!AJ24+分布式光伏!AJ24</f>
        <v>4570.87</v>
      </c>
      <c r="AK24">
        <f>集中式光伏!AK24+分布式光伏!AK24</f>
        <v>4942.53</v>
      </c>
      <c r="AL24">
        <f>集中式光伏!AL24+分布式光伏!AL24</f>
        <v>5279.93</v>
      </c>
      <c r="AM24">
        <f>集中式光伏!AM24+分布式光伏!AM24</f>
        <v>5574.43</v>
      </c>
      <c r="AN24">
        <f>集中式光伏!AN24+分布式光伏!AN24</f>
        <v>5852.51</v>
      </c>
      <c r="AO24">
        <f>集中式光伏!AO24+分布式光伏!AO24</f>
        <v>6084.92</v>
      </c>
      <c r="AP24">
        <f>集中式光伏!AP24+分布式光伏!AP24</f>
        <v>6287</v>
      </c>
      <c r="AQ24">
        <f>集中式光伏!AQ24+分布式光伏!AQ24</f>
        <v>6460.7</v>
      </c>
      <c r="AR24">
        <f>集中式光伏!AR24+分布式光伏!AR24</f>
        <v>6608.6</v>
      </c>
      <c r="AS24">
        <f>集中式光伏!AS24+分布式光伏!AS24</f>
        <v>6735.97</v>
      </c>
      <c r="AT24">
        <f>集中式光伏!AT24+分布式光伏!AT24</f>
        <v>6803.12</v>
      </c>
      <c r="AU24">
        <f>集中式光伏!AU24+分布式光伏!AU24</f>
        <v>6852.19</v>
      </c>
      <c r="AV24">
        <f>集中式光伏!AV24+分布式光伏!AV24</f>
        <v>6877.79</v>
      </c>
      <c r="AW24">
        <f>集中式光伏!AW24+分布式光伏!AW24</f>
        <v>6895.51</v>
      </c>
      <c r="AX24">
        <f>集中式光伏!AX24+分布式光伏!AX24</f>
        <v>6869.13</v>
      </c>
      <c r="AY24">
        <f>集中式光伏!AY24+分布式光伏!AY24</f>
        <v>6811.68</v>
      </c>
      <c r="AZ24">
        <f>集中式光伏!AZ24+分布式光伏!AZ24</f>
        <v>6705.92</v>
      </c>
      <c r="BA24">
        <f>集中式光伏!BA24+分布式光伏!BA24</f>
        <v>6557.14</v>
      </c>
      <c r="BB24">
        <f>集中式光伏!BB24+分布式光伏!BB24</f>
        <v>6390.11</v>
      </c>
      <c r="BC24">
        <f>集中式光伏!BC24+分布式光伏!BC24</f>
        <v>6207.61</v>
      </c>
      <c r="BD24">
        <f>集中式光伏!BD24+分布式光伏!BD24</f>
        <v>5968.33</v>
      </c>
      <c r="BE24">
        <f>集中式光伏!BE24+分布式光伏!BE24</f>
        <v>5729.46</v>
      </c>
      <c r="BF24">
        <f>集中式光伏!BF24+分布式光伏!BF24</f>
        <v>5416.08</v>
      </c>
      <c r="BG24">
        <f>集中式光伏!BG24+分布式光伏!BG24</f>
        <v>5084.78</v>
      </c>
      <c r="BH24">
        <f>集中式光伏!BH24+分布式光伏!BH24</f>
        <v>4736.89</v>
      </c>
      <c r="BI24">
        <f>集中式光伏!BI24+分布式光伏!BI24</f>
        <v>4397.14</v>
      </c>
      <c r="BJ24">
        <f>集中式光伏!BJ24+分布式光伏!BJ24</f>
        <v>4018.02</v>
      </c>
      <c r="BK24">
        <f>集中式光伏!BK24+分布式光伏!BK24</f>
        <v>3639.59</v>
      </c>
      <c r="BL24">
        <f>集中式光伏!BL24+分布式光伏!BL24</f>
        <v>3246.44</v>
      </c>
      <c r="BM24">
        <f>集中式光伏!BM24+分布式光伏!BM24</f>
        <v>2867.5</v>
      </c>
      <c r="BN24">
        <f>集中式光伏!BN24+分布式光伏!BN24</f>
        <v>2504.65</v>
      </c>
      <c r="BO24">
        <f>集中式光伏!BO24+分布式光伏!BO24</f>
        <v>2120.29</v>
      </c>
      <c r="BP24">
        <f>集中式光伏!BP24+分布式光伏!BP24</f>
        <v>1730.82</v>
      </c>
      <c r="BQ24">
        <f>集中式光伏!BQ24+分布式光伏!BQ24</f>
        <v>1380.39</v>
      </c>
      <c r="BR24">
        <f>集中式光伏!BR24+分布式光伏!BR24</f>
        <v>1055.8</v>
      </c>
      <c r="BS24">
        <f>集中式光伏!BS24+分布式光伏!BS24</f>
        <v>773.91</v>
      </c>
      <c r="BT24">
        <f>集中式光伏!BT24+分布式光伏!BT24</f>
        <v>518.33</v>
      </c>
      <c r="BU24">
        <f>集中式光伏!BU24+分布式光伏!BU24</f>
        <v>307.26</v>
      </c>
      <c r="BV24">
        <f>集中式光伏!BV24+分布式光伏!BV24</f>
        <v>154.8</v>
      </c>
      <c r="BW24">
        <f>集中式光伏!BW24+分布式光伏!BW24</f>
        <v>69.07</v>
      </c>
      <c r="BX24">
        <f>集中式光伏!BX24+分布式光伏!BX24</f>
        <v>23.09</v>
      </c>
      <c r="BY24">
        <f>集中式光伏!BY24+分布式光伏!BY24</f>
        <v>0</v>
      </c>
      <c r="BZ24">
        <f>集中式光伏!BZ24+分布式光伏!BZ24</f>
        <v>0</v>
      </c>
      <c r="CA24">
        <f>集中式光伏!CA24+分布式光伏!CA24</f>
        <v>0</v>
      </c>
      <c r="CB24">
        <f>集中式光伏!CB24+分布式光伏!CB24</f>
        <v>0</v>
      </c>
      <c r="CC24">
        <f>集中式光伏!CC24+分布式光伏!CC24</f>
        <v>0</v>
      </c>
      <c r="CD24">
        <f>集中式光伏!CD24+分布式光伏!CD24</f>
        <v>0</v>
      </c>
      <c r="CE24">
        <f>集中式光伏!CE24+分布式光伏!CE24</f>
        <v>0</v>
      </c>
      <c r="CF24">
        <f>集中式光伏!CF24+分布式光伏!CF24</f>
        <v>0</v>
      </c>
      <c r="CG24">
        <f>集中式光伏!CG24+分布式光伏!CG24</f>
        <v>0</v>
      </c>
      <c r="CH24">
        <f>集中式光伏!CH24+分布式光伏!CH24</f>
        <v>0</v>
      </c>
      <c r="CI24">
        <f>集中式光伏!CI24+分布式光伏!CI24</f>
        <v>0</v>
      </c>
      <c r="CJ24">
        <f>集中式光伏!CJ24+分布式光伏!CJ24</f>
        <v>0</v>
      </c>
      <c r="CK24">
        <f>集中式光伏!CK24+分布式光伏!CK24</f>
        <v>0</v>
      </c>
      <c r="CL24">
        <f>集中式光伏!CL24+分布式光伏!CL24</f>
        <v>0</v>
      </c>
      <c r="CM24">
        <f>集中式光伏!CM24+分布式光伏!CM24</f>
        <v>0</v>
      </c>
      <c r="CN24">
        <f>集中式光伏!CN24+分布式光伏!CN24</f>
        <v>0</v>
      </c>
      <c r="CO24">
        <f>集中式光伏!CO24+分布式光伏!CO24</f>
        <v>0</v>
      </c>
      <c r="CP24">
        <f>集中式光伏!CP24+分布式光伏!CP24</f>
        <v>0</v>
      </c>
      <c r="CQ24">
        <f>集中式光伏!CQ24+分布式光伏!CQ24</f>
        <v>0</v>
      </c>
      <c r="CR24">
        <f>集中式光伏!CR24+分布式光伏!CR24</f>
        <v>0</v>
      </c>
      <c r="CS24">
        <f>集中式光伏!CS24+分布式光伏!CS24</f>
        <v>0</v>
      </c>
    </row>
    <row r="25" spans="1:97">
      <c r="A25" s="9">
        <v>46258</v>
      </c>
      <c r="B25">
        <f>集中式光伏!B25+分布式光伏!B25</f>
        <v>0</v>
      </c>
      <c r="C25">
        <f>集中式光伏!C25+分布式光伏!C25</f>
        <v>0</v>
      </c>
      <c r="D25">
        <f>集中式光伏!D25+分布式光伏!D25</f>
        <v>0</v>
      </c>
      <c r="E25">
        <f>集中式光伏!E25+分布式光伏!E25</f>
        <v>0</v>
      </c>
      <c r="F25">
        <f>集中式光伏!F25+分布式光伏!F25</f>
        <v>0</v>
      </c>
      <c r="G25">
        <f>集中式光伏!G25+分布式光伏!G25</f>
        <v>0</v>
      </c>
      <c r="H25">
        <f>集中式光伏!H25+分布式光伏!H25</f>
        <v>0</v>
      </c>
      <c r="I25">
        <f>集中式光伏!I25+分布式光伏!I25</f>
        <v>0</v>
      </c>
      <c r="J25">
        <f>集中式光伏!J25+分布式光伏!J25</f>
        <v>0</v>
      </c>
      <c r="K25">
        <f>集中式光伏!K25+分布式光伏!K25</f>
        <v>0</v>
      </c>
      <c r="L25">
        <f>集中式光伏!L25+分布式光伏!L25</f>
        <v>0</v>
      </c>
      <c r="M25">
        <f>集中式光伏!M25+分布式光伏!M25</f>
        <v>0</v>
      </c>
      <c r="N25">
        <f>集中式光伏!N25+分布式光伏!N25</f>
        <v>0</v>
      </c>
      <c r="O25">
        <f>集中式光伏!O25+分布式光伏!O25</f>
        <v>0</v>
      </c>
      <c r="P25">
        <f>集中式光伏!P25+分布式光伏!P25</f>
        <v>0</v>
      </c>
      <c r="Q25">
        <f>集中式光伏!Q25+分布式光伏!Q25</f>
        <v>0</v>
      </c>
      <c r="R25">
        <f>集中式光伏!R25+分布式光伏!R25</f>
        <v>0</v>
      </c>
      <c r="S25">
        <f>集中式光伏!S25+分布式光伏!S25</f>
        <v>0</v>
      </c>
      <c r="T25">
        <f>集中式光伏!T25+分布式光伏!T25</f>
        <v>0</v>
      </c>
      <c r="U25">
        <f>集中式光伏!U25+分布式光伏!U25</f>
        <v>0</v>
      </c>
      <c r="V25">
        <f>集中式光伏!V25+分布式光伏!V25</f>
        <v>8.15</v>
      </c>
      <c r="W25">
        <f>集中式光伏!W25+分布式光伏!W25</f>
        <v>36.58</v>
      </c>
      <c r="X25">
        <f>集中式光伏!X25+分布式光伏!X25</f>
        <v>89.91</v>
      </c>
      <c r="Y25">
        <f>集中式光伏!Y25+分布式光伏!Y25</f>
        <v>161.41</v>
      </c>
      <c r="Z25">
        <f>集中式光伏!Z25+分布式光伏!Z25</f>
        <v>258.32</v>
      </c>
      <c r="AA25">
        <f>集中式光伏!AA25+分布式光伏!AA25</f>
        <v>382.56</v>
      </c>
      <c r="AB25">
        <f>集中式光伏!AB25+分布式光伏!AB25</f>
        <v>524.54</v>
      </c>
      <c r="AC25">
        <f>集中式光伏!AC25+分布式光伏!AC25</f>
        <v>679.93</v>
      </c>
      <c r="AD25">
        <f>集中式光伏!AD25+分布式光伏!AD25</f>
        <v>851.33</v>
      </c>
      <c r="AE25">
        <f>集中式光伏!AE25+分布式光伏!AE25</f>
        <v>1042.55</v>
      </c>
      <c r="AF25">
        <f>集中式光伏!AF25+分布式光伏!AF25</f>
        <v>1252.98</v>
      </c>
      <c r="AG25">
        <f>集中式光伏!AG25+分布式光伏!AG25</f>
        <v>1475.43</v>
      </c>
      <c r="AH25">
        <f>集中式光伏!AH25+分布式光伏!AH25</f>
        <v>1728.24</v>
      </c>
      <c r="AI25">
        <f>集中式光伏!AI25+分布式光伏!AI25</f>
        <v>1984.86</v>
      </c>
      <c r="AJ25">
        <f>集中式光伏!AJ25+分布式光伏!AJ25</f>
        <v>2255.62</v>
      </c>
      <c r="AK25">
        <f>集中式光伏!AK25+分布式光伏!AK25</f>
        <v>2534.82</v>
      </c>
      <c r="AL25">
        <f>集中式光伏!AL25+分布式光伏!AL25</f>
        <v>2784.74</v>
      </c>
      <c r="AM25">
        <f>集中式光伏!AM25+分布式光伏!AM25</f>
        <v>3028.96</v>
      </c>
      <c r="AN25">
        <f>集中式光伏!AN25+分布式光伏!AN25</f>
        <v>3267.89</v>
      </c>
      <c r="AO25">
        <f>集中式光伏!AO25+分布式光伏!AO25</f>
        <v>3506.88</v>
      </c>
      <c r="AP25">
        <f>集中式光伏!AP25+分布式光伏!AP25</f>
        <v>3745.45</v>
      </c>
      <c r="AQ25">
        <f>集中式光伏!AQ25+分布式光伏!AQ25</f>
        <v>3986.38</v>
      </c>
      <c r="AR25">
        <f>集中式光伏!AR25+分布式光伏!AR25</f>
        <v>4209.42</v>
      </c>
      <c r="AS25">
        <f>集中式光伏!AS25+分布式光伏!AS25</f>
        <v>4429.54</v>
      </c>
      <c r="AT25">
        <f>集中式光伏!AT25+分布式光伏!AT25</f>
        <v>4633.62</v>
      </c>
      <c r="AU25">
        <f>集中式光伏!AU25+分布式光伏!AU25</f>
        <v>4821.95</v>
      </c>
      <c r="AV25">
        <f>集中式光伏!AV25+分布式光伏!AV25</f>
        <v>4977.35</v>
      </c>
      <c r="AW25">
        <f>集中式光伏!AW25+分布式光伏!AW25</f>
        <v>5102.31</v>
      </c>
      <c r="AX25">
        <f>集中式光伏!AX25+分布式光伏!AX25</f>
        <v>5211.66</v>
      </c>
      <c r="AY25">
        <f>集中式光伏!AY25+分布式光伏!AY25</f>
        <v>5289.01</v>
      </c>
      <c r="AZ25">
        <f>集中式光伏!AZ25+分布式光伏!AZ25</f>
        <v>5328.22</v>
      </c>
      <c r="BA25">
        <f>集中式光伏!BA25+分布式光伏!BA25</f>
        <v>5362.1</v>
      </c>
      <c r="BB25">
        <f>集中式光伏!BB25+分布式光伏!BB25</f>
        <v>5383.62</v>
      </c>
      <c r="BC25">
        <f>集中式光伏!BC25+分布式光伏!BC25</f>
        <v>5381.08</v>
      </c>
      <c r="BD25">
        <f>集中式光伏!BD25+分布式光伏!BD25</f>
        <v>5381.64</v>
      </c>
      <c r="BE25">
        <f>集中式光伏!BE25+分布式光伏!BE25</f>
        <v>5346.57</v>
      </c>
      <c r="BF25">
        <f>集中式光伏!BF25+分布式光伏!BF25</f>
        <v>5286.39</v>
      </c>
      <c r="BG25">
        <f>集中式光伏!BG25+分布式光伏!BG25</f>
        <v>5175.09</v>
      </c>
      <c r="BH25">
        <f>集中式光伏!BH25+分布式光伏!BH25</f>
        <v>5030.8</v>
      </c>
      <c r="BI25">
        <f>集中式光伏!BI25+分布式光伏!BI25</f>
        <v>4835.74</v>
      </c>
      <c r="BJ25">
        <f>集中式光伏!BJ25+分布式光伏!BJ25</f>
        <v>4570.84</v>
      </c>
      <c r="BK25">
        <f>集中式光伏!BK25+分布式光伏!BK25</f>
        <v>4240.1</v>
      </c>
      <c r="BL25">
        <f>集中式光伏!BL25+分布式光伏!BL25</f>
        <v>3869.42</v>
      </c>
      <c r="BM25">
        <f>集中式光伏!BM25+分布式光伏!BM25</f>
        <v>3476.33</v>
      </c>
      <c r="BN25">
        <f>集中式光伏!BN25+分布式光伏!BN25</f>
        <v>3082.98</v>
      </c>
      <c r="BO25">
        <f>集中式光伏!BO25+分布式光伏!BO25</f>
        <v>2669.99</v>
      </c>
      <c r="BP25">
        <f>集中式光伏!BP25+分布式光伏!BP25</f>
        <v>2210.65</v>
      </c>
      <c r="BQ25">
        <f>集中式光伏!BQ25+分布式光伏!BQ25</f>
        <v>1789</v>
      </c>
      <c r="BR25">
        <f>集中式光伏!BR25+分布式光伏!BR25</f>
        <v>1389.28</v>
      </c>
      <c r="BS25">
        <f>集中式光伏!BS25+分布式光伏!BS25</f>
        <v>1022.89</v>
      </c>
      <c r="BT25">
        <f>集中式光伏!BT25+分布式光伏!BT25</f>
        <v>689.92</v>
      </c>
      <c r="BU25">
        <f>集中式光伏!BU25+分布式光伏!BU25</f>
        <v>408.66</v>
      </c>
      <c r="BV25">
        <f>集中式光伏!BV25+分布式光伏!BV25</f>
        <v>201.82</v>
      </c>
      <c r="BW25">
        <f>集中式光伏!BW25+分布式光伏!BW25</f>
        <v>83.65</v>
      </c>
      <c r="BX25">
        <f>集中式光伏!BX25+分布式光伏!BX25</f>
        <v>28.48</v>
      </c>
      <c r="BY25">
        <f>集中式光伏!BY25+分布式光伏!BY25</f>
        <v>0</v>
      </c>
      <c r="BZ25">
        <f>集中式光伏!BZ25+分布式光伏!BZ25</f>
        <v>0</v>
      </c>
      <c r="CA25">
        <f>集中式光伏!CA25+分布式光伏!CA25</f>
        <v>0</v>
      </c>
      <c r="CB25">
        <f>集中式光伏!CB25+分布式光伏!CB25</f>
        <v>0</v>
      </c>
      <c r="CC25">
        <f>集中式光伏!CC25+分布式光伏!CC25</f>
        <v>0</v>
      </c>
      <c r="CD25">
        <f>集中式光伏!CD25+分布式光伏!CD25</f>
        <v>0</v>
      </c>
      <c r="CE25">
        <f>集中式光伏!CE25+分布式光伏!CE25</f>
        <v>0</v>
      </c>
      <c r="CF25">
        <f>集中式光伏!CF25+分布式光伏!CF25</f>
        <v>0</v>
      </c>
      <c r="CG25">
        <f>集中式光伏!CG25+分布式光伏!CG25</f>
        <v>0</v>
      </c>
      <c r="CH25">
        <f>集中式光伏!CH25+分布式光伏!CH25</f>
        <v>0</v>
      </c>
      <c r="CI25">
        <f>集中式光伏!CI25+分布式光伏!CI25</f>
        <v>0</v>
      </c>
      <c r="CJ25">
        <f>集中式光伏!CJ25+分布式光伏!CJ25</f>
        <v>0</v>
      </c>
      <c r="CK25">
        <f>集中式光伏!CK25+分布式光伏!CK25</f>
        <v>0</v>
      </c>
      <c r="CL25">
        <f>集中式光伏!CL25+分布式光伏!CL25</f>
        <v>0</v>
      </c>
      <c r="CM25">
        <f>集中式光伏!CM25+分布式光伏!CM25</f>
        <v>0</v>
      </c>
      <c r="CN25">
        <f>集中式光伏!CN25+分布式光伏!CN25</f>
        <v>0</v>
      </c>
      <c r="CO25">
        <f>集中式光伏!CO25+分布式光伏!CO25</f>
        <v>0</v>
      </c>
      <c r="CP25">
        <f>集中式光伏!CP25+分布式光伏!CP25</f>
        <v>0</v>
      </c>
      <c r="CQ25">
        <f>集中式光伏!CQ25+分布式光伏!CQ25</f>
        <v>0</v>
      </c>
      <c r="CR25">
        <f>集中式光伏!CR25+分布式光伏!CR25</f>
        <v>0</v>
      </c>
      <c r="CS25">
        <f>集中式光伏!CS25+分布式光伏!CS25</f>
        <v>0</v>
      </c>
    </row>
    <row r="26" spans="1:97">
      <c r="A26" s="9">
        <v>46259</v>
      </c>
      <c r="B26">
        <f>集中式光伏!B26+分布式光伏!B26</f>
        <v>0</v>
      </c>
      <c r="C26">
        <f>集中式光伏!C26+分布式光伏!C26</f>
        <v>0</v>
      </c>
      <c r="D26">
        <f>集中式光伏!D26+分布式光伏!D26</f>
        <v>0</v>
      </c>
      <c r="E26">
        <f>集中式光伏!E26+分布式光伏!E26</f>
        <v>0</v>
      </c>
      <c r="F26">
        <f>集中式光伏!F26+分布式光伏!F26</f>
        <v>0</v>
      </c>
      <c r="G26">
        <f>集中式光伏!G26+分布式光伏!G26</f>
        <v>0</v>
      </c>
      <c r="H26">
        <f>集中式光伏!H26+分布式光伏!H26</f>
        <v>0</v>
      </c>
      <c r="I26">
        <f>集中式光伏!I26+分布式光伏!I26</f>
        <v>0</v>
      </c>
      <c r="J26">
        <f>集中式光伏!J26+分布式光伏!J26</f>
        <v>0</v>
      </c>
      <c r="K26">
        <f>集中式光伏!K26+分布式光伏!K26</f>
        <v>0</v>
      </c>
      <c r="L26">
        <f>集中式光伏!L26+分布式光伏!L26</f>
        <v>0</v>
      </c>
      <c r="M26">
        <f>集中式光伏!M26+分布式光伏!M26</f>
        <v>0</v>
      </c>
      <c r="N26">
        <f>集中式光伏!N26+分布式光伏!N26</f>
        <v>0</v>
      </c>
      <c r="O26">
        <f>集中式光伏!O26+分布式光伏!O26</f>
        <v>0</v>
      </c>
      <c r="P26">
        <f>集中式光伏!P26+分布式光伏!P26</f>
        <v>0</v>
      </c>
      <c r="Q26">
        <f>集中式光伏!Q26+分布式光伏!Q26</f>
        <v>0</v>
      </c>
      <c r="R26">
        <f>集中式光伏!R26+分布式光伏!R26</f>
        <v>0</v>
      </c>
      <c r="S26">
        <f>集中式光伏!S26+分布式光伏!S26</f>
        <v>0</v>
      </c>
      <c r="T26">
        <f>集中式光伏!T26+分布式光伏!T26</f>
        <v>0</v>
      </c>
      <c r="U26">
        <f>集中式光伏!U26+分布式光伏!U26</f>
        <v>0</v>
      </c>
      <c r="V26">
        <f>集中式光伏!V26+分布式光伏!V26</f>
        <v>10.98</v>
      </c>
      <c r="W26">
        <f>集中式光伏!W26+分布式光伏!W26</f>
        <v>62.72</v>
      </c>
      <c r="X26">
        <f>集中式光伏!X26+分布式光伏!X26</f>
        <v>156.44</v>
      </c>
      <c r="Y26">
        <f>集中式光伏!Y26+分布式光伏!Y26</f>
        <v>288.3</v>
      </c>
      <c r="Z26">
        <f>集中式光伏!Z26+分布式光伏!Z26</f>
        <v>481.03</v>
      </c>
      <c r="AA26">
        <f>集中式光伏!AA26+分布式光伏!AA26</f>
        <v>741.38</v>
      </c>
      <c r="AB26">
        <f>集中式光伏!AB26+分布式光伏!AB26</f>
        <v>1040.8</v>
      </c>
      <c r="AC26">
        <f>集中式光伏!AC26+分布式光伏!AC26</f>
        <v>1372</v>
      </c>
      <c r="AD26">
        <f>集中式光伏!AD26+分布式光伏!AD26</f>
        <v>1728.82</v>
      </c>
      <c r="AE26">
        <f>集中式光伏!AE26+分布式光伏!AE26</f>
        <v>2113.07</v>
      </c>
      <c r="AF26">
        <f>集中式光伏!AF26+分布式光伏!AF26</f>
        <v>2523.83</v>
      </c>
      <c r="AG26">
        <f>集中式光伏!AG26+分布式光伏!AG26</f>
        <v>2935.31</v>
      </c>
      <c r="AH26">
        <f>集中式光伏!AH26+分布式光伏!AH26</f>
        <v>3394.63</v>
      </c>
      <c r="AI26">
        <f>集中式光伏!AI26+分布式光伏!AI26</f>
        <v>3829.47</v>
      </c>
      <c r="AJ26">
        <f>集中式光伏!AJ26+分布式光伏!AJ26</f>
        <v>4245.9</v>
      </c>
      <c r="AK26">
        <f>集中式光伏!AK26+分布式光伏!AK26</f>
        <v>4613.57</v>
      </c>
      <c r="AL26">
        <f>集中式光伏!AL26+分布式光伏!AL26</f>
        <v>4938.75</v>
      </c>
      <c r="AM26">
        <f>集中式光伏!AM26+分布式光伏!AM26</f>
        <v>5243.5</v>
      </c>
      <c r="AN26">
        <f>集中式光伏!AN26+分布式光伏!AN26</f>
        <v>5514.66</v>
      </c>
      <c r="AO26">
        <f>集中式光伏!AO26+分布式光伏!AO26</f>
        <v>5740.98</v>
      </c>
      <c r="AP26">
        <f>集中式光伏!AP26+分布式光伏!AP26</f>
        <v>5907.85</v>
      </c>
      <c r="AQ26">
        <f>集中式光伏!AQ26+分布式光伏!AQ26</f>
        <v>6030.92</v>
      </c>
      <c r="AR26">
        <f>集中式光伏!AR26+分布式光伏!AR26</f>
        <v>6123.38</v>
      </c>
      <c r="AS26">
        <f>集中式光伏!AS26+分布式光伏!AS26</f>
        <v>6189.3</v>
      </c>
      <c r="AT26">
        <f>集中式光伏!AT26+分布式光伏!AT26</f>
        <v>6146.53</v>
      </c>
      <c r="AU26">
        <f>集中式光伏!AU26+分布式光伏!AU26</f>
        <v>6081.94</v>
      </c>
      <c r="AV26">
        <f>集中式光伏!AV26+分布式光伏!AV26</f>
        <v>5992.16</v>
      </c>
      <c r="AW26">
        <f>集中式光伏!AW26+分布式光伏!AW26</f>
        <v>5869.02</v>
      </c>
      <c r="AX26">
        <f>集中式光伏!AX26+分布式光伏!AX26</f>
        <v>5761.55</v>
      </c>
      <c r="AY26">
        <f>集中式光伏!AY26+分布式光伏!AY26</f>
        <v>5662.74</v>
      </c>
      <c r="AZ26">
        <f>集中式光伏!AZ26+分布式光伏!AZ26</f>
        <v>5503.7</v>
      </c>
      <c r="BA26">
        <f>集中式光伏!BA26+分布式光伏!BA26</f>
        <v>5329.97</v>
      </c>
      <c r="BB26">
        <f>集中式光伏!BB26+分布式光伏!BB26</f>
        <v>5125.56</v>
      </c>
      <c r="BC26">
        <f>集中式光伏!BC26+分布式光伏!BC26</f>
        <v>4875.76</v>
      </c>
      <c r="BD26">
        <f>集中式光伏!BD26+分布式光伏!BD26</f>
        <v>4611.18</v>
      </c>
      <c r="BE26">
        <f>集中式光伏!BE26+分布式光伏!BE26</f>
        <v>4306.97</v>
      </c>
      <c r="BF26">
        <f>集中式光伏!BF26+分布式光伏!BF26</f>
        <v>3988.35</v>
      </c>
      <c r="BG26">
        <f>集中式光伏!BG26+分布式光伏!BG26</f>
        <v>3661.23</v>
      </c>
      <c r="BH26">
        <f>集中式光伏!BH26+分布式光伏!BH26</f>
        <v>3338.37</v>
      </c>
      <c r="BI26">
        <f>集中式光伏!BI26+分布式光伏!BI26</f>
        <v>3031.75</v>
      </c>
      <c r="BJ26">
        <f>集中式光伏!BJ26+分布式光伏!BJ26</f>
        <v>2754.6</v>
      </c>
      <c r="BK26">
        <f>集中式光伏!BK26+分布式光伏!BK26</f>
        <v>2461.66</v>
      </c>
      <c r="BL26">
        <f>集中式光伏!BL26+分布式光伏!BL26</f>
        <v>2179.54</v>
      </c>
      <c r="BM26">
        <f>集中式光伏!BM26+分布式光伏!BM26</f>
        <v>1904.52</v>
      </c>
      <c r="BN26">
        <f>集中式光伏!BN26+分布式光伏!BN26</f>
        <v>1635.68</v>
      </c>
      <c r="BO26">
        <f>集中式光伏!BO26+分布式光伏!BO26</f>
        <v>1360.9</v>
      </c>
      <c r="BP26">
        <f>集中式光伏!BP26+分布式光伏!BP26</f>
        <v>1105.33</v>
      </c>
      <c r="BQ26">
        <f>集中式光伏!BQ26+分布式光伏!BQ26</f>
        <v>872.76</v>
      </c>
      <c r="BR26">
        <f>集中式光伏!BR26+分布式光伏!BR26</f>
        <v>659.75</v>
      </c>
      <c r="BS26">
        <f>集中式光伏!BS26+分布式光伏!BS26</f>
        <v>481.01</v>
      </c>
      <c r="BT26">
        <f>集中式光伏!BT26+分布式光伏!BT26</f>
        <v>326.34</v>
      </c>
      <c r="BU26">
        <f>集中式光伏!BU26+分布式光伏!BU26</f>
        <v>193.1</v>
      </c>
      <c r="BV26">
        <f>集中式光伏!BV26+分布式光伏!BV26</f>
        <v>92.55</v>
      </c>
      <c r="BW26">
        <f>集中式光伏!BW26+分布式光伏!BW26</f>
        <v>38.92</v>
      </c>
      <c r="BX26">
        <f>集中式光伏!BX26+分布式光伏!BX26</f>
        <v>5.95</v>
      </c>
      <c r="BY26">
        <f>集中式光伏!BY26+分布式光伏!BY26</f>
        <v>0</v>
      </c>
      <c r="BZ26">
        <f>集中式光伏!BZ26+分布式光伏!BZ26</f>
        <v>0</v>
      </c>
      <c r="CA26">
        <f>集中式光伏!CA26+分布式光伏!CA26</f>
        <v>0</v>
      </c>
      <c r="CB26">
        <f>集中式光伏!CB26+分布式光伏!CB26</f>
        <v>0</v>
      </c>
      <c r="CC26">
        <f>集中式光伏!CC26+分布式光伏!CC26</f>
        <v>0</v>
      </c>
      <c r="CD26">
        <f>集中式光伏!CD26+分布式光伏!CD26</f>
        <v>0</v>
      </c>
      <c r="CE26">
        <f>集中式光伏!CE26+分布式光伏!CE26</f>
        <v>0</v>
      </c>
      <c r="CF26">
        <f>集中式光伏!CF26+分布式光伏!CF26</f>
        <v>0</v>
      </c>
      <c r="CG26">
        <f>集中式光伏!CG26+分布式光伏!CG26</f>
        <v>0</v>
      </c>
      <c r="CH26">
        <f>集中式光伏!CH26+分布式光伏!CH26</f>
        <v>0</v>
      </c>
      <c r="CI26">
        <f>集中式光伏!CI26+分布式光伏!CI26</f>
        <v>0</v>
      </c>
      <c r="CJ26">
        <f>集中式光伏!CJ26+分布式光伏!CJ26</f>
        <v>0</v>
      </c>
      <c r="CK26">
        <f>集中式光伏!CK26+分布式光伏!CK26</f>
        <v>0</v>
      </c>
      <c r="CL26">
        <f>集中式光伏!CL26+分布式光伏!CL26</f>
        <v>0</v>
      </c>
      <c r="CM26">
        <f>集中式光伏!CM26+分布式光伏!CM26</f>
        <v>0</v>
      </c>
      <c r="CN26">
        <f>集中式光伏!CN26+分布式光伏!CN26</f>
        <v>0</v>
      </c>
      <c r="CO26">
        <f>集中式光伏!CO26+分布式光伏!CO26</f>
        <v>0</v>
      </c>
      <c r="CP26">
        <f>集中式光伏!CP26+分布式光伏!CP26</f>
        <v>0</v>
      </c>
      <c r="CQ26">
        <f>集中式光伏!CQ26+分布式光伏!CQ26</f>
        <v>0</v>
      </c>
      <c r="CR26">
        <f>集中式光伏!CR26+分布式光伏!CR26</f>
        <v>0</v>
      </c>
      <c r="CS26">
        <f>集中式光伏!CS26+分布式光伏!CS26</f>
        <v>0</v>
      </c>
    </row>
    <row r="27" spans="1:97">
      <c r="A27" s="9">
        <v>46260</v>
      </c>
      <c r="B27">
        <f>集中式光伏!B27+分布式光伏!B27</f>
        <v>0</v>
      </c>
      <c r="C27">
        <f>集中式光伏!C27+分布式光伏!C27</f>
        <v>0</v>
      </c>
      <c r="D27">
        <f>集中式光伏!D27+分布式光伏!D27</f>
        <v>0</v>
      </c>
      <c r="E27">
        <f>集中式光伏!E27+分布式光伏!E27</f>
        <v>0</v>
      </c>
      <c r="F27">
        <f>集中式光伏!F27+分布式光伏!F27</f>
        <v>0</v>
      </c>
      <c r="G27">
        <f>集中式光伏!G27+分布式光伏!G27</f>
        <v>0</v>
      </c>
      <c r="H27">
        <f>集中式光伏!H27+分布式光伏!H27</f>
        <v>0</v>
      </c>
      <c r="I27">
        <f>集中式光伏!I27+分布式光伏!I27</f>
        <v>0</v>
      </c>
      <c r="J27">
        <f>集中式光伏!J27+分布式光伏!J27</f>
        <v>0</v>
      </c>
      <c r="K27">
        <f>集中式光伏!K27+分布式光伏!K27</f>
        <v>0</v>
      </c>
      <c r="L27">
        <f>集中式光伏!L27+分布式光伏!L27</f>
        <v>0</v>
      </c>
      <c r="M27">
        <f>集中式光伏!M27+分布式光伏!M27</f>
        <v>0</v>
      </c>
      <c r="N27">
        <f>集中式光伏!N27+分布式光伏!N27</f>
        <v>0</v>
      </c>
      <c r="O27">
        <f>集中式光伏!O27+分布式光伏!O27</f>
        <v>0</v>
      </c>
      <c r="P27">
        <f>集中式光伏!P27+分布式光伏!P27</f>
        <v>0</v>
      </c>
      <c r="Q27">
        <f>集中式光伏!Q27+分布式光伏!Q27</f>
        <v>0</v>
      </c>
      <c r="R27">
        <f>集中式光伏!R27+分布式光伏!R27</f>
        <v>0</v>
      </c>
      <c r="S27">
        <f>集中式光伏!S27+分布式光伏!S27</f>
        <v>0</v>
      </c>
      <c r="T27">
        <f>集中式光伏!T27+分布式光伏!T27</f>
        <v>0</v>
      </c>
      <c r="U27">
        <f>集中式光伏!U27+分布式光伏!U27</f>
        <v>0</v>
      </c>
      <c r="V27">
        <f>集中式光伏!V27+分布式光伏!V27</f>
        <v>8.44</v>
      </c>
      <c r="W27">
        <f>集中式光伏!W27+分布式光伏!W27</f>
        <v>53.24</v>
      </c>
      <c r="X27">
        <f>集中式光伏!X27+分布式光伏!X27</f>
        <v>137.01</v>
      </c>
      <c r="Y27">
        <f>集中式光伏!Y27+分布式光伏!Y27</f>
        <v>251.93</v>
      </c>
      <c r="Z27">
        <f>集中式光伏!Z27+分布式光伏!Z27</f>
        <v>428.08</v>
      </c>
      <c r="AA27">
        <f>集中式光伏!AA27+分布式光伏!AA27</f>
        <v>666.66</v>
      </c>
      <c r="AB27">
        <f>集中式光伏!AB27+分布式光伏!AB27</f>
        <v>964.84</v>
      </c>
      <c r="AC27">
        <f>集中式光伏!AC27+分布式光伏!AC27</f>
        <v>1318.27</v>
      </c>
      <c r="AD27">
        <f>集中式光伏!AD27+分布式光伏!AD27</f>
        <v>1734.65</v>
      </c>
      <c r="AE27">
        <f>集中式光伏!AE27+分布式光伏!AE27</f>
        <v>2141.04</v>
      </c>
      <c r="AF27">
        <f>集中式光伏!AF27+分布式光伏!AF27</f>
        <v>2586.34</v>
      </c>
      <c r="AG27">
        <f>集中式光伏!AG27+分布式光伏!AG27</f>
        <v>3028.89</v>
      </c>
      <c r="AH27">
        <f>集中式光伏!AH27+分布式光伏!AH27</f>
        <v>3486.89</v>
      </c>
      <c r="AI27">
        <f>集中式光伏!AI27+分布式光伏!AI27</f>
        <v>3942.56</v>
      </c>
      <c r="AJ27">
        <f>集中式光伏!AJ27+分布式光伏!AJ27</f>
        <v>4394.33</v>
      </c>
      <c r="AK27">
        <f>集中式光伏!AK27+分布式光伏!AK27</f>
        <v>4809.15</v>
      </c>
      <c r="AL27">
        <f>集中式光伏!AL27+分布式光伏!AL27</f>
        <v>5192.47</v>
      </c>
      <c r="AM27">
        <f>集中式光伏!AM27+分布式光伏!AM27</f>
        <v>5529.6</v>
      </c>
      <c r="AN27">
        <f>集中式光伏!AN27+分布式光伏!AN27</f>
        <v>5841.75</v>
      </c>
      <c r="AO27">
        <f>集中式光伏!AO27+分布式光伏!AO27</f>
        <v>6099.22</v>
      </c>
      <c r="AP27">
        <f>集中式光伏!AP27+分布式光伏!AP27</f>
        <v>6333.5</v>
      </c>
      <c r="AQ27">
        <f>集中式光伏!AQ27+分布式光伏!AQ27</f>
        <v>6551.21</v>
      </c>
      <c r="AR27">
        <f>集中式光伏!AR27+分布式光伏!AR27</f>
        <v>6731.81</v>
      </c>
      <c r="AS27">
        <f>集中式光伏!AS27+分布式光伏!AS27</f>
        <v>6893.38</v>
      </c>
      <c r="AT27">
        <f>集中式光伏!AT27+分布式光伏!AT27</f>
        <v>7013.17</v>
      </c>
      <c r="AU27">
        <f>集中式光伏!AU27+分布式光伏!AU27</f>
        <v>7103.06</v>
      </c>
      <c r="AV27">
        <f>集中式光伏!AV27+分布式光伏!AV27</f>
        <v>7187.87</v>
      </c>
      <c r="AW27">
        <f>集中式光伏!AW27+分布式光伏!AW27</f>
        <v>7264.96</v>
      </c>
      <c r="AX27">
        <f>集中式光伏!AX27+分布式光伏!AX27</f>
        <v>7279.94</v>
      </c>
      <c r="AY27">
        <f>集中式光伏!AY27+分布式光伏!AY27</f>
        <v>7273.3</v>
      </c>
      <c r="AZ27">
        <f>集中式光伏!AZ27+分布式光伏!AZ27</f>
        <v>7221.65</v>
      </c>
      <c r="BA27">
        <f>集中式光伏!BA27+分布式光伏!BA27</f>
        <v>7135.67</v>
      </c>
      <c r="BB27">
        <f>集中式光伏!BB27+分布式光伏!BB27</f>
        <v>7017.21</v>
      </c>
      <c r="BC27">
        <f>集中式光伏!BC27+分布式光伏!BC27</f>
        <v>6894.76</v>
      </c>
      <c r="BD27">
        <f>集中式光伏!BD27+分布式光伏!BD27</f>
        <v>6725.45</v>
      </c>
      <c r="BE27">
        <f>集中式光伏!BE27+分布式光伏!BE27</f>
        <v>6541.92</v>
      </c>
      <c r="BF27">
        <f>集中式光伏!BF27+分布式光伏!BF27</f>
        <v>6310.14</v>
      </c>
      <c r="BG27">
        <f>集中式光伏!BG27+分布式光伏!BG27</f>
        <v>6026.1</v>
      </c>
      <c r="BH27">
        <f>集中式光伏!BH27+分布式光伏!BH27</f>
        <v>5704.49</v>
      </c>
      <c r="BI27">
        <f>集中式光伏!BI27+分布式光伏!BI27</f>
        <v>5361.84</v>
      </c>
      <c r="BJ27">
        <f>集中式光伏!BJ27+分布式光伏!BJ27</f>
        <v>4979.34</v>
      </c>
      <c r="BK27">
        <f>集中式光伏!BK27+分布式光伏!BK27</f>
        <v>4589.99</v>
      </c>
      <c r="BL27">
        <f>集中式光伏!BL27+分布式光伏!BL27</f>
        <v>4147.27</v>
      </c>
      <c r="BM27">
        <f>集中式光伏!BM27+分布式光伏!BM27</f>
        <v>3684.95</v>
      </c>
      <c r="BN27">
        <f>集中式光伏!BN27+分布式光伏!BN27</f>
        <v>3240.15</v>
      </c>
      <c r="BO27">
        <f>集中式光伏!BO27+分布式光伏!BO27</f>
        <v>2743.66</v>
      </c>
      <c r="BP27">
        <f>集中式光伏!BP27+分布式光伏!BP27</f>
        <v>2239.86</v>
      </c>
      <c r="BQ27">
        <f>集中式光伏!BQ27+分布式光伏!BQ27</f>
        <v>1773.71</v>
      </c>
      <c r="BR27">
        <f>集中式光伏!BR27+分布式光伏!BR27</f>
        <v>1356.78</v>
      </c>
      <c r="BS27">
        <f>集中式光伏!BS27+分布式光伏!BS27</f>
        <v>962.96</v>
      </c>
      <c r="BT27">
        <f>集中式光伏!BT27+分布式光伏!BT27</f>
        <v>619.4</v>
      </c>
      <c r="BU27">
        <f>集中式光伏!BU27+分布式光伏!BU27</f>
        <v>353.15</v>
      </c>
      <c r="BV27">
        <f>集中式光伏!BV27+分布式光伏!BV27</f>
        <v>152.43</v>
      </c>
      <c r="BW27">
        <f>集中式光伏!BW27+分布式光伏!BW27</f>
        <v>66.18</v>
      </c>
      <c r="BX27">
        <f>集中式光伏!BX27+分布式光伏!BX27</f>
        <v>16.69</v>
      </c>
      <c r="BY27">
        <f>集中式光伏!BY27+分布式光伏!BY27</f>
        <v>0</v>
      </c>
      <c r="BZ27">
        <f>集中式光伏!BZ27+分布式光伏!BZ27</f>
        <v>0</v>
      </c>
      <c r="CA27">
        <f>集中式光伏!CA27+分布式光伏!CA27</f>
        <v>0</v>
      </c>
      <c r="CB27">
        <f>集中式光伏!CB27+分布式光伏!CB27</f>
        <v>0</v>
      </c>
      <c r="CC27">
        <f>集中式光伏!CC27+分布式光伏!CC27</f>
        <v>0</v>
      </c>
      <c r="CD27">
        <f>集中式光伏!CD27+分布式光伏!CD27</f>
        <v>0</v>
      </c>
      <c r="CE27">
        <f>集中式光伏!CE27+分布式光伏!CE27</f>
        <v>0</v>
      </c>
      <c r="CF27">
        <f>集中式光伏!CF27+分布式光伏!CF27</f>
        <v>0</v>
      </c>
      <c r="CG27">
        <f>集中式光伏!CG27+分布式光伏!CG27</f>
        <v>0</v>
      </c>
      <c r="CH27">
        <f>集中式光伏!CH27+分布式光伏!CH27</f>
        <v>0</v>
      </c>
      <c r="CI27">
        <f>集中式光伏!CI27+分布式光伏!CI27</f>
        <v>0</v>
      </c>
      <c r="CJ27">
        <f>集中式光伏!CJ27+分布式光伏!CJ27</f>
        <v>0</v>
      </c>
      <c r="CK27">
        <f>集中式光伏!CK27+分布式光伏!CK27</f>
        <v>0</v>
      </c>
      <c r="CL27">
        <f>集中式光伏!CL27+分布式光伏!CL27</f>
        <v>0</v>
      </c>
      <c r="CM27">
        <f>集中式光伏!CM27+分布式光伏!CM27</f>
        <v>0</v>
      </c>
      <c r="CN27">
        <f>集中式光伏!CN27+分布式光伏!CN27</f>
        <v>0</v>
      </c>
      <c r="CO27">
        <f>集中式光伏!CO27+分布式光伏!CO27</f>
        <v>0</v>
      </c>
      <c r="CP27">
        <f>集中式光伏!CP27+分布式光伏!CP27</f>
        <v>0</v>
      </c>
      <c r="CQ27">
        <f>集中式光伏!CQ27+分布式光伏!CQ27</f>
        <v>0</v>
      </c>
      <c r="CR27">
        <f>集中式光伏!CR27+分布式光伏!CR27</f>
        <v>0</v>
      </c>
      <c r="CS27">
        <f>集中式光伏!CS27+分布式光伏!CS27</f>
        <v>0</v>
      </c>
    </row>
    <row r="28" spans="1:97">
      <c r="A28" s="9">
        <v>46261</v>
      </c>
      <c r="B28">
        <f>集中式光伏!B28+分布式光伏!B28</f>
        <v>0</v>
      </c>
      <c r="C28">
        <f>集中式光伏!C28+分布式光伏!C28</f>
        <v>0</v>
      </c>
      <c r="D28">
        <f>集中式光伏!D28+分布式光伏!D28</f>
        <v>0</v>
      </c>
      <c r="E28">
        <f>集中式光伏!E28+分布式光伏!E28</f>
        <v>0</v>
      </c>
      <c r="F28">
        <f>集中式光伏!F28+分布式光伏!F28</f>
        <v>0</v>
      </c>
      <c r="G28">
        <f>集中式光伏!G28+分布式光伏!G28</f>
        <v>0</v>
      </c>
      <c r="H28">
        <f>集中式光伏!H28+分布式光伏!H28</f>
        <v>0</v>
      </c>
      <c r="I28">
        <f>集中式光伏!I28+分布式光伏!I28</f>
        <v>0</v>
      </c>
      <c r="J28">
        <f>集中式光伏!J28+分布式光伏!J28</f>
        <v>0</v>
      </c>
      <c r="K28">
        <f>集中式光伏!K28+分布式光伏!K28</f>
        <v>0</v>
      </c>
      <c r="L28">
        <f>集中式光伏!L28+分布式光伏!L28</f>
        <v>0</v>
      </c>
      <c r="M28">
        <f>集中式光伏!M28+分布式光伏!M28</f>
        <v>0</v>
      </c>
      <c r="N28">
        <f>集中式光伏!N28+分布式光伏!N28</f>
        <v>0</v>
      </c>
      <c r="O28">
        <f>集中式光伏!O28+分布式光伏!O28</f>
        <v>0</v>
      </c>
      <c r="P28">
        <f>集中式光伏!P28+分布式光伏!P28</f>
        <v>0</v>
      </c>
      <c r="Q28">
        <f>集中式光伏!Q28+分布式光伏!Q28</f>
        <v>0</v>
      </c>
      <c r="R28">
        <f>集中式光伏!R28+分布式光伏!R28</f>
        <v>0</v>
      </c>
      <c r="S28">
        <f>集中式光伏!S28+分布式光伏!S28</f>
        <v>0</v>
      </c>
      <c r="T28">
        <f>集中式光伏!T28+分布式光伏!T28</f>
        <v>0</v>
      </c>
      <c r="U28">
        <f>集中式光伏!U28+分布式光伏!U28</f>
        <v>0</v>
      </c>
      <c r="V28">
        <f>集中式光伏!V28+分布式光伏!V28</f>
        <v>10.89</v>
      </c>
      <c r="W28">
        <f>集中式光伏!W28+分布式光伏!W28</f>
        <v>77.48</v>
      </c>
      <c r="X28">
        <f>集中式光伏!X28+分布式光伏!X28</f>
        <v>204.28</v>
      </c>
      <c r="Y28">
        <f>集中式光伏!Y28+分布式光伏!Y28</f>
        <v>399.7</v>
      </c>
      <c r="Z28">
        <f>集中式光伏!Z28+分布式光伏!Z28</f>
        <v>704.95</v>
      </c>
      <c r="AA28">
        <f>集中式光伏!AA28+分布式光伏!AA28</f>
        <v>1128.34</v>
      </c>
      <c r="AB28">
        <f>集中式光伏!AB28+分布式光伏!AB28</f>
        <v>1655.41</v>
      </c>
      <c r="AC28">
        <f>集中式光伏!AC28+分布式光伏!AC28</f>
        <v>2252.67</v>
      </c>
      <c r="AD28">
        <f>集中式光伏!AD28+分布式光伏!AD28</f>
        <v>2913.26</v>
      </c>
      <c r="AE28">
        <f>集中式光伏!AE28+分布式光伏!AE28</f>
        <v>3573.62</v>
      </c>
      <c r="AF28">
        <f>集中式光伏!AF28+分布式光伏!AF28</f>
        <v>4235.88</v>
      </c>
      <c r="AG28">
        <f>集中式光伏!AG28+分布式光伏!AG28</f>
        <v>4899.59</v>
      </c>
      <c r="AH28">
        <f>集中式光伏!AH28+分布式光伏!AH28</f>
        <v>5536.23</v>
      </c>
      <c r="AI28">
        <f>集中式光伏!AI28+分布式光伏!AI28</f>
        <v>6122.76</v>
      </c>
      <c r="AJ28">
        <f>集中式光伏!AJ28+分布式光伏!AJ28</f>
        <v>6706.08</v>
      </c>
      <c r="AK28">
        <f>集中式光伏!AK28+分布式光伏!AK28</f>
        <v>7235.21</v>
      </c>
      <c r="AL28">
        <f>集中式光伏!AL28+分布式光伏!AL28</f>
        <v>7701.13</v>
      </c>
      <c r="AM28">
        <f>集中式光伏!AM28+分布式光伏!AM28</f>
        <v>8096.98</v>
      </c>
      <c r="AN28">
        <f>集中式光伏!AN28+分布式光伏!AN28</f>
        <v>8442.91</v>
      </c>
      <c r="AO28">
        <f>集中式光伏!AO28+分布式光伏!AO28</f>
        <v>8731.12</v>
      </c>
      <c r="AP28">
        <f>集中式光伏!AP28+分布式光伏!AP28</f>
        <v>8967.76</v>
      </c>
      <c r="AQ28">
        <f>集中式光伏!AQ28+分布式光伏!AQ28</f>
        <v>9169.89</v>
      </c>
      <c r="AR28">
        <f>集中式光伏!AR28+分布式光伏!AR28</f>
        <v>9320.13</v>
      </c>
      <c r="AS28">
        <f>集中式光伏!AS28+分布式光伏!AS28</f>
        <v>9432.61</v>
      </c>
      <c r="AT28">
        <f>集中式光伏!AT28+分布式光伏!AT28</f>
        <v>9487.77</v>
      </c>
      <c r="AU28">
        <f>集中式光伏!AU28+分布式光伏!AU28</f>
        <v>9509.58</v>
      </c>
      <c r="AV28">
        <f>集中式光伏!AV28+分布式光伏!AV28</f>
        <v>9507.71</v>
      </c>
      <c r="AW28">
        <f>集中式光伏!AW28+分布式光伏!AW28</f>
        <v>9481.37</v>
      </c>
      <c r="AX28">
        <f>集中式光伏!AX28+分布式光伏!AX28</f>
        <v>9423.83</v>
      </c>
      <c r="AY28">
        <f>集中式光伏!AY28+分布式光伏!AY28</f>
        <v>9341.51</v>
      </c>
      <c r="AZ28">
        <f>集中式光伏!AZ28+分布式光伏!AZ28</f>
        <v>9208.57</v>
      </c>
      <c r="BA28">
        <f>集中式光伏!BA28+分布式光伏!BA28</f>
        <v>9053.97</v>
      </c>
      <c r="BB28">
        <f>集中式光伏!BB28+分布式光伏!BB28</f>
        <v>8874.84</v>
      </c>
      <c r="BC28">
        <f>集中式光伏!BC28+分布式光伏!BC28</f>
        <v>8647.64</v>
      </c>
      <c r="BD28">
        <f>集中式光伏!BD28+分布式光伏!BD28</f>
        <v>8369.79</v>
      </c>
      <c r="BE28">
        <f>集中式光伏!BE28+分布式光伏!BE28</f>
        <v>8051.72</v>
      </c>
      <c r="BF28">
        <f>集中式光伏!BF28+分布式光伏!BF28</f>
        <v>7671.06</v>
      </c>
      <c r="BG28">
        <f>集中式光伏!BG28+分布式光伏!BG28</f>
        <v>7243.07</v>
      </c>
      <c r="BH28">
        <f>集中式光伏!BH28+分布式光伏!BH28</f>
        <v>6785.58</v>
      </c>
      <c r="BI28">
        <f>集中式光伏!BI28+分布式光伏!BI28</f>
        <v>6299.55</v>
      </c>
      <c r="BJ28">
        <f>集中式光伏!BJ28+分布式光伏!BJ28</f>
        <v>5765.79</v>
      </c>
      <c r="BK28">
        <f>集中式光伏!BK28+分布式光伏!BK28</f>
        <v>5187.93</v>
      </c>
      <c r="BL28">
        <f>集中式光伏!BL28+分布式光伏!BL28</f>
        <v>4594.47</v>
      </c>
      <c r="BM28">
        <f>集中式光伏!BM28+分布式光伏!BM28</f>
        <v>4003.64</v>
      </c>
      <c r="BN28">
        <f>集中式光伏!BN28+分布式光伏!BN28</f>
        <v>3442.3</v>
      </c>
      <c r="BO28">
        <f>集中式光伏!BO28+分布式光伏!BO28</f>
        <v>2836.02</v>
      </c>
      <c r="BP28">
        <f>集中式光伏!BP28+分布式光伏!BP28</f>
        <v>2262.14</v>
      </c>
      <c r="BQ28">
        <f>集中式光伏!BQ28+分布式光伏!BQ28</f>
        <v>1730.83</v>
      </c>
      <c r="BR28">
        <f>集中式光伏!BR28+分布式光伏!BR28</f>
        <v>1292.1</v>
      </c>
      <c r="BS28">
        <f>集中式光伏!BS28+分布式光伏!BS28</f>
        <v>894.45</v>
      </c>
      <c r="BT28">
        <f>集中式光伏!BT28+分布式光伏!BT28</f>
        <v>565.24</v>
      </c>
      <c r="BU28">
        <f>集中式光伏!BU28+分布式光伏!BU28</f>
        <v>314.17</v>
      </c>
      <c r="BV28">
        <f>集中式光伏!BV28+分布式光伏!BV28</f>
        <v>132.82</v>
      </c>
      <c r="BW28">
        <f>集中式光伏!BW28+分布式光伏!BW28</f>
        <v>55.71</v>
      </c>
      <c r="BX28">
        <f>集中式光伏!BX28+分布式光伏!BX28</f>
        <v>4.57</v>
      </c>
      <c r="BY28">
        <f>集中式光伏!BY28+分布式光伏!BY28</f>
        <v>0</v>
      </c>
      <c r="BZ28">
        <f>集中式光伏!BZ28+分布式光伏!BZ28</f>
        <v>0</v>
      </c>
      <c r="CA28">
        <f>集中式光伏!CA28+分布式光伏!CA28</f>
        <v>0</v>
      </c>
      <c r="CB28">
        <f>集中式光伏!CB28+分布式光伏!CB28</f>
        <v>0</v>
      </c>
      <c r="CC28">
        <f>集中式光伏!CC28+分布式光伏!CC28</f>
        <v>0</v>
      </c>
      <c r="CD28">
        <f>集中式光伏!CD28+分布式光伏!CD28</f>
        <v>0</v>
      </c>
      <c r="CE28">
        <f>集中式光伏!CE28+分布式光伏!CE28</f>
        <v>0</v>
      </c>
      <c r="CF28">
        <f>集中式光伏!CF28+分布式光伏!CF28</f>
        <v>0</v>
      </c>
      <c r="CG28">
        <f>集中式光伏!CG28+分布式光伏!CG28</f>
        <v>0</v>
      </c>
      <c r="CH28">
        <f>集中式光伏!CH28+分布式光伏!CH28</f>
        <v>0</v>
      </c>
      <c r="CI28">
        <f>集中式光伏!CI28+分布式光伏!CI28</f>
        <v>0</v>
      </c>
      <c r="CJ28">
        <f>集中式光伏!CJ28+分布式光伏!CJ28</f>
        <v>0</v>
      </c>
      <c r="CK28">
        <f>集中式光伏!CK28+分布式光伏!CK28</f>
        <v>0</v>
      </c>
      <c r="CL28">
        <f>集中式光伏!CL28+分布式光伏!CL28</f>
        <v>0</v>
      </c>
      <c r="CM28">
        <f>集中式光伏!CM28+分布式光伏!CM28</f>
        <v>0</v>
      </c>
      <c r="CN28">
        <f>集中式光伏!CN28+分布式光伏!CN28</f>
        <v>0</v>
      </c>
      <c r="CO28">
        <f>集中式光伏!CO28+分布式光伏!CO28</f>
        <v>0</v>
      </c>
      <c r="CP28">
        <f>集中式光伏!CP28+分布式光伏!CP28</f>
        <v>0</v>
      </c>
      <c r="CQ28">
        <f>集中式光伏!CQ28+分布式光伏!CQ28</f>
        <v>0</v>
      </c>
      <c r="CR28">
        <f>集中式光伏!CR28+分布式光伏!CR28</f>
        <v>0</v>
      </c>
      <c r="CS28">
        <f>集中式光伏!CS28+分布式光伏!CS28</f>
        <v>0</v>
      </c>
    </row>
    <row r="29" spans="1:97">
      <c r="A29" s="9">
        <v>46262</v>
      </c>
      <c r="B29">
        <f>集中式光伏!B29+分布式光伏!B29</f>
        <v>0</v>
      </c>
      <c r="C29">
        <f>集中式光伏!C29+分布式光伏!C29</f>
        <v>0</v>
      </c>
      <c r="D29">
        <f>集中式光伏!D29+分布式光伏!D29</f>
        <v>0</v>
      </c>
      <c r="E29">
        <f>集中式光伏!E29+分布式光伏!E29</f>
        <v>0</v>
      </c>
      <c r="F29">
        <f>集中式光伏!F29+分布式光伏!F29</f>
        <v>0</v>
      </c>
      <c r="G29">
        <f>集中式光伏!G29+分布式光伏!G29</f>
        <v>0</v>
      </c>
      <c r="H29">
        <f>集中式光伏!H29+分布式光伏!H29</f>
        <v>0</v>
      </c>
      <c r="I29">
        <f>集中式光伏!I29+分布式光伏!I29</f>
        <v>0</v>
      </c>
      <c r="J29">
        <f>集中式光伏!J29+分布式光伏!J29</f>
        <v>0</v>
      </c>
      <c r="K29">
        <f>集中式光伏!K29+分布式光伏!K29</f>
        <v>0</v>
      </c>
      <c r="L29">
        <f>集中式光伏!L29+分布式光伏!L29</f>
        <v>0</v>
      </c>
      <c r="M29">
        <f>集中式光伏!M29+分布式光伏!M29</f>
        <v>0</v>
      </c>
      <c r="N29">
        <f>集中式光伏!N29+分布式光伏!N29</f>
        <v>0</v>
      </c>
      <c r="O29">
        <f>集中式光伏!O29+分布式光伏!O29</f>
        <v>0</v>
      </c>
      <c r="P29">
        <f>集中式光伏!P29+分布式光伏!P29</f>
        <v>0</v>
      </c>
      <c r="Q29">
        <f>集中式光伏!Q29+分布式光伏!Q29</f>
        <v>0</v>
      </c>
      <c r="R29">
        <f>集中式光伏!R29+分布式光伏!R29</f>
        <v>0</v>
      </c>
      <c r="S29">
        <f>集中式光伏!S29+分布式光伏!S29</f>
        <v>0</v>
      </c>
      <c r="T29">
        <f>集中式光伏!T29+分布式光伏!T29</f>
        <v>0</v>
      </c>
      <c r="U29">
        <f>集中式光伏!U29+分布式光伏!U29</f>
        <v>0</v>
      </c>
      <c r="V29">
        <f>集中式光伏!V29+分布式光伏!V29</f>
        <v>5.88</v>
      </c>
      <c r="W29">
        <f>集中式光伏!W29+分布式光伏!W29</f>
        <v>30.58</v>
      </c>
      <c r="X29">
        <f>集中式光伏!X29+分布式光伏!X29</f>
        <v>90.59</v>
      </c>
      <c r="Y29">
        <f>集中式光伏!Y29+分布式光伏!Y29</f>
        <v>165.52</v>
      </c>
      <c r="Z29">
        <f>集中式光伏!Z29+分布式光伏!Z29</f>
        <v>275.02</v>
      </c>
      <c r="AA29">
        <f>集中式光伏!AA29+分布式光伏!AA29</f>
        <v>408.56</v>
      </c>
      <c r="AB29">
        <f>集中式光伏!AB29+分布式光伏!AB29</f>
        <v>564.93</v>
      </c>
      <c r="AC29">
        <f>集中式光伏!AC29+分布式光伏!AC29</f>
        <v>767.74</v>
      </c>
      <c r="AD29">
        <f>集中式光伏!AD29+分布式光伏!AD29</f>
        <v>987.39</v>
      </c>
      <c r="AE29">
        <f>集中式光伏!AE29+分布式光伏!AE29</f>
        <v>1214.62</v>
      </c>
      <c r="AF29">
        <f>集中式光伏!AF29+分布式光伏!AF29</f>
        <v>1468.78</v>
      </c>
      <c r="AG29">
        <f>集中式光伏!AG29+分布式光伏!AG29</f>
        <v>1709.71</v>
      </c>
      <c r="AH29">
        <f>集中式光伏!AH29+分布式光伏!AH29</f>
        <v>1954.49</v>
      </c>
      <c r="AI29">
        <f>集中式光伏!AI29+分布式光伏!AI29</f>
        <v>2202.11</v>
      </c>
      <c r="AJ29">
        <f>集中式光伏!AJ29+分布式光伏!AJ29</f>
        <v>2439.77</v>
      </c>
      <c r="AK29">
        <f>集中式光伏!AK29+分布式光伏!AK29</f>
        <v>2670.32</v>
      </c>
      <c r="AL29">
        <f>集中式光伏!AL29+分布式光伏!AL29</f>
        <v>2917.32</v>
      </c>
      <c r="AM29">
        <f>集中式光伏!AM29+分布式光伏!AM29</f>
        <v>3143.24</v>
      </c>
      <c r="AN29">
        <f>集中式光伏!AN29+分布式光伏!AN29</f>
        <v>3409.91</v>
      </c>
      <c r="AO29">
        <f>集中式光伏!AO29+分布式光伏!AO29</f>
        <v>3633.19</v>
      </c>
      <c r="AP29">
        <f>集中式光伏!AP29+分布式光伏!AP29</f>
        <v>3850.96</v>
      </c>
      <c r="AQ29">
        <f>集中式光伏!AQ29+分布式光伏!AQ29</f>
        <v>4049</v>
      </c>
      <c r="AR29">
        <f>集中式光伏!AR29+分布式光伏!AR29</f>
        <v>4241.59</v>
      </c>
      <c r="AS29">
        <f>集中式光伏!AS29+分布式光伏!AS29</f>
        <v>4433.67</v>
      </c>
      <c r="AT29">
        <f>集中式光伏!AT29+分布式光伏!AT29</f>
        <v>4584.27</v>
      </c>
      <c r="AU29">
        <f>集中式光伏!AU29+分布式光伏!AU29</f>
        <v>4710.11</v>
      </c>
      <c r="AV29">
        <f>集中式光伏!AV29+分布式光伏!AV29</f>
        <v>4815.68</v>
      </c>
      <c r="AW29">
        <f>集中式光伏!AW29+分布式光伏!AW29</f>
        <v>4893.25</v>
      </c>
      <c r="AX29">
        <f>集中式光伏!AX29+分布式光伏!AX29</f>
        <v>4934.43</v>
      </c>
      <c r="AY29">
        <f>集中式光伏!AY29+分布式光伏!AY29</f>
        <v>4972.39</v>
      </c>
      <c r="AZ29">
        <f>集中式光伏!AZ29+分布式光伏!AZ29</f>
        <v>4944.97</v>
      </c>
      <c r="BA29">
        <f>集中式光伏!BA29+分布式光伏!BA29</f>
        <v>4895.2</v>
      </c>
      <c r="BB29">
        <f>集中式光伏!BB29+分布式光伏!BB29</f>
        <v>4816.49</v>
      </c>
      <c r="BC29">
        <f>集中式光伏!BC29+分布式光伏!BC29</f>
        <v>4704.27</v>
      </c>
      <c r="BD29">
        <f>集中式光伏!BD29+分布式光伏!BD29</f>
        <v>4547.27</v>
      </c>
      <c r="BE29">
        <f>集中式光伏!BE29+分布式光伏!BE29</f>
        <v>4398.68</v>
      </c>
      <c r="BF29">
        <f>集中式光伏!BF29+分布式光伏!BF29</f>
        <v>4192.15</v>
      </c>
      <c r="BG29">
        <f>集中式光伏!BG29+分布式光伏!BG29</f>
        <v>3956.29</v>
      </c>
      <c r="BH29">
        <f>集中式光伏!BH29+分布式光伏!BH29</f>
        <v>3696.03</v>
      </c>
      <c r="BI29">
        <f>集中式光伏!BI29+分布式光伏!BI29</f>
        <v>3433.65</v>
      </c>
      <c r="BJ29">
        <f>集中式光伏!BJ29+分布式光伏!BJ29</f>
        <v>3132.06</v>
      </c>
      <c r="BK29">
        <f>集中式光伏!BK29+分布式光伏!BK29</f>
        <v>2827.69</v>
      </c>
      <c r="BL29">
        <f>集中式光伏!BL29+分布式光伏!BL29</f>
        <v>2496.07</v>
      </c>
      <c r="BM29">
        <f>集中式光伏!BM29+分布式光伏!BM29</f>
        <v>2169.2</v>
      </c>
      <c r="BN29">
        <f>集中式光伏!BN29+分布式光伏!BN29</f>
        <v>1843.13</v>
      </c>
      <c r="BO29">
        <f>集中式光伏!BO29+分布式光伏!BO29</f>
        <v>1519.51</v>
      </c>
      <c r="BP29">
        <f>集中式光伏!BP29+分布式光伏!BP29</f>
        <v>1178.22</v>
      </c>
      <c r="BQ29">
        <f>集中式光伏!BQ29+分布式光伏!BQ29</f>
        <v>909.53</v>
      </c>
      <c r="BR29">
        <f>集中式光伏!BR29+分布式光伏!BR29</f>
        <v>672.83</v>
      </c>
      <c r="BS29">
        <f>集中式光伏!BS29+分布式光伏!BS29</f>
        <v>471.4</v>
      </c>
      <c r="BT29">
        <f>集中式光伏!BT29+分布式光伏!BT29</f>
        <v>309.52</v>
      </c>
      <c r="BU29">
        <f>集中式光伏!BU29+分布式光伏!BU29</f>
        <v>175.9</v>
      </c>
      <c r="BV29">
        <f>集中式光伏!BV29+分布式光伏!BV29</f>
        <v>75.59</v>
      </c>
      <c r="BW29">
        <f>集中式光伏!BW29+分布式光伏!BW29</f>
        <v>25.65</v>
      </c>
      <c r="BX29">
        <f>集中式光伏!BX29+分布式光伏!BX29</f>
        <v>1.66</v>
      </c>
      <c r="BY29">
        <f>集中式光伏!BY29+分布式光伏!BY29</f>
        <v>0</v>
      </c>
      <c r="BZ29">
        <f>集中式光伏!BZ29+分布式光伏!BZ29</f>
        <v>0</v>
      </c>
      <c r="CA29">
        <f>集中式光伏!CA29+分布式光伏!CA29</f>
        <v>0</v>
      </c>
      <c r="CB29">
        <f>集中式光伏!CB29+分布式光伏!CB29</f>
        <v>0</v>
      </c>
      <c r="CC29">
        <f>集中式光伏!CC29+分布式光伏!CC29</f>
        <v>0</v>
      </c>
      <c r="CD29">
        <f>集中式光伏!CD29+分布式光伏!CD29</f>
        <v>0</v>
      </c>
      <c r="CE29">
        <f>集中式光伏!CE29+分布式光伏!CE29</f>
        <v>0</v>
      </c>
      <c r="CF29">
        <f>集中式光伏!CF29+分布式光伏!CF29</f>
        <v>0</v>
      </c>
      <c r="CG29">
        <f>集中式光伏!CG29+分布式光伏!CG29</f>
        <v>0</v>
      </c>
      <c r="CH29">
        <f>集中式光伏!CH29+分布式光伏!CH29</f>
        <v>0</v>
      </c>
      <c r="CI29">
        <f>集中式光伏!CI29+分布式光伏!CI29</f>
        <v>0</v>
      </c>
      <c r="CJ29">
        <f>集中式光伏!CJ29+分布式光伏!CJ29</f>
        <v>0</v>
      </c>
      <c r="CK29">
        <f>集中式光伏!CK29+分布式光伏!CK29</f>
        <v>0</v>
      </c>
      <c r="CL29">
        <f>集中式光伏!CL29+分布式光伏!CL29</f>
        <v>0</v>
      </c>
      <c r="CM29">
        <f>集中式光伏!CM29+分布式光伏!CM29</f>
        <v>0</v>
      </c>
      <c r="CN29">
        <f>集中式光伏!CN29+分布式光伏!CN29</f>
        <v>0</v>
      </c>
      <c r="CO29">
        <f>集中式光伏!CO29+分布式光伏!CO29</f>
        <v>0</v>
      </c>
      <c r="CP29">
        <f>集中式光伏!CP29+分布式光伏!CP29</f>
        <v>0</v>
      </c>
      <c r="CQ29">
        <f>集中式光伏!CQ29+分布式光伏!CQ29</f>
        <v>0</v>
      </c>
      <c r="CR29">
        <f>集中式光伏!CR29+分布式光伏!CR29</f>
        <v>0</v>
      </c>
      <c r="CS29">
        <f>集中式光伏!CS29+分布式光伏!CS29</f>
        <v>0</v>
      </c>
    </row>
    <row r="30" spans="1:97">
      <c r="A30" s="9">
        <v>46263</v>
      </c>
      <c r="B30">
        <f>集中式光伏!B30+分布式光伏!B30</f>
        <v>0</v>
      </c>
      <c r="C30">
        <f>集中式光伏!C30+分布式光伏!C30</f>
        <v>0</v>
      </c>
      <c r="D30">
        <f>集中式光伏!D30+分布式光伏!D30</f>
        <v>0</v>
      </c>
      <c r="E30">
        <f>集中式光伏!E30+分布式光伏!E30</f>
        <v>0</v>
      </c>
      <c r="F30">
        <f>集中式光伏!F30+分布式光伏!F30</f>
        <v>0</v>
      </c>
      <c r="G30">
        <f>集中式光伏!G30+分布式光伏!G30</f>
        <v>0</v>
      </c>
      <c r="H30">
        <f>集中式光伏!H30+分布式光伏!H30</f>
        <v>0</v>
      </c>
      <c r="I30">
        <f>集中式光伏!I30+分布式光伏!I30</f>
        <v>0</v>
      </c>
      <c r="J30">
        <f>集中式光伏!J30+分布式光伏!J30</f>
        <v>0</v>
      </c>
      <c r="K30">
        <f>集中式光伏!K30+分布式光伏!K30</f>
        <v>0</v>
      </c>
      <c r="L30">
        <f>集中式光伏!L30+分布式光伏!L30</f>
        <v>0</v>
      </c>
      <c r="M30">
        <f>集中式光伏!M30+分布式光伏!M30</f>
        <v>0</v>
      </c>
      <c r="N30">
        <f>集中式光伏!N30+分布式光伏!N30</f>
        <v>0</v>
      </c>
      <c r="O30">
        <f>集中式光伏!O30+分布式光伏!O30</f>
        <v>0</v>
      </c>
      <c r="P30">
        <f>集中式光伏!P30+分布式光伏!P30</f>
        <v>0</v>
      </c>
      <c r="Q30">
        <f>集中式光伏!Q30+分布式光伏!Q30</f>
        <v>0</v>
      </c>
      <c r="R30">
        <f>集中式光伏!R30+分布式光伏!R30</f>
        <v>0</v>
      </c>
      <c r="S30">
        <f>集中式光伏!S30+分布式光伏!S30</f>
        <v>0</v>
      </c>
      <c r="T30">
        <f>集中式光伏!T30+分布式光伏!T30</f>
        <v>0</v>
      </c>
      <c r="U30">
        <f>集中式光伏!U30+分布式光伏!U30</f>
        <v>0</v>
      </c>
      <c r="V30">
        <f>集中式光伏!V30+分布式光伏!V30</f>
        <v>6.18</v>
      </c>
      <c r="W30">
        <f>集中式光伏!W30+分布式光伏!W30</f>
        <v>38.77</v>
      </c>
      <c r="X30">
        <f>集中式光伏!X30+分布式光伏!X30</f>
        <v>124.94</v>
      </c>
      <c r="Y30">
        <f>集中式光伏!Y30+分布式光伏!Y30</f>
        <v>243.47</v>
      </c>
      <c r="Z30">
        <f>集中式光伏!Z30+分布式光伏!Z30</f>
        <v>423.98</v>
      </c>
      <c r="AA30">
        <f>集中式光伏!AA30+分布式光伏!AA30</f>
        <v>671.13</v>
      </c>
      <c r="AB30">
        <f>集中式光伏!AB30+分布式光伏!AB30</f>
        <v>979.92</v>
      </c>
      <c r="AC30">
        <f>集中式光伏!AC30+分布式光伏!AC30</f>
        <v>1345.33</v>
      </c>
      <c r="AD30">
        <f>集中式光伏!AD30+分布式光伏!AD30</f>
        <v>1775.92</v>
      </c>
      <c r="AE30">
        <f>集中式光伏!AE30+分布式光伏!AE30</f>
        <v>2218.77</v>
      </c>
      <c r="AF30">
        <f>集中式光伏!AF30+分布式光伏!AF30</f>
        <v>2689.69</v>
      </c>
      <c r="AG30">
        <f>集中式光伏!AG30+分布式光伏!AG30</f>
        <v>3156.21</v>
      </c>
      <c r="AH30">
        <f>集中式光伏!AH30+分布式光伏!AH30</f>
        <v>3651.19</v>
      </c>
      <c r="AI30">
        <f>集中式光伏!AI30+分布式光伏!AI30</f>
        <v>4143.17</v>
      </c>
      <c r="AJ30">
        <f>集中式光伏!AJ30+分布式光伏!AJ30</f>
        <v>4642.27</v>
      </c>
      <c r="AK30">
        <f>集中式光伏!AK30+分布式光伏!AK30</f>
        <v>5118.77</v>
      </c>
      <c r="AL30">
        <f>集中式光伏!AL30+分布式光伏!AL30</f>
        <v>5568.84</v>
      </c>
      <c r="AM30">
        <f>集中式光伏!AM30+分布式光伏!AM30</f>
        <v>5942.21</v>
      </c>
      <c r="AN30">
        <f>集中式光伏!AN30+分布式光伏!AN30</f>
        <v>6318.45</v>
      </c>
      <c r="AO30">
        <f>集中式光伏!AO30+分布式光伏!AO30</f>
        <v>6631.06</v>
      </c>
      <c r="AP30">
        <f>集中式光伏!AP30+分布式光伏!AP30</f>
        <v>6920.7</v>
      </c>
      <c r="AQ30">
        <f>集中式光伏!AQ30+分布式光伏!AQ30</f>
        <v>7192.15</v>
      </c>
      <c r="AR30">
        <f>集中式光伏!AR30+分布式光伏!AR30</f>
        <v>7441.7</v>
      </c>
      <c r="AS30">
        <f>集中式光伏!AS30+分布式光伏!AS30</f>
        <v>7649.32</v>
      </c>
      <c r="AT30">
        <f>集中式光伏!AT30+分布式光伏!AT30</f>
        <v>7776.24</v>
      </c>
      <c r="AU30">
        <f>集中式光伏!AU30+分布式光伏!AU30</f>
        <v>7870.54</v>
      </c>
      <c r="AV30">
        <f>集中式光伏!AV30+分布式光伏!AV30</f>
        <v>7933.87</v>
      </c>
      <c r="AW30">
        <f>集中式光伏!AW30+分布式光伏!AW30</f>
        <v>7965.47</v>
      </c>
      <c r="AX30">
        <f>集中式光伏!AX30+分布式光伏!AX30</f>
        <v>7950.96</v>
      </c>
      <c r="AY30">
        <f>集中式光伏!AY30+分布式光伏!AY30</f>
        <v>7905.62</v>
      </c>
      <c r="AZ30">
        <f>集中式光伏!AZ30+分布式光伏!AZ30</f>
        <v>7808.75</v>
      </c>
      <c r="BA30">
        <f>集中式光伏!BA30+分布式光伏!BA30</f>
        <v>7669.01</v>
      </c>
      <c r="BB30">
        <f>集中式光伏!BB30+分布式光伏!BB30</f>
        <v>7533.25</v>
      </c>
      <c r="BC30">
        <f>集中式光伏!BC30+分布式光伏!BC30</f>
        <v>7318.13</v>
      </c>
      <c r="BD30">
        <f>集中式光伏!BD30+分布式光伏!BD30</f>
        <v>7060.88</v>
      </c>
      <c r="BE30">
        <f>集中式光伏!BE30+分布式光伏!BE30</f>
        <v>6791.58</v>
      </c>
      <c r="BF30">
        <f>集中式光伏!BF30+分布式光伏!BF30</f>
        <v>6475.72</v>
      </c>
      <c r="BG30">
        <f>集中式光伏!BG30+分布式光伏!BG30</f>
        <v>6129.16</v>
      </c>
      <c r="BH30">
        <f>集中式光伏!BH30+分布式光伏!BH30</f>
        <v>5761.59</v>
      </c>
      <c r="BI30">
        <f>集中式光伏!BI30+分布式光伏!BI30</f>
        <v>5375.17</v>
      </c>
      <c r="BJ30">
        <f>集中式光伏!BJ30+分布式光伏!BJ30</f>
        <v>4940.63</v>
      </c>
      <c r="BK30">
        <f>集中式光伏!BK30+分布式光伏!BK30</f>
        <v>4487.52</v>
      </c>
      <c r="BL30">
        <f>集中式光伏!BL30+分布式光伏!BL30</f>
        <v>4024.91</v>
      </c>
      <c r="BM30">
        <f>集中式光伏!BM30+分布式光伏!BM30</f>
        <v>3560.95</v>
      </c>
      <c r="BN30">
        <f>集中式光伏!BN30+分布式光伏!BN30</f>
        <v>3107.01</v>
      </c>
      <c r="BO30">
        <f>集中式光伏!BO30+分布式光伏!BO30</f>
        <v>2611.87</v>
      </c>
      <c r="BP30">
        <f>集中式光伏!BP30+分布式光伏!BP30</f>
        <v>2115.61</v>
      </c>
      <c r="BQ30">
        <f>集中式光伏!BQ30+分布式光伏!BQ30</f>
        <v>1661.81</v>
      </c>
      <c r="BR30">
        <f>集中式光伏!BR30+分布式光伏!BR30</f>
        <v>1258</v>
      </c>
      <c r="BS30">
        <f>集中式光伏!BS30+分布式光伏!BS30</f>
        <v>873.38</v>
      </c>
      <c r="BT30">
        <f>集中式光伏!BT30+分布式光伏!BT30</f>
        <v>548.25</v>
      </c>
      <c r="BU30">
        <f>集中式光伏!BU30+分布式光伏!BU30</f>
        <v>296.89</v>
      </c>
      <c r="BV30">
        <f>集中式光伏!BV30+分布式光伏!BV30</f>
        <v>124.39</v>
      </c>
      <c r="BW30">
        <f>集中式光伏!BW30+分布式光伏!BW30</f>
        <v>45.13</v>
      </c>
      <c r="BX30">
        <f>集中式光伏!BX30+分布式光伏!BX30</f>
        <v>1.91</v>
      </c>
      <c r="BY30">
        <f>集中式光伏!BY30+分布式光伏!BY30</f>
        <v>0</v>
      </c>
      <c r="BZ30">
        <f>集中式光伏!BZ30+分布式光伏!BZ30</f>
        <v>0</v>
      </c>
      <c r="CA30">
        <f>集中式光伏!CA30+分布式光伏!CA30</f>
        <v>0</v>
      </c>
      <c r="CB30">
        <f>集中式光伏!CB30+分布式光伏!CB30</f>
        <v>0</v>
      </c>
      <c r="CC30">
        <f>集中式光伏!CC30+分布式光伏!CC30</f>
        <v>0</v>
      </c>
      <c r="CD30">
        <f>集中式光伏!CD30+分布式光伏!CD30</f>
        <v>0</v>
      </c>
      <c r="CE30">
        <f>集中式光伏!CE30+分布式光伏!CE30</f>
        <v>0</v>
      </c>
      <c r="CF30">
        <f>集中式光伏!CF30+分布式光伏!CF30</f>
        <v>0</v>
      </c>
      <c r="CG30">
        <f>集中式光伏!CG30+分布式光伏!CG30</f>
        <v>0</v>
      </c>
      <c r="CH30">
        <f>集中式光伏!CH30+分布式光伏!CH30</f>
        <v>0</v>
      </c>
      <c r="CI30">
        <f>集中式光伏!CI30+分布式光伏!CI30</f>
        <v>0</v>
      </c>
      <c r="CJ30">
        <f>集中式光伏!CJ30+分布式光伏!CJ30</f>
        <v>0</v>
      </c>
      <c r="CK30">
        <f>集中式光伏!CK30+分布式光伏!CK30</f>
        <v>0</v>
      </c>
      <c r="CL30">
        <f>集中式光伏!CL30+分布式光伏!CL30</f>
        <v>0</v>
      </c>
      <c r="CM30">
        <f>集中式光伏!CM30+分布式光伏!CM30</f>
        <v>0</v>
      </c>
      <c r="CN30">
        <f>集中式光伏!CN30+分布式光伏!CN30</f>
        <v>0</v>
      </c>
      <c r="CO30">
        <f>集中式光伏!CO30+分布式光伏!CO30</f>
        <v>0</v>
      </c>
      <c r="CP30">
        <f>集中式光伏!CP30+分布式光伏!CP30</f>
        <v>0</v>
      </c>
      <c r="CQ30">
        <f>集中式光伏!CQ30+分布式光伏!CQ30</f>
        <v>0</v>
      </c>
      <c r="CR30">
        <f>集中式光伏!CR30+分布式光伏!CR30</f>
        <v>0</v>
      </c>
      <c r="CS30">
        <f>集中式光伏!CS30+分布式光伏!CS30</f>
        <v>0</v>
      </c>
    </row>
    <row r="31" spans="1:97">
      <c r="A31" s="9">
        <v>46264</v>
      </c>
      <c r="B31">
        <f>集中式光伏!B31+分布式光伏!B31</f>
        <v>0</v>
      </c>
      <c r="C31">
        <f>集中式光伏!C31+分布式光伏!C31</f>
        <v>0</v>
      </c>
      <c r="D31">
        <f>集中式光伏!D31+分布式光伏!D31</f>
        <v>0</v>
      </c>
      <c r="E31">
        <f>集中式光伏!E31+分布式光伏!E31</f>
        <v>0</v>
      </c>
      <c r="F31">
        <f>集中式光伏!F31+分布式光伏!F31</f>
        <v>0</v>
      </c>
      <c r="G31">
        <f>集中式光伏!G31+分布式光伏!G31</f>
        <v>0</v>
      </c>
      <c r="H31">
        <f>集中式光伏!H31+分布式光伏!H31</f>
        <v>0</v>
      </c>
      <c r="I31">
        <f>集中式光伏!I31+分布式光伏!I31</f>
        <v>0</v>
      </c>
      <c r="J31">
        <f>集中式光伏!J31+分布式光伏!J31</f>
        <v>0</v>
      </c>
      <c r="K31">
        <f>集中式光伏!K31+分布式光伏!K31</f>
        <v>0</v>
      </c>
      <c r="L31">
        <f>集中式光伏!L31+分布式光伏!L31</f>
        <v>0</v>
      </c>
      <c r="M31">
        <f>集中式光伏!M31+分布式光伏!M31</f>
        <v>0</v>
      </c>
      <c r="N31">
        <f>集中式光伏!N31+分布式光伏!N31</f>
        <v>0</v>
      </c>
      <c r="O31">
        <f>集中式光伏!O31+分布式光伏!O31</f>
        <v>0</v>
      </c>
      <c r="P31">
        <f>集中式光伏!P31+分布式光伏!P31</f>
        <v>0</v>
      </c>
      <c r="Q31">
        <f>集中式光伏!Q31+分布式光伏!Q31</f>
        <v>0</v>
      </c>
      <c r="R31">
        <f>集中式光伏!R31+分布式光伏!R31</f>
        <v>0</v>
      </c>
      <c r="S31">
        <f>集中式光伏!S31+分布式光伏!S31</f>
        <v>0</v>
      </c>
      <c r="T31">
        <f>集中式光伏!T31+分布式光伏!T31</f>
        <v>0</v>
      </c>
      <c r="U31">
        <f>集中式光伏!U31+分布式光伏!U31</f>
        <v>0</v>
      </c>
      <c r="V31">
        <f>集中式光伏!V31+分布式光伏!V31</f>
        <v>4.2</v>
      </c>
      <c r="W31">
        <f>集中式光伏!W31+分布式光伏!W31</f>
        <v>49.59</v>
      </c>
      <c r="X31">
        <f>集中式光伏!X31+分布式光伏!X31</f>
        <v>162.89</v>
      </c>
      <c r="Y31">
        <f>集中式光伏!Y31+分布式光伏!Y31</f>
        <v>335.19</v>
      </c>
      <c r="Z31">
        <f>集中式光伏!Z31+分布式光伏!Z31</f>
        <v>617.28</v>
      </c>
      <c r="AA31">
        <f>集中式光伏!AA31+分布式光伏!AA31</f>
        <v>1019.1</v>
      </c>
      <c r="AB31">
        <f>集中式光伏!AB31+分布式光伏!AB31</f>
        <v>1524.78</v>
      </c>
      <c r="AC31">
        <f>集中式光伏!AC31+分布式光伏!AC31</f>
        <v>2109.55</v>
      </c>
      <c r="AD31">
        <f>集中式光伏!AD31+分布式光伏!AD31</f>
        <v>2775.69</v>
      </c>
      <c r="AE31">
        <f>集中式光伏!AE31+分布式光伏!AE31</f>
        <v>3433.83</v>
      </c>
      <c r="AF31">
        <f>集中式光伏!AF31+分布式光伏!AF31</f>
        <v>4126.3</v>
      </c>
      <c r="AG31">
        <f>集中式光伏!AG31+分布式光伏!AG31</f>
        <v>4801.44</v>
      </c>
      <c r="AH31">
        <f>集中式光伏!AH31+分布式光伏!AH31</f>
        <v>5475.79</v>
      </c>
      <c r="AI31">
        <f>集中式光伏!AI31+分布式光伏!AI31</f>
        <v>6097.14</v>
      </c>
      <c r="AJ31">
        <f>集中式光伏!AJ31+分布式光伏!AJ31</f>
        <v>6701.53</v>
      </c>
      <c r="AK31">
        <f>集中式光伏!AK31+分布式光伏!AK31</f>
        <v>7253.94</v>
      </c>
      <c r="AL31">
        <f>集中式光伏!AL31+分布式光伏!AL31</f>
        <v>7753.18</v>
      </c>
      <c r="AM31">
        <f>集中式光伏!AM31+分布式光伏!AM31</f>
        <v>8169.62</v>
      </c>
      <c r="AN31">
        <f>集中式光伏!AN31+分布式光伏!AN31</f>
        <v>8529.58</v>
      </c>
      <c r="AO31">
        <f>集中式光伏!AO31+分布式光伏!AO31</f>
        <v>8831.9</v>
      </c>
      <c r="AP31">
        <f>集中式光伏!AP31+分布式光伏!AP31</f>
        <v>9074.6</v>
      </c>
      <c r="AQ31">
        <f>集中式光伏!AQ31+分布式光伏!AQ31</f>
        <v>9272.73</v>
      </c>
      <c r="AR31">
        <f>集中式光伏!AR31+分布式光伏!AR31</f>
        <v>9428.22</v>
      </c>
      <c r="AS31">
        <f>集中式光伏!AS31+分布式光伏!AS31</f>
        <v>9533.61</v>
      </c>
      <c r="AT31">
        <f>集中式光伏!AT31+分布式光伏!AT31</f>
        <v>9586.62</v>
      </c>
      <c r="AU31">
        <f>集中式光伏!AU31+分布式光伏!AU31</f>
        <v>9602.42</v>
      </c>
      <c r="AV31">
        <f>集中式光伏!AV31+分布式光伏!AV31</f>
        <v>9595.83</v>
      </c>
      <c r="AW31">
        <f>集中式光伏!AW31+分布式光伏!AW31</f>
        <v>9582.88</v>
      </c>
      <c r="AX31">
        <f>集中式光伏!AX31+分布式光伏!AX31</f>
        <v>9521.97</v>
      </c>
      <c r="AY31">
        <f>集中式光伏!AY31+分布式光伏!AY31</f>
        <v>9431.62</v>
      </c>
      <c r="AZ31">
        <f>集中式光伏!AZ31+分布式光伏!AZ31</f>
        <v>9294.76</v>
      </c>
      <c r="BA31">
        <f>集中式光伏!BA31+分布式光伏!BA31</f>
        <v>9122.79</v>
      </c>
      <c r="BB31">
        <f>集中式光伏!BB31+分布式光伏!BB31</f>
        <v>8941.63</v>
      </c>
      <c r="BC31">
        <f>集中式光伏!BC31+分布式光伏!BC31</f>
        <v>8713.36</v>
      </c>
      <c r="BD31">
        <f>集中式光伏!BD31+分布式光伏!BD31</f>
        <v>8440.51</v>
      </c>
      <c r="BE31">
        <f>集中式光伏!BE31+分布式光伏!BE31</f>
        <v>8124.39</v>
      </c>
      <c r="BF31">
        <f>集中式光伏!BF31+分布式光伏!BF31</f>
        <v>7744.67</v>
      </c>
      <c r="BG31">
        <f>集中式光伏!BG31+分布式光伏!BG31</f>
        <v>7303.27</v>
      </c>
      <c r="BH31">
        <f>集中式光伏!BH31+分布式光伏!BH31</f>
        <v>6876.12</v>
      </c>
      <c r="BI31">
        <f>集中式光伏!BI31+分布式光伏!BI31</f>
        <v>6405.28</v>
      </c>
      <c r="BJ31">
        <f>集中式光伏!BJ31+分布式光伏!BJ31</f>
        <v>5867.85</v>
      </c>
      <c r="BK31">
        <f>集中式光伏!BK31+分布式光伏!BK31</f>
        <v>5275.9</v>
      </c>
      <c r="BL31">
        <f>集中式光伏!BL31+分布式光伏!BL31</f>
        <v>4665.86</v>
      </c>
      <c r="BM31">
        <f>集中式光伏!BM31+分布式光伏!BM31</f>
        <v>4056.76</v>
      </c>
      <c r="BN31">
        <f>集中式光伏!BN31+分布式光伏!BN31</f>
        <v>3465.19</v>
      </c>
      <c r="BO31">
        <f>集中式光伏!BO31+分布式光伏!BO31</f>
        <v>2847.12</v>
      </c>
      <c r="BP31">
        <f>集中式光伏!BP31+分布式光伏!BP31</f>
        <v>2264.11</v>
      </c>
      <c r="BQ31">
        <f>集中式光伏!BQ31+分布式光伏!BQ31</f>
        <v>1728.45</v>
      </c>
      <c r="BR31">
        <f>集中式光伏!BR31+分布式光伏!BR31</f>
        <v>1278.77</v>
      </c>
      <c r="BS31">
        <f>集中式光伏!BS31+分布式光伏!BS31</f>
        <v>868.7</v>
      </c>
      <c r="BT31">
        <f>集中式光伏!BT31+分布式光伏!BT31</f>
        <v>524.67</v>
      </c>
      <c r="BU31">
        <f>集中式光伏!BU31+分布式光伏!BU31</f>
        <v>275.33</v>
      </c>
      <c r="BV31">
        <f>集中式光伏!BV31+分布式光伏!BV31</f>
        <v>113.93</v>
      </c>
      <c r="BW31">
        <f>集中式光伏!BW31+分布式光伏!BW31</f>
        <v>38.8</v>
      </c>
      <c r="BX31">
        <f>集中式光伏!BX31+分布式光伏!BX31</f>
        <v>2.58</v>
      </c>
      <c r="BY31">
        <f>集中式光伏!BY31+分布式光伏!BY31</f>
        <v>0</v>
      </c>
      <c r="BZ31">
        <f>集中式光伏!BZ31+分布式光伏!BZ31</f>
        <v>0</v>
      </c>
      <c r="CA31">
        <f>集中式光伏!CA31+分布式光伏!CA31</f>
        <v>0</v>
      </c>
      <c r="CB31">
        <f>集中式光伏!CB31+分布式光伏!CB31</f>
        <v>0</v>
      </c>
      <c r="CC31">
        <f>集中式光伏!CC31+分布式光伏!CC31</f>
        <v>0</v>
      </c>
      <c r="CD31">
        <f>集中式光伏!CD31+分布式光伏!CD31</f>
        <v>0</v>
      </c>
      <c r="CE31">
        <f>集中式光伏!CE31+分布式光伏!CE31</f>
        <v>0</v>
      </c>
      <c r="CF31">
        <f>集中式光伏!CF31+分布式光伏!CF31</f>
        <v>0</v>
      </c>
      <c r="CG31">
        <f>集中式光伏!CG31+分布式光伏!CG31</f>
        <v>0</v>
      </c>
      <c r="CH31">
        <f>集中式光伏!CH31+分布式光伏!CH31</f>
        <v>0</v>
      </c>
      <c r="CI31">
        <f>集中式光伏!CI31+分布式光伏!CI31</f>
        <v>0</v>
      </c>
      <c r="CJ31">
        <f>集中式光伏!CJ31+分布式光伏!CJ31</f>
        <v>0</v>
      </c>
      <c r="CK31">
        <f>集中式光伏!CK31+分布式光伏!CK31</f>
        <v>0</v>
      </c>
      <c r="CL31">
        <f>集中式光伏!CL31+分布式光伏!CL31</f>
        <v>0</v>
      </c>
      <c r="CM31">
        <f>集中式光伏!CM31+分布式光伏!CM31</f>
        <v>0</v>
      </c>
      <c r="CN31">
        <f>集中式光伏!CN31+分布式光伏!CN31</f>
        <v>0</v>
      </c>
      <c r="CO31">
        <f>集中式光伏!CO31+分布式光伏!CO31</f>
        <v>0</v>
      </c>
      <c r="CP31">
        <f>集中式光伏!CP31+分布式光伏!CP31</f>
        <v>0</v>
      </c>
      <c r="CQ31">
        <f>集中式光伏!CQ31+分布式光伏!CQ31</f>
        <v>0</v>
      </c>
      <c r="CR31">
        <f>集中式光伏!CR31+分布式光伏!CR31</f>
        <v>0</v>
      </c>
      <c r="CS31">
        <f>集中式光伏!CS31+分布式光伏!CS31</f>
        <v>0</v>
      </c>
    </row>
    <row r="32" spans="1:97">
      <c r="A32" s="9">
        <v>46265</v>
      </c>
      <c r="B32">
        <f>集中式光伏!B32+分布式光伏!B32</f>
        <v>0</v>
      </c>
      <c r="C32">
        <f>集中式光伏!C32+分布式光伏!C32</f>
        <v>0</v>
      </c>
      <c r="D32">
        <f>集中式光伏!D32+分布式光伏!D32</f>
        <v>0</v>
      </c>
      <c r="E32">
        <f>集中式光伏!E32+分布式光伏!E32</f>
        <v>0</v>
      </c>
      <c r="F32">
        <f>集中式光伏!F32+分布式光伏!F32</f>
        <v>0</v>
      </c>
      <c r="G32">
        <f>集中式光伏!G32+分布式光伏!G32</f>
        <v>0</v>
      </c>
      <c r="H32">
        <f>集中式光伏!H32+分布式光伏!H32</f>
        <v>0</v>
      </c>
      <c r="I32">
        <f>集中式光伏!I32+分布式光伏!I32</f>
        <v>0</v>
      </c>
      <c r="J32">
        <f>集中式光伏!J32+分布式光伏!J32</f>
        <v>0</v>
      </c>
      <c r="K32">
        <f>集中式光伏!K32+分布式光伏!K32</f>
        <v>0</v>
      </c>
      <c r="L32">
        <f>集中式光伏!L32+分布式光伏!L32</f>
        <v>0</v>
      </c>
      <c r="M32">
        <f>集中式光伏!M32+分布式光伏!M32</f>
        <v>0</v>
      </c>
      <c r="N32">
        <f>集中式光伏!N32+分布式光伏!N32</f>
        <v>0</v>
      </c>
      <c r="O32">
        <f>集中式光伏!O32+分布式光伏!O32</f>
        <v>0</v>
      </c>
      <c r="P32">
        <f>集中式光伏!P32+分布式光伏!P32</f>
        <v>0</v>
      </c>
      <c r="Q32">
        <f>集中式光伏!Q32+分布式光伏!Q32</f>
        <v>0</v>
      </c>
      <c r="R32">
        <f>集中式光伏!R32+分布式光伏!R32</f>
        <v>0</v>
      </c>
      <c r="S32">
        <f>集中式光伏!S32+分布式光伏!S32</f>
        <v>0</v>
      </c>
      <c r="T32">
        <f>集中式光伏!T32+分布式光伏!T32</f>
        <v>0</v>
      </c>
      <c r="U32">
        <f>集中式光伏!U32+分布式光伏!U32</f>
        <v>0</v>
      </c>
      <c r="V32">
        <f>集中式光伏!V32+分布式光伏!V32</f>
        <v>2.42</v>
      </c>
      <c r="W32">
        <f>集中式光伏!W32+分布式光伏!W32</f>
        <v>41.04</v>
      </c>
      <c r="X32">
        <f>集中式光伏!X32+分布式光伏!X32</f>
        <v>150.61</v>
      </c>
      <c r="Y32">
        <f>集中式光伏!Y32+分布式光伏!Y32</f>
        <v>313.73</v>
      </c>
      <c r="Z32">
        <f>集中式光伏!Z32+分布式光伏!Z32</f>
        <v>584.23</v>
      </c>
      <c r="AA32">
        <f>集中式光伏!AA32+分布式光伏!AA32</f>
        <v>986.52</v>
      </c>
      <c r="AB32">
        <f>集中式光伏!AB32+分布式光伏!AB32</f>
        <v>1493.77</v>
      </c>
      <c r="AC32">
        <f>集中式光伏!AC32+分布式光伏!AC32</f>
        <v>2067.72</v>
      </c>
      <c r="AD32">
        <f>集中式光伏!AD32+分布式光伏!AD32</f>
        <v>2713.47</v>
      </c>
      <c r="AE32">
        <f>集中式光伏!AE32+分布式光伏!AE32</f>
        <v>3360.73</v>
      </c>
      <c r="AF32">
        <f>集中式光伏!AF32+分布式光伏!AF32</f>
        <v>4041.58</v>
      </c>
      <c r="AG32">
        <f>集中式光伏!AG32+分布式光伏!AG32</f>
        <v>4700.04</v>
      </c>
      <c r="AH32">
        <f>集中式光伏!AH32+分布式光伏!AH32</f>
        <v>5342.26</v>
      </c>
      <c r="AI32">
        <f>集中式光伏!AI32+分布式光伏!AI32</f>
        <v>5923.65</v>
      </c>
      <c r="AJ32">
        <f>集中式光伏!AJ32+分布式光伏!AJ32</f>
        <v>6495.01</v>
      </c>
      <c r="AK32">
        <f>集中式光伏!AK32+分布式光伏!AK32</f>
        <v>7020.21</v>
      </c>
      <c r="AL32">
        <f>集中式光伏!AL32+分布式光伏!AL32</f>
        <v>7482.21</v>
      </c>
      <c r="AM32">
        <f>集中式光伏!AM32+分布式光伏!AM32</f>
        <v>7854.35</v>
      </c>
      <c r="AN32">
        <f>集中式光伏!AN32+分布式光伏!AN32</f>
        <v>8198.19</v>
      </c>
      <c r="AO32">
        <f>集中式光伏!AO32+分布式光伏!AO32</f>
        <v>8476.99</v>
      </c>
      <c r="AP32">
        <f>集中式光伏!AP32+分布式光伏!AP32</f>
        <v>8705.3</v>
      </c>
      <c r="AQ32">
        <f>集中式光伏!AQ32+分布式光伏!AQ32</f>
        <v>8895.05</v>
      </c>
      <c r="AR32">
        <f>集中式光伏!AR32+分布式光伏!AR32</f>
        <v>9051.2</v>
      </c>
      <c r="AS32">
        <f>集中式光伏!AS32+分布式光伏!AS32</f>
        <v>9163.88</v>
      </c>
      <c r="AT32">
        <f>集中式光伏!AT32+分布式光伏!AT32</f>
        <v>9214.78</v>
      </c>
      <c r="AU32">
        <f>集中式光伏!AU32+分布式光伏!AU32</f>
        <v>9227.73</v>
      </c>
      <c r="AV32">
        <f>集中式光伏!AV32+分布式光伏!AV32</f>
        <v>9206.38</v>
      </c>
      <c r="AW32">
        <f>集中式光伏!AW32+分布式光伏!AW32</f>
        <v>9160.95</v>
      </c>
      <c r="AX32">
        <f>集中式光伏!AX32+分布式光伏!AX32</f>
        <v>9065.94</v>
      </c>
      <c r="AY32">
        <f>集中式光伏!AY32+分布式光伏!AY32</f>
        <v>8941.34</v>
      </c>
      <c r="AZ32">
        <f>集中式光伏!AZ32+分布式光伏!AZ32</f>
        <v>8771.68</v>
      </c>
      <c r="BA32">
        <f>集中式光伏!BA32+分布式光伏!BA32</f>
        <v>8569.7</v>
      </c>
      <c r="BB32">
        <f>集中式光伏!BB32+分布式光伏!BB32</f>
        <v>8378.62</v>
      </c>
      <c r="BC32">
        <f>集中式光伏!BC32+分布式光伏!BC32</f>
        <v>8150.45</v>
      </c>
      <c r="BD32">
        <f>集中式光伏!BD32+分布式光伏!BD32</f>
        <v>7881.92</v>
      </c>
      <c r="BE32">
        <f>集中式光伏!BE32+分布式光伏!BE32</f>
        <v>7587.81</v>
      </c>
      <c r="BF32">
        <f>集中式光伏!BF32+分布式光伏!BF32</f>
        <v>7245.95</v>
      </c>
      <c r="BG32">
        <f>集中式光伏!BG32+分布式光伏!BG32</f>
        <v>6853.85</v>
      </c>
      <c r="BH32">
        <f>集中式光伏!BH32+分布式光伏!BH32</f>
        <v>6469.81</v>
      </c>
      <c r="BI32">
        <f>集中式光伏!BI32+分布式光伏!BI32</f>
        <v>6054.42</v>
      </c>
      <c r="BJ32">
        <f>集中式光伏!BJ32+分布式光伏!BJ32</f>
        <v>5583.81</v>
      </c>
      <c r="BK32">
        <f>集中式光伏!BK32+分布式光伏!BK32</f>
        <v>5058.98</v>
      </c>
      <c r="BL32">
        <f>集中式光伏!BL32+分布式光伏!BL32</f>
        <v>4538.48</v>
      </c>
      <c r="BM32">
        <f>集中式光伏!BM32+分布式光伏!BM32</f>
        <v>4011.5</v>
      </c>
      <c r="BN32">
        <f>集中式光伏!BN32+分布式光伏!BN32</f>
        <v>3498.37</v>
      </c>
      <c r="BO32">
        <f>集中式光伏!BO32+分布式光伏!BO32</f>
        <v>2924.24</v>
      </c>
      <c r="BP32">
        <f>集中式光伏!BP32+分布式光伏!BP32</f>
        <v>2356.67</v>
      </c>
      <c r="BQ32">
        <f>集中式光伏!BQ32+分布式光伏!BQ32</f>
        <v>1822.65</v>
      </c>
      <c r="BR32">
        <f>集中式光伏!BR32+分布式光伏!BR32</f>
        <v>1365.49</v>
      </c>
      <c r="BS32">
        <f>集中式光伏!BS32+分布式光伏!BS32</f>
        <v>929.08</v>
      </c>
      <c r="BT32">
        <f>集中式光伏!BT32+分布式光伏!BT32</f>
        <v>555.26</v>
      </c>
      <c r="BU32">
        <f>集中式光伏!BU32+分布式光伏!BU32</f>
        <v>275.52</v>
      </c>
      <c r="BV32">
        <f>集中式光伏!BV32+分布式光伏!BV32</f>
        <v>117.8</v>
      </c>
      <c r="BW32">
        <f>集中式光伏!BW32+分布式光伏!BW32</f>
        <v>40.56</v>
      </c>
      <c r="BX32">
        <f>集中式光伏!BX32+分布式光伏!BX32</f>
        <v>2.29</v>
      </c>
      <c r="BY32">
        <f>集中式光伏!BY32+分布式光伏!BY32</f>
        <v>0</v>
      </c>
      <c r="BZ32">
        <f>集中式光伏!BZ32+分布式光伏!BZ32</f>
        <v>0</v>
      </c>
      <c r="CA32">
        <f>集中式光伏!CA32+分布式光伏!CA32</f>
        <v>0</v>
      </c>
      <c r="CB32">
        <f>集中式光伏!CB32+分布式光伏!CB32</f>
        <v>0</v>
      </c>
      <c r="CC32">
        <f>集中式光伏!CC32+分布式光伏!CC32</f>
        <v>0</v>
      </c>
      <c r="CD32">
        <f>集中式光伏!CD32+分布式光伏!CD32</f>
        <v>0</v>
      </c>
      <c r="CE32">
        <f>集中式光伏!CE32+分布式光伏!CE32</f>
        <v>0</v>
      </c>
      <c r="CF32">
        <f>集中式光伏!CF32+分布式光伏!CF32</f>
        <v>0</v>
      </c>
      <c r="CG32">
        <f>集中式光伏!CG32+分布式光伏!CG32</f>
        <v>0</v>
      </c>
      <c r="CH32">
        <f>集中式光伏!CH32+分布式光伏!CH32</f>
        <v>0</v>
      </c>
      <c r="CI32">
        <f>集中式光伏!CI32+分布式光伏!CI32</f>
        <v>0</v>
      </c>
      <c r="CJ32">
        <f>集中式光伏!CJ32+分布式光伏!CJ32</f>
        <v>0</v>
      </c>
      <c r="CK32">
        <f>集中式光伏!CK32+分布式光伏!CK32</f>
        <v>0</v>
      </c>
      <c r="CL32">
        <f>集中式光伏!CL32+分布式光伏!CL32</f>
        <v>0</v>
      </c>
      <c r="CM32">
        <f>集中式光伏!CM32+分布式光伏!CM32</f>
        <v>0</v>
      </c>
      <c r="CN32">
        <f>集中式光伏!CN32+分布式光伏!CN32</f>
        <v>0</v>
      </c>
      <c r="CO32">
        <f>集中式光伏!CO32+分布式光伏!CO32</f>
        <v>0</v>
      </c>
      <c r="CP32">
        <f>集中式光伏!CP32+分布式光伏!CP32</f>
        <v>0</v>
      </c>
      <c r="CQ32">
        <f>集中式光伏!CQ32+分布式光伏!CQ32</f>
        <v>0</v>
      </c>
      <c r="CR32">
        <f>集中式光伏!CR32+分布式光伏!CR32</f>
        <v>0</v>
      </c>
      <c r="CS32">
        <f>集中式光伏!CS32+分布式光伏!CS32</f>
        <v>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  <col min="41" max="96" width="9.66666666666667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3817</v>
      </c>
      <c r="C2">
        <v>3511</v>
      </c>
      <c r="D2">
        <v>3022</v>
      </c>
      <c r="E2">
        <v>2715</v>
      </c>
      <c r="F2">
        <v>2381</v>
      </c>
      <c r="G2">
        <v>2376</v>
      </c>
      <c r="H2">
        <v>2370</v>
      </c>
      <c r="I2">
        <v>2365</v>
      </c>
      <c r="J2">
        <v>2249</v>
      </c>
      <c r="K2">
        <v>2255</v>
      </c>
      <c r="L2">
        <v>2260</v>
      </c>
      <c r="M2">
        <v>2266</v>
      </c>
      <c r="N2">
        <v>2266</v>
      </c>
      <c r="O2">
        <v>2263</v>
      </c>
      <c r="P2">
        <v>2260</v>
      </c>
      <c r="Q2">
        <v>2257</v>
      </c>
      <c r="R2">
        <v>2267</v>
      </c>
      <c r="S2">
        <v>2268</v>
      </c>
      <c r="T2">
        <v>2268</v>
      </c>
      <c r="U2">
        <v>2269</v>
      </c>
      <c r="V2">
        <v>2371</v>
      </c>
      <c r="W2">
        <v>2499</v>
      </c>
      <c r="X2">
        <v>2626</v>
      </c>
      <c r="Y2">
        <v>2753</v>
      </c>
      <c r="Z2">
        <v>2983</v>
      </c>
      <c r="AA2">
        <v>3583</v>
      </c>
      <c r="AB2">
        <v>4368</v>
      </c>
      <c r="AC2">
        <v>4969</v>
      </c>
      <c r="AD2">
        <v>5335</v>
      </c>
      <c r="AE2">
        <v>5588</v>
      </c>
      <c r="AF2">
        <v>5842</v>
      </c>
      <c r="AG2">
        <v>6095</v>
      </c>
      <c r="AH2">
        <v>6346</v>
      </c>
      <c r="AI2">
        <v>6806</v>
      </c>
      <c r="AJ2">
        <v>7270</v>
      </c>
      <c r="AK2">
        <v>7775</v>
      </c>
      <c r="AL2">
        <v>8547</v>
      </c>
      <c r="AM2">
        <v>8737</v>
      </c>
      <c r="AN2">
        <v>8930</v>
      </c>
      <c r="AO2">
        <v>9122</v>
      </c>
      <c r="AP2">
        <v>9617</v>
      </c>
      <c r="AQ2">
        <v>9698</v>
      </c>
      <c r="AR2">
        <v>9779</v>
      </c>
      <c r="AS2">
        <v>9860</v>
      </c>
      <c r="AT2">
        <v>9941</v>
      </c>
      <c r="AU2">
        <v>9763</v>
      </c>
      <c r="AV2">
        <v>9587</v>
      </c>
      <c r="AW2">
        <v>9409</v>
      </c>
      <c r="AX2">
        <v>9233</v>
      </c>
      <c r="AY2">
        <v>9397</v>
      </c>
      <c r="AZ2">
        <v>9565</v>
      </c>
      <c r="BA2">
        <v>9731</v>
      </c>
      <c r="BB2">
        <v>9903</v>
      </c>
      <c r="BC2">
        <v>9928</v>
      </c>
      <c r="BD2">
        <v>9955</v>
      </c>
      <c r="BE2">
        <v>9981</v>
      </c>
      <c r="BF2">
        <v>10074</v>
      </c>
      <c r="BG2">
        <v>10071</v>
      </c>
      <c r="BH2">
        <v>10069</v>
      </c>
      <c r="BI2">
        <v>10067</v>
      </c>
      <c r="BJ2">
        <v>9702</v>
      </c>
      <c r="BK2">
        <v>9675</v>
      </c>
      <c r="BL2">
        <v>9649</v>
      </c>
      <c r="BM2">
        <v>9622</v>
      </c>
      <c r="BN2">
        <v>9250</v>
      </c>
      <c r="BO2">
        <v>9114</v>
      </c>
      <c r="BP2">
        <v>9446</v>
      </c>
      <c r="BQ2">
        <v>9778</v>
      </c>
      <c r="BR2">
        <v>9643</v>
      </c>
      <c r="BS2">
        <v>9550</v>
      </c>
      <c r="BT2">
        <v>9460</v>
      </c>
      <c r="BU2">
        <v>9416</v>
      </c>
      <c r="BV2">
        <v>9329</v>
      </c>
      <c r="BW2">
        <v>9102</v>
      </c>
      <c r="BX2">
        <v>8877</v>
      </c>
      <c r="BY2">
        <v>8650</v>
      </c>
      <c r="BZ2">
        <v>8423</v>
      </c>
      <c r="CA2">
        <v>8395</v>
      </c>
      <c r="CB2">
        <v>8321</v>
      </c>
      <c r="CC2">
        <v>8293</v>
      </c>
      <c r="CD2">
        <v>8268</v>
      </c>
      <c r="CE2">
        <v>7888</v>
      </c>
      <c r="CF2">
        <v>7510</v>
      </c>
      <c r="CG2">
        <v>7131</v>
      </c>
      <c r="CH2">
        <v>6756</v>
      </c>
      <c r="CI2">
        <v>6808</v>
      </c>
      <c r="CJ2">
        <v>6861</v>
      </c>
      <c r="CK2">
        <v>6913</v>
      </c>
      <c r="CL2">
        <v>6967</v>
      </c>
      <c r="CM2">
        <v>6373</v>
      </c>
      <c r="CN2">
        <v>5780</v>
      </c>
      <c r="CO2">
        <v>5186</v>
      </c>
      <c r="CP2">
        <v>5023</v>
      </c>
      <c r="CQ2">
        <v>5020</v>
      </c>
      <c r="CR2">
        <v>5017</v>
      </c>
      <c r="CS2">
        <v>4546</v>
      </c>
    </row>
    <row r="3" spans="1:97">
      <c r="A3" s="9">
        <v>46236</v>
      </c>
      <c r="B3">
        <v>3771</v>
      </c>
      <c r="C3">
        <v>3465</v>
      </c>
      <c r="D3">
        <v>2976</v>
      </c>
      <c r="E3">
        <v>2669</v>
      </c>
      <c r="F3">
        <v>2335</v>
      </c>
      <c r="G3">
        <v>2018</v>
      </c>
      <c r="H3">
        <v>2012</v>
      </c>
      <c r="I3">
        <v>2007</v>
      </c>
      <c r="J3">
        <v>2001</v>
      </c>
      <c r="K3">
        <v>2007</v>
      </c>
      <c r="L3">
        <v>2012</v>
      </c>
      <c r="M3">
        <v>2018</v>
      </c>
      <c r="N3">
        <v>2023</v>
      </c>
      <c r="O3">
        <v>2020</v>
      </c>
      <c r="P3">
        <v>2017</v>
      </c>
      <c r="Q3">
        <v>2014</v>
      </c>
      <c r="R3">
        <v>2011</v>
      </c>
      <c r="S3">
        <v>2011</v>
      </c>
      <c r="T3">
        <v>2012</v>
      </c>
      <c r="U3">
        <v>2012</v>
      </c>
      <c r="V3">
        <v>2345</v>
      </c>
      <c r="W3">
        <v>2812</v>
      </c>
      <c r="X3">
        <v>3252</v>
      </c>
      <c r="Y3">
        <v>3873</v>
      </c>
      <c r="Z3">
        <v>3944</v>
      </c>
      <c r="AA3">
        <v>4415</v>
      </c>
      <c r="AB3">
        <v>4705</v>
      </c>
      <c r="AC3">
        <v>4993</v>
      </c>
      <c r="AD3">
        <v>5284</v>
      </c>
      <c r="AE3">
        <v>5537</v>
      </c>
      <c r="AF3">
        <v>5791</v>
      </c>
      <c r="AG3">
        <v>6044</v>
      </c>
      <c r="AH3">
        <v>6300</v>
      </c>
      <c r="AI3">
        <v>6760</v>
      </c>
      <c r="AJ3">
        <v>7224</v>
      </c>
      <c r="AK3">
        <v>7729</v>
      </c>
      <c r="AL3">
        <v>8501</v>
      </c>
      <c r="AM3">
        <v>8691</v>
      </c>
      <c r="AN3">
        <v>8884</v>
      </c>
      <c r="AO3">
        <v>9076</v>
      </c>
      <c r="AP3">
        <v>9571</v>
      </c>
      <c r="AQ3">
        <v>9652</v>
      </c>
      <c r="AR3">
        <v>9733</v>
      </c>
      <c r="AS3">
        <v>9814</v>
      </c>
      <c r="AT3">
        <v>9895</v>
      </c>
      <c r="AU3">
        <v>9717</v>
      </c>
      <c r="AV3">
        <v>9541</v>
      </c>
      <c r="AW3">
        <v>9363</v>
      </c>
      <c r="AX3">
        <v>9187</v>
      </c>
      <c r="AY3">
        <v>9351</v>
      </c>
      <c r="AZ3">
        <v>9519</v>
      </c>
      <c r="BA3">
        <v>9685</v>
      </c>
      <c r="BB3">
        <v>9948</v>
      </c>
      <c r="BC3">
        <v>9973</v>
      </c>
      <c r="BD3">
        <v>10000</v>
      </c>
      <c r="BE3">
        <v>10026</v>
      </c>
      <c r="BF3">
        <v>10057</v>
      </c>
      <c r="BG3">
        <v>10054</v>
      </c>
      <c r="BH3">
        <v>10052</v>
      </c>
      <c r="BI3">
        <v>10050</v>
      </c>
      <c r="BJ3">
        <v>9749</v>
      </c>
      <c r="BK3">
        <v>9722</v>
      </c>
      <c r="BL3">
        <v>9696</v>
      </c>
      <c r="BM3">
        <v>9669</v>
      </c>
      <c r="BN3">
        <v>9297</v>
      </c>
      <c r="BO3">
        <v>9161</v>
      </c>
      <c r="BP3">
        <v>9493</v>
      </c>
      <c r="BQ3">
        <v>9825</v>
      </c>
      <c r="BR3">
        <v>9690</v>
      </c>
      <c r="BS3">
        <v>9597</v>
      </c>
      <c r="BT3">
        <v>9507</v>
      </c>
      <c r="BU3">
        <v>9416</v>
      </c>
      <c r="BV3">
        <v>9329</v>
      </c>
      <c r="BW3">
        <v>9102</v>
      </c>
      <c r="BX3">
        <v>8877</v>
      </c>
      <c r="BY3">
        <v>8650</v>
      </c>
      <c r="BZ3">
        <v>8376</v>
      </c>
      <c r="CA3">
        <v>8348</v>
      </c>
      <c r="CB3">
        <v>8321</v>
      </c>
      <c r="CC3">
        <v>8293</v>
      </c>
      <c r="CD3">
        <v>8268</v>
      </c>
      <c r="CE3">
        <v>7888</v>
      </c>
      <c r="CF3">
        <v>7510</v>
      </c>
      <c r="CG3">
        <v>7131</v>
      </c>
      <c r="CH3">
        <v>6756</v>
      </c>
      <c r="CI3">
        <v>6808</v>
      </c>
      <c r="CJ3">
        <v>6861</v>
      </c>
      <c r="CK3">
        <v>6913</v>
      </c>
      <c r="CL3">
        <v>6967</v>
      </c>
      <c r="CM3">
        <v>6420</v>
      </c>
      <c r="CN3">
        <v>5827</v>
      </c>
      <c r="CO3">
        <v>5233</v>
      </c>
      <c r="CP3">
        <v>5080</v>
      </c>
      <c r="CQ3">
        <v>5078</v>
      </c>
      <c r="CR3">
        <v>5075</v>
      </c>
      <c r="CS3">
        <v>4604</v>
      </c>
    </row>
    <row r="4" spans="1:97">
      <c r="A4" s="9">
        <v>46237</v>
      </c>
      <c r="B4">
        <v>3772</v>
      </c>
      <c r="C4">
        <v>3466</v>
      </c>
      <c r="D4">
        <v>2977</v>
      </c>
      <c r="E4">
        <v>2670</v>
      </c>
      <c r="F4">
        <v>2336</v>
      </c>
      <c r="G4">
        <v>2019</v>
      </c>
      <c r="H4">
        <v>2013</v>
      </c>
      <c r="I4">
        <v>2008</v>
      </c>
      <c r="J4">
        <v>2002</v>
      </c>
      <c r="K4">
        <v>2008</v>
      </c>
      <c r="L4">
        <v>2013</v>
      </c>
      <c r="M4">
        <v>2019</v>
      </c>
      <c r="N4">
        <v>2024</v>
      </c>
      <c r="O4">
        <v>2021</v>
      </c>
      <c r="P4">
        <v>2018</v>
      </c>
      <c r="Q4">
        <v>2015</v>
      </c>
      <c r="R4">
        <v>2011</v>
      </c>
      <c r="S4">
        <v>2011</v>
      </c>
      <c r="T4">
        <v>2012</v>
      </c>
      <c r="U4">
        <v>2012</v>
      </c>
      <c r="V4">
        <v>2325</v>
      </c>
      <c r="W4">
        <v>2793</v>
      </c>
      <c r="X4">
        <v>3233</v>
      </c>
      <c r="Y4">
        <v>3854</v>
      </c>
      <c r="Z4">
        <v>3945</v>
      </c>
      <c r="AA4">
        <v>4416</v>
      </c>
      <c r="AB4">
        <v>4706</v>
      </c>
      <c r="AC4">
        <v>4994</v>
      </c>
      <c r="AD4">
        <v>5284</v>
      </c>
      <c r="AE4">
        <v>5537</v>
      </c>
      <c r="AF4">
        <v>5791</v>
      </c>
      <c r="AG4">
        <v>6044</v>
      </c>
      <c r="AH4">
        <v>6300</v>
      </c>
      <c r="AI4">
        <v>6760</v>
      </c>
      <c r="AJ4">
        <v>7224</v>
      </c>
      <c r="AK4">
        <v>7729</v>
      </c>
      <c r="AL4">
        <v>8501</v>
      </c>
      <c r="AM4">
        <v>8691</v>
      </c>
      <c r="AN4">
        <v>8884</v>
      </c>
      <c r="AO4">
        <v>9076</v>
      </c>
      <c r="AP4">
        <v>9571</v>
      </c>
      <c r="AQ4">
        <v>9652</v>
      </c>
      <c r="AR4">
        <v>9733</v>
      </c>
      <c r="AS4">
        <v>9814</v>
      </c>
      <c r="AT4">
        <v>9895</v>
      </c>
      <c r="AU4">
        <v>9717</v>
      </c>
      <c r="AV4">
        <v>9541</v>
      </c>
      <c r="AW4">
        <v>9363</v>
      </c>
      <c r="AX4">
        <v>9187</v>
      </c>
      <c r="AY4">
        <v>9351</v>
      </c>
      <c r="AZ4">
        <v>9519</v>
      </c>
      <c r="BA4">
        <v>9685</v>
      </c>
      <c r="BB4">
        <v>9948</v>
      </c>
      <c r="BC4">
        <v>9973</v>
      </c>
      <c r="BD4">
        <v>10000</v>
      </c>
      <c r="BE4">
        <v>10026</v>
      </c>
      <c r="BF4">
        <v>10057</v>
      </c>
      <c r="BG4">
        <v>10054</v>
      </c>
      <c r="BH4">
        <v>10052</v>
      </c>
      <c r="BI4">
        <v>10050</v>
      </c>
      <c r="BJ4">
        <v>9749</v>
      </c>
      <c r="BK4">
        <v>9722</v>
      </c>
      <c r="BL4">
        <v>9696</v>
      </c>
      <c r="BM4">
        <v>9669</v>
      </c>
      <c r="BN4">
        <v>9297</v>
      </c>
      <c r="BO4">
        <v>9161</v>
      </c>
      <c r="BP4">
        <v>9493</v>
      </c>
      <c r="BQ4">
        <v>9825</v>
      </c>
      <c r="BR4">
        <v>9690</v>
      </c>
      <c r="BS4">
        <v>9597</v>
      </c>
      <c r="BT4">
        <v>9507</v>
      </c>
      <c r="BU4">
        <v>9416</v>
      </c>
      <c r="BV4">
        <v>9329</v>
      </c>
      <c r="BW4">
        <v>9234</v>
      </c>
      <c r="BX4">
        <v>9141</v>
      </c>
      <c r="BY4">
        <v>9046</v>
      </c>
      <c r="BZ4">
        <v>8905</v>
      </c>
      <c r="CA4">
        <v>8900</v>
      </c>
      <c r="CB4">
        <v>8896</v>
      </c>
      <c r="CC4">
        <v>8891</v>
      </c>
      <c r="CD4">
        <v>8888</v>
      </c>
      <c r="CE4">
        <v>8603</v>
      </c>
      <c r="CF4">
        <v>8320</v>
      </c>
      <c r="CG4">
        <v>8036</v>
      </c>
      <c r="CH4">
        <v>7756</v>
      </c>
      <c r="CI4">
        <v>7558</v>
      </c>
      <c r="CJ4">
        <v>7361</v>
      </c>
      <c r="CK4">
        <v>7163</v>
      </c>
      <c r="CL4">
        <v>6967</v>
      </c>
      <c r="CM4">
        <v>6420</v>
      </c>
      <c r="CN4">
        <v>5827</v>
      </c>
      <c r="CO4">
        <v>5233</v>
      </c>
      <c r="CP4">
        <v>4988</v>
      </c>
      <c r="CQ4">
        <v>4985</v>
      </c>
      <c r="CR4">
        <v>4982</v>
      </c>
      <c r="CS4">
        <v>4511</v>
      </c>
    </row>
    <row r="5" spans="1:97">
      <c r="A5" s="9">
        <v>46238</v>
      </c>
      <c r="B5">
        <v>3818</v>
      </c>
      <c r="C5">
        <v>3770</v>
      </c>
      <c r="D5">
        <v>3722</v>
      </c>
      <c r="E5">
        <v>3674</v>
      </c>
      <c r="F5">
        <v>3123</v>
      </c>
      <c r="G5">
        <v>2591</v>
      </c>
      <c r="H5">
        <v>2551</v>
      </c>
      <c r="I5">
        <v>2514</v>
      </c>
      <c r="J5">
        <v>2390</v>
      </c>
      <c r="K5">
        <v>2368</v>
      </c>
      <c r="L5">
        <v>2345</v>
      </c>
      <c r="M5">
        <v>2323</v>
      </c>
      <c r="N5">
        <v>2325</v>
      </c>
      <c r="O5">
        <v>2327</v>
      </c>
      <c r="P5">
        <v>2327</v>
      </c>
      <c r="Q5">
        <v>2328</v>
      </c>
      <c r="R5">
        <v>2313</v>
      </c>
      <c r="S5">
        <v>2392</v>
      </c>
      <c r="T5">
        <v>2470</v>
      </c>
      <c r="U5">
        <v>2548</v>
      </c>
      <c r="V5">
        <v>2699</v>
      </c>
      <c r="W5">
        <v>3382</v>
      </c>
      <c r="X5">
        <v>4062</v>
      </c>
      <c r="Y5">
        <v>4247</v>
      </c>
      <c r="Z5">
        <v>4073</v>
      </c>
      <c r="AA5">
        <v>4361</v>
      </c>
      <c r="AB5">
        <v>4651</v>
      </c>
      <c r="AC5">
        <v>4939</v>
      </c>
      <c r="AD5">
        <v>5284</v>
      </c>
      <c r="AE5">
        <v>5537</v>
      </c>
      <c r="AF5">
        <v>5791</v>
      </c>
      <c r="AG5">
        <v>6044</v>
      </c>
      <c r="AH5">
        <v>6220</v>
      </c>
      <c r="AI5">
        <v>6680</v>
      </c>
      <c r="AJ5">
        <v>7144</v>
      </c>
      <c r="AK5">
        <v>7154</v>
      </c>
      <c r="AL5">
        <v>7491</v>
      </c>
      <c r="AM5">
        <v>7681</v>
      </c>
      <c r="AN5">
        <v>7874</v>
      </c>
      <c r="AO5">
        <v>8066</v>
      </c>
      <c r="AP5">
        <v>8444</v>
      </c>
      <c r="AQ5">
        <v>8525</v>
      </c>
      <c r="AR5">
        <v>8606</v>
      </c>
      <c r="AS5">
        <v>8687</v>
      </c>
      <c r="AT5">
        <v>8787</v>
      </c>
      <c r="AU5">
        <v>8609</v>
      </c>
      <c r="AV5">
        <v>8433</v>
      </c>
      <c r="AW5">
        <v>8255</v>
      </c>
      <c r="AX5">
        <v>8149</v>
      </c>
      <c r="AY5">
        <v>8313</v>
      </c>
      <c r="AZ5">
        <v>8481</v>
      </c>
      <c r="BA5">
        <v>8647</v>
      </c>
      <c r="BB5">
        <v>8597</v>
      </c>
      <c r="BC5">
        <v>8623</v>
      </c>
      <c r="BD5">
        <v>9144</v>
      </c>
      <c r="BE5">
        <v>9666</v>
      </c>
      <c r="BF5">
        <v>9126</v>
      </c>
      <c r="BG5">
        <v>9124</v>
      </c>
      <c r="BH5">
        <v>9122</v>
      </c>
      <c r="BI5">
        <v>9120</v>
      </c>
      <c r="BJ5">
        <v>9749</v>
      </c>
      <c r="BK5">
        <v>9722</v>
      </c>
      <c r="BL5">
        <v>9696</v>
      </c>
      <c r="BM5">
        <v>9669</v>
      </c>
      <c r="BN5">
        <v>9297</v>
      </c>
      <c r="BO5">
        <v>9656</v>
      </c>
      <c r="BP5">
        <v>10014</v>
      </c>
      <c r="BQ5">
        <v>9877</v>
      </c>
      <c r="BR5">
        <v>9743</v>
      </c>
      <c r="BS5">
        <v>9649</v>
      </c>
      <c r="BT5">
        <v>9559</v>
      </c>
      <c r="BU5">
        <v>9468</v>
      </c>
      <c r="BV5">
        <v>9381</v>
      </c>
      <c r="BW5">
        <v>9286</v>
      </c>
      <c r="BX5">
        <v>9194</v>
      </c>
      <c r="BY5">
        <v>9099</v>
      </c>
      <c r="BZ5">
        <v>8958</v>
      </c>
      <c r="CA5">
        <v>8952</v>
      </c>
      <c r="CB5">
        <v>8948</v>
      </c>
      <c r="CC5">
        <v>8943</v>
      </c>
      <c r="CD5">
        <v>8941</v>
      </c>
      <c r="CE5">
        <v>8655</v>
      </c>
      <c r="CF5">
        <v>8373</v>
      </c>
      <c r="CG5">
        <v>8088</v>
      </c>
      <c r="CH5">
        <v>7808</v>
      </c>
      <c r="CI5">
        <v>7115</v>
      </c>
      <c r="CJ5">
        <v>6423</v>
      </c>
      <c r="CK5">
        <v>6225</v>
      </c>
      <c r="CL5">
        <v>6030</v>
      </c>
      <c r="CM5">
        <v>5483</v>
      </c>
      <c r="CN5">
        <v>4890</v>
      </c>
      <c r="CO5">
        <v>4296</v>
      </c>
      <c r="CP5">
        <v>4051</v>
      </c>
      <c r="CQ5">
        <v>4024</v>
      </c>
      <c r="CR5">
        <v>3997</v>
      </c>
      <c r="CS5">
        <v>3970</v>
      </c>
    </row>
    <row r="6" spans="1:97">
      <c r="A6" s="9">
        <v>46239</v>
      </c>
      <c r="B6">
        <v>3614</v>
      </c>
      <c r="C6">
        <v>3253</v>
      </c>
      <c r="D6">
        <v>2710</v>
      </c>
      <c r="E6">
        <v>2350</v>
      </c>
      <c r="F6">
        <v>1522</v>
      </c>
      <c r="G6">
        <v>1172</v>
      </c>
      <c r="H6">
        <v>1132</v>
      </c>
      <c r="I6">
        <v>1094</v>
      </c>
      <c r="J6">
        <v>1099</v>
      </c>
      <c r="K6">
        <v>1077</v>
      </c>
      <c r="L6">
        <v>1055</v>
      </c>
      <c r="M6">
        <v>1033</v>
      </c>
      <c r="N6">
        <v>888</v>
      </c>
      <c r="O6">
        <v>890</v>
      </c>
      <c r="P6">
        <v>890</v>
      </c>
      <c r="Q6">
        <v>891</v>
      </c>
      <c r="R6">
        <v>1198</v>
      </c>
      <c r="S6">
        <v>1617</v>
      </c>
      <c r="T6">
        <v>2007</v>
      </c>
      <c r="U6">
        <v>2580</v>
      </c>
      <c r="V6">
        <v>3429</v>
      </c>
      <c r="W6">
        <v>3982</v>
      </c>
      <c r="X6">
        <v>4481</v>
      </c>
      <c r="Y6">
        <v>5160</v>
      </c>
      <c r="Z6">
        <v>5429</v>
      </c>
      <c r="AA6">
        <v>5717</v>
      </c>
      <c r="AB6">
        <v>6007</v>
      </c>
      <c r="AC6">
        <v>6295</v>
      </c>
      <c r="AD6">
        <v>6586</v>
      </c>
      <c r="AE6">
        <v>6840</v>
      </c>
      <c r="AF6">
        <v>7093</v>
      </c>
      <c r="AG6">
        <v>7347</v>
      </c>
      <c r="AH6">
        <v>7602</v>
      </c>
      <c r="AI6">
        <v>8062</v>
      </c>
      <c r="AJ6">
        <v>8527</v>
      </c>
      <c r="AK6">
        <v>8719</v>
      </c>
      <c r="AL6">
        <v>8996</v>
      </c>
      <c r="AM6">
        <v>8874</v>
      </c>
      <c r="AN6">
        <v>8884</v>
      </c>
      <c r="AO6">
        <v>8581</v>
      </c>
      <c r="AP6">
        <v>8581</v>
      </c>
      <c r="AQ6">
        <v>8349</v>
      </c>
      <c r="AR6">
        <v>8430</v>
      </c>
      <c r="AS6">
        <v>8511</v>
      </c>
      <c r="AT6">
        <v>8592</v>
      </c>
      <c r="AU6">
        <v>8414</v>
      </c>
      <c r="AV6">
        <v>8238</v>
      </c>
      <c r="AW6">
        <v>8060</v>
      </c>
      <c r="AX6">
        <v>7884</v>
      </c>
      <c r="AY6">
        <v>8048</v>
      </c>
      <c r="AZ6">
        <v>8216</v>
      </c>
      <c r="BA6">
        <v>8382</v>
      </c>
      <c r="BB6">
        <v>8552</v>
      </c>
      <c r="BC6">
        <v>8578</v>
      </c>
      <c r="BD6">
        <v>8604</v>
      </c>
      <c r="BE6">
        <v>8631</v>
      </c>
      <c r="BF6">
        <v>8661</v>
      </c>
      <c r="BG6">
        <v>8971</v>
      </c>
      <c r="BH6">
        <v>9464</v>
      </c>
      <c r="BI6">
        <v>9957</v>
      </c>
      <c r="BJ6">
        <v>9656</v>
      </c>
      <c r="BK6">
        <v>9629</v>
      </c>
      <c r="BL6">
        <v>10098</v>
      </c>
      <c r="BM6">
        <v>10612</v>
      </c>
      <c r="BN6">
        <v>10240</v>
      </c>
      <c r="BO6">
        <v>10104</v>
      </c>
      <c r="BP6">
        <v>9967</v>
      </c>
      <c r="BQ6">
        <v>9830</v>
      </c>
      <c r="BR6">
        <v>9696</v>
      </c>
      <c r="BS6">
        <v>9602</v>
      </c>
      <c r="BT6">
        <v>9512</v>
      </c>
      <c r="BU6">
        <v>9421</v>
      </c>
      <c r="BV6">
        <v>9334</v>
      </c>
      <c r="BW6">
        <v>9239</v>
      </c>
      <c r="BX6">
        <v>9147</v>
      </c>
      <c r="BY6">
        <v>9052</v>
      </c>
      <c r="BZ6">
        <v>8958</v>
      </c>
      <c r="CA6">
        <v>8952</v>
      </c>
      <c r="CB6">
        <v>8948</v>
      </c>
      <c r="CC6">
        <v>8943</v>
      </c>
      <c r="CD6">
        <v>8941</v>
      </c>
      <c r="CE6">
        <v>8655</v>
      </c>
      <c r="CF6">
        <v>8373</v>
      </c>
      <c r="CG6">
        <v>8088</v>
      </c>
      <c r="CH6">
        <v>7808</v>
      </c>
      <c r="CI6">
        <v>7610</v>
      </c>
      <c r="CJ6">
        <v>7413</v>
      </c>
      <c r="CK6">
        <v>7215</v>
      </c>
      <c r="CL6">
        <v>7019</v>
      </c>
      <c r="CM6">
        <v>6425</v>
      </c>
      <c r="CN6">
        <v>5832</v>
      </c>
      <c r="CO6">
        <v>5238</v>
      </c>
      <c r="CP6">
        <v>4994</v>
      </c>
      <c r="CQ6">
        <v>4471</v>
      </c>
      <c r="CR6">
        <v>3949</v>
      </c>
      <c r="CS6">
        <v>3922</v>
      </c>
    </row>
    <row r="7" spans="1:97">
      <c r="A7" s="9">
        <v>46240</v>
      </c>
      <c r="B7">
        <v>3774</v>
      </c>
      <c r="C7">
        <v>3414</v>
      </c>
      <c r="D7">
        <v>2871</v>
      </c>
      <c r="E7">
        <v>2510</v>
      </c>
      <c r="F7">
        <v>2026</v>
      </c>
      <c r="G7">
        <v>1677</v>
      </c>
      <c r="H7">
        <v>1298</v>
      </c>
      <c r="I7">
        <v>1104</v>
      </c>
      <c r="J7">
        <v>1259</v>
      </c>
      <c r="K7">
        <v>1237</v>
      </c>
      <c r="L7">
        <v>1215</v>
      </c>
      <c r="M7">
        <v>1193</v>
      </c>
      <c r="N7">
        <v>1303</v>
      </c>
      <c r="O7">
        <v>1305</v>
      </c>
      <c r="P7">
        <v>1305</v>
      </c>
      <c r="Q7">
        <v>1306</v>
      </c>
      <c r="R7">
        <v>1263</v>
      </c>
      <c r="S7">
        <v>1342</v>
      </c>
      <c r="T7">
        <v>1420</v>
      </c>
      <c r="U7">
        <v>1498</v>
      </c>
      <c r="V7">
        <v>1510</v>
      </c>
      <c r="W7">
        <v>1698</v>
      </c>
      <c r="X7">
        <v>1884</v>
      </c>
      <c r="Y7">
        <v>2068</v>
      </c>
      <c r="Z7">
        <v>1678</v>
      </c>
      <c r="AA7">
        <v>1967</v>
      </c>
      <c r="AB7">
        <v>2257</v>
      </c>
      <c r="AC7">
        <v>2545</v>
      </c>
      <c r="AD7">
        <v>2836</v>
      </c>
      <c r="AE7">
        <v>3245</v>
      </c>
      <c r="AF7">
        <v>3837</v>
      </c>
      <c r="AG7">
        <v>4742</v>
      </c>
      <c r="AH7">
        <v>5310</v>
      </c>
      <c r="AI7">
        <v>6265</v>
      </c>
      <c r="AJ7">
        <v>7042</v>
      </c>
      <c r="AK7">
        <v>7729</v>
      </c>
      <c r="AL7">
        <v>8501</v>
      </c>
      <c r="AM7">
        <v>8691</v>
      </c>
      <c r="AN7">
        <v>8884</v>
      </c>
      <c r="AO7">
        <v>9076</v>
      </c>
      <c r="AP7">
        <v>9579</v>
      </c>
      <c r="AQ7">
        <v>9660</v>
      </c>
      <c r="AR7">
        <v>9741</v>
      </c>
      <c r="AS7">
        <v>9822</v>
      </c>
      <c r="AT7">
        <v>9895</v>
      </c>
      <c r="AU7">
        <v>9717</v>
      </c>
      <c r="AV7">
        <v>9541</v>
      </c>
      <c r="AW7">
        <v>9363</v>
      </c>
      <c r="AX7">
        <v>9187</v>
      </c>
      <c r="AY7">
        <v>9351</v>
      </c>
      <c r="AZ7">
        <v>9519</v>
      </c>
      <c r="BA7">
        <v>9685</v>
      </c>
      <c r="BB7">
        <v>9855</v>
      </c>
      <c r="BC7">
        <v>9880</v>
      </c>
      <c r="BD7">
        <v>9907</v>
      </c>
      <c r="BE7">
        <v>9933</v>
      </c>
      <c r="BF7">
        <v>9964</v>
      </c>
      <c r="BG7">
        <v>9961</v>
      </c>
      <c r="BH7">
        <v>9959</v>
      </c>
      <c r="BI7">
        <v>9957</v>
      </c>
      <c r="BJ7">
        <v>9656</v>
      </c>
      <c r="BK7">
        <v>9629</v>
      </c>
      <c r="BL7">
        <v>9649</v>
      </c>
      <c r="BM7">
        <v>10117</v>
      </c>
      <c r="BN7">
        <v>10240</v>
      </c>
      <c r="BO7">
        <v>10104</v>
      </c>
      <c r="BP7">
        <v>9967</v>
      </c>
      <c r="BQ7">
        <v>9830</v>
      </c>
      <c r="BR7">
        <v>9696</v>
      </c>
      <c r="BS7">
        <v>9602</v>
      </c>
      <c r="BT7">
        <v>9512</v>
      </c>
      <c r="BU7">
        <v>9421</v>
      </c>
      <c r="BV7">
        <v>9334</v>
      </c>
      <c r="BW7">
        <v>9239</v>
      </c>
      <c r="BX7">
        <v>9147</v>
      </c>
      <c r="BY7">
        <v>9052</v>
      </c>
      <c r="BZ7">
        <v>8958</v>
      </c>
      <c r="CA7">
        <v>8952</v>
      </c>
      <c r="CB7">
        <v>8948</v>
      </c>
      <c r="CC7">
        <v>8943</v>
      </c>
      <c r="CD7">
        <v>8941</v>
      </c>
      <c r="CE7">
        <v>8655</v>
      </c>
      <c r="CF7">
        <v>8373</v>
      </c>
      <c r="CG7">
        <v>8088</v>
      </c>
      <c r="CH7">
        <v>7808</v>
      </c>
      <c r="CI7">
        <v>7610</v>
      </c>
      <c r="CJ7">
        <v>7413</v>
      </c>
      <c r="CK7">
        <v>7215</v>
      </c>
      <c r="CL7">
        <v>7362</v>
      </c>
      <c r="CM7">
        <v>6768</v>
      </c>
      <c r="CN7">
        <v>5681</v>
      </c>
      <c r="CO7">
        <v>4592</v>
      </c>
      <c r="CP7">
        <v>4454</v>
      </c>
      <c r="CQ7">
        <v>4426</v>
      </c>
      <c r="CR7">
        <v>4399</v>
      </c>
      <c r="CS7">
        <v>4372</v>
      </c>
    </row>
    <row r="8" spans="1:97">
      <c r="A8" s="9">
        <v>46241</v>
      </c>
      <c r="B8">
        <v>5001</v>
      </c>
      <c r="C8">
        <v>4954</v>
      </c>
      <c r="D8">
        <v>4723</v>
      </c>
      <c r="E8">
        <v>4364</v>
      </c>
      <c r="F8">
        <v>3814</v>
      </c>
      <c r="G8">
        <v>3777</v>
      </c>
      <c r="H8">
        <v>3737</v>
      </c>
      <c r="I8">
        <v>3699</v>
      </c>
      <c r="J8">
        <v>3399</v>
      </c>
      <c r="K8">
        <v>3377</v>
      </c>
      <c r="L8">
        <v>3355</v>
      </c>
      <c r="M8">
        <v>3333</v>
      </c>
      <c r="N8">
        <v>2836</v>
      </c>
      <c r="O8">
        <v>2838</v>
      </c>
      <c r="P8">
        <v>2838</v>
      </c>
      <c r="Q8">
        <v>2839</v>
      </c>
      <c r="R8">
        <v>2705</v>
      </c>
      <c r="S8">
        <v>2784</v>
      </c>
      <c r="T8">
        <v>2862</v>
      </c>
      <c r="U8">
        <v>2940</v>
      </c>
      <c r="V8">
        <v>3092</v>
      </c>
      <c r="W8">
        <v>3281</v>
      </c>
      <c r="X8">
        <v>3466</v>
      </c>
      <c r="Y8">
        <v>3651</v>
      </c>
      <c r="Z8">
        <v>3552</v>
      </c>
      <c r="AA8">
        <v>3840</v>
      </c>
      <c r="AB8">
        <v>4130</v>
      </c>
      <c r="AC8">
        <v>4418</v>
      </c>
      <c r="AD8">
        <v>4517</v>
      </c>
      <c r="AE8">
        <v>4769</v>
      </c>
      <c r="AF8">
        <v>5023</v>
      </c>
      <c r="AG8">
        <v>5276</v>
      </c>
      <c r="AH8">
        <v>5222</v>
      </c>
      <c r="AI8">
        <v>5682</v>
      </c>
      <c r="AJ8">
        <v>6146</v>
      </c>
      <c r="AK8">
        <v>6650</v>
      </c>
      <c r="AL8">
        <v>7197</v>
      </c>
      <c r="AM8">
        <v>7387</v>
      </c>
      <c r="AN8">
        <v>7580</v>
      </c>
      <c r="AO8">
        <v>7772</v>
      </c>
      <c r="AP8">
        <v>7985</v>
      </c>
      <c r="AQ8">
        <v>8066</v>
      </c>
      <c r="AR8">
        <v>7834</v>
      </c>
      <c r="AS8">
        <v>7576</v>
      </c>
      <c r="AT8">
        <v>7288</v>
      </c>
      <c r="AU8">
        <v>6771</v>
      </c>
      <c r="AV8">
        <v>6439</v>
      </c>
      <c r="AW8">
        <v>6104</v>
      </c>
      <c r="AX8">
        <v>5482</v>
      </c>
      <c r="AY8">
        <v>5646</v>
      </c>
      <c r="AZ8">
        <v>5814</v>
      </c>
      <c r="BA8">
        <v>5980</v>
      </c>
      <c r="BB8">
        <v>6769</v>
      </c>
      <c r="BC8">
        <v>6951</v>
      </c>
      <c r="BD8">
        <v>7316</v>
      </c>
      <c r="BE8">
        <v>7994</v>
      </c>
      <c r="BF8">
        <v>8265</v>
      </c>
      <c r="BG8">
        <v>8757</v>
      </c>
      <c r="BH8">
        <v>9068</v>
      </c>
      <c r="BI8">
        <v>9249</v>
      </c>
      <c r="BJ8">
        <v>8941</v>
      </c>
      <c r="BK8">
        <v>8914</v>
      </c>
      <c r="BL8">
        <v>8888</v>
      </c>
      <c r="BM8">
        <v>8861</v>
      </c>
      <c r="BN8">
        <v>8734</v>
      </c>
      <c r="BO8">
        <v>8911</v>
      </c>
      <c r="BP8">
        <v>8930</v>
      </c>
      <c r="BQ8">
        <v>8976</v>
      </c>
      <c r="BR8">
        <v>8818</v>
      </c>
      <c r="BS8">
        <v>9037</v>
      </c>
      <c r="BT8">
        <v>9286</v>
      </c>
      <c r="BU8">
        <v>9195</v>
      </c>
      <c r="BV8">
        <v>8645</v>
      </c>
      <c r="BW8">
        <v>8550</v>
      </c>
      <c r="BX8">
        <v>8458</v>
      </c>
      <c r="BY8">
        <v>8363</v>
      </c>
      <c r="BZ8">
        <v>7875</v>
      </c>
      <c r="CA8">
        <v>7869</v>
      </c>
      <c r="CB8">
        <v>7865</v>
      </c>
      <c r="CC8">
        <v>7860</v>
      </c>
      <c r="CD8">
        <v>8101</v>
      </c>
      <c r="CE8">
        <v>7815</v>
      </c>
      <c r="CF8">
        <v>7487</v>
      </c>
      <c r="CG8">
        <v>7202</v>
      </c>
      <c r="CH8">
        <v>7519</v>
      </c>
      <c r="CI8">
        <v>7008</v>
      </c>
      <c r="CJ8">
        <v>6472</v>
      </c>
      <c r="CK8">
        <v>5961</v>
      </c>
      <c r="CL8">
        <v>5399</v>
      </c>
      <c r="CM8">
        <v>4805</v>
      </c>
      <c r="CN8">
        <v>4212</v>
      </c>
      <c r="CO8">
        <v>3618</v>
      </c>
      <c r="CP8">
        <v>3472</v>
      </c>
      <c r="CQ8">
        <v>3449</v>
      </c>
      <c r="CR8">
        <v>3426</v>
      </c>
      <c r="CS8">
        <v>3403</v>
      </c>
    </row>
    <row r="9" spans="1:97">
      <c r="A9" s="9">
        <v>46242</v>
      </c>
      <c r="B9">
        <v>1143</v>
      </c>
      <c r="C9">
        <v>780</v>
      </c>
      <c r="D9">
        <v>234</v>
      </c>
      <c r="E9">
        <v>183</v>
      </c>
      <c r="F9">
        <v>178</v>
      </c>
      <c r="G9">
        <v>141</v>
      </c>
      <c r="H9">
        <v>101</v>
      </c>
      <c r="I9">
        <v>64</v>
      </c>
      <c r="J9">
        <v>-130</v>
      </c>
      <c r="K9">
        <v>-152</v>
      </c>
      <c r="L9">
        <v>-175</v>
      </c>
      <c r="M9">
        <v>-197</v>
      </c>
      <c r="N9">
        <v>-76</v>
      </c>
      <c r="O9">
        <v>-73</v>
      </c>
      <c r="P9">
        <v>-72</v>
      </c>
      <c r="Q9">
        <v>-70</v>
      </c>
      <c r="R9">
        <v>354</v>
      </c>
      <c r="S9">
        <v>433</v>
      </c>
      <c r="T9">
        <v>511</v>
      </c>
      <c r="U9">
        <v>589</v>
      </c>
      <c r="V9">
        <v>706</v>
      </c>
      <c r="W9">
        <v>892</v>
      </c>
      <c r="X9">
        <v>1076</v>
      </c>
      <c r="Y9">
        <v>1258</v>
      </c>
      <c r="Z9">
        <v>944</v>
      </c>
      <c r="AA9">
        <v>1232</v>
      </c>
      <c r="AB9">
        <v>1522</v>
      </c>
      <c r="AC9">
        <v>1810</v>
      </c>
      <c r="AD9">
        <v>2455</v>
      </c>
      <c r="AE9">
        <v>2708</v>
      </c>
      <c r="AF9">
        <v>2962</v>
      </c>
      <c r="AG9">
        <v>3215</v>
      </c>
      <c r="AH9">
        <v>3347</v>
      </c>
      <c r="AI9">
        <v>3807</v>
      </c>
      <c r="AJ9">
        <v>4272</v>
      </c>
      <c r="AK9">
        <v>4777</v>
      </c>
      <c r="AL9">
        <v>5245</v>
      </c>
      <c r="AM9">
        <v>5436</v>
      </c>
      <c r="AN9">
        <v>5628</v>
      </c>
      <c r="AO9">
        <v>5820</v>
      </c>
      <c r="AP9">
        <v>6382</v>
      </c>
      <c r="AQ9">
        <v>6463</v>
      </c>
      <c r="AR9">
        <v>6544</v>
      </c>
      <c r="AS9">
        <v>7120</v>
      </c>
      <c r="AT9">
        <v>7266</v>
      </c>
      <c r="AU9">
        <v>7270</v>
      </c>
      <c r="AV9">
        <v>7094</v>
      </c>
      <c r="AW9">
        <v>6916</v>
      </c>
      <c r="AX9">
        <v>6731</v>
      </c>
      <c r="AY9">
        <v>6895</v>
      </c>
      <c r="AZ9">
        <v>7063</v>
      </c>
      <c r="BA9">
        <v>7229</v>
      </c>
      <c r="BB9">
        <v>7468</v>
      </c>
      <c r="BC9">
        <v>7493</v>
      </c>
      <c r="BD9">
        <v>7520</v>
      </c>
      <c r="BE9">
        <v>7546</v>
      </c>
      <c r="BF9">
        <v>7772</v>
      </c>
      <c r="BG9">
        <v>7769</v>
      </c>
      <c r="BH9">
        <v>7768</v>
      </c>
      <c r="BI9">
        <v>7766</v>
      </c>
      <c r="BJ9">
        <v>7088</v>
      </c>
      <c r="BK9">
        <v>7061</v>
      </c>
      <c r="BL9">
        <v>7035</v>
      </c>
      <c r="BM9">
        <v>7008</v>
      </c>
      <c r="BN9">
        <v>5966</v>
      </c>
      <c r="BO9">
        <v>6143</v>
      </c>
      <c r="BP9">
        <v>6163</v>
      </c>
      <c r="BQ9">
        <v>6521</v>
      </c>
      <c r="BR9">
        <v>8075</v>
      </c>
      <c r="BS9">
        <v>8164</v>
      </c>
      <c r="BT9">
        <v>8074</v>
      </c>
      <c r="BU9">
        <v>7982</v>
      </c>
      <c r="BV9">
        <v>8556</v>
      </c>
      <c r="BW9">
        <v>8461</v>
      </c>
      <c r="BX9">
        <v>8368</v>
      </c>
      <c r="BY9">
        <v>8273</v>
      </c>
      <c r="BZ9">
        <v>9209</v>
      </c>
      <c r="CA9">
        <v>9204</v>
      </c>
      <c r="CB9">
        <v>9200</v>
      </c>
      <c r="CC9">
        <v>9194</v>
      </c>
      <c r="CD9">
        <v>9552</v>
      </c>
      <c r="CE9">
        <v>9267</v>
      </c>
      <c r="CF9">
        <v>8984</v>
      </c>
      <c r="CG9">
        <v>8700</v>
      </c>
      <c r="CH9">
        <v>8570</v>
      </c>
      <c r="CI9">
        <v>8189</v>
      </c>
      <c r="CJ9">
        <v>7654</v>
      </c>
      <c r="CK9">
        <v>7143</v>
      </c>
      <c r="CL9">
        <v>6549</v>
      </c>
      <c r="CM9">
        <v>5642</v>
      </c>
      <c r="CN9">
        <v>4644</v>
      </c>
      <c r="CO9">
        <v>3957</v>
      </c>
      <c r="CP9">
        <v>3772</v>
      </c>
      <c r="CQ9">
        <v>3749</v>
      </c>
      <c r="CR9">
        <v>3726</v>
      </c>
      <c r="CS9">
        <v>3703</v>
      </c>
    </row>
    <row r="10" spans="1:97">
      <c r="A10" s="9">
        <v>46243</v>
      </c>
      <c r="B10">
        <v>2901</v>
      </c>
      <c r="C10">
        <v>2850</v>
      </c>
      <c r="D10">
        <v>2799</v>
      </c>
      <c r="E10">
        <v>2748</v>
      </c>
      <c r="F10">
        <v>2644</v>
      </c>
      <c r="G10">
        <v>2294</v>
      </c>
      <c r="H10">
        <v>1759</v>
      </c>
      <c r="I10">
        <v>1722</v>
      </c>
      <c r="J10">
        <v>1960</v>
      </c>
      <c r="K10">
        <v>1938</v>
      </c>
      <c r="L10">
        <v>1915</v>
      </c>
      <c r="M10">
        <v>1893</v>
      </c>
      <c r="N10">
        <v>1616</v>
      </c>
      <c r="O10">
        <v>1619</v>
      </c>
      <c r="P10">
        <v>1620</v>
      </c>
      <c r="Q10">
        <v>1622</v>
      </c>
      <c r="R10">
        <v>1704</v>
      </c>
      <c r="S10">
        <v>1783</v>
      </c>
      <c r="T10">
        <v>1861</v>
      </c>
      <c r="U10">
        <v>1939</v>
      </c>
      <c r="V10">
        <v>2103</v>
      </c>
      <c r="W10">
        <v>2289</v>
      </c>
      <c r="X10">
        <v>2473</v>
      </c>
      <c r="Y10">
        <v>2655</v>
      </c>
      <c r="Z10">
        <v>1955</v>
      </c>
      <c r="AA10">
        <v>2243</v>
      </c>
      <c r="AB10">
        <v>2533</v>
      </c>
      <c r="AC10">
        <v>2821</v>
      </c>
      <c r="AD10">
        <v>3811</v>
      </c>
      <c r="AE10">
        <v>4064</v>
      </c>
      <c r="AF10">
        <v>4318</v>
      </c>
      <c r="AG10">
        <v>4571</v>
      </c>
      <c r="AH10">
        <v>4662</v>
      </c>
      <c r="AI10">
        <v>5122</v>
      </c>
      <c r="AJ10">
        <v>5586</v>
      </c>
      <c r="AK10">
        <v>6092</v>
      </c>
      <c r="AL10">
        <v>6699</v>
      </c>
      <c r="AM10">
        <v>6890</v>
      </c>
      <c r="AN10">
        <v>7083</v>
      </c>
      <c r="AO10">
        <v>7274</v>
      </c>
      <c r="AP10">
        <v>7842</v>
      </c>
      <c r="AQ10">
        <v>7923</v>
      </c>
      <c r="AR10">
        <v>8004</v>
      </c>
      <c r="AS10">
        <v>8085</v>
      </c>
      <c r="AT10">
        <v>8150</v>
      </c>
      <c r="AU10">
        <v>7972</v>
      </c>
      <c r="AV10">
        <v>7796</v>
      </c>
      <c r="AW10">
        <v>7618</v>
      </c>
      <c r="AX10">
        <v>7571</v>
      </c>
      <c r="AY10">
        <v>7735</v>
      </c>
      <c r="AZ10">
        <v>7903</v>
      </c>
      <c r="BA10">
        <v>8069</v>
      </c>
      <c r="BB10">
        <v>8097</v>
      </c>
      <c r="BC10">
        <v>8122</v>
      </c>
      <c r="BD10">
        <v>8149</v>
      </c>
      <c r="BE10">
        <v>8175</v>
      </c>
      <c r="BF10">
        <v>7961</v>
      </c>
      <c r="BG10">
        <v>7958</v>
      </c>
      <c r="BH10">
        <v>8451</v>
      </c>
      <c r="BI10">
        <v>8762</v>
      </c>
      <c r="BJ10">
        <v>9493</v>
      </c>
      <c r="BK10">
        <v>9778</v>
      </c>
      <c r="BL10">
        <v>10065</v>
      </c>
      <c r="BM10">
        <v>10195</v>
      </c>
      <c r="BN10">
        <v>10480</v>
      </c>
      <c r="BO10">
        <v>10683</v>
      </c>
      <c r="BP10">
        <v>10885</v>
      </c>
      <c r="BQ10">
        <v>10748</v>
      </c>
      <c r="BR10">
        <v>10613</v>
      </c>
      <c r="BS10">
        <v>10520</v>
      </c>
      <c r="BT10">
        <v>10430</v>
      </c>
      <c r="BU10">
        <v>10339</v>
      </c>
      <c r="BV10">
        <v>10252</v>
      </c>
      <c r="BW10">
        <v>10157</v>
      </c>
      <c r="BX10">
        <v>10064</v>
      </c>
      <c r="BY10">
        <v>9969</v>
      </c>
      <c r="BZ10">
        <v>9875</v>
      </c>
      <c r="CA10">
        <v>9870</v>
      </c>
      <c r="CB10">
        <v>9866</v>
      </c>
      <c r="CC10">
        <v>9861</v>
      </c>
      <c r="CD10">
        <v>9858</v>
      </c>
      <c r="CE10">
        <v>9573</v>
      </c>
      <c r="CF10">
        <v>9290</v>
      </c>
      <c r="CG10">
        <v>9006</v>
      </c>
      <c r="CH10">
        <v>8727</v>
      </c>
      <c r="CI10">
        <v>8529</v>
      </c>
      <c r="CJ10">
        <v>8192</v>
      </c>
      <c r="CK10">
        <v>7631</v>
      </c>
      <c r="CL10">
        <v>7739</v>
      </c>
      <c r="CM10">
        <v>6832</v>
      </c>
      <c r="CN10">
        <v>5901</v>
      </c>
      <c r="CO10">
        <v>4994</v>
      </c>
      <c r="CP10">
        <v>4532</v>
      </c>
      <c r="CQ10">
        <v>4510</v>
      </c>
      <c r="CR10">
        <v>4487</v>
      </c>
      <c r="CS10">
        <v>4464</v>
      </c>
    </row>
    <row r="11" spans="1:97">
      <c r="A11" s="9">
        <v>46244</v>
      </c>
      <c r="B11">
        <v>4903</v>
      </c>
      <c r="C11">
        <v>4852</v>
      </c>
      <c r="D11">
        <v>4801</v>
      </c>
      <c r="E11">
        <v>4567</v>
      </c>
      <c r="F11">
        <v>3952</v>
      </c>
      <c r="G11">
        <v>3420</v>
      </c>
      <c r="H11">
        <v>3380</v>
      </c>
      <c r="I11">
        <v>3343</v>
      </c>
      <c r="J11">
        <v>3426</v>
      </c>
      <c r="K11">
        <v>3404</v>
      </c>
      <c r="L11">
        <v>3381</v>
      </c>
      <c r="M11">
        <v>3359</v>
      </c>
      <c r="N11">
        <v>3093</v>
      </c>
      <c r="O11">
        <v>3096</v>
      </c>
      <c r="P11">
        <v>3097</v>
      </c>
      <c r="Q11">
        <v>3099</v>
      </c>
      <c r="R11">
        <v>2835</v>
      </c>
      <c r="S11">
        <v>2915</v>
      </c>
      <c r="T11">
        <v>2992</v>
      </c>
      <c r="U11">
        <v>3071</v>
      </c>
      <c r="V11">
        <v>3116</v>
      </c>
      <c r="W11">
        <v>3303</v>
      </c>
      <c r="X11">
        <v>3486</v>
      </c>
      <c r="Y11">
        <v>3669</v>
      </c>
      <c r="Z11">
        <v>3262</v>
      </c>
      <c r="AA11">
        <v>3550</v>
      </c>
      <c r="AB11">
        <v>3840</v>
      </c>
      <c r="AC11">
        <v>4128</v>
      </c>
      <c r="AD11">
        <v>4635</v>
      </c>
      <c r="AE11">
        <v>4889</v>
      </c>
      <c r="AF11">
        <v>5142</v>
      </c>
      <c r="AG11">
        <v>5396</v>
      </c>
      <c r="AH11">
        <v>5446</v>
      </c>
      <c r="AI11">
        <v>5906</v>
      </c>
      <c r="AJ11">
        <v>6370</v>
      </c>
      <c r="AK11">
        <v>6875</v>
      </c>
      <c r="AL11">
        <v>7524</v>
      </c>
      <c r="AM11">
        <v>7714</v>
      </c>
      <c r="AN11">
        <v>7907</v>
      </c>
      <c r="AO11">
        <v>8099</v>
      </c>
      <c r="AP11">
        <v>8309</v>
      </c>
      <c r="AQ11">
        <v>8051</v>
      </c>
      <c r="AR11">
        <v>7820</v>
      </c>
      <c r="AS11">
        <v>7562</v>
      </c>
      <c r="AT11">
        <v>7678</v>
      </c>
      <c r="AU11">
        <v>7344</v>
      </c>
      <c r="AV11">
        <v>6855</v>
      </c>
      <c r="AW11">
        <v>6677</v>
      </c>
      <c r="AX11">
        <v>6447</v>
      </c>
      <c r="AY11">
        <v>6611</v>
      </c>
      <c r="AZ11">
        <v>7248</v>
      </c>
      <c r="BA11">
        <v>7571</v>
      </c>
      <c r="BB11">
        <v>8014</v>
      </c>
      <c r="BC11">
        <v>8691</v>
      </c>
      <c r="BD11">
        <v>9030</v>
      </c>
      <c r="BE11">
        <v>9552</v>
      </c>
      <c r="BF11">
        <v>9853</v>
      </c>
      <c r="BG11">
        <v>10032</v>
      </c>
      <c r="BH11">
        <v>10031</v>
      </c>
      <c r="BI11">
        <v>10342</v>
      </c>
      <c r="BJ11">
        <v>10389</v>
      </c>
      <c r="BK11">
        <v>10675</v>
      </c>
      <c r="BL11">
        <v>10962</v>
      </c>
      <c r="BM11">
        <v>11248</v>
      </c>
      <c r="BN11">
        <v>10928</v>
      </c>
      <c r="BO11">
        <v>10792</v>
      </c>
      <c r="BP11">
        <v>10656</v>
      </c>
      <c r="BQ11">
        <v>10519</v>
      </c>
      <c r="BR11">
        <v>10223</v>
      </c>
      <c r="BS11">
        <v>10129</v>
      </c>
      <c r="BT11">
        <v>10039</v>
      </c>
      <c r="BU11">
        <v>9948</v>
      </c>
      <c r="BV11">
        <v>10008</v>
      </c>
      <c r="BW11">
        <v>9913</v>
      </c>
      <c r="BX11">
        <v>9820</v>
      </c>
      <c r="BY11">
        <v>9725</v>
      </c>
      <c r="BZ11">
        <v>10104</v>
      </c>
      <c r="CA11">
        <v>10098</v>
      </c>
      <c r="CB11">
        <v>10094</v>
      </c>
      <c r="CC11">
        <v>10089</v>
      </c>
      <c r="CD11">
        <v>10526</v>
      </c>
      <c r="CE11">
        <v>10240</v>
      </c>
      <c r="CF11">
        <v>9958</v>
      </c>
      <c r="CG11">
        <v>9673</v>
      </c>
      <c r="CH11">
        <v>9356</v>
      </c>
      <c r="CI11">
        <v>9158</v>
      </c>
      <c r="CJ11">
        <v>8509</v>
      </c>
      <c r="CK11">
        <v>7974</v>
      </c>
      <c r="CL11">
        <v>6900</v>
      </c>
      <c r="CM11">
        <v>5994</v>
      </c>
      <c r="CN11">
        <v>5088</v>
      </c>
      <c r="CO11">
        <v>4494</v>
      </c>
      <c r="CP11">
        <v>4243</v>
      </c>
      <c r="CQ11">
        <v>4220</v>
      </c>
      <c r="CR11">
        <v>4197</v>
      </c>
      <c r="CS11">
        <v>4174</v>
      </c>
    </row>
    <row r="12" spans="1:97">
      <c r="A12" s="9">
        <v>46245</v>
      </c>
      <c r="B12">
        <v>3565</v>
      </c>
      <c r="C12">
        <v>3175</v>
      </c>
      <c r="D12">
        <v>2811</v>
      </c>
      <c r="E12">
        <v>2448</v>
      </c>
      <c r="F12">
        <v>2056</v>
      </c>
      <c r="G12">
        <v>1680</v>
      </c>
      <c r="H12">
        <v>1302</v>
      </c>
      <c r="I12">
        <v>952</v>
      </c>
      <c r="J12">
        <v>591</v>
      </c>
      <c r="K12">
        <v>413</v>
      </c>
      <c r="L12">
        <v>390</v>
      </c>
      <c r="M12">
        <v>368</v>
      </c>
      <c r="N12">
        <v>343</v>
      </c>
      <c r="O12">
        <v>346</v>
      </c>
      <c r="P12">
        <v>347</v>
      </c>
      <c r="Q12">
        <v>349</v>
      </c>
      <c r="R12">
        <v>361</v>
      </c>
      <c r="S12">
        <v>440</v>
      </c>
      <c r="T12">
        <v>674</v>
      </c>
      <c r="U12">
        <v>1065</v>
      </c>
      <c r="V12">
        <v>1446</v>
      </c>
      <c r="W12">
        <v>1971</v>
      </c>
      <c r="X12">
        <v>2493</v>
      </c>
      <c r="Y12">
        <v>3014</v>
      </c>
      <c r="Z12">
        <v>3193</v>
      </c>
      <c r="AA12">
        <v>3794</v>
      </c>
      <c r="AB12">
        <v>4422</v>
      </c>
      <c r="AC12">
        <v>4867</v>
      </c>
      <c r="AD12">
        <v>5164</v>
      </c>
      <c r="AE12">
        <v>5417</v>
      </c>
      <c r="AF12">
        <v>5671</v>
      </c>
      <c r="AG12">
        <v>5924</v>
      </c>
      <c r="AH12">
        <v>6156</v>
      </c>
      <c r="AI12">
        <v>6616</v>
      </c>
      <c r="AJ12">
        <v>7080</v>
      </c>
      <c r="AK12">
        <v>7585</v>
      </c>
      <c r="AL12">
        <v>8462</v>
      </c>
      <c r="AM12">
        <v>8652</v>
      </c>
      <c r="AN12">
        <v>8845</v>
      </c>
      <c r="AO12">
        <v>9037</v>
      </c>
      <c r="AP12">
        <v>9400</v>
      </c>
      <c r="AQ12">
        <v>9481</v>
      </c>
      <c r="AR12">
        <v>9562</v>
      </c>
      <c r="AS12">
        <v>9643</v>
      </c>
      <c r="AT12">
        <v>9592</v>
      </c>
      <c r="AU12">
        <v>9414</v>
      </c>
      <c r="AV12">
        <v>9238</v>
      </c>
      <c r="AW12">
        <v>9060</v>
      </c>
      <c r="AX12">
        <v>9026</v>
      </c>
      <c r="AY12">
        <v>9190</v>
      </c>
      <c r="AZ12">
        <v>9358</v>
      </c>
      <c r="BA12">
        <v>9524</v>
      </c>
      <c r="BB12">
        <v>9694</v>
      </c>
      <c r="BC12">
        <v>9719</v>
      </c>
      <c r="BD12">
        <v>9746</v>
      </c>
      <c r="BE12">
        <v>9772</v>
      </c>
      <c r="BF12">
        <v>9803</v>
      </c>
      <c r="BG12">
        <v>9800</v>
      </c>
      <c r="BH12">
        <v>9798</v>
      </c>
      <c r="BI12">
        <v>9796</v>
      </c>
      <c r="BJ12">
        <v>9528</v>
      </c>
      <c r="BK12">
        <v>9501</v>
      </c>
      <c r="BL12">
        <v>9631</v>
      </c>
      <c r="BM12">
        <v>9943</v>
      </c>
      <c r="BN12">
        <v>10111</v>
      </c>
      <c r="BO12">
        <v>10288</v>
      </c>
      <c r="BP12">
        <v>10490</v>
      </c>
      <c r="BQ12">
        <v>10692</v>
      </c>
      <c r="BR12">
        <v>10613</v>
      </c>
      <c r="BS12">
        <v>10520</v>
      </c>
      <c r="BT12">
        <v>10430</v>
      </c>
      <c r="BU12">
        <v>10339</v>
      </c>
      <c r="BV12">
        <v>10252</v>
      </c>
      <c r="BW12">
        <v>10157</v>
      </c>
      <c r="BX12">
        <v>10064</v>
      </c>
      <c r="BY12">
        <v>9969</v>
      </c>
      <c r="BZ12">
        <v>10022</v>
      </c>
      <c r="CA12">
        <v>10017</v>
      </c>
      <c r="CB12">
        <v>10013</v>
      </c>
      <c r="CC12">
        <v>10008</v>
      </c>
      <c r="CD12">
        <v>10036</v>
      </c>
      <c r="CE12">
        <v>9751</v>
      </c>
      <c r="CF12">
        <v>9468</v>
      </c>
      <c r="CG12">
        <v>9184</v>
      </c>
      <c r="CH12">
        <v>9316</v>
      </c>
      <c r="CI12">
        <v>9118</v>
      </c>
      <c r="CJ12">
        <v>8782</v>
      </c>
      <c r="CK12">
        <v>8403</v>
      </c>
      <c r="CL12">
        <v>7886</v>
      </c>
      <c r="CM12">
        <v>6954</v>
      </c>
      <c r="CN12">
        <v>6048</v>
      </c>
      <c r="CO12">
        <v>5142</v>
      </c>
      <c r="CP12">
        <v>4441</v>
      </c>
      <c r="CQ12">
        <v>4261</v>
      </c>
      <c r="CR12">
        <v>4238</v>
      </c>
      <c r="CS12">
        <v>4215</v>
      </c>
    </row>
    <row r="13" spans="1:97">
      <c r="A13" s="9">
        <v>46246</v>
      </c>
      <c r="B13">
        <v>3434</v>
      </c>
      <c r="C13">
        <v>2906</v>
      </c>
      <c r="D13">
        <v>2356</v>
      </c>
      <c r="E13">
        <v>1876</v>
      </c>
      <c r="F13">
        <v>1535</v>
      </c>
      <c r="G13">
        <v>1159</v>
      </c>
      <c r="H13">
        <v>807</v>
      </c>
      <c r="I13">
        <v>456</v>
      </c>
      <c r="J13">
        <v>191</v>
      </c>
      <c r="K13">
        <v>169</v>
      </c>
      <c r="L13">
        <v>147</v>
      </c>
      <c r="M13">
        <v>125</v>
      </c>
      <c r="N13">
        <v>83</v>
      </c>
      <c r="O13">
        <v>86</v>
      </c>
      <c r="P13">
        <v>87</v>
      </c>
      <c r="Q13">
        <v>89</v>
      </c>
      <c r="R13">
        <v>64</v>
      </c>
      <c r="S13">
        <v>143</v>
      </c>
      <c r="T13">
        <v>221</v>
      </c>
      <c r="U13">
        <v>299</v>
      </c>
      <c r="V13">
        <v>393</v>
      </c>
      <c r="W13">
        <v>580</v>
      </c>
      <c r="X13">
        <v>764</v>
      </c>
      <c r="Y13">
        <v>946</v>
      </c>
      <c r="Z13">
        <v>941</v>
      </c>
      <c r="AA13">
        <v>1541</v>
      </c>
      <c r="AB13">
        <v>2144</v>
      </c>
      <c r="AC13">
        <v>2771</v>
      </c>
      <c r="AD13">
        <v>3451</v>
      </c>
      <c r="AE13">
        <v>4018</v>
      </c>
      <c r="AF13">
        <v>4584</v>
      </c>
      <c r="AG13">
        <v>5176</v>
      </c>
      <c r="AH13">
        <v>5507</v>
      </c>
      <c r="AI13">
        <v>5967</v>
      </c>
      <c r="AJ13">
        <v>6431</v>
      </c>
      <c r="AK13">
        <v>6936</v>
      </c>
      <c r="AL13">
        <v>7698</v>
      </c>
      <c r="AM13">
        <v>7888</v>
      </c>
      <c r="AN13">
        <v>8081</v>
      </c>
      <c r="AO13">
        <v>8273</v>
      </c>
      <c r="AP13">
        <v>8768</v>
      </c>
      <c r="AQ13">
        <v>8849</v>
      </c>
      <c r="AR13">
        <v>8930</v>
      </c>
      <c r="AS13">
        <v>9011</v>
      </c>
      <c r="AT13">
        <v>9102</v>
      </c>
      <c r="AU13">
        <v>8924</v>
      </c>
      <c r="AV13">
        <v>8748</v>
      </c>
      <c r="AW13">
        <v>8570</v>
      </c>
      <c r="AX13">
        <v>8384</v>
      </c>
      <c r="AY13">
        <v>8548</v>
      </c>
      <c r="AZ13">
        <v>8716</v>
      </c>
      <c r="BA13">
        <v>8882</v>
      </c>
      <c r="BB13">
        <v>9042</v>
      </c>
      <c r="BC13">
        <v>9067</v>
      </c>
      <c r="BD13">
        <v>9094</v>
      </c>
      <c r="BE13">
        <v>9120</v>
      </c>
      <c r="BF13">
        <v>9151</v>
      </c>
      <c r="BG13">
        <v>9304</v>
      </c>
      <c r="BH13">
        <v>9641</v>
      </c>
      <c r="BI13">
        <v>9952</v>
      </c>
      <c r="BJ13">
        <v>9963</v>
      </c>
      <c r="BK13">
        <v>10275</v>
      </c>
      <c r="BL13">
        <v>10588</v>
      </c>
      <c r="BM13">
        <v>10717</v>
      </c>
      <c r="BN13">
        <v>10344</v>
      </c>
      <c r="BO13">
        <v>10209</v>
      </c>
      <c r="BP13">
        <v>10072</v>
      </c>
      <c r="BQ13">
        <v>9935</v>
      </c>
      <c r="BR13">
        <v>9800</v>
      </c>
      <c r="BS13">
        <v>9707</v>
      </c>
      <c r="BT13">
        <v>9617</v>
      </c>
      <c r="BU13">
        <v>9526</v>
      </c>
      <c r="BV13">
        <v>9439</v>
      </c>
      <c r="BW13">
        <v>9344</v>
      </c>
      <c r="BX13">
        <v>9251</v>
      </c>
      <c r="BY13">
        <v>9156</v>
      </c>
      <c r="BZ13">
        <v>9062</v>
      </c>
      <c r="CA13">
        <v>9057</v>
      </c>
      <c r="CB13">
        <v>9053</v>
      </c>
      <c r="CC13">
        <v>9048</v>
      </c>
      <c r="CD13">
        <v>9045</v>
      </c>
      <c r="CE13">
        <v>8760</v>
      </c>
      <c r="CF13">
        <v>8477</v>
      </c>
      <c r="CG13">
        <v>8193</v>
      </c>
      <c r="CH13">
        <v>7913</v>
      </c>
      <c r="CI13">
        <v>7715</v>
      </c>
      <c r="CJ13">
        <v>7518</v>
      </c>
      <c r="CK13">
        <v>7163</v>
      </c>
      <c r="CL13">
        <v>6629</v>
      </c>
      <c r="CM13">
        <v>5697</v>
      </c>
      <c r="CN13">
        <v>4791</v>
      </c>
      <c r="CO13">
        <v>3885</v>
      </c>
      <c r="CP13">
        <v>3301</v>
      </c>
      <c r="CQ13">
        <v>3121</v>
      </c>
      <c r="CR13">
        <v>3098</v>
      </c>
      <c r="CS13">
        <v>3075</v>
      </c>
    </row>
    <row r="14" spans="1:97">
      <c r="A14" s="9">
        <v>46247</v>
      </c>
      <c r="B14">
        <v>3054</v>
      </c>
      <c r="C14">
        <v>2664</v>
      </c>
      <c r="D14">
        <v>2301</v>
      </c>
      <c r="E14">
        <v>1937</v>
      </c>
      <c r="F14">
        <v>1487</v>
      </c>
      <c r="G14">
        <v>1111</v>
      </c>
      <c r="H14">
        <v>759</v>
      </c>
      <c r="I14">
        <v>721</v>
      </c>
      <c r="J14">
        <v>709</v>
      </c>
      <c r="K14">
        <v>687</v>
      </c>
      <c r="L14">
        <v>665</v>
      </c>
      <c r="M14">
        <v>643</v>
      </c>
      <c r="N14">
        <v>666</v>
      </c>
      <c r="O14">
        <v>669</v>
      </c>
      <c r="P14">
        <v>670</v>
      </c>
      <c r="Q14">
        <v>672</v>
      </c>
      <c r="R14">
        <v>523</v>
      </c>
      <c r="S14">
        <v>602</v>
      </c>
      <c r="T14">
        <v>680</v>
      </c>
      <c r="U14">
        <v>758</v>
      </c>
      <c r="V14">
        <v>886</v>
      </c>
      <c r="W14">
        <v>1073</v>
      </c>
      <c r="X14">
        <v>1257</v>
      </c>
      <c r="Y14">
        <v>1439</v>
      </c>
      <c r="Z14">
        <v>1254</v>
      </c>
      <c r="AA14">
        <v>1542</v>
      </c>
      <c r="AB14">
        <v>2145</v>
      </c>
      <c r="AC14">
        <v>2772</v>
      </c>
      <c r="AD14">
        <v>3354</v>
      </c>
      <c r="AE14">
        <v>3920</v>
      </c>
      <c r="AF14">
        <v>4486</v>
      </c>
      <c r="AG14">
        <v>5078</v>
      </c>
      <c r="AH14">
        <v>5510</v>
      </c>
      <c r="AI14">
        <v>5970</v>
      </c>
      <c r="AJ14">
        <v>6434</v>
      </c>
      <c r="AK14">
        <v>6939</v>
      </c>
      <c r="AL14">
        <v>7816</v>
      </c>
      <c r="AM14">
        <v>8006</v>
      </c>
      <c r="AN14">
        <v>8199</v>
      </c>
      <c r="AO14">
        <v>8235</v>
      </c>
      <c r="AP14">
        <v>8361</v>
      </c>
      <c r="AQ14">
        <v>8129</v>
      </c>
      <c r="AR14">
        <v>7897</v>
      </c>
      <c r="AS14">
        <v>7640</v>
      </c>
      <c r="AT14">
        <v>7795</v>
      </c>
      <c r="AU14">
        <v>7617</v>
      </c>
      <c r="AV14">
        <v>7441</v>
      </c>
      <c r="AW14">
        <v>7263</v>
      </c>
      <c r="AX14">
        <v>7102</v>
      </c>
      <c r="AY14">
        <v>7266</v>
      </c>
      <c r="AZ14">
        <v>7434</v>
      </c>
      <c r="BA14">
        <v>7600</v>
      </c>
      <c r="BB14">
        <v>7610</v>
      </c>
      <c r="BC14">
        <v>7635</v>
      </c>
      <c r="BD14">
        <v>7662</v>
      </c>
      <c r="BE14">
        <v>7688</v>
      </c>
      <c r="BF14">
        <v>8030</v>
      </c>
      <c r="BG14">
        <v>8340</v>
      </c>
      <c r="BH14">
        <v>8651</v>
      </c>
      <c r="BI14">
        <v>8988</v>
      </c>
      <c r="BJ14">
        <v>8843</v>
      </c>
      <c r="BK14">
        <v>8816</v>
      </c>
      <c r="BL14">
        <v>8790</v>
      </c>
      <c r="BM14">
        <v>8920</v>
      </c>
      <c r="BN14">
        <v>8886</v>
      </c>
      <c r="BO14">
        <v>9062</v>
      </c>
      <c r="BP14">
        <v>9238</v>
      </c>
      <c r="BQ14">
        <v>9509</v>
      </c>
      <c r="BR14">
        <v>9713</v>
      </c>
      <c r="BS14">
        <v>9620</v>
      </c>
      <c r="BT14">
        <v>9530</v>
      </c>
      <c r="BU14">
        <v>9438</v>
      </c>
      <c r="BV14">
        <v>9352</v>
      </c>
      <c r="BW14">
        <v>9257</v>
      </c>
      <c r="BX14">
        <v>9164</v>
      </c>
      <c r="BY14">
        <v>9069</v>
      </c>
      <c r="BZ14">
        <v>8975</v>
      </c>
      <c r="CA14">
        <v>8970</v>
      </c>
      <c r="CB14">
        <v>8966</v>
      </c>
      <c r="CC14">
        <v>8960</v>
      </c>
      <c r="CD14">
        <v>8889</v>
      </c>
      <c r="CE14">
        <v>8604</v>
      </c>
      <c r="CF14">
        <v>8321</v>
      </c>
      <c r="CG14">
        <v>8037</v>
      </c>
      <c r="CH14">
        <v>7757</v>
      </c>
      <c r="CI14">
        <v>7559</v>
      </c>
      <c r="CJ14">
        <v>7023</v>
      </c>
      <c r="CK14">
        <v>6486</v>
      </c>
      <c r="CL14">
        <v>5978</v>
      </c>
      <c r="CM14">
        <v>5072</v>
      </c>
      <c r="CN14">
        <v>4140</v>
      </c>
      <c r="CO14">
        <v>3390</v>
      </c>
      <c r="CP14">
        <v>3146</v>
      </c>
      <c r="CQ14">
        <v>3122</v>
      </c>
      <c r="CR14">
        <v>3099</v>
      </c>
      <c r="CS14">
        <v>3076</v>
      </c>
    </row>
    <row r="15" spans="1:97">
      <c r="A15" s="9">
        <v>46248</v>
      </c>
      <c r="B15">
        <v>3187</v>
      </c>
      <c r="C15">
        <v>3136</v>
      </c>
      <c r="D15">
        <v>3085</v>
      </c>
      <c r="E15">
        <v>3034</v>
      </c>
      <c r="F15">
        <v>2990</v>
      </c>
      <c r="G15">
        <v>2953</v>
      </c>
      <c r="H15">
        <v>2913</v>
      </c>
      <c r="I15">
        <v>2875</v>
      </c>
      <c r="J15">
        <v>2484</v>
      </c>
      <c r="K15">
        <v>2462</v>
      </c>
      <c r="L15">
        <v>2440</v>
      </c>
      <c r="M15">
        <v>2418</v>
      </c>
      <c r="N15">
        <v>1449</v>
      </c>
      <c r="O15">
        <v>1451</v>
      </c>
      <c r="P15">
        <v>1452</v>
      </c>
      <c r="Q15">
        <v>1454</v>
      </c>
      <c r="R15">
        <v>1410</v>
      </c>
      <c r="S15">
        <v>1489</v>
      </c>
      <c r="T15">
        <v>1614</v>
      </c>
      <c r="U15">
        <v>1692</v>
      </c>
      <c r="V15">
        <v>2238</v>
      </c>
      <c r="W15">
        <v>2425</v>
      </c>
      <c r="X15">
        <v>2609</v>
      </c>
      <c r="Y15">
        <v>2791</v>
      </c>
      <c r="Z15">
        <v>3146</v>
      </c>
      <c r="AA15">
        <v>3434</v>
      </c>
      <c r="AB15">
        <v>3724</v>
      </c>
      <c r="AC15">
        <v>4012</v>
      </c>
      <c r="AD15">
        <v>4023</v>
      </c>
      <c r="AE15">
        <v>4275</v>
      </c>
      <c r="AF15">
        <v>4529</v>
      </c>
      <c r="AG15">
        <v>4782</v>
      </c>
      <c r="AH15">
        <v>5649</v>
      </c>
      <c r="AI15">
        <v>5907</v>
      </c>
      <c r="AJ15">
        <v>6032</v>
      </c>
      <c r="AK15">
        <v>6224</v>
      </c>
      <c r="AL15">
        <v>6684</v>
      </c>
      <c r="AM15">
        <v>6536</v>
      </c>
      <c r="AN15">
        <v>6343</v>
      </c>
      <c r="AO15">
        <v>6222</v>
      </c>
      <c r="AP15">
        <v>6404</v>
      </c>
      <c r="AQ15">
        <v>6485</v>
      </c>
      <c r="AR15">
        <v>6566</v>
      </c>
      <c r="AS15">
        <v>6647</v>
      </c>
      <c r="AT15">
        <v>6572</v>
      </c>
      <c r="AU15">
        <v>6394</v>
      </c>
      <c r="AV15">
        <v>6218</v>
      </c>
      <c r="AW15">
        <v>6040</v>
      </c>
      <c r="AX15">
        <v>5864</v>
      </c>
      <c r="AY15">
        <v>6028</v>
      </c>
      <c r="AZ15">
        <v>6196</v>
      </c>
      <c r="BA15">
        <v>6362</v>
      </c>
      <c r="BB15">
        <v>6688</v>
      </c>
      <c r="BC15">
        <v>6713</v>
      </c>
      <c r="BD15">
        <v>6740</v>
      </c>
      <c r="BE15">
        <v>6766</v>
      </c>
      <c r="BF15">
        <v>6797</v>
      </c>
      <c r="BG15">
        <v>6794</v>
      </c>
      <c r="BH15">
        <v>7105</v>
      </c>
      <c r="BI15">
        <v>7416</v>
      </c>
      <c r="BJ15">
        <v>7453</v>
      </c>
      <c r="BK15">
        <v>7765</v>
      </c>
      <c r="BL15">
        <v>8052</v>
      </c>
      <c r="BM15">
        <v>8337</v>
      </c>
      <c r="BN15">
        <v>8303</v>
      </c>
      <c r="BO15">
        <v>8324</v>
      </c>
      <c r="BP15">
        <v>8343</v>
      </c>
      <c r="BQ15">
        <v>8545</v>
      </c>
      <c r="BR15">
        <v>8723</v>
      </c>
      <c r="BS15">
        <v>8943</v>
      </c>
      <c r="BT15">
        <v>9191</v>
      </c>
      <c r="BU15">
        <v>9282</v>
      </c>
      <c r="BV15">
        <v>9196</v>
      </c>
      <c r="BW15">
        <v>9101</v>
      </c>
      <c r="BX15">
        <v>9008</v>
      </c>
      <c r="BY15">
        <v>8913</v>
      </c>
      <c r="BZ15">
        <v>8819</v>
      </c>
      <c r="CA15">
        <v>8814</v>
      </c>
      <c r="CB15">
        <v>8809</v>
      </c>
      <c r="CC15">
        <v>8804</v>
      </c>
      <c r="CD15">
        <v>8802</v>
      </c>
      <c r="CE15">
        <v>8516</v>
      </c>
      <c r="CF15">
        <v>8234</v>
      </c>
      <c r="CG15">
        <v>7949</v>
      </c>
      <c r="CH15">
        <v>7670</v>
      </c>
      <c r="CI15">
        <v>7471</v>
      </c>
      <c r="CJ15">
        <v>7274</v>
      </c>
      <c r="CK15">
        <v>7076</v>
      </c>
      <c r="CL15">
        <v>6880</v>
      </c>
      <c r="CM15">
        <v>6286</v>
      </c>
      <c r="CN15">
        <v>5693</v>
      </c>
      <c r="CO15">
        <v>4916</v>
      </c>
      <c r="CP15">
        <v>4410</v>
      </c>
      <c r="CQ15">
        <v>4066</v>
      </c>
      <c r="CR15">
        <v>3723</v>
      </c>
      <c r="CS15">
        <v>3353</v>
      </c>
    </row>
    <row r="16" spans="1:97">
      <c r="A16" s="9">
        <v>46249</v>
      </c>
      <c r="B16">
        <v>3113</v>
      </c>
      <c r="C16">
        <v>3071</v>
      </c>
      <c r="D16">
        <v>3026</v>
      </c>
      <c r="E16">
        <v>2984</v>
      </c>
      <c r="F16">
        <v>2962</v>
      </c>
      <c r="G16">
        <v>2934</v>
      </c>
      <c r="H16">
        <v>2903</v>
      </c>
      <c r="I16">
        <v>2873</v>
      </c>
      <c r="J16">
        <v>2778</v>
      </c>
      <c r="K16">
        <v>2754</v>
      </c>
      <c r="L16">
        <v>2730</v>
      </c>
      <c r="M16">
        <v>2706</v>
      </c>
      <c r="N16">
        <v>2628</v>
      </c>
      <c r="O16">
        <v>2626</v>
      </c>
      <c r="P16">
        <v>2624</v>
      </c>
      <c r="Q16">
        <v>2622</v>
      </c>
      <c r="R16">
        <v>2735</v>
      </c>
      <c r="S16">
        <v>2797</v>
      </c>
      <c r="T16">
        <v>2857</v>
      </c>
      <c r="U16">
        <v>2918</v>
      </c>
      <c r="V16">
        <v>2963</v>
      </c>
      <c r="W16">
        <v>3162</v>
      </c>
      <c r="X16">
        <v>3359</v>
      </c>
      <c r="Y16">
        <v>3555</v>
      </c>
      <c r="Z16">
        <v>3329</v>
      </c>
      <c r="AA16">
        <v>3603</v>
      </c>
      <c r="AB16">
        <v>3877</v>
      </c>
      <c r="AC16">
        <v>4151</v>
      </c>
      <c r="AD16">
        <v>4437</v>
      </c>
      <c r="AE16">
        <v>4707</v>
      </c>
      <c r="AF16">
        <v>4821</v>
      </c>
      <c r="AG16">
        <v>4753</v>
      </c>
      <c r="AH16">
        <v>4187</v>
      </c>
      <c r="AI16">
        <v>4335</v>
      </c>
      <c r="AJ16">
        <v>4460</v>
      </c>
      <c r="AK16">
        <v>4627</v>
      </c>
      <c r="AL16">
        <v>4717</v>
      </c>
      <c r="AM16">
        <v>4595</v>
      </c>
      <c r="AN16">
        <v>4632</v>
      </c>
      <c r="AO16">
        <v>4641</v>
      </c>
      <c r="AP16">
        <v>4720</v>
      </c>
      <c r="AQ16">
        <v>4801</v>
      </c>
      <c r="AR16">
        <v>4882</v>
      </c>
      <c r="AS16">
        <v>4963</v>
      </c>
      <c r="AT16">
        <v>4919</v>
      </c>
      <c r="AU16">
        <v>4741</v>
      </c>
      <c r="AV16">
        <v>4565</v>
      </c>
      <c r="AW16">
        <v>4387</v>
      </c>
      <c r="AX16">
        <v>4569</v>
      </c>
      <c r="AY16">
        <v>4733</v>
      </c>
      <c r="AZ16">
        <v>4901</v>
      </c>
      <c r="BA16">
        <v>5067</v>
      </c>
      <c r="BB16">
        <v>5167</v>
      </c>
      <c r="BC16">
        <v>5375</v>
      </c>
      <c r="BD16">
        <v>5557</v>
      </c>
      <c r="BE16">
        <v>5896</v>
      </c>
      <c r="BF16">
        <v>6760</v>
      </c>
      <c r="BG16">
        <v>7096</v>
      </c>
      <c r="BH16">
        <v>7433</v>
      </c>
      <c r="BI16">
        <v>7744</v>
      </c>
      <c r="BJ16">
        <v>7425</v>
      </c>
      <c r="BK16">
        <v>7893</v>
      </c>
      <c r="BL16">
        <v>7868</v>
      </c>
      <c r="BM16">
        <v>7841</v>
      </c>
      <c r="BN16">
        <v>7426</v>
      </c>
      <c r="BO16">
        <v>7722</v>
      </c>
      <c r="BP16">
        <v>7898</v>
      </c>
      <c r="BQ16">
        <v>8073</v>
      </c>
      <c r="BR16">
        <v>8337</v>
      </c>
      <c r="BS16">
        <v>8497</v>
      </c>
      <c r="BT16">
        <v>8476</v>
      </c>
      <c r="BU16">
        <v>8299</v>
      </c>
      <c r="BV16">
        <v>8464</v>
      </c>
      <c r="BW16">
        <v>8331</v>
      </c>
      <c r="BX16">
        <v>8200</v>
      </c>
      <c r="BY16">
        <v>8067</v>
      </c>
      <c r="BZ16">
        <v>8634</v>
      </c>
      <c r="CA16">
        <v>8629</v>
      </c>
      <c r="CB16">
        <v>8625</v>
      </c>
      <c r="CC16">
        <v>8620</v>
      </c>
      <c r="CD16">
        <v>7897</v>
      </c>
      <c r="CE16">
        <v>7738</v>
      </c>
      <c r="CF16">
        <v>7579</v>
      </c>
      <c r="CG16">
        <v>7421</v>
      </c>
      <c r="CH16">
        <v>7265</v>
      </c>
      <c r="CI16">
        <v>7067</v>
      </c>
      <c r="CJ16">
        <v>6869</v>
      </c>
      <c r="CK16">
        <v>6671</v>
      </c>
      <c r="CL16">
        <v>7286</v>
      </c>
      <c r="CM16">
        <v>6536</v>
      </c>
      <c r="CN16">
        <v>5604</v>
      </c>
      <c r="CO16">
        <v>4672</v>
      </c>
      <c r="CP16">
        <v>4077</v>
      </c>
      <c r="CQ16">
        <v>3733</v>
      </c>
      <c r="CR16">
        <v>3363</v>
      </c>
      <c r="CS16">
        <v>3176</v>
      </c>
    </row>
    <row r="17" spans="1:97">
      <c r="A17" s="9">
        <v>46250</v>
      </c>
      <c r="B17">
        <v>3743</v>
      </c>
      <c r="C17">
        <v>3363</v>
      </c>
      <c r="D17">
        <v>3005</v>
      </c>
      <c r="E17">
        <v>2650</v>
      </c>
      <c r="F17">
        <v>2243</v>
      </c>
      <c r="G17">
        <v>2215</v>
      </c>
      <c r="H17">
        <v>2184</v>
      </c>
      <c r="I17">
        <v>2154</v>
      </c>
      <c r="J17">
        <v>1983</v>
      </c>
      <c r="K17">
        <v>1959</v>
      </c>
      <c r="L17">
        <v>1935</v>
      </c>
      <c r="M17">
        <v>1911</v>
      </c>
      <c r="N17">
        <v>1739</v>
      </c>
      <c r="O17">
        <v>1737</v>
      </c>
      <c r="P17">
        <v>1735</v>
      </c>
      <c r="Q17">
        <v>1733</v>
      </c>
      <c r="R17">
        <v>1852</v>
      </c>
      <c r="S17">
        <v>1914</v>
      </c>
      <c r="T17">
        <v>2130</v>
      </c>
      <c r="U17">
        <v>2504</v>
      </c>
      <c r="V17">
        <v>2807</v>
      </c>
      <c r="W17">
        <v>3658</v>
      </c>
      <c r="X17">
        <v>4193</v>
      </c>
      <c r="Y17">
        <v>4702</v>
      </c>
      <c r="Z17">
        <v>3859</v>
      </c>
      <c r="AA17">
        <v>4133</v>
      </c>
      <c r="AB17">
        <v>4407</v>
      </c>
      <c r="AC17">
        <v>4681</v>
      </c>
      <c r="AD17">
        <v>4990</v>
      </c>
      <c r="AE17">
        <v>5260</v>
      </c>
      <c r="AF17">
        <v>5531</v>
      </c>
      <c r="AG17">
        <v>5801</v>
      </c>
      <c r="AH17">
        <v>5987</v>
      </c>
      <c r="AI17">
        <v>6134</v>
      </c>
      <c r="AJ17">
        <v>6260</v>
      </c>
      <c r="AK17">
        <v>6452</v>
      </c>
      <c r="AL17">
        <v>6734</v>
      </c>
      <c r="AM17">
        <v>6612</v>
      </c>
      <c r="AN17">
        <v>6492</v>
      </c>
      <c r="AO17">
        <v>6345</v>
      </c>
      <c r="AP17">
        <v>5949</v>
      </c>
      <c r="AQ17">
        <v>5718</v>
      </c>
      <c r="AR17">
        <v>5486</v>
      </c>
      <c r="AS17">
        <v>5411</v>
      </c>
      <c r="AT17">
        <v>4951</v>
      </c>
      <c r="AU17">
        <v>4773</v>
      </c>
      <c r="AV17">
        <v>4597</v>
      </c>
      <c r="AW17">
        <v>4419</v>
      </c>
      <c r="AX17">
        <v>4518</v>
      </c>
      <c r="AY17">
        <v>4682</v>
      </c>
      <c r="AZ17">
        <v>4850</v>
      </c>
      <c r="BA17">
        <v>5016</v>
      </c>
      <c r="BB17">
        <v>5022</v>
      </c>
      <c r="BC17">
        <v>5230</v>
      </c>
      <c r="BD17">
        <v>5413</v>
      </c>
      <c r="BE17">
        <v>5752</v>
      </c>
      <c r="BF17">
        <v>5950</v>
      </c>
      <c r="BG17">
        <v>6286</v>
      </c>
      <c r="BH17">
        <v>6623</v>
      </c>
      <c r="BI17">
        <v>6934</v>
      </c>
      <c r="BJ17">
        <v>6585</v>
      </c>
      <c r="BK17">
        <v>7053</v>
      </c>
      <c r="BL17">
        <v>7027</v>
      </c>
      <c r="BM17">
        <v>7157</v>
      </c>
      <c r="BN17">
        <v>7105</v>
      </c>
      <c r="BO17">
        <v>7374</v>
      </c>
      <c r="BP17">
        <v>7550</v>
      </c>
      <c r="BQ17">
        <v>7752</v>
      </c>
      <c r="BR17">
        <v>8286</v>
      </c>
      <c r="BS17">
        <v>8263</v>
      </c>
      <c r="BT17">
        <v>8086</v>
      </c>
      <c r="BU17">
        <v>7909</v>
      </c>
      <c r="BV17">
        <v>8304</v>
      </c>
      <c r="BW17">
        <v>8039</v>
      </c>
      <c r="BX17">
        <v>7776</v>
      </c>
      <c r="BY17">
        <v>7511</v>
      </c>
      <c r="BZ17">
        <v>7895</v>
      </c>
      <c r="CA17">
        <v>7867</v>
      </c>
      <c r="CB17">
        <v>7840</v>
      </c>
      <c r="CC17">
        <v>7812</v>
      </c>
      <c r="CD17">
        <v>8087</v>
      </c>
      <c r="CE17">
        <v>7833</v>
      </c>
      <c r="CF17">
        <v>7579</v>
      </c>
      <c r="CG17">
        <v>7326</v>
      </c>
      <c r="CH17">
        <v>7075</v>
      </c>
      <c r="CI17">
        <v>7127</v>
      </c>
      <c r="CJ17">
        <v>7180</v>
      </c>
      <c r="CK17">
        <v>7232</v>
      </c>
      <c r="CL17">
        <v>7346</v>
      </c>
      <c r="CM17">
        <v>6596</v>
      </c>
      <c r="CN17">
        <v>5664</v>
      </c>
      <c r="CO17">
        <v>4732</v>
      </c>
      <c r="CP17">
        <v>4221</v>
      </c>
      <c r="CQ17">
        <v>3879</v>
      </c>
      <c r="CR17">
        <v>3509</v>
      </c>
      <c r="CS17">
        <v>3322</v>
      </c>
    </row>
    <row r="18" spans="1:97">
      <c r="A18" s="9">
        <v>46251</v>
      </c>
      <c r="B18">
        <v>4029</v>
      </c>
      <c r="C18">
        <v>3648</v>
      </c>
      <c r="D18">
        <v>3291</v>
      </c>
      <c r="E18">
        <v>2936</v>
      </c>
      <c r="F18">
        <v>2655</v>
      </c>
      <c r="G18">
        <v>2627</v>
      </c>
      <c r="H18">
        <v>2596</v>
      </c>
      <c r="I18">
        <v>2566</v>
      </c>
      <c r="J18">
        <v>2493</v>
      </c>
      <c r="K18">
        <v>2469</v>
      </c>
      <c r="L18">
        <v>2445</v>
      </c>
      <c r="M18">
        <v>2421</v>
      </c>
      <c r="N18">
        <v>2288</v>
      </c>
      <c r="O18">
        <v>2286</v>
      </c>
      <c r="P18">
        <v>2284</v>
      </c>
      <c r="Q18">
        <v>2282</v>
      </c>
      <c r="R18">
        <v>2355</v>
      </c>
      <c r="S18">
        <v>2418</v>
      </c>
      <c r="T18">
        <v>2634</v>
      </c>
      <c r="U18">
        <v>3007</v>
      </c>
      <c r="V18">
        <v>3271</v>
      </c>
      <c r="W18">
        <v>4121</v>
      </c>
      <c r="X18">
        <v>4657</v>
      </c>
      <c r="Y18">
        <v>5166</v>
      </c>
      <c r="Z18">
        <v>4907</v>
      </c>
      <c r="AA18">
        <v>5181</v>
      </c>
      <c r="AB18">
        <v>5455</v>
      </c>
      <c r="AC18">
        <v>5729</v>
      </c>
      <c r="AD18">
        <v>6473</v>
      </c>
      <c r="AE18">
        <v>6744</v>
      </c>
      <c r="AF18">
        <v>7014</v>
      </c>
      <c r="AG18">
        <v>7285</v>
      </c>
      <c r="AH18">
        <v>6964</v>
      </c>
      <c r="AI18">
        <v>7111</v>
      </c>
      <c r="AJ18">
        <v>7237</v>
      </c>
      <c r="AK18">
        <v>7430</v>
      </c>
      <c r="AL18">
        <v>7273</v>
      </c>
      <c r="AM18">
        <v>7151</v>
      </c>
      <c r="AN18">
        <v>7031</v>
      </c>
      <c r="AO18">
        <v>6884</v>
      </c>
      <c r="AP18">
        <v>6941</v>
      </c>
      <c r="AQ18">
        <v>6710</v>
      </c>
      <c r="AR18">
        <v>6478</v>
      </c>
      <c r="AS18">
        <v>6403</v>
      </c>
      <c r="AT18">
        <v>6375</v>
      </c>
      <c r="AU18">
        <v>6197</v>
      </c>
      <c r="AV18">
        <v>6021</v>
      </c>
      <c r="AW18">
        <v>5843</v>
      </c>
      <c r="AX18">
        <v>5622</v>
      </c>
      <c r="AY18">
        <v>5786</v>
      </c>
      <c r="AZ18">
        <v>5954</v>
      </c>
      <c r="BA18">
        <v>6120</v>
      </c>
      <c r="BB18">
        <v>6226</v>
      </c>
      <c r="BC18">
        <v>6434</v>
      </c>
      <c r="BD18">
        <v>6617</v>
      </c>
      <c r="BE18">
        <v>6956</v>
      </c>
      <c r="BF18">
        <v>7144</v>
      </c>
      <c r="BG18">
        <v>7480</v>
      </c>
      <c r="BH18">
        <v>7816</v>
      </c>
      <c r="BI18">
        <v>8127</v>
      </c>
      <c r="BJ18">
        <v>8417</v>
      </c>
      <c r="BK18">
        <v>8885</v>
      </c>
      <c r="BL18">
        <v>8859</v>
      </c>
      <c r="BM18">
        <v>8989</v>
      </c>
      <c r="BN18">
        <v>8955</v>
      </c>
      <c r="BO18">
        <v>9224</v>
      </c>
      <c r="BP18">
        <v>9400</v>
      </c>
      <c r="BQ18">
        <v>9602</v>
      </c>
      <c r="BR18">
        <v>9806</v>
      </c>
      <c r="BS18">
        <v>9783</v>
      </c>
      <c r="BT18">
        <v>9606</v>
      </c>
      <c r="BU18">
        <v>9429</v>
      </c>
      <c r="BV18">
        <v>9254</v>
      </c>
      <c r="BW18">
        <v>8989</v>
      </c>
      <c r="BX18">
        <v>8726</v>
      </c>
      <c r="BY18">
        <v>8461</v>
      </c>
      <c r="BZ18">
        <v>8195</v>
      </c>
      <c r="CA18">
        <v>8167</v>
      </c>
      <c r="CB18">
        <v>8140</v>
      </c>
      <c r="CC18">
        <v>8112</v>
      </c>
      <c r="CD18">
        <v>8295</v>
      </c>
      <c r="CE18">
        <v>8041</v>
      </c>
      <c r="CF18">
        <v>7787</v>
      </c>
      <c r="CG18">
        <v>7534</v>
      </c>
      <c r="CH18">
        <v>7505</v>
      </c>
      <c r="CI18">
        <v>7557</v>
      </c>
      <c r="CJ18">
        <v>7610</v>
      </c>
      <c r="CK18">
        <v>7662</v>
      </c>
      <c r="CL18">
        <v>7994</v>
      </c>
      <c r="CM18">
        <v>7244</v>
      </c>
      <c r="CN18">
        <v>6312</v>
      </c>
      <c r="CO18">
        <v>5380</v>
      </c>
      <c r="CP18">
        <v>5268</v>
      </c>
      <c r="CQ18">
        <v>4925</v>
      </c>
      <c r="CR18">
        <v>4555</v>
      </c>
      <c r="CS18">
        <v>4368</v>
      </c>
    </row>
    <row r="19" spans="1:97">
      <c r="A19" s="9">
        <v>46252</v>
      </c>
      <c r="B19">
        <v>3096</v>
      </c>
      <c r="C19">
        <v>2559</v>
      </c>
      <c r="D19">
        <v>2019</v>
      </c>
      <c r="E19">
        <v>1482</v>
      </c>
      <c r="F19">
        <v>941</v>
      </c>
      <c r="G19">
        <v>600</v>
      </c>
      <c r="H19">
        <v>569</v>
      </c>
      <c r="I19">
        <v>539</v>
      </c>
      <c r="J19">
        <v>508</v>
      </c>
      <c r="K19">
        <v>484</v>
      </c>
      <c r="L19">
        <v>460</v>
      </c>
      <c r="M19">
        <v>436</v>
      </c>
      <c r="N19">
        <v>410</v>
      </c>
      <c r="O19">
        <v>408</v>
      </c>
      <c r="P19">
        <v>406</v>
      </c>
      <c r="Q19">
        <v>404</v>
      </c>
      <c r="R19">
        <v>400</v>
      </c>
      <c r="S19">
        <v>463</v>
      </c>
      <c r="T19">
        <v>523</v>
      </c>
      <c r="U19">
        <v>584</v>
      </c>
      <c r="V19">
        <v>644</v>
      </c>
      <c r="W19">
        <v>844</v>
      </c>
      <c r="X19">
        <v>1040</v>
      </c>
      <c r="Y19">
        <v>1237</v>
      </c>
      <c r="Z19">
        <v>1084</v>
      </c>
      <c r="AA19">
        <v>1358</v>
      </c>
      <c r="AB19">
        <v>1632</v>
      </c>
      <c r="AC19">
        <v>1906</v>
      </c>
      <c r="AD19">
        <v>2180</v>
      </c>
      <c r="AE19">
        <v>2451</v>
      </c>
      <c r="AF19">
        <v>3034</v>
      </c>
      <c r="AG19">
        <v>3799</v>
      </c>
      <c r="AH19">
        <v>4566</v>
      </c>
      <c r="AI19">
        <v>5521</v>
      </c>
      <c r="AJ19">
        <v>6480</v>
      </c>
      <c r="AK19">
        <v>6985</v>
      </c>
      <c r="AL19">
        <v>7757</v>
      </c>
      <c r="AM19">
        <v>7947</v>
      </c>
      <c r="AN19">
        <v>8140</v>
      </c>
      <c r="AO19">
        <v>8332</v>
      </c>
      <c r="AP19">
        <v>8827</v>
      </c>
      <c r="AQ19">
        <v>8908</v>
      </c>
      <c r="AR19">
        <v>8989</v>
      </c>
      <c r="AS19">
        <v>9070</v>
      </c>
      <c r="AT19">
        <v>9151</v>
      </c>
      <c r="AU19">
        <v>8973</v>
      </c>
      <c r="AV19">
        <v>8797</v>
      </c>
      <c r="AW19">
        <v>8619</v>
      </c>
      <c r="AX19">
        <v>8443</v>
      </c>
      <c r="AY19">
        <v>8607</v>
      </c>
      <c r="AZ19">
        <v>8775</v>
      </c>
      <c r="BA19">
        <v>8941</v>
      </c>
      <c r="BB19">
        <v>9111</v>
      </c>
      <c r="BC19">
        <v>9136</v>
      </c>
      <c r="BD19">
        <v>9163</v>
      </c>
      <c r="BE19">
        <v>9189</v>
      </c>
      <c r="BF19">
        <v>9715</v>
      </c>
      <c r="BG19">
        <v>10207</v>
      </c>
      <c r="BH19">
        <v>10700</v>
      </c>
      <c r="BI19">
        <v>11011</v>
      </c>
      <c r="BJ19">
        <v>10865</v>
      </c>
      <c r="BK19">
        <v>10839</v>
      </c>
      <c r="BL19">
        <v>10813</v>
      </c>
      <c r="BM19">
        <v>10786</v>
      </c>
      <c r="BN19">
        <v>10413</v>
      </c>
      <c r="BO19">
        <v>10371</v>
      </c>
      <c r="BP19">
        <v>10234</v>
      </c>
      <c r="BQ19">
        <v>10097</v>
      </c>
      <c r="BR19">
        <v>9962</v>
      </c>
      <c r="BS19">
        <v>9783</v>
      </c>
      <c r="BT19">
        <v>9632</v>
      </c>
      <c r="BU19">
        <v>9455</v>
      </c>
      <c r="BV19">
        <v>9280</v>
      </c>
      <c r="BW19">
        <v>9015</v>
      </c>
      <c r="BX19">
        <v>8752</v>
      </c>
      <c r="BY19">
        <v>8487</v>
      </c>
      <c r="BZ19">
        <v>8221</v>
      </c>
      <c r="CA19">
        <v>8193</v>
      </c>
      <c r="CB19">
        <v>8166</v>
      </c>
      <c r="CC19">
        <v>8138</v>
      </c>
      <c r="CD19">
        <v>8113</v>
      </c>
      <c r="CE19">
        <v>7859</v>
      </c>
      <c r="CF19">
        <v>7110</v>
      </c>
      <c r="CG19">
        <v>6362</v>
      </c>
      <c r="CH19">
        <v>5617</v>
      </c>
      <c r="CI19">
        <v>5173</v>
      </c>
      <c r="CJ19">
        <v>5226</v>
      </c>
      <c r="CK19">
        <v>5278</v>
      </c>
      <c r="CL19">
        <v>5333</v>
      </c>
      <c r="CM19">
        <v>4739</v>
      </c>
      <c r="CN19">
        <v>4146</v>
      </c>
      <c r="CO19">
        <v>3552</v>
      </c>
      <c r="CP19">
        <v>3214</v>
      </c>
      <c r="CQ19">
        <v>3182</v>
      </c>
      <c r="CR19">
        <v>3151</v>
      </c>
      <c r="CS19">
        <v>3120</v>
      </c>
    </row>
    <row r="20" spans="1:97">
      <c r="A20" s="9">
        <v>46253</v>
      </c>
      <c r="B20">
        <v>3552</v>
      </c>
      <c r="C20">
        <v>3510</v>
      </c>
      <c r="D20">
        <v>3465</v>
      </c>
      <c r="E20">
        <v>3422</v>
      </c>
      <c r="F20">
        <v>3209</v>
      </c>
      <c r="G20">
        <v>2843</v>
      </c>
      <c r="H20">
        <v>2500</v>
      </c>
      <c r="I20">
        <v>2157</v>
      </c>
      <c r="J20">
        <v>1778</v>
      </c>
      <c r="K20">
        <v>1754</v>
      </c>
      <c r="L20">
        <v>1730</v>
      </c>
      <c r="M20">
        <v>1706</v>
      </c>
      <c r="N20">
        <v>1547</v>
      </c>
      <c r="O20">
        <v>1545</v>
      </c>
      <c r="P20">
        <v>1543</v>
      </c>
      <c r="Q20">
        <v>1541</v>
      </c>
      <c r="R20">
        <v>1598</v>
      </c>
      <c r="S20">
        <v>1660</v>
      </c>
      <c r="T20">
        <v>1721</v>
      </c>
      <c r="U20">
        <v>1781</v>
      </c>
      <c r="V20">
        <v>1937</v>
      </c>
      <c r="W20">
        <v>2475</v>
      </c>
      <c r="X20">
        <v>2985</v>
      </c>
      <c r="Y20">
        <v>3494</v>
      </c>
      <c r="Z20">
        <v>3555</v>
      </c>
      <c r="AA20">
        <v>3986</v>
      </c>
      <c r="AB20">
        <v>4260</v>
      </c>
      <c r="AC20">
        <v>4534</v>
      </c>
      <c r="AD20">
        <v>4861</v>
      </c>
      <c r="AE20">
        <v>5132</v>
      </c>
      <c r="AF20">
        <v>5402</v>
      </c>
      <c r="AG20">
        <v>5673</v>
      </c>
      <c r="AH20">
        <v>5663</v>
      </c>
      <c r="AI20">
        <v>6123</v>
      </c>
      <c r="AJ20">
        <v>6588</v>
      </c>
      <c r="AK20">
        <v>7093</v>
      </c>
      <c r="AL20">
        <v>7769</v>
      </c>
      <c r="AM20">
        <v>7804</v>
      </c>
      <c r="AN20">
        <v>7658</v>
      </c>
      <c r="AO20">
        <v>7537</v>
      </c>
      <c r="AP20">
        <v>7429</v>
      </c>
      <c r="AQ20">
        <v>7171</v>
      </c>
      <c r="AR20">
        <v>6914</v>
      </c>
      <c r="AS20">
        <v>6682</v>
      </c>
      <c r="AT20">
        <v>6334</v>
      </c>
      <c r="AU20">
        <v>6156</v>
      </c>
      <c r="AV20">
        <v>5980</v>
      </c>
      <c r="AW20">
        <v>5645</v>
      </c>
      <c r="AX20">
        <v>5623</v>
      </c>
      <c r="AY20">
        <v>5787</v>
      </c>
      <c r="AZ20">
        <v>5955</v>
      </c>
      <c r="BA20">
        <v>6121</v>
      </c>
      <c r="BB20">
        <v>6101</v>
      </c>
      <c r="BC20">
        <v>6127</v>
      </c>
      <c r="BD20">
        <v>6153</v>
      </c>
      <c r="BE20">
        <v>6180</v>
      </c>
      <c r="BF20">
        <v>6426</v>
      </c>
      <c r="BG20">
        <v>6736</v>
      </c>
      <c r="BH20">
        <v>7047</v>
      </c>
      <c r="BI20">
        <v>7384</v>
      </c>
      <c r="BJ20">
        <v>7420</v>
      </c>
      <c r="BK20">
        <v>7706</v>
      </c>
      <c r="BL20">
        <v>7993</v>
      </c>
      <c r="BM20">
        <v>8305</v>
      </c>
      <c r="BN20">
        <v>8245</v>
      </c>
      <c r="BO20">
        <v>8680</v>
      </c>
      <c r="BP20">
        <v>9088</v>
      </c>
      <c r="BQ20">
        <v>9263</v>
      </c>
      <c r="BR20">
        <v>9467</v>
      </c>
      <c r="BS20">
        <v>9627</v>
      </c>
      <c r="BT20">
        <v>9606</v>
      </c>
      <c r="BU20">
        <v>9429</v>
      </c>
      <c r="BV20">
        <v>9254</v>
      </c>
      <c r="BW20">
        <v>8989</v>
      </c>
      <c r="BX20">
        <v>8726</v>
      </c>
      <c r="BY20">
        <v>8461</v>
      </c>
      <c r="BZ20">
        <v>8195</v>
      </c>
      <c r="CA20">
        <v>8167</v>
      </c>
      <c r="CB20">
        <v>8140</v>
      </c>
      <c r="CC20">
        <v>8112</v>
      </c>
      <c r="CD20">
        <v>8087</v>
      </c>
      <c r="CE20">
        <v>7833</v>
      </c>
      <c r="CF20">
        <v>7579</v>
      </c>
      <c r="CG20">
        <v>7326</v>
      </c>
      <c r="CH20">
        <v>7614</v>
      </c>
      <c r="CI20">
        <v>7666</v>
      </c>
      <c r="CJ20">
        <v>7719</v>
      </c>
      <c r="CK20">
        <v>7771</v>
      </c>
      <c r="CL20">
        <v>7834</v>
      </c>
      <c r="CM20">
        <v>7240</v>
      </c>
      <c r="CN20">
        <v>6490</v>
      </c>
      <c r="CO20">
        <v>5558</v>
      </c>
      <c r="CP20">
        <v>4944</v>
      </c>
      <c r="CQ20">
        <v>4599</v>
      </c>
      <c r="CR20">
        <v>4163</v>
      </c>
      <c r="CS20">
        <v>3561</v>
      </c>
    </row>
    <row r="21" spans="1:97">
      <c r="A21" s="9">
        <v>46254</v>
      </c>
      <c r="B21">
        <v>3789</v>
      </c>
      <c r="C21">
        <v>3747</v>
      </c>
      <c r="D21">
        <v>3702</v>
      </c>
      <c r="E21">
        <v>3659</v>
      </c>
      <c r="F21">
        <v>3592</v>
      </c>
      <c r="G21">
        <v>3564</v>
      </c>
      <c r="H21">
        <v>3534</v>
      </c>
      <c r="I21">
        <v>3504</v>
      </c>
      <c r="J21">
        <v>3432</v>
      </c>
      <c r="K21">
        <v>3408</v>
      </c>
      <c r="L21">
        <v>3384</v>
      </c>
      <c r="M21">
        <v>3360</v>
      </c>
      <c r="N21">
        <v>3048</v>
      </c>
      <c r="O21">
        <v>3046</v>
      </c>
      <c r="P21">
        <v>3044</v>
      </c>
      <c r="Q21">
        <v>3042</v>
      </c>
      <c r="R21">
        <v>2752</v>
      </c>
      <c r="S21">
        <v>2814</v>
      </c>
      <c r="T21">
        <v>3031</v>
      </c>
      <c r="U21">
        <v>3430</v>
      </c>
      <c r="V21">
        <v>4268</v>
      </c>
      <c r="W21">
        <v>4780</v>
      </c>
      <c r="X21">
        <v>4977</v>
      </c>
      <c r="Y21">
        <v>5174</v>
      </c>
      <c r="Z21">
        <v>4951</v>
      </c>
      <c r="AA21">
        <v>5226</v>
      </c>
      <c r="AB21">
        <v>5500</v>
      </c>
      <c r="AC21">
        <v>5774</v>
      </c>
      <c r="AD21">
        <v>6043</v>
      </c>
      <c r="AE21">
        <v>6000</v>
      </c>
      <c r="AF21">
        <v>5864</v>
      </c>
      <c r="AG21">
        <v>5796</v>
      </c>
      <c r="AH21">
        <v>5590</v>
      </c>
      <c r="AI21">
        <v>5711</v>
      </c>
      <c r="AJ21">
        <v>5863</v>
      </c>
      <c r="AK21">
        <v>6056</v>
      </c>
      <c r="AL21">
        <v>6226</v>
      </c>
      <c r="AM21">
        <v>6078</v>
      </c>
      <c r="AN21">
        <v>5958</v>
      </c>
      <c r="AO21">
        <v>5811</v>
      </c>
      <c r="AP21">
        <v>6423</v>
      </c>
      <c r="AQ21">
        <v>6504</v>
      </c>
      <c r="AR21">
        <v>6585</v>
      </c>
      <c r="AS21">
        <v>6666</v>
      </c>
      <c r="AT21">
        <v>6779</v>
      </c>
      <c r="AU21">
        <v>6601</v>
      </c>
      <c r="AV21">
        <v>6426</v>
      </c>
      <c r="AW21">
        <v>6248</v>
      </c>
      <c r="AX21">
        <v>6293</v>
      </c>
      <c r="AY21">
        <v>6457</v>
      </c>
      <c r="AZ21">
        <v>6625</v>
      </c>
      <c r="BA21">
        <v>6791</v>
      </c>
      <c r="BB21">
        <v>6875</v>
      </c>
      <c r="BC21">
        <v>6900</v>
      </c>
      <c r="BD21">
        <v>6927</v>
      </c>
      <c r="BE21">
        <v>6953</v>
      </c>
      <c r="BF21">
        <v>6739</v>
      </c>
      <c r="BG21">
        <v>6737</v>
      </c>
      <c r="BH21">
        <v>6735</v>
      </c>
      <c r="BI21">
        <v>6733</v>
      </c>
      <c r="BJ21">
        <v>6390</v>
      </c>
      <c r="BK21">
        <v>6364</v>
      </c>
      <c r="BL21">
        <v>6677</v>
      </c>
      <c r="BM21">
        <v>6962</v>
      </c>
      <c r="BN21">
        <v>6902</v>
      </c>
      <c r="BO21">
        <v>7104</v>
      </c>
      <c r="BP21">
        <v>7280</v>
      </c>
      <c r="BQ21">
        <v>7456</v>
      </c>
      <c r="BR21">
        <v>7620</v>
      </c>
      <c r="BS21">
        <v>7754</v>
      </c>
      <c r="BT21">
        <v>7915</v>
      </c>
      <c r="BU21">
        <v>8050</v>
      </c>
      <c r="BV21">
        <v>8189</v>
      </c>
      <c r="BW21">
        <v>7923</v>
      </c>
      <c r="BX21">
        <v>7660</v>
      </c>
      <c r="BY21">
        <v>7395</v>
      </c>
      <c r="BZ21">
        <v>7180</v>
      </c>
      <c r="CA21">
        <v>7152</v>
      </c>
      <c r="CB21">
        <v>6581</v>
      </c>
      <c r="CC21">
        <v>6240</v>
      </c>
      <c r="CD21">
        <v>6085</v>
      </c>
      <c r="CE21">
        <v>5648</v>
      </c>
      <c r="CF21">
        <v>5395</v>
      </c>
      <c r="CG21">
        <v>4985</v>
      </c>
      <c r="CH21">
        <v>4590</v>
      </c>
      <c r="CI21">
        <v>4329</v>
      </c>
      <c r="CJ21">
        <v>4069</v>
      </c>
      <c r="CK21">
        <v>3782</v>
      </c>
      <c r="CL21">
        <v>3466</v>
      </c>
      <c r="CM21">
        <v>2872</v>
      </c>
      <c r="CN21">
        <v>2279</v>
      </c>
      <c r="CO21">
        <v>2024</v>
      </c>
      <c r="CP21">
        <v>2058</v>
      </c>
      <c r="CQ21">
        <v>2339</v>
      </c>
      <c r="CR21">
        <v>2621</v>
      </c>
      <c r="CS21">
        <v>2928</v>
      </c>
    </row>
    <row r="22" spans="1:97">
      <c r="A22" s="9">
        <v>46255</v>
      </c>
      <c r="B22">
        <v>2943</v>
      </c>
      <c r="C22">
        <v>2563</v>
      </c>
      <c r="D22">
        <v>2205</v>
      </c>
      <c r="E22">
        <v>1849</v>
      </c>
      <c r="F22">
        <v>1585</v>
      </c>
      <c r="G22">
        <v>1218</v>
      </c>
      <c r="H22">
        <v>876</v>
      </c>
      <c r="I22">
        <v>507</v>
      </c>
      <c r="J22">
        <v>274</v>
      </c>
      <c r="K22">
        <v>250</v>
      </c>
      <c r="L22">
        <v>565</v>
      </c>
      <c r="M22">
        <v>853</v>
      </c>
      <c r="N22">
        <v>952</v>
      </c>
      <c r="O22">
        <v>950</v>
      </c>
      <c r="P22">
        <v>1286</v>
      </c>
      <c r="Q22">
        <v>1597</v>
      </c>
      <c r="R22">
        <v>1868</v>
      </c>
      <c r="S22">
        <v>2269</v>
      </c>
      <c r="T22">
        <v>2486</v>
      </c>
      <c r="U22">
        <v>2546</v>
      </c>
      <c r="V22">
        <v>2661</v>
      </c>
      <c r="W22">
        <v>2860</v>
      </c>
      <c r="X22">
        <v>3058</v>
      </c>
      <c r="Y22">
        <v>3254</v>
      </c>
      <c r="Z22">
        <v>3067</v>
      </c>
      <c r="AA22">
        <v>3341</v>
      </c>
      <c r="AB22">
        <v>3615</v>
      </c>
      <c r="AC22">
        <v>3889</v>
      </c>
      <c r="AD22">
        <v>4302</v>
      </c>
      <c r="AE22">
        <v>4571</v>
      </c>
      <c r="AF22">
        <v>4841</v>
      </c>
      <c r="AG22">
        <v>5111</v>
      </c>
      <c r="AH22">
        <v>5130</v>
      </c>
      <c r="AI22">
        <v>5591</v>
      </c>
      <c r="AJ22">
        <v>6055</v>
      </c>
      <c r="AK22">
        <v>6559</v>
      </c>
      <c r="AL22">
        <v>7245</v>
      </c>
      <c r="AM22">
        <v>7436</v>
      </c>
      <c r="AN22">
        <v>7629</v>
      </c>
      <c r="AO22">
        <v>7820</v>
      </c>
      <c r="AP22">
        <v>8247</v>
      </c>
      <c r="AQ22">
        <v>8328</v>
      </c>
      <c r="AR22">
        <v>8409</v>
      </c>
      <c r="AS22">
        <v>8490</v>
      </c>
      <c r="AT22">
        <v>8589</v>
      </c>
      <c r="AU22">
        <v>8411</v>
      </c>
      <c r="AV22">
        <v>8235</v>
      </c>
      <c r="AW22">
        <v>8057</v>
      </c>
      <c r="AX22">
        <v>7870</v>
      </c>
      <c r="AY22">
        <v>8034</v>
      </c>
      <c r="AZ22">
        <v>8202</v>
      </c>
      <c r="BA22">
        <v>8368</v>
      </c>
      <c r="BB22">
        <v>8528</v>
      </c>
      <c r="BC22">
        <v>8553</v>
      </c>
      <c r="BD22">
        <v>8580</v>
      </c>
      <c r="BE22">
        <v>8606</v>
      </c>
      <c r="BF22">
        <v>8344</v>
      </c>
      <c r="BG22">
        <v>8342</v>
      </c>
      <c r="BH22">
        <v>8340</v>
      </c>
      <c r="BI22">
        <v>8338</v>
      </c>
      <c r="BJ22">
        <v>8697</v>
      </c>
      <c r="BK22">
        <v>9009</v>
      </c>
      <c r="BL22">
        <v>9296</v>
      </c>
      <c r="BM22">
        <v>9582</v>
      </c>
      <c r="BN22">
        <v>9640</v>
      </c>
      <c r="BO22">
        <v>9936</v>
      </c>
      <c r="BP22">
        <v>10205</v>
      </c>
      <c r="BQ22">
        <v>10160</v>
      </c>
      <c r="BR22">
        <v>10119</v>
      </c>
      <c r="BS22">
        <v>9939</v>
      </c>
      <c r="BT22">
        <v>9762</v>
      </c>
      <c r="BU22">
        <v>9585</v>
      </c>
      <c r="BV22">
        <v>9411</v>
      </c>
      <c r="BW22">
        <v>9145</v>
      </c>
      <c r="BX22">
        <v>8882</v>
      </c>
      <c r="BY22">
        <v>8617</v>
      </c>
      <c r="BZ22">
        <v>8259</v>
      </c>
      <c r="CA22">
        <v>7826</v>
      </c>
      <c r="CB22">
        <v>7706</v>
      </c>
      <c r="CC22">
        <v>7585</v>
      </c>
      <c r="CD22">
        <v>7560</v>
      </c>
      <c r="CE22">
        <v>7231</v>
      </c>
      <c r="CF22">
        <v>6959</v>
      </c>
      <c r="CG22">
        <v>6706</v>
      </c>
      <c r="CH22">
        <v>6900</v>
      </c>
      <c r="CI22">
        <v>6952</v>
      </c>
      <c r="CJ22">
        <v>7005</v>
      </c>
      <c r="CK22">
        <v>7056</v>
      </c>
      <c r="CL22">
        <v>6730</v>
      </c>
      <c r="CM22">
        <v>5798</v>
      </c>
      <c r="CN22">
        <v>4892</v>
      </c>
      <c r="CO22">
        <v>3986</v>
      </c>
      <c r="CP22">
        <v>3593</v>
      </c>
      <c r="CQ22">
        <v>3405</v>
      </c>
      <c r="CR22">
        <v>3374</v>
      </c>
      <c r="CS22">
        <v>3343</v>
      </c>
    </row>
    <row r="23" spans="1:97">
      <c r="A23" s="9">
        <v>46256</v>
      </c>
      <c r="B23">
        <v>2762</v>
      </c>
      <c r="C23">
        <v>2383</v>
      </c>
      <c r="D23">
        <v>2027</v>
      </c>
      <c r="E23">
        <v>1674</v>
      </c>
      <c r="F23">
        <v>1365</v>
      </c>
      <c r="G23">
        <v>997</v>
      </c>
      <c r="H23">
        <v>652</v>
      </c>
      <c r="I23">
        <v>307</v>
      </c>
      <c r="J23">
        <v>254</v>
      </c>
      <c r="K23">
        <v>230</v>
      </c>
      <c r="L23">
        <v>206</v>
      </c>
      <c r="M23">
        <v>182</v>
      </c>
      <c r="N23">
        <v>98</v>
      </c>
      <c r="O23">
        <v>96</v>
      </c>
      <c r="P23">
        <v>94</v>
      </c>
      <c r="Q23">
        <v>92</v>
      </c>
      <c r="R23">
        <v>197</v>
      </c>
      <c r="S23">
        <v>258</v>
      </c>
      <c r="T23">
        <v>319</v>
      </c>
      <c r="U23">
        <v>718</v>
      </c>
      <c r="V23">
        <v>1181</v>
      </c>
      <c r="W23">
        <v>1693</v>
      </c>
      <c r="X23">
        <v>2228</v>
      </c>
      <c r="Y23">
        <v>2762</v>
      </c>
      <c r="Z23">
        <v>2200</v>
      </c>
      <c r="AA23">
        <v>2475</v>
      </c>
      <c r="AB23">
        <v>2748</v>
      </c>
      <c r="AC23">
        <v>3022</v>
      </c>
      <c r="AD23">
        <v>3135</v>
      </c>
      <c r="AE23">
        <v>3405</v>
      </c>
      <c r="AF23">
        <v>3676</v>
      </c>
      <c r="AG23">
        <v>3946</v>
      </c>
      <c r="AH23">
        <v>3968</v>
      </c>
      <c r="AI23">
        <v>4428</v>
      </c>
      <c r="AJ23">
        <v>4892</v>
      </c>
      <c r="AK23">
        <v>5396</v>
      </c>
      <c r="AL23">
        <v>6059</v>
      </c>
      <c r="AM23">
        <v>6249</v>
      </c>
      <c r="AN23">
        <v>6442</v>
      </c>
      <c r="AO23">
        <v>6634</v>
      </c>
      <c r="AP23">
        <v>7414</v>
      </c>
      <c r="AQ23">
        <v>7799</v>
      </c>
      <c r="AR23">
        <v>8209</v>
      </c>
      <c r="AS23">
        <v>8438</v>
      </c>
      <c r="AT23">
        <v>8486</v>
      </c>
      <c r="AU23">
        <v>8290</v>
      </c>
      <c r="AV23">
        <v>8095</v>
      </c>
      <c r="AW23">
        <v>7899</v>
      </c>
      <c r="AX23">
        <v>7642</v>
      </c>
      <c r="AY23">
        <v>7820</v>
      </c>
      <c r="AZ23">
        <v>8002</v>
      </c>
      <c r="BA23">
        <v>8427</v>
      </c>
      <c r="BB23">
        <v>8579</v>
      </c>
      <c r="BC23">
        <v>8615</v>
      </c>
      <c r="BD23">
        <v>8808</v>
      </c>
      <c r="BE23">
        <v>9183</v>
      </c>
      <c r="BF23">
        <v>9387</v>
      </c>
      <c r="BG23">
        <v>9703</v>
      </c>
      <c r="BH23">
        <v>10044</v>
      </c>
      <c r="BI23">
        <v>10385</v>
      </c>
      <c r="BJ23">
        <v>10427</v>
      </c>
      <c r="BK23">
        <v>10400</v>
      </c>
      <c r="BL23">
        <v>10374</v>
      </c>
      <c r="BM23">
        <v>10348</v>
      </c>
      <c r="BN23">
        <v>9732</v>
      </c>
      <c r="BO23">
        <v>9596</v>
      </c>
      <c r="BP23">
        <v>9459</v>
      </c>
      <c r="BQ23">
        <v>9323</v>
      </c>
      <c r="BR23">
        <v>8591</v>
      </c>
      <c r="BS23">
        <v>8412</v>
      </c>
      <c r="BT23">
        <v>8235</v>
      </c>
      <c r="BU23">
        <v>8057</v>
      </c>
      <c r="BV23">
        <v>7989</v>
      </c>
      <c r="BW23">
        <v>7723</v>
      </c>
      <c r="BX23">
        <v>7460</v>
      </c>
      <c r="BY23">
        <v>6963</v>
      </c>
      <c r="BZ23">
        <v>7338</v>
      </c>
      <c r="CA23">
        <v>7310</v>
      </c>
      <c r="CB23">
        <v>7283</v>
      </c>
      <c r="CC23">
        <v>7255</v>
      </c>
      <c r="CD23">
        <v>7692</v>
      </c>
      <c r="CE23">
        <v>7437</v>
      </c>
      <c r="CF23">
        <v>7184</v>
      </c>
      <c r="CG23">
        <v>6591</v>
      </c>
      <c r="CH23">
        <v>5865</v>
      </c>
      <c r="CI23">
        <v>5604</v>
      </c>
      <c r="CJ23">
        <v>5344</v>
      </c>
      <c r="CK23">
        <v>5057</v>
      </c>
      <c r="CL23">
        <v>4815</v>
      </c>
      <c r="CM23">
        <v>3882</v>
      </c>
      <c r="CN23">
        <v>2976</v>
      </c>
      <c r="CO23">
        <v>2070</v>
      </c>
      <c r="CP23">
        <v>1609</v>
      </c>
      <c r="CQ23">
        <v>1579</v>
      </c>
      <c r="CR23">
        <v>1548</v>
      </c>
      <c r="CS23">
        <v>1285</v>
      </c>
    </row>
    <row r="24" spans="1:97">
      <c r="A24" s="9">
        <v>46257</v>
      </c>
      <c r="B24">
        <v>127</v>
      </c>
      <c r="C24">
        <v>-225</v>
      </c>
      <c r="D24">
        <v>-581</v>
      </c>
      <c r="E24">
        <v>-961</v>
      </c>
      <c r="F24">
        <v>-1007</v>
      </c>
      <c r="G24">
        <v>-1037</v>
      </c>
      <c r="H24">
        <v>-1069</v>
      </c>
      <c r="I24">
        <v>-1101</v>
      </c>
      <c r="J24">
        <v>-832</v>
      </c>
      <c r="K24">
        <v>-856</v>
      </c>
      <c r="L24">
        <v>-880</v>
      </c>
      <c r="M24">
        <v>-904</v>
      </c>
      <c r="N24">
        <v>-1186</v>
      </c>
      <c r="O24">
        <v>-1188</v>
      </c>
      <c r="P24">
        <v>-1190</v>
      </c>
      <c r="Q24">
        <v>-1192</v>
      </c>
      <c r="R24">
        <v>-1014</v>
      </c>
      <c r="S24">
        <v>-614</v>
      </c>
      <c r="T24">
        <v>-241</v>
      </c>
      <c r="U24">
        <v>132</v>
      </c>
      <c r="V24">
        <v>724</v>
      </c>
      <c r="W24">
        <v>1262</v>
      </c>
      <c r="X24">
        <v>1771</v>
      </c>
      <c r="Y24">
        <v>2279</v>
      </c>
      <c r="Z24">
        <v>2812</v>
      </c>
      <c r="AA24">
        <v>3243</v>
      </c>
      <c r="AB24">
        <v>3516</v>
      </c>
      <c r="AC24">
        <v>3790</v>
      </c>
      <c r="AD24">
        <v>4017</v>
      </c>
      <c r="AE24">
        <v>4288</v>
      </c>
      <c r="AF24">
        <v>4558</v>
      </c>
      <c r="AG24">
        <v>4829</v>
      </c>
      <c r="AH24">
        <v>4732</v>
      </c>
      <c r="AI24">
        <v>5348</v>
      </c>
      <c r="AJ24">
        <v>6151</v>
      </c>
      <c r="AK24">
        <v>6968</v>
      </c>
      <c r="AL24">
        <v>7935</v>
      </c>
      <c r="AM24">
        <v>8465</v>
      </c>
      <c r="AN24">
        <v>8658</v>
      </c>
      <c r="AO24">
        <v>8849</v>
      </c>
      <c r="AP24">
        <v>9058</v>
      </c>
      <c r="AQ24">
        <v>8793</v>
      </c>
      <c r="AR24">
        <v>8551</v>
      </c>
      <c r="AS24">
        <v>8312</v>
      </c>
      <c r="AT24">
        <v>7744</v>
      </c>
      <c r="AU24">
        <v>7237</v>
      </c>
      <c r="AV24">
        <v>6704</v>
      </c>
      <c r="AW24">
        <v>6197</v>
      </c>
      <c r="AX24">
        <v>5656</v>
      </c>
      <c r="AY24">
        <v>5494</v>
      </c>
      <c r="AZ24">
        <v>5675</v>
      </c>
      <c r="BA24">
        <v>5854</v>
      </c>
      <c r="BB24">
        <v>6212</v>
      </c>
      <c r="BC24">
        <v>6247</v>
      </c>
      <c r="BD24">
        <v>6285</v>
      </c>
      <c r="BE24">
        <v>6321</v>
      </c>
      <c r="BF24">
        <v>6581</v>
      </c>
      <c r="BG24">
        <v>6897</v>
      </c>
      <c r="BH24">
        <v>7212</v>
      </c>
      <c r="BI24">
        <v>7552</v>
      </c>
      <c r="BJ24">
        <v>6419</v>
      </c>
      <c r="BK24">
        <v>6392</v>
      </c>
      <c r="BL24">
        <v>6754</v>
      </c>
      <c r="BM24">
        <v>7298</v>
      </c>
      <c r="BN24">
        <v>7260</v>
      </c>
      <c r="BO24">
        <v>7437</v>
      </c>
      <c r="BP24">
        <v>7639</v>
      </c>
      <c r="BQ24">
        <v>7841</v>
      </c>
      <c r="BR24">
        <v>7956</v>
      </c>
      <c r="BS24">
        <v>7777</v>
      </c>
      <c r="BT24">
        <v>7600</v>
      </c>
      <c r="BU24">
        <v>7422</v>
      </c>
      <c r="BV24">
        <v>7778</v>
      </c>
      <c r="BW24">
        <v>7513</v>
      </c>
      <c r="BX24">
        <v>7406</v>
      </c>
      <c r="BY24">
        <v>7141</v>
      </c>
      <c r="BZ24">
        <v>8165</v>
      </c>
      <c r="CA24">
        <v>8137</v>
      </c>
      <c r="CB24">
        <v>8110</v>
      </c>
      <c r="CC24">
        <v>8082</v>
      </c>
      <c r="CD24">
        <v>7381</v>
      </c>
      <c r="CE24">
        <v>7127</v>
      </c>
      <c r="CF24">
        <v>6873</v>
      </c>
      <c r="CG24">
        <v>6620</v>
      </c>
      <c r="CH24">
        <v>5903</v>
      </c>
      <c r="CI24">
        <v>5955</v>
      </c>
      <c r="CJ24">
        <v>6008</v>
      </c>
      <c r="CK24">
        <v>6060</v>
      </c>
      <c r="CL24">
        <v>6402</v>
      </c>
      <c r="CM24">
        <v>5808</v>
      </c>
      <c r="CN24">
        <v>5215</v>
      </c>
      <c r="CO24">
        <v>4051</v>
      </c>
      <c r="CP24">
        <v>3535</v>
      </c>
      <c r="CQ24">
        <v>2961</v>
      </c>
      <c r="CR24">
        <v>2617</v>
      </c>
      <c r="CS24">
        <v>2248</v>
      </c>
    </row>
    <row r="25" spans="1:97">
      <c r="A25" s="9">
        <v>46258</v>
      </c>
      <c r="B25">
        <v>1821</v>
      </c>
      <c r="C25">
        <v>1442</v>
      </c>
      <c r="D25">
        <v>1085</v>
      </c>
      <c r="E25">
        <v>732</v>
      </c>
      <c r="F25">
        <v>336</v>
      </c>
      <c r="G25">
        <v>-31</v>
      </c>
      <c r="H25">
        <v>-376</v>
      </c>
      <c r="I25">
        <v>-721</v>
      </c>
      <c r="J25">
        <v>-822</v>
      </c>
      <c r="K25">
        <v>-846</v>
      </c>
      <c r="L25">
        <v>-870</v>
      </c>
      <c r="M25">
        <v>-894</v>
      </c>
      <c r="N25">
        <v>-1090</v>
      </c>
      <c r="O25">
        <v>-1092</v>
      </c>
      <c r="P25">
        <v>-1094</v>
      </c>
      <c r="Q25">
        <v>-1096</v>
      </c>
      <c r="R25">
        <v>-890</v>
      </c>
      <c r="S25">
        <v>-489</v>
      </c>
      <c r="T25">
        <v>-116</v>
      </c>
      <c r="U25">
        <v>257</v>
      </c>
      <c r="V25">
        <v>778</v>
      </c>
      <c r="W25">
        <v>1316</v>
      </c>
      <c r="X25">
        <v>1825</v>
      </c>
      <c r="Y25">
        <v>2333</v>
      </c>
      <c r="Z25">
        <v>2562</v>
      </c>
      <c r="AA25">
        <v>2992</v>
      </c>
      <c r="AB25">
        <v>3265</v>
      </c>
      <c r="AC25">
        <v>3539</v>
      </c>
      <c r="AD25">
        <v>3715</v>
      </c>
      <c r="AE25">
        <v>3986</v>
      </c>
      <c r="AF25">
        <v>4256</v>
      </c>
      <c r="AG25">
        <v>4527</v>
      </c>
      <c r="AH25">
        <v>4934</v>
      </c>
      <c r="AI25">
        <v>5551</v>
      </c>
      <c r="AJ25">
        <v>6353</v>
      </c>
      <c r="AK25">
        <v>7170</v>
      </c>
      <c r="AL25">
        <v>8250</v>
      </c>
      <c r="AM25">
        <v>8780</v>
      </c>
      <c r="AN25">
        <v>8972</v>
      </c>
      <c r="AO25">
        <v>9164</v>
      </c>
      <c r="AP25">
        <v>9619</v>
      </c>
      <c r="AQ25">
        <v>9353</v>
      </c>
      <c r="AR25">
        <v>9112</v>
      </c>
      <c r="AS25">
        <v>8872</v>
      </c>
      <c r="AT25">
        <v>8257</v>
      </c>
      <c r="AU25">
        <v>7749</v>
      </c>
      <c r="AV25">
        <v>7215</v>
      </c>
      <c r="AW25">
        <v>6707</v>
      </c>
      <c r="AX25">
        <v>6224</v>
      </c>
      <c r="AY25">
        <v>6064</v>
      </c>
      <c r="AZ25">
        <v>6246</v>
      </c>
      <c r="BA25">
        <v>6439</v>
      </c>
      <c r="BB25">
        <v>6400</v>
      </c>
      <c r="BC25">
        <v>6435</v>
      </c>
      <c r="BD25">
        <v>6472</v>
      </c>
      <c r="BE25">
        <v>6508</v>
      </c>
      <c r="BF25">
        <v>6692</v>
      </c>
      <c r="BG25">
        <v>7008</v>
      </c>
      <c r="BH25">
        <v>7323</v>
      </c>
      <c r="BI25">
        <v>7664</v>
      </c>
      <c r="BJ25">
        <v>8285</v>
      </c>
      <c r="BK25">
        <v>8258</v>
      </c>
      <c r="BL25">
        <v>8621</v>
      </c>
      <c r="BM25">
        <v>9165</v>
      </c>
      <c r="BN25">
        <v>9360</v>
      </c>
      <c r="BO25">
        <v>9537</v>
      </c>
      <c r="BP25">
        <v>9739</v>
      </c>
      <c r="BQ25">
        <v>9941</v>
      </c>
      <c r="BR25">
        <v>9962</v>
      </c>
      <c r="BS25">
        <v>9783</v>
      </c>
      <c r="BT25">
        <v>9606</v>
      </c>
      <c r="BU25">
        <v>9429</v>
      </c>
      <c r="BV25">
        <v>9254</v>
      </c>
      <c r="BW25">
        <v>8989</v>
      </c>
      <c r="BX25">
        <v>8570</v>
      </c>
      <c r="BY25">
        <v>8304</v>
      </c>
      <c r="BZ25">
        <v>8039</v>
      </c>
      <c r="CA25">
        <v>8011</v>
      </c>
      <c r="CB25">
        <v>7984</v>
      </c>
      <c r="CC25">
        <v>7956</v>
      </c>
      <c r="CD25">
        <v>7931</v>
      </c>
      <c r="CE25">
        <v>7338</v>
      </c>
      <c r="CF25">
        <v>6746</v>
      </c>
      <c r="CG25">
        <v>6180</v>
      </c>
      <c r="CH25">
        <v>5361</v>
      </c>
      <c r="CI25">
        <v>5074</v>
      </c>
      <c r="CJ25">
        <v>4971</v>
      </c>
      <c r="CK25">
        <v>5022</v>
      </c>
      <c r="CL25">
        <v>5022</v>
      </c>
      <c r="CM25">
        <v>4428</v>
      </c>
      <c r="CN25">
        <v>3835</v>
      </c>
      <c r="CO25">
        <v>3009</v>
      </c>
      <c r="CP25">
        <v>2859</v>
      </c>
      <c r="CQ25">
        <v>2595</v>
      </c>
      <c r="CR25">
        <v>2564</v>
      </c>
      <c r="CS25">
        <v>2533</v>
      </c>
    </row>
    <row r="26" spans="1:97">
      <c r="A26" s="9">
        <v>46259</v>
      </c>
      <c r="B26">
        <v>3063</v>
      </c>
      <c r="C26">
        <v>3023</v>
      </c>
      <c r="D26">
        <v>2980</v>
      </c>
      <c r="E26">
        <v>2939</v>
      </c>
      <c r="F26">
        <v>2897</v>
      </c>
      <c r="G26">
        <v>2711</v>
      </c>
      <c r="H26">
        <v>2341</v>
      </c>
      <c r="I26">
        <v>1996</v>
      </c>
      <c r="J26">
        <v>1980</v>
      </c>
      <c r="K26">
        <v>1617</v>
      </c>
      <c r="L26">
        <v>1255</v>
      </c>
      <c r="M26">
        <v>1231</v>
      </c>
      <c r="N26">
        <v>1194</v>
      </c>
      <c r="O26">
        <v>1192</v>
      </c>
      <c r="P26">
        <v>1190</v>
      </c>
      <c r="Q26">
        <v>1527</v>
      </c>
      <c r="R26">
        <v>1713</v>
      </c>
      <c r="S26">
        <v>2088</v>
      </c>
      <c r="T26">
        <v>2461</v>
      </c>
      <c r="U26">
        <v>2860</v>
      </c>
      <c r="V26">
        <v>2959</v>
      </c>
      <c r="W26">
        <v>3315</v>
      </c>
      <c r="X26">
        <v>3850</v>
      </c>
      <c r="Y26">
        <v>4358</v>
      </c>
      <c r="Z26">
        <v>4586</v>
      </c>
      <c r="AA26">
        <v>4860</v>
      </c>
      <c r="AB26">
        <v>5133</v>
      </c>
      <c r="AC26">
        <v>5407</v>
      </c>
      <c r="AD26">
        <v>5631</v>
      </c>
      <c r="AE26">
        <v>5901</v>
      </c>
      <c r="AF26">
        <v>6172</v>
      </c>
      <c r="AG26">
        <v>6130</v>
      </c>
      <c r="AH26">
        <v>5602</v>
      </c>
      <c r="AI26">
        <v>5723</v>
      </c>
      <c r="AJ26">
        <v>6031</v>
      </c>
      <c r="AK26">
        <v>6379</v>
      </c>
      <c r="AL26">
        <v>6568</v>
      </c>
      <c r="AM26">
        <v>6446</v>
      </c>
      <c r="AN26">
        <v>6326</v>
      </c>
      <c r="AO26">
        <v>6179</v>
      </c>
      <c r="AP26">
        <v>6403</v>
      </c>
      <c r="AQ26">
        <v>6163</v>
      </c>
      <c r="AR26">
        <v>5921</v>
      </c>
      <c r="AS26">
        <v>5994</v>
      </c>
      <c r="AT26">
        <v>6168</v>
      </c>
      <c r="AU26">
        <v>5972</v>
      </c>
      <c r="AV26">
        <v>5777</v>
      </c>
      <c r="AW26">
        <v>5581</v>
      </c>
      <c r="AX26">
        <v>5452</v>
      </c>
      <c r="AY26">
        <v>5630</v>
      </c>
      <c r="AZ26">
        <v>5812</v>
      </c>
      <c r="BA26">
        <v>6005</v>
      </c>
      <c r="BB26">
        <v>6076</v>
      </c>
      <c r="BC26">
        <v>6112</v>
      </c>
      <c r="BD26">
        <v>6461</v>
      </c>
      <c r="BE26">
        <v>6810</v>
      </c>
      <c r="BF26">
        <v>7171</v>
      </c>
      <c r="BG26">
        <v>7513</v>
      </c>
      <c r="BH26">
        <v>7828</v>
      </c>
      <c r="BI26">
        <v>8143</v>
      </c>
      <c r="BJ26">
        <v>8169</v>
      </c>
      <c r="BK26">
        <v>8455</v>
      </c>
      <c r="BL26">
        <v>8767</v>
      </c>
      <c r="BM26">
        <v>9285</v>
      </c>
      <c r="BN26">
        <v>9673</v>
      </c>
      <c r="BO26">
        <v>9876</v>
      </c>
      <c r="BP26">
        <v>9921</v>
      </c>
      <c r="BQ26">
        <v>9784</v>
      </c>
      <c r="BR26">
        <v>9650</v>
      </c>
      <c r="BS26">
        <v>9471</v>
      </c>
      <c r="BT26">
        <v>9293</v>
      </c>
      <c r="BU26">
        <v>9116</v>
      </c>
      <c r="BV26">
        <v>8942</v>
      </c>
      <c r="BW26">
        <v>8676</v>
      </c>
      <c r="BX26">
        <v>8413</v>
      </c>
      <c r="BY26">
        <v>8148</v>
      </c>
      <c r="BZ26">
        <v>7883</v>
      </c>
      <c r="CA26">
        <v>7855</v>
      </c>
      <c r="CB26">
        <v>7828</v>
      </c>
      <c r="CC26">
        <v>7800</v>
      </c>
      <c r="CD26">
        <v>7775</v>
      </c>
      <c r="CE26">
        <v>7520</v>
      </c>
      <c r="CF26">
        <v>7267</v>
      </c>
      <c r="CG26">
        <v>7013</v>
      </c>
      <c r="CH26">
        <v>6507</v>
      </c>
      <c r="CI26">
        <v>6559</v>
      </c>
      <c r="CJ26">
        <v>6612</v>
      </c>
      <c r="CK26">
        <v>6663</v>
      </c>
      <c r="CL26">
        <v>7106</v>
      </c>
      <c r="CM26">
        <v>6512</v>
      </c>
      <c r="CN26">
        <v>5919</v>
      </c>
      <c r="CO26">
        <v>5143</v>
      </c>
      <c r="CP26">
        <v>4488</v>
      </c>
      <c r="CQ26">
        <v>4144</v>
      </c>
      <c r="CR26">
        <v>3568</v>
      </c>
      <c r="CS26">
        <v>3198</v>
      </c>
    </row>
    <row r="27" spans="1:97">
      <c r="A27" s="9">
        <v>46260</v>
      </c>
      <c r="B27">
        <v>2825</v>
      </c>
      <c r="C27">
        <v>2446</v>
      </c>
      <c r="D27">
        <v>2090</v>
      </c>
      <c r="E27">
        <v>1737</v>
      </c>
      <c r="F27">
        <v>1443</v>
      </c>
      <c r="G27">
        <v>1076</v>
      </c>
      <c r="H27">
        <v>887</v>
      </c>
      <c r="I27">
        <v>855</v>
      </c>
      <c r="J27">
        <v>748</v>
      </c>
      <c r="K27">
        <v>724</v>
      </c>
      <c r="L27">
        <v>700</v>
      </c>
      <c r="M27">
        <v>676</v>
      </c>
      <c r="N27">
        <v>626</v>
      </c>
      <c r="O27">
        <v>624</v>
      </c>
      <c r="P27">
        <v>622</v>
      </c>
      <c r="Q27">
        <v>620</v>
      </c>
      <c r="R27">
        <v>467</v>
      </c>
      <c r="S27">
        <v>528</v>
      </c>
      <c r="T27">
        <v>745</v>
      </c>
      <c r="U27">
        <v>1144</v>
      </c>
      <c r="V27">
        <v>1484</v>
      </c>
      <c r="W27">
        <v>1996</v>
      </c>
      <c r="X27">
        <v>2505</v>
      </c>
      <c r="Y27">
        <v>3040</v>
      </c>
      <c r="Z27">
        <v>2750</v>
      </c>
      <c r="AA27">
        <v>3024</v>
      </c>
      <c r="AB27">
        <v>3297</v>
      </c>
      <c r="AC27">
        <v>3571</v>
      </c>
      <c r="AD27">
        <v>3845</v>
      </c>
      <c r="AE27">
        <v>4115</v>
      </c>
      <c r="AF27">
        <v>4386</v>
      </c>
      <c r="AG27">
        <v>4657</v>
      </c>
      <c r="AH27">
        <v>4939</v>
      </c>
      <c r="AI27">
        <v>5399</v>
      </c>
      <c r="AJ27">
        <v>5629</v>
      </c>
      <c r="AK27">
        <v>5795</v>
      </c>
      <c r="AL27">
        <v>6244</v>
      </c>
      <c r="AM27">
        <v>6122</v>
      </c>
      <c r="AN27">
        <v>5977</v>
      </c>
      <c r="AO27">
        <v>5830</v>
      </c>
      <c r="AP27">
        <v>5981</v>
      </c>
      <c r="AQ27">
        <v>5742</v>
      </c>
      <c r="AR27">
        <v>5474</v>
      </c>
      <c r="AS27">
        <v>5547</v>
      </c>
      <c r="AT27">
        <v>5619</v>
      </c>
      <c r="AU27">
        <v>5423</v>
      </c>
      <c r="AV27">
        <v>5228</v>
      </c>
      <c r="AW27">
        <v>5032</v>
      </c>
      <c r="AX27">
        <v>4821</v>
      </c>
      <c r="AY27">
        <v>4999</v>
      </c>
      <c r="AZ27">
        <v>5181</v>
      </c>
      <c r="BA27">
        <v>5374</v>
      </c>
      <c r="BB27">
        <v>5564</v>
      </c>
      <c r="BC27">
        <v>5599</v>
      </c>
      <c r="BD27">
        <v>5636</v>
      </c>
      <c r="BE27">
        <v>5672</v>
      </c>
      <c r="BF27">
        <v>5704</v>
      </c>
      <c r="BG27">
        <v>6045</v>
      </c>
      <c r="BH27">
        <v>6360</v>
      </c>
      <c r="BI27">
        <v>6675</v>
      </c>
      <c r="BJ27">
        <v>6758</v>
      </c>
      <c r="BK27">
        <v>7070</v>
      </c>
      <c r="BL27">
        <v>7357</v>
      </c>
      <c r="BM27">
        <v>7898</v>
      </c>
      <c r="BN27">
        <v>7854</v>
      </c>
      <c r="BO27">
        <v>8341</v>
      </c>
      <c r="BP27">
        <v>8775</v>
      </c>
      <c r="BQ27">
        <v>8951</v>
      </c>
      <c r="BR27">
        <v>9129</v>
      </c>
      <c r="BS27">
        <v>9288</v>
      </c>
      <c r="BT27">
        <v>9293</v>
      </c>
      <c r="BU27">
        <v>9429</v>
      </c>
      <c r="BV27">
        <v>9254</v>
      </c>
      <c r="BW27">
        <v>8989</v>
      </c>
      <c r="BX27">
        <v>8726</v>
      </c>
      <c r="BY27">
        <v>8461</v>
      </c>
      <c r="BZ27">
        <v>8195</v>
      </c>
      <c r="CA27">
        <v>8167</v>
      </c>
      <c r="CB27">
        <v>8140</v>
      </c>
      <c r="CC27">
        <v>8112</v>
      </c>
      <c r="CD27">
        <v>8087</v>
      </c>
      <c r="CE27">
        <v>7833</v>
      </c>
      <c r="CF27">
        <v>7579</v>
      </c>
      <c r="CG27">
        <v>7326</v>
      </c>
      <c r="CH27">
        <v>7075</v>
      </c>
      <c r="CI27">
        <v>6814</v>
      </c>
      <c r="CJ27">
        <v>6429</v>
      </c>
      <c r="CK27">
        <v>6142</v>
      </c>
      <c r="CL27">
        <v>6295</v>
      </c>
      <c r="CM27">
        <v>5388</v>
      </c>
      <c r="CN27">
        <v>4456</v>
      </c>
      <c r="CO27">
        <v>3706</v>
      </c>
      <c r="CP27">
        <v>3616</v>
      </c>
      <c r="CQ27">
        <v>3584</v>
      </c>
      <c r="CR27">
        <v>3321</v>
      </c>
      <c r="CS27">
        <v>3290</v>
      </c>
    </row>
    <row r="28" spans="1:97">
      <c r="A28" s="9">
        <v>46261</v>
      </c>
      <c r="B28">
        <v>3622</v>
      </c>
      <c r="C28">
        <v>3582</v>
      </c>
      <c r="D28">
        <v>3539</v>
      </c>
      <c r="E28">
        <v>3342</v>
      </c>
      <c r="F28">
        <v>2900</v>
      </c>
      <c r="G28">
        <v>2715</v>
      </c>
      <c r="H28">
        <v>2683</v>
      </c>
      <c r="I28">
        <v>2651</v>
      </c>
      <c r="J28">
        <v>2581</v>
      </c>
      <c r="K28">
        <v>2557</v>
      </c>
      <c r="L28">
        <v>2533</v>
      </c>
      <c r="M28">
        <v>2509</v>
      </c>
      <c r="N28">
        <v>2382</v>
      </c>
      <c r="O28">
        <v>2380</v>
      </c>
      <c r="P28">
        <v>2378</v>
      </c>
      <c r="Q28">
        <v>2376</v>
      </c>
      <c r="R28">
        <v>2055</v>
      </c>
      <c r="S28">
        <v>2117</v>
      </c>
      <c r="T28">
        <v>2177</v>
      </c>
      <c r="U28">
        <v>2238</v>
      </c>
      <c r="V28">
        <v>2146</v>
      </c>
      <c r="W28">
        <v>2346</v>
      </c>
      <c r="X28">
        <v>2542</v>
      </c>
      <c r="Y28">
        <v>2738</v>
      </c>
      <c r="Z28">
        <v>2674</v>
      </c>
      <c r="AA28">
        <v>2948</v>
      </c>
      <c r="AB28">
        <v>3221</v>
      </c>
      <c r="AC28">
        <v>3495</v>
      </c>
      <c r="AD28">
        <v>3356</v>
      </c>
      <c r="AE28">
        <v>3626</v>
      </c>
      <c r="AF28">
        <v>3897</v>
      </c>
      <c r="AG28">
        <v>4167</v>
      </c>
      <c r="AH28">
        <v>4328</v>
      </c>
      <c r="AI28">
        <v>4788</v>
      </c>
      <c r="AJ28">
        <v>5252</v>
      </c>
      <c r="AK28">
        <v>5757</v>
      </c>
      <c r="AL28">
        <v>6371</v>
      </c>
      <c r="AM28">
        <v>6484</v>
      </c>
      <c r="AN28">
        <v>6676</v>
      </c>
      <c r="AO28">
        <v>6868</v>
      </c>
      <c r="AP28">
        <v>7375</v>
      </c>
      <c r="AQ28">
        <v>7265</v>
      </c>
      <c r="AR28">
        <v>7024</v>
      </c>
      <c r="AS28">
        <v>6758</v>
      </c>
      <c r="AT28">
        <v>6503</v>
      </c>
      <c r="AU28">
        <v>5995</v>
      </c>
      <c r="AV28">
        <v>5487</v>
      </c>
      <c r="AW28">
        <v>4953</v>
      </c>
      <c r="AX28">
        <v>4723</v>
      </c>
      <c r="AY28">
        <v>4901</v>
      </c>
      <c r="AZ28">
        <v>5083</v>
      </c>
      <c r="BA28">
        <v>5614</v>
      </c>
      <c r="BB28">
        <v>6093</v>
      </c>
      <c r="BC28">
        <v>6442</v>
      </c>
      <c r="BD28">
        <v>6817</v>
      </c>
      <c r="BE28">
        <v>7192</v>
      </c>
      <c r="BF28">
        <v>7578</v>
      </c>
      <c r="BG28">
        <v>7894</v>
      </c>
      <c r="BH28">
        <v>8235</v>
      </c>
      <c r="BI28">
        <v>8472</v>
      </c>
      <c r="BJ28">
        <v>8129</v>
      </c>
      <c r="BK28">
        <v>8102</v>
      </c>
      <c r="BL28">
        <v>8077</v>
      </c>
      <c r="BM28">
        <v>8537</v>
      </c>
      <c r="BN28">
        <v>8553</v>
      </c>
      <c r="BO28">
        <v>8417</v>
      </c>
      <c r="BP28">
        <v>8280</v>
      </c>
      <c r="BQ28">
        <v>8300</v>
      </c>
      <c r="BR28">
        <v>8504</v>
      </c>
      <c r="BS28">
        <v>8637</v>
      </c>
      <c r="BT28">
        <v>8772</v>
      </c>
      <c r="BU28">
        <v>8934</v>
      </c>
      <c r="BV28">
        <v>8942</v>
      </c>
      <c r="BW28">
        <v>8989</v>
      </c>
      <c r="BX28">
        <v>8726</v>
      </c>
      <c r="BY28">
        <v>8461</v>
      </c>
      <c r="BZ28">
        <v>8195</v>
      </c>
      <c r="CA28">
        <v>8167</v>
      </c>
      <c r="CB28">
        <v>8140</v>
      </c>
      <c r="CC28">
        <v>8112</v>
      </c>
      <c r="CD28">
        <v>8087</v>
      </c>
      <c r="CE28">
        <v>7833</v>
      </c>
      <c r="CF28">
        <v>7579</v>
      </c>
      <c r="CG28">
        <v>7326</v>
      </c>
      <c r="CH28">
        <v>7095</v>
      </c>
      <c r="CI28">
        <v>7147</v>
      </c>
      <c r="CJ28">
        <v>6944</v>
      </c>
      <c r="CK28">
        <v>6996</v>
      </c>
      <c r="CL28">
        <v>7142</v>
      </c>
      <c r="CM28">
        <v>6548</v>
      </c>
      <c r="CN28">
        <v>5642</v>
      </c>
      <c r="CO28">
        <v>4866</v>
      </c>
      <c r="CP28">
        <v>4692</v>
      </c>
      <c r="CQ28">
        <v>4348</v>
      </c>
      <c r="CR28">
        <v>3772</v>
      </c>
      <c r="CS28">
        <v>3403</v>
      </c>
    </row>
    <row r="29" spans="1:97">
      <c r="A29" s="9">
        <v>46262</v>
      </c>
      <c r="B29">
        <v>2698</v>
      </c>
      <c r="C29">
        <v>2658</v>
      </c>
      <c r="D29">
        <v>2615</v>
      </c>
      <c r="E29">
        <v>2574</v>
      </c>
      <c r="F29">
        <v>2495</v>
      </c>
      <c r="G29">
        <v>2466</v>
      </c>
      <c r="H29">
        <v>2434</v>
      </c>
      <c r="I29">
        <v>2402</v>
      </c>
      <c r="J29">
        <v>2400</v>
      </c>
      <c r="K29">
        <v>2376</v>
      </c>
      <c r="L29">
        <v>2352</v>
      </c>
      <c r="M29">
        <v>2328</v>
      </c>
      <c r="N29">
        <v>2242</v>
      </c>
      <c r="O29">
        <v>2240</v>
      </c>
      <c r="P29">
        <v>2238</v>
      </c>
      <c r="Q29">
        <v>2236</v>
      </c>
      <c r="R29">
        <v>2118</v>
      </c>
      <c r="S29">
        <v>2179</v>
      </c>
      <c r="T29">
        <v>2240</v>
      </c>
      <c r="U29">
        <v>2300</v>
      </c>
      <c r="V29">
        <v>2441</v>
      </c>
      <c r="W29">
        <v>2640</v>
      </c>
      <c r="X29">
        <v>2837</v>
      </c>
      <c r="Y29">
        <v>3288</v>
      </c>
      <c r="Z29">
        <v>3230</v>
      </c>
      <c r="AA29">
        <v>3660</v>
      </c>
      <c r="AB29">
        <v>4272</v>
      </c>
      <c r="AC29">
        <v>4859</v>
      </c>
      <c r="AD29">
        <v>5437</v>
      </c>
      <c r="AE29">
        <v>6046</v>
      </c>
      <c r="AF29">
        <v>6061</v>
      </c>
      <c r="AG29">
        <v>6331</v>
      </c>
      <c r="AH29">
        <v>6497</v>
      </c>
      <c r="AI29">
        <v>6958</v>
      </c>
      <c r="AJ29">
        <v>7422</v>
      </c>
      <c r="AK29">
        <v>7587</v>
      </c>
      <c r="AL29">
        <v>8118</v>
      </c>
      <c r="AM29">
        <v>7996</v>
      </c>
      <c r="AN29">
        <v>7850</v>
      </c>
      <c r="AO29">
        <v>7651</v>
      </c>
      <c r="AP29">
        <v>7627</v>
      </c>
      <c r="AQ29">
        <v>7387</v>
      </c>
      <c r="AR29">
        <v>7146</v>
      </c>
      <c r="AS29">
        <v>6880</v>
      </c>
      <c r="AT29">
        <v>6644</v>
      </c>
      <c r="AU29">
        <v>6136</v>
      </c>
      <c r="AV29">
        <v>5628</v>
      </c>
      <c r="AW29">
        <v>5094</v>
      </c>
      <c r="AX29">
        <v>5143</v>
      </c>
      <c r="AY29">
        <v>5321</v>
      </c>
      <c r="AZ29">
        <v>5503</v>
      </c>
      <c r="BA29">
        <v>5696</v>
      </c>
      <c r="BB29">
        <v>5352</v>
      </c>
      <c r="BC29">
        <v>5387</v>
      </c>
      <c r="BD29">
        <v>5424</v>
      </c>
      <c r="BE29">
        <v>5460</v>
      </c>
      <c r="BF29">
        <v>5890</v>
      </c>
      <c r="BG29">
        <v>6206</v>
      </c>
      <c r="BH29">
        <v>6521</v>
      </c>
      <c r="BI29">
        <v>6862</v>
      </c>
      <c r="BJ29">
        <v>6928</v>
      </c>
      <c r="BK29">
        <v>7214</v>
      </c>
      <c r="BL29">
        <v>7732</v>
      </c>
      <c r="BM29">
        <v>8347</v>
      </c>
      <c r="BN29">
        <v>8516</v>
      </c>
      <c r="BO29">
        <v>8719</v>
      </c>
      <c r="BP29">
        <v>8895</v>
      </c>
      <c r="BQ29">
        <v>9070</v>
      </c>
      <c r="BR29">
        <v>9207</v>
      </c>
      <c r="BS29">
        <v>9211</v>
      </c>
      <c r="BT29">
        <v>9346</v>
      </c>
      <c r="BU29">
        <v>9169</v>
      </c>
      <c r="BV29">
        <v>9055</v>
      </c>
      <c r="BW29">
        <v>8790</v>
      </c>
      <c r="BX29">
        <v>8527</v>
      </c>
      <c r="BY29">
        <v>8262</v>
      </c>
      <c r="BZ29">
        <v>8195</v>
      </c>
      <c r="CA29">
        <v>8167</v>
      </c>
      <c r="CB29">
        <v>8140</v>
      </c>
      <c r="CC29">
        <v>8112</v>
      </c>
      <c r="CD29">
        <v>8269</v>
      </c>
      <c r="CE29">
        <v>8014</v>
      </c>
      <c r="CF29">
        <v>7761</v>
      </c>
      <c r="CG29">
        <v>7507</v>
      </c>
      <c r="CH29">
        <v>7092</v>
      </c>
      <c r="CI29">
        <v>7144</v>
      </c>
      <c r="CJ29">
        <v>7196</v>
      </c>
      <c r="CK29">
        <v>6935</v>
      </c>
      <c r="CL29">
        <v>6709</v>
      </c>
      <c r="CM29">
        <v>5776</v>
      </c>
      <c r="CN29">
        <v>4871</v>
      </c>
      <c r="CO29">
        <v>3964</v>
      </c>
      <c r="CP29">
        <v>3859</v>
      </c>
      <c r="CQ29">
        <v>3671</v>
      </c>
      <c r="CR29">
        <v>3408</v>
      </c>
      <c r="CS29">
        <v>3145</v>
      </c>
    </row>
    <row r="30" spans="1:97">
      <c r="A30" s="9">
        <v>46263</v>
      </c>
      <c r="B30">
        <v>2860</v>
      </c>
      <c r="C30">
        <v>2820</v>
      </c>
      <c r="D30">
        <v>2777</v>
      </c>
      <c r="E30">
        <v>2580</v>
      </c>
      <c r="F30">
        <v>2098</v>
      </c>
      <c r="G30">
        <v>1756</v>
      </c>
      <c r="H30">
        <v>1412</v>
      </c>
      <c r="I30">
        <v>1380</v>
      </c>
      <c r="J30">
        <v>1307</v>
      </c>
      <c r="K30">
        <v>1283</v>
      </c>
      <c r="L30">
        <v>1259</v>
      </c>
      <c r="M30">
        <v>1235</v>
      </c>
      <c r="N30">
        <v>987</v>
      </c>
      <c r="O30">
        <v>985</v>
      </c>
      <c r="P30">
        <v>983</v>
      </c>
      <c r="Q30">
        <v>1293</v>
      </c>
      <c r="R30">
        <v>1690</v>
      </c>
      <c r="S30">
        <v>2090</v>
      </c>
      <c r="T30">
        <v>2695</v>
      </c>
      <c r="U30">
        <v>3326</v>
      </c>
      <c r="V30">
        <v>3946</v>
      </c>
      <c r="W30">
        <v>4458</v>
      </c>
      <c r="X30">
        <v>4993</v>
      </c>
      <c r="Y30">
        <v>5627</v>
      </c>
      <c r="Z30">
        <v>5287</v>
      </c>
      <c r="AA30">
        <v>5562</v>
      </c>
      <c r="AB30">
        <v>5835</v>
      </c>
      <c r="AC30">
        <v>5877</v>
      </c>
      <c r="AD30">
        <v>5725</v>
      </c>
      <c r="AE30">
        <v>5656</v>
      </c>
      <c r="AF30">
        <v>5359</v>
      </c>
      <c r="AG30">
        <v>5316</v>
      </c>
      <c r="AH30">
        <v>5199</v>
      </c>
      <c r="AI30">
        <v>5503</v>
      </c>
      <c r="AJ30">
        <v>5968</v>
      </c>
      <c r="AK30">
        <v>6472</v>
      </c>
      <c r="AL30">
        <v>7237</v>
      </c>
      <c r="AM30">
        <v>7428</v>
      </c>
      <c r="AN30">
        <v>7386</v>
      </c>
      <c r="AO30">
        <v>7239</v>
      </c>
      <c r="AP30">
        <v>7225</v>
      </c>
      <c r="AQ30">
        <v>6986</v>
      </c>
      <c r="AR30">
        <v>6718</v>
      </c>
      <c r="AS30">
        <v>6452</v>
      </c>
      <c r="AT30">
        <v>6125</v>
      </c>
      <c r="AU30">
        <v>5616</v>
      </c>
      <c r="AV30">
        <v>5082</v>
      </c>
      <c r="AW30">
        <v>4886</v>
      </c>
      <c r="AX30">
        <v>4795</v>
      </c>
      <c r="AY30">
        <v>4973</v>
      </c>
      <c r="AZ30">
        <v>5155</v>
      </c>
      <c r="BA30">
        <v>5340</v>
      </c>
      <c r="BB30">
        <v>5476</v>
      </c>
      <c r="BC30">
        <v>5512</v>
      </c>
      <c r="BD30">
        <v>5887</v>
      </c>
      <c r="BE30">
        <v>6236</v>
      </c>
      <c r="BF30">
        <v>6560</v>
      </c>
      <c r="BG30">
        <v>6902</v>
      </c>
      <c r="BH30">
        <v>7243</v>
      </c>
      <c r="BI30">
        <v>7558</v>
      </c>
      <c r="BJ30">
        <v>7668</v>
      </c>
      <c r="BK30">
        <v>7980</v>
      </c>
      <c r="BL30">
        <v>8577</v>
      </c>
      <c r="BM30">
        <v>9191</v>
      </c>
      <c r="BN30">
        <v>9038</v>
      </c>
      <c r="BO30">
        <v>9215</v>
      </c>
      <c r="BP30">
        <v>9416</v>
      </c>
      <c r="BQ30">
        <v>9462</v>
      </c>
      <c r="BR30">
        <v>9732</v>
      </c>
      <c r="BS30">
        <v>9553</v>
      </c>
      <c r="BT30">
        <v>9375</v>
      </c>
      <c r="BU30">
        <v>9198</v>
      </c>
      <c r="BV30">
        <v>9233</v>
      </c>
      <c r="BW30">
        <v>8967</v>
      </c>
      <c r="BX30">
        <v>8704</v>
      </c>
      <c r="BY30">
        <v>8439</v>
      </c>
      <c r="BZ30">
        <v>8385</v>
      </c>
      <c r="CA30">
        <v>8357</v>
      </c>
      <c r="CB30">
        <v>8330</v>
      </c>
      <c r="CC30">
        <v>8302</v>
      </c>
      <c r="CD30">
        <v>7790</v>
      </c>
      <c r="CE30">
        <v>7353</v>
      </c>
      <c r="CF30">
        <v>6761</v>
      </c>
      <c r="CG30">
        <v>6195</v>
      </c>
      <c r="CH30">
        <v>5506</v>
      </c>
      <c r="CI30">
        <v>4987</v>
      </c>
      <c r="CJ30">
        <v>4652</v>
      </c>
      <c r="CK30">
        <v>4703</v>
      </c>
      <c r="CL30">
        <v>4702</v>
      </c>
      <c r="CM30">
        <v>4108</v>
      </c>
      <c r="CN30">
        <v>3515</v>
      </c>
      <c r="CO30">
        <v>2921</v>
      </c>
      <c r="CP30">
        <v>2663</v>
      </c>
      <c r="CQ30">
        <v>2632</v>
      </c>
      <c r="CR30">
        <v>2601</v>
      </c>
      <c r="CS30">
        <v>2570</v>
      </c>
    </row>
    <row r="31" spans="1:97">
      <c r="A31" s="9">
        <v>46264</v>
      </c>
      <c r="B31">
        <v>2935</v>
      </c>
      <c r="C31">
        <v>2556</v>
      </c>
      <c r="D31">
        <v>2200</v>
      </c>
      <c r="E31">
        <v>1846</v>
      </c>
      <c r="F31">
        <v>1201</v>
      </c>
      <c r="G31">
        <v>834</v>
      </c>
      <c r="H31">
        <v>802</v>
      </c>
      <c r="I31">
        <v>770</v>
      </c>
      <c r="J31">
        <v>729</v>
      </c>
      <c r="K31">
        <v>705</v>
      </c>
      <c r="L31">
        <v>681</v>
      </c>
      <c r="M31">
        <v>657</v>
      </c>
      <c r="N31">
        <v>519</v>
      </c>
      <c r="O31">
        <v>517</v>
      </c>
      <c r="P31">
        <v>515</v>
      </c>
      <c r="Q31">
        <v>513</v>
      </c>
      <c r="R31">
        <v>633</v>
      </c>
      <c r="S31">
        <v>695</v>
      </c>
      <c r="T31">
        <v>755</v>
      </c>
      <c r="U31">
        <v>816</v>
      </c>
      <c r="V31">
        <v>1013</v>
      </c>
      <c r="W31">
        <v>1212</v>
      </c>
      <c r="X31">
        <v>1409</v>
      </c>
      <c r="Y31">
        <v>2198</v>
      </c>
      <c r="Z31">
        <v>2799</v>
      </c>
      <c r="AA31">
        <v>3386</v>
      </c>
      <c r="AB31">
        <v>4229</v>
      </c>
      <c r="AC31">
        <v>4892</v>
      </c>
      <c r="AD31">
        <v>4887</v>
      </c>
      <c r="AE31">
        <v>5156</v>
      </c>
      <c r="AF31">
        <v>5171</v>
      </c>
      <c r="AG31">
        <v>5442</v>
      </c>
      <c r="AH31">
        <v>5578</v>
      </c>
      <c r="AI31">
        <v>6038</v>
      </c>
      <c r="AJ31">
        <v>6503</v>
      </c>
      <c r="AK31">
        <v>6772</v>
      </c>
      <c r="AL31">
        <v>6886</v>
      </c>
      <c r="AM31">
        <v>6532</v>
      </c>
      <c r="AN31">
        <v>6412</v>
      </c>
      <c r="AO31">
        <v>6033</v>
      </c>
      <c r="AP31">
        <v>6118</v>
      </c>
      <c r="AQ31">
        <v>5879</v>
      </c>
      <c r="AR31">
        <v>5637</v>
      </c>
      <c r="AS31">
        <v>5528</v>
      </c>
      <c r="AT31">
        <v>5344</v>
      </c>
      <c r="AU31">
        <v>5149</v>
      </c>
      <c r="AV31">
        <v>4955</v>
      </c>
      <c r="AW31">
        <v>4760</v>
      </c>
      <c r="AX31">
        <v>4621</v>
      </c>
      <c r="AY31">
        <v>4798</v>
      </c>
      <c r="AZ31">
        <v>4979</v>
      </c>
      <c r="BA31">
        <v>5158</v>
      </c>
      <c r="BB31">
        <v>5318</v>
      </c>
      <c r="BC31">
        <v>5353</v>
      </c>
      <c r="BD31">
        <v>5390</v>
      </c>
      <c r="BE31">
        <v>5426</v>
      </c>
      <c r="BF31">
        <v>5649</v>
      </c>
      <c r="BG31">
        <v>5834</v>
      </c>
      <c r="BH31">
        <v>6381</v>
      </c>
      <c r="BI31">
        <v>6928</v>
      </c>
      <c r="BJ31">
        <v>7198</v>
      </c>
      <c r="BK31">
        <v>7510</v>
      </c>
      <c r="BL31">
        <v>7797</v>
      </c>
      <c r="BM31">
        <v>8338</v>
      </c>
      <c r="BN31">
        <v>8499</v>
      </c>
      <c r="BO31">
        <v>8597</v>
      </c>
      <c r="BP31">
        <v>8617</v>
      </c>
      <c r="BQ31">
        <v>8793</v>
      </c>
      <c r="BR31">
        <v>8917</v>
      </c>
      <c r="BS31">
        <v>9050</v>
      </c>
      <c r="BT31">
        <v>9186</v>
      </c>
      <c r="BU31">
        <v>9008</v>
      </c>
      <c r="BV31">
        <v>8979</v>
      </c>
      <c r="BW31">
        <v>8714</v>
      </c>
      <c r="BX31">
        <v>8451</v>
      </c>
      <c r="BY31">
        <v>8186</v>
      </c>
      <c r="BZ31">
        <v>7872</v>
      </c>
      <c r="CA31">
        <v>7844</v>
      </c>
      <c r="CB31">
        <v>7585</v>
      </c>
      <c r="CC31">
        <v>7325</v>
      </c>
      <c r="CD31">
        <v>7005</v>
      </c>
      <c r="CE31">
        <v>6438</v>
      </c>
      <c r="CF31">
        <v>5872</v>
      </c>
      <c r="CG31">
        <v>5306</v>
      </c>
      <c r="CH31">
        <v>4576</v>
      </c>
      <c r="CI31">
        <v>4628</v>
      </c>
      <c r="CJ31">
        <v>4681</v>
      </c>
      <c r="CK31">
        <v>4732</v>
      </c>
      <c r="CL31">
        <v>4825</v>
      </c>
      <c r="CM31">
        <v>4231</v>
      </c>
      <c r="CN31">
        <v>3638</v>
      </c>
      <c r="CO31">
        <v>3044</v>
      </c>
      <c r="CP31">
        <v>2775</v>
      </c>
      <c r="CQ31">
        <v>2744</v>
      </c>
      <c r="CR31">
        <v>2713</v>
      </c>
      <c r="CS31">
        <v>2682</v>
      </c>
    </row>
    <row r="32" spans="1:97">
      <c r="A32" s="9">
        <v>46265</v>
      </c>
      <c r="B32">
        <v>2549</v>
      </c>
      <c r="C32">
        <v>2169</v>
      </c>
      <c r="D32">
        <v>1813</v>
      </c>
      <c r="E32">
        <v>1460</v>
      </c>
      <c r="F32">
        <v>1398</v>
      </c>
      <c r="G32">
        <v>1369</v>
      </c>
      <c r="H32">
        <v>1337</v>
      </c>
      <c r="I32">
        <v>1305</v>
      </c>
      <c r="J32">
        <v>1285</v>
      </c>
      <c r="K32">
        <v>1261</v>
      </c>
      <c r="L32">
        <v>1237</v>
      </c>
      <c r="M32">
        <v>1213</v>
      </c>
      <c r="N32">
        <v>1200</v>
      </c>
      <c r="O32">
        <v>1199</v>
      </c>
      <c r="P32">
        <v>1197</v>
      </c>
      <c r="Q32">
        <v>1195</v>
      </c>
      <c r="R32">
        <v>1167</v>
      </c>
      <c r="S32">
        <v>1228</v>
      </c>
      <c r="T32">
        <v>1289</v>
      </c>
      <c r="U32">
        <v>1349</v>
      </c>
      <c r="V32">
        <v>1359</v>
      </c>
      <c r="W32">
        <v>1558</v>
      </c>
      <c r="X32">
        <v>1755</v>
      </c>
      <c r="Y32">
        <v>2207</v>
      </c>
      <c r="Z32">
        <v>2272</v>
      </c>
      <c r="AA32">
        <v>2906</v>
      </c>
      <c r="AB32">
        <v>3703</v>
      </c>
      <c r="AC32">
        <v>4366</v>
      </c>
      <c r="AD32">
        <v>4661</v>
      </c>
      <c r="AE32">
        <v>4930</v>
      </c>
      <c r="AF32">
        <v>4945</v>
      </c>
      <c r="AG32">
        <v>5216</v>
      </c>
      <c r="AH32">
        <v>5341</v>
      </c>
      <c r="AI32">
        <v>5801</v>
      </c>
      <c r="AJ32">
        <v>6266</v>
      </c>
      <c r="AK32">
        <v>6691</v>
      </c>
      <c r="AL32">
        <v>7420</v>
      </c>
      <c r="AM32">
        <v>7378</v>
      </c>
      <c r="AN32">
        <v>7571</v>
      </c>
      <c r="AO32">
        <v>7531</v>
      </c>
      <c r="AP32">
        <v>7814</v>
      </c>
      <c r="AQ32">
        <v>7887</v>
      </c>
      <c r="AR32">
        <v>7958</v>
      </c>
      <c r="AS32">
        <v>8031</v>
      </c>
      <c r="AT32">
        <v>7805</v>
      </c>
      <c r="AU32">
        <v>7609</v>
      </c>
      <c r="AV32">
        <v>7414</v>
      </c>
      <c r="AW32">
        <v>7218</v>
      </c>
      <c r="AX32">
        <v>7126</v>
      </c>
      <c r="AY32">
        <v>7305</v>
      </c>
      <c r="AZ32">
        <v>7487</v>
      </c>
      <c r="BA32">
        <v>7672</v>
      </c>
      <c r="BB32">
        <v>7789</v>
      </c>
      <c r="BC32">
        <v>7825</v>
      </c>
      <c r="BD32">
        <v>7861</v>
      </c>
      <c r="BE32">
        <v>7898</v>
      </c>
      <c r="BF32">
        <v>8206</v>
      </c>
      <c r="BG32">
        <v>8210</v>
      </c>
      <c r="BH32">
        <v>8444</v>
      </c>
      <c r="BI32">
        <v>8678</v>
      </c>
      <c r="BJ32">
        <v>8505</v>
      </c>
      <c r="BK32">
        <v>8478</v>
      </c>
      <c r="BL32">
        <v>8452</v>
      </c>
      <c r="BM32">
        <v>8681</v>
      </c>
      <c r="BN32">
        <v>7641</v>
      </c>
      <c r="BO32">
        <v>7583</v>
      </c>
      <c r="BP32">
        <v>7602</v>
      </c>
      <c r="BQ32">
        <v>7778</v>
      </c>
      <c r="BR32">
        <v>7870</v>
      </c>
      <c r="BS32">
        <v>8003</v>
      </c>
      <c r="BT32">
        <v>7826</v>
      </c>
      <c r="BU32">
        <v>7649</v>
      </c>
      <c r="BV32">
        <v>8045</v>
      </c>
      <c r="BW32">
        <v>7779</v>
      </c>
      <c r="BX32">
        <v>7516</v>
      </c>
      <c r="BY32">
        <v>7251</v>
      </c>
      <c r="BZ32">
        <v>7336</v>
      </c>
      <c r="CA32">
        <v>7308</v>
      </c>
      <c r="CB32">
        <v>7049</v>
      </c>
      <c r="CC32">
        <v>6789</v>
      </c>
      <c r="CD32">
        <v>6508</v>
      </c>
      <c r="CE32">
        <v>5941</v>
      </c>
      <c r="CF32">
        <v>5375</v>
      </c>
      <c r="CG32">
        <v>4809</v>
      </c>
      <c r="CH32">
        <v>4401</v>
      </c>
      <c r="CI32">
        <v>4453</v>
      </c>
      <c r="CJ32">
        <v>4506</v>
      </c>
      <c r="CK32">
        <v>4557</v>
      </c>
      <c r="CL32">
        <v>4273</v>
      </c>
      <c r="CM32">
        <v>3679</v>
      </c>
      <c r="CN32">
        <v>3086</v>
      </c>
      <c r="CO32">
        <v>2492</v>
      </c>
      <c r="CP32">
        <v>2588</v>
      </c>
      <c r="CQ32">
        <v>2590</v>
      </c>
      <c r="CR32">
        <v>2593</v>
      </c>
      <c r="CS32">
        <v>2596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3203.97</v>
      </c>
      <c r="C2">
        <v>3200.52</v>
      </c>
      <c r="D2">
        <v>3198.43</v>
      </c>
      <c r="E2">
        <v>3218.54</v>
      </c>
      <c r="F2">
        <v>3215.38</v>
      </c>
      <c r="G2">
        <v>3218.4</v>
      </c>
      <c r="H2">
        <v>3211</v>
      </c>
      <c r="I2">
        <v>3201.36</v>
      </c>
      <c r="J2">
        <v>3215.77</v>
      </c>
      <c r="K2">
        <v>3214.72</v>
      </c>
      <c r="L2">
        <v>3220.97</v>
      </c>
      <c r="M2">
        <v>3228.35</v>
      </c>
      <c r="N2">
        <v>3227.87</v>
      </c>
      <c r="O2">
        <v>3237.3</v>
      </c>
      <c r="P2">
        <v>3241.75</v>
      </c>
      <c r="Q2">
        <v>3225.31</v>
      </c>
      <c r="R2">
        <v>3230.14</v>
      </c>
      <c r="S2">
        <v>3234.78</v>
      </c>
      <c r="T2">
        <v>3229.72</v>
      </c>
      <c r="U2">
        <v>3236.31</v>
      </c>
      <c r="V2">
        <v>3231.18</v>
      </c>
      <c r="W2">
        <v>3226.1</v>
      </c>
      <c r="X2">
        <v>3239.24</v>
      </c>
      <c r="Y2">
        <v>3247.24</v>
      </c>
      <c r="Z2">
        <v>3238</v>
      </c>
      <c r="AA2">
        <v>3235.89</v>
      </c>
      <c r="AB2">
        <v>3241.04</v>
      </c>
      <c r="AC2">
        <v>3231.99</v>
      </c>
      <c r="AD2">
        <v>3226.2</v>
      </c>
      <c r="AE2">
        <v>3230.94</v>
      </c>
      <c r="AF2">
        <v>3224.99</v>
      </c>
      <c r="AG2">
        <v>3225.53</v>
      </c>
      <c r="AH2">
        <v>3221.38</v>
      </c>
      <c r="AI2">
        <v>3231.03</v>
      </c>
      <c r="AJ2">
        <v>3224.14</v>
      </c>
      <c r="AK2">
        <v>3218.52</v>
      </c>
      <c r="AL2">
        <v>3226.14</v>
      </c>
      <c r="AM2">
        <v>3226.85</v>
      </c>
      <c r="AN2">
        <v>3222.04</v>
      </c>
      <c r="AO2">
        <v>3230.74</v>
      </c>
      <c r="AP2">
        <v>3226.97</v>
      </c>
      <c r="AQ2">
        <v>3226.35</v>
      </c>
      <c r="AR2">
        <v>3227.49</v>
      </c>
      <c r="AS2">
        <v>3238.5</v>
      </c>
      <c r="AT2">
        <v>3214.61</v>
      </c>
      <c r="AU2">
        <v>3211.49</v>
      </c>
      <c r="AV2">
        <v>3210.68</v>
      </c>
      <c r="AW2">
        <v>3205.82</v>
      </c>
      <c r="AX2">
        <v>3191.76</v>
      </c>
      <c r="AY2">
        <v>3205.14</v>
      </c>
      <c r="AZ2">
        <v>3199.31</v>
      </c>
      <c r="BA2">
        <v>3211.28</v>
      </c>
      <c r="BB2">
        <v>3204.05</v>
      </c>
      <c r="BC2">
        <v>3207.26</v>
      </c>
      <c r="BD2">
        <v>3211.26</v>
      </c>
      <c r="BE2">
        <v>3207.11</v>
      </c>
      <c r="BF2">
        <v>3214.11</v>
      </c>
      <c r="BG2">
        <v>3225.49</v>
      </c>
      <c r="BH2">
        <v>3218.04</v>
      </c>
      <c r="BI2">
        <v>3208.2</v>
      </c>
      <c r="BJ2">
        <v>3212.44</v>
      </c>
      <c r="BK2">
        <v>3202.37</v>
      </c>
      <c r="BL2">
        <v>3199.67</v>
      </c>
      <c r="BM2">
        <v>3205.16</v>
      </c>
      <c r="BN2">
        <v>3194.29</v>
      </c>
      <c r="BO2">
        <v>3196.08</v>
      </c>
      <c r="BP2">
        <v>3194.97</v>
      </c>
      <c r="BQ2">
        <v>3202.2</v>
      </c>
      <c r="BR2">
        <v>3209.23</v>
      </c>
      <c r="BS2">
        <v>3205.75</v>
      </c>
      <c r="BT2">
        <v>3195.12</v>
      </c>
      <c r="BU2">
        <v>3201.64</v>
      </c>
      <c r="BV2">
        <v>3200.94</v>
      </c>
      <c r="BW2">
        <v>3219.8</v>
      </c>
      <c r="BX2">
        <v>3221.19</v>
      </c>
      <c r="BY2">
        <v>3231.38</v>
      </c>
      <c r="BZ2">
        <v>3234.12</v>
      </c>
      <c r="CA2">
        <v>3225.82</v>
      </c>
      <c r="CB2">
        <v>3224.91</v>
      </c>
      <c r="CC2">
        <v>3205.01</v>
      </c>
      <c r="CD2">
        <v>3194.08</v>
      </c>
      <c r="CE2">
        <v>3202.83</v>
      </c>
      <c r="CF2">
        <v>3216.85</v>
      </c>
      <c r="CG2">
        <v>3223.05</v>
      </c>
      <c r="CH2">
        <v>3217.66</v>
      </c>
      <c r="CI2">
        <v>3197.28</v>
      </c>
      <c r="CJ2">
        <v>3180.18</v>
      </c>
      <c r="CK2">
        <v>3190.11</v>
      </c>
      <c r="CL2">
        <v>3182.73</v>
      </c>
      <c r="CM2">
        <v>3188.71</v>
      </c>
      <c r="CN2">
        <v>3181.67</v>
      </c>
      <c r="CO2">
        <v>3195.93</v>
      </c>
      <c r="CP2">
        <v>3192.27</v>
      </c>
      <c r="CQ2">
        <v>3181.86</v>
      </c>
      <c r="CR2">
        <v>3172.1</v>
      </c>
      <c r="CS2">
        <v>3173.61</v>
      </c>
    </row>
    <row r="3" spans="1:97">
      <c r="A3" s="9">
        <v>46236</v>
      </c>
      <c r="B3">
        <v>3168.42</v>
      </c>
      <c r="C3">
        <v>3166.28</v>
      </c>
      <c r="D3">
        <v>3167.18</v>
      </c>
      <c r="E3">
        <v>3180.33</v>
      </c>
      <c r="F3">
        <v>3179.3</v>
      </c>
      <c r="G3">
        <v>3187.73</v>
      </c>
      <c r="H3">
        <v>3170.72</v>
      </c>
      <c r="I3">
        <v>3168.21</v>
      </c>
      <c r="J3">
        <v>3178.85</v>
      </c>
      <c r="K3">
        <v>3191</v>
      </c>
      <c r="L3">
        <v>3194.12</v>
      </c>
      <c r="M3">
        <v>3209.17</v>
      </c>
      <c r="N3">
        <v>3217.08</v>
      </c>
      <c r="O3">
        <v>3214.74</v>
      </c>
      <c r="P3">
        <v>3212.72</v>
      </c>
      <c r="Q3">
        <v>3200.38</v>
      </c>
      <c r="R3">
        <v>3213.15</v>
      </c>
      <c r="S3">
        <v>3205.98</v>
      </c>
      <c r="T3">
        <v>3199.83</v>
      </c>
      <c r="U3">
        <v>3211.32</v>
      </c>
      <c r="V3">
        <v>3201.97</v>
      </c>
      <c r="W3">
        <v>3203.54</v>
      </c>
      <c r="X3">
        <v>3204.19</v>
      </c>
      <c r="Y3">
        <v>3216.84</v>
      </c>
      <c r="Z3">
        <v>3212.42</v>
      </c>
      <c r="AA3">
        <v>3211.94</v>
      </c>
      <c r="AB3">
        <v>3214.17</v>
      </c>
      <c r="AC3">
        <v>3213.05</v>
      </c>
      <c r="AD3">
        <v>3207.28</v>
      </c>
      <c r="AE3">
        <v>3215.95</v>
      </c>
      <c r="AF3">
        <v>3212.54</v>
      </c>
      <c r="AG3">
        <v>3213.51</v>
      </c>
      <c r="AH3">
        <v>3211.12</v>
      </c>
      <c r="AI3">
        <v>3208.46</v>
      </c>
      <c r="AJ3">
        <v>3202.02</v>
      </c>
      <c r="AK3">
        <v>3196.75</v>
      </c>
      <c r="AL3">
        <v>3202.68</v>
      </c>
      <c r="AM3">
        <v>3200.14</v>
      </c>
      <c r="AN3">
        <v>3201.46</v>
      </c>
      <c r="AO3">
        <v>3210.26</v>
      </c>
      <c r="AP3">
        <v>3215.69</v>
      </c>
      <c r="AQ3">
        <v>3215.68</v>
      </c>
      <c r="AR3">
        <v>3222.42</v>
      </c>
      <c r="AS3">
        <v>3225.22</v>
      </c>
      <c r="AT3">
        <v>3204.46</v>
      </c>
      <c r="AU3">
        <v>3196.14</v>
      </c>
      <c r="AV3">
        <v>3196.48</v>
      </c>
      <c r="AW3">
        <v>3192.44</v>
      </c>
      <c r="AX3">
        <v>3173.54</v>
      </c>
      <c r="AY3">
        <v>3189.47</v>
      </c>
      <c r="AZ3">
        <v>3187.56</v>
      </c>
      <c r="BA3">
        <v>3199.24</v>
      </c>
      <c r="BB3">
        <v>3185.96</v>
      </c>
      <c r="BC3">
        <v>3186.13</v>
      </c>
      <c r="BD3">
        <v>3185.06</v>
      </c>
      <c r="BE3">
        <v>3180.34</v>
      </c>
      <c r="BF3">
        <v>3186.22</v>
      </c>
      <c r="BG3">
        <v>3199.65</v>
      </c>
      <c r="BH3">
        <v>3198.52</v>
      </c>
      <c r="BI3">
        <v>3183.24</v>
      </c>
      <c r="BJ3">
        <v>3190.02</v>
      </c>
      <c r="BK3">
        <v>3177.43</v>
      </c>
      <c r="BL3">
        <v>3179.7</v>
      </c>
      <c r="BM3">
        <v>3192.33</v>
      </c>
      <c r="BN3">
        <v>3190.09</v>
      </c>
      <c r="BO3">
        <v>3188.64</v>
      </c>
      <c r="BP3">
        <v>3186.65</v>
      </c>
      <c r="BQ3">
        <v>3197.67</v>
      </c>
      <c r="BR3">
        <v>3204.48</v>
      </c>
      <c r="BS3">
        <v>3193.21</v>
      </c>
      <c r="BT3">
        <v>3181.85</v>
      </c>
      <c r="BU3">
        <v>3189.32</v>
      </c>
      <c r="BV3">
        <v>3190.55</v>
      </c>
      <c r="BW3">
        <v>3206.57</v>
      </c>
      <c r="BX3">
        <v>3208.73</v>
      </c>
      <c r="BY3">
        <v>3213.54</v>
      </c>
      <c r="BZ3">
        <v>3216.67</v>
      </c>
      <c r="CA3">
        <v>3212.75</v>
      </c>
      <c r="CB3">
        <v>3208.9</v>
      </c>
      <c r="CC3">
        <v>3195.99</v>
      </c>
      <c r="CD3">
        <v>3183.24</v>
      </c>
      <c r="CE3">
        <v>3190.13</v>
      </c>
      <c r="CF3">
        <v>3197.58</v>
      </c>
      <c r="CG3">
        <v>3207.16</v>
      </c>
      <c r="CH3">
        <v>3198.39</v>
      </c>
      <c r="CI3">
        <v>3182.59</v>
      </c>
      <c r="CJ3">
        <v>3178.32</v>
      </c>
      <c r="CK3">
        <v>3188.46</v>
      </c>
      <c r="CL3">
        <v>3184.82</v>
      </c>
      <c r="CM3">
        <v>3187.7</v>
      </c>
      <c r="CN3">
        <v>3184</v>
      </c>
      <c r="CO3">
        <v>3196.08</v>
      </c>
      <c r="CP3">
        <v>3193.28</v>
      </c>
      <c r="CQ3">
        <v>3178.89</v>
      </c>
      <c r="CR3">
        <v>3167.95</v>
      </c>
      <c r="CS3">
        <v>3167.7</v>
      </c>
    </row>
    <row r="4" spans="1:97">
      <c r="A4" s="9">
        <v>46237</v>
      </c>
      <c r="B4">
        <v>3171.61</v>
      </c>
      <c r="C4">
        <v>3162.58</v>
      </c>
      <c r="D4">
        <v>3161.5</v>
      </c>
      <c r="E4">
        <v>3169.4</v>
      </c>
      <c r="F4">
        <v>3174.31</v>
      </c>
      <c r="G4">
        <v>3185.76</v>
      </c>
      <c r="H4">
        <v>3173.81</v>
      </c>
      <c r="I4">
        <v>3169.91</v>
      </c>
      <c r="J4">
        <v>3182.57</v>
      </c>
      <c r="K4">
        <v>3193.9</v>
      </c>
      <c r="L4">
        <v>3196.83</v>
      </c>
      <c r="M4">
        <v>3209.94</v>
      </c>
      <c r="N4">
        <v>3216.33</v>
      </c>
      <c r="O4">
        <v>3214.42</v>
      </c>
      <c r="P4">
        <v>3201.95</v>
      </c>
      <c r="Q4">
        <v>3190.43</v>
      </c>
      <c r="R4">
        <v>3195.34</v>
      </c>
      <c r="S4">
        <v>3186.79</v>
      </c>
      <c r="T4">
        <v>3177.56</v>
      </c>
      <c r="U4">
        <v>3185.16</v>
      </c>
      <c r="V4">
        <v>3175.65</v>
      </c>
      <c r="W4">
        <v>3180.93</v>
      </c>
      <c r="X4">
        <v>3182.99</v>
      </c>
      <c r="Y4">
        <v>3196.02</v>
      </c>
      <c r="Z4">
        <v>3179.51</v>
      </c>
      <c r="AA4">
        <v>3178.38</v>
      </c>
      <c r="AB4">
        <v>3188.51</v>
      </c>
      <c r="AC4">
        <v>3201.19</v>
      </c>
      <c r="AD4">
        <v>3204.29</v>
      </c>
      <c r="AE4">
        <v>3210.54</v>
      </c>
      <c r="AF4">
        <v>3206.99</v>
      </c>
      <c r="AG4">
        <v>3214.63</v>
      </c>
      <c r="AH4">
        <v>3216.21</v>
      </c>
      <c r="AI4">
        <v>3206.45</v>
      </c>
      <c r="AJ4">
        <v>3196.72</v>
      </c>
      <c r="AK4">
        <v>3187.77</v>
      </c>
      <c r="AL4">
        <v>3190.29</v>
      </c>
      <c r="AM4">
        <v>3183.84</v>
      </c>
      <c r="AN4">
        <v>3184.22</v>
      </c>
      <c r="AO4">
        <v>3191.89</v>
      </c>
      <c r="AP4">
        <v>3197.09</v>
      </c>
      <c r="AQ4">
        <v>3194.92</v>
      </c>
      <c r="AR4">
        <v>3194.6</v>
      </c>
      <c r="AS4">
        <v>3188.45</v>
      </c>
      <c r="AT4">
        <v>3177.44</v>
      </c>
      <c r="AU4">
        <v>3179.61</v>
      </c>
      <c r="AV4">
        <v>3180.02</v>
      </c>
      <c r="AW4">
        <v>3171.44</v>
      </c>
      <c r="AX4">
        <v>3157.87</v>
      </c>
      <c r="AY4">
        <v>3169.4</v>
      </c>
      <c r="AZ4">
        <v>3177.56</v>
      </c>
      <c r="BA4">
        <v>3181.95</v>
      </c>
      <c r="BB4">
        <v>3171.9</v>
      </c>
      <c r="BC4">
        <v>3168.92</v>
      </c>
      <c r="BD4">
        <v>3171.86</v>
      </c>
      <c r="BE4">
        <v>3157.57</v>
      </c>
      <c r="BF4">
        <v>3161.71</v>
      </c>
      <c r="BG4">
        <v>3173.27</v>
      </c>
      <c r="BH4">
        <v>3173.77</v>
      </c>
      <c r="BI4">
        <v>3170.25</v>
      </c>
      <c r="BJ4">
        <v>3175.19</v>
      </c>
      <c r="BK4">
        <v>3173.49</v>
      </c>
      <c r="BL4">
        <v>3172.26</v>
      </c>
      <c r="BM4">
        <v>3174.83</v>
      </c>
      <c r="BN4">
        <v>3166.96</v>
      </c>
      <c r="BO4">
        <v>3163.58</v>
      </c>
      <c r="BP4">
        <v>3169.1</v>
      </c>
      <c r="BQ4">
        <v>3173.27</v>
      </c>
      <c r="BR4">
        <v>3171.88</v>
      </c>
      <c r="BS4">
        <v>3159.36</v>
      </c>
      <c r="BT4">
        <v>3158.16</v>
      </c>
      <c r="BU4">
        <v>3162.8</v>
      </c>
      <c r="BV4">
        <v>3158.4</v>
      </c>
      <c r="BW4">
        <v>3180.19</v>
      </c>
      <c r="BX4">
        <v>3191.42</v>
      </c>
      <c r="BY4">
        <v>3192.07</v>
      </c>
      <c r="BZ4">
        <v>3191.87</v>
      </c>
      <c r="CA4">
        <v>3185.49</v>
      </c>
      <c r="CB4">
        <v>3181.72</v>
      </c>
      <c r="CC4">
        <v>3175.7</v>
      </c>
      <c r="CD4">
        <v>3164.43</v>
      </c>
      <c r="CE4">
        <v>3167.39</v>
      </c>
      <c r="CF4">
        <v>3176.26</v>
      </c>
      <c r="CG4">
        <v>3190.41</v>
      </c>
      <c r="CH4">
        <v>3180.09</v>
      </c>
      <c r="CI4">
        <v>3165.08</v>
      </c>
      <c r="CJ4">
        <v>3156.28</v>
      </c>
      <c r="CK4">
        <v>3157.8</v>
      </c>
      <c r="CL4">
        <v>3154.7</v>
      </c>
      <c r="CM4">
        <v>3161.32</v>
      </c>
      <c r="CN4">
        <v>3161.19</v>
      </c>
      <c r="CO4">
        <v>3160.56</v>
      </c>
      <c r="CP4">
        <v>3153.08</v>
      </c>
      <c r="CQ4">
        <v>3135.73</v>
      </c>
      <c r="CR4">
        <v>3130.23</v>
      </c>
      <c r="CS4">
        <v>3130.2</v>
      </c>
    </row>
    <row r="5" spans="1:97">
      <c r="A5" s="9">
        <v>46238</v>
      </c>
      <c r="B5">
        <v>3137.7</v>
      </c>
      <c r="C5">
        <v>3129.23</v>
      </c>
      <c r="D5">
        <v>3126.54</v>
      </c>
      <c r="E5">
        <v>3128.79</v>
      </c>
      <c r="F5">
        <v>3141.75</v>
      </c>
      <c r="G5">
        <v>3169.64</v>
      </c>
      <c r="H5">
        <v>3163.89</v>
      </c>
      <c r="I5">
        <v>3162.32</v>
      </c>
      <c r="J5">
        <v>3176.85</v>
      </c>
      <c r="K5">
        <v>3189.44</v>
      </c>
      <c r="L5">
        <v>3187.45</v>
      </c>
      <c r="M5">
        <v>3191.03</v>
      </c>
      <c r="N5">
        <v>3195.87</v>
      </c>
      <c r="O5">
        <v>3204.42</v>
      </c>
      <c r="P5">
        <v>3191.52</v>
      </c>
      <c r="Q5">
        <v>3177.55</v>
      </c>
      <c r="R5">
        <v>3187.68</v>
      </c>
      <c r="S5">
        <v>3178.86</v>
      </c>
      <c r="T5">
        <v>3166.48</v>
      </c>
      <c r="U5">
        <v>3172.79</v>
      </c>
      <c r="V5">
        <v>3162.02</v>
      </c>
      <c r="W5">
        <v>3174.5</v>
      </c>
      <c r="X5">
        <v>3175.33</v>
      </c>
      <c r="Y5">
        <v>3178.94</v>
      </c>
      <c r="Z5">
        <v>3169.02</v>
      </c>
      <c r="AA5">
        <v>3166.11</v>
      </c>
      <c r="AB5">
        <v>3178.1</v>
      </c>
      <c r="AC5">
        <v>3187.34</v>
      </c>
      <c r="AD5">
        <v>3197.01</v>
      </c>
      <c r="AE5">
        <v>3200.24</v>
      </c>
      <c r="AF5">
        <v>3198.84</v>
      </c>
      <c r="AG5">
        <v>3200.18</v>
      </c>
      <c r="AH5">
        <v>3198.4</v>
      </c>
      <c r="AI5">
        <v>3188.16</v>
      </c>
      <c r="AJ5">
        <v>3177.29</v>
      </c>
      <c r="AK5">
        <v>3177.46</v>
      </c>
      <c r="AL5">
        <v>3176.01</v>
      </c>
      <c r="AM5">
        <v>3166.99</v>
      </c>
      <c r="AN5">
        <v>3167.63</v>
      </c>
      <c r="AO5">
        <v>3170.21</v>
      </c>
      <c r="AP5">
        <v>3168.6</v>
      </c>
      <c r="AQ5">
        <v>3163.85</v>
      </c>
      <c r="AR5">
        <v>3160.19</v>
      </c>
      <c r="AS5">
        <v>3156.7</v>
      </c>
      <c r="AT5">
        <v>3148</v>
      </c>
      <c r="AU5">
        <v>3151.25</v>
      </c>
      <c r="AV5">
        <v>3153.32</v>
      </c>
      <c r="AW5">
        <v>3145.55</v>
      </c>
      <c r="AX5">
        <v>3135.55</v>
      </c>
      <c r="AY5">
        <v>3145.63</v>
      </c>
      <c r="AZ5">
        <v>3152.02</v>
      </c>
      <c r="BA5">
        <v>3152.8</v>
      </c>
      <c r="BB5">
        <v>3140.84</v>
      </c>
      <c r="BC5">
        <v>3137.29</v>
      </c>
      <c r="BD5">
        <v>3144.18</v>
      </c>
      <c r="BE5">
        <v>3129.92</v>
      </c>
      <c r="BF5">
        <v>3133.11</v>
      </c>
      <c r="BG5">
        <v>3148.44</v>
      </c>
      <c r="BH5">
        <v>3145.67</v>
      </c>
      <c r="BI5">
        <v>3145.95</v>
      </c>
      <c r="BJ5">
        <v>3151.92</v>
      </c>
      <c r="BK5">
        <v>3155.64</v>
      </c>
      <c r="BL5">
        <v>3152.32</v>
      </c>
      <c r="BM5">
        <v>3150.67</v>
      </c>
      <c r="BN5">
        <v>3142</v>
      </c>
      <c r="BO5">
        <v>3141.89</v>
      </c>
      <c r="BP5">
        <v>3151.08</v>
      </c>
      <c r="BQ5">
        <v>3152.05</v>
      </c>
      <c r="BR5">
        <v>3147.62</v>
      </c>
      <c r="BS5">
        <v>3139.51</v>
      </c>
      <c r="BT5">
        <v>3136.93</v>
      </c>
      <c r="BU5">
        <v>3141.17</v>
      </c>
      <c r="BV5">
        <v>3139.1</v>
      </c>
      <c r="BW5">
        <v>3155.28</v>
      </c>
      <c r="BX5">
        <v>3165.48</v>
      </c>
      <c r="BY5">
        <v>3167.49</v>
      </c>
      <c r="BZ5">
        <v>3169.44</v>
      </c>
      <c r="CA5">
        <v>3171.54</v>
      </c>
      <c r="CB5">
        <v>3168.4</v>
      </c>
      <c r="CC5">
        <v>3167.69</v>
      </c>
      <c r="CD5">
        <v>3148.63</v>
      </c>
      <c r="CE5">
        <v>3151.29</v>
      </c>
      <c r="CF5">
        <v>3161.34</v>
      </c>
      <c r="CG5">
        <v>3174.76</v>
      </c>
      <c r="CH5">
        <v>3167.07</v>
      </c>
      <c r="CI5">
        <v>3153.58</v>
      </c>
      <c r="CJ5">
        <v>3150.52</v>
      </c>
      <c r="CK5">
        <v>3149.75</v>
      </c>
      <c r="CL5">
        <v>3146.4</v>
      </c>
      <c r="CM5">
        <v>3147.59</v>
      </c>
      <c r="CN5">
        <v>3143.39</v>
      </c>
      <c r="CO5">
        <v>3140.02</v>
      </c>
      <c r="CP5">
        <v>3129.77</v>
      </c>
      <c r="CQ5">
        <v>3117.14</v>
      </c>
      <c r="CR5">
        <v>3117.86</v>
      </c>
      <c r="CS5">
        <v>3116.75</v>
      </c>
    </row>
    <row r="6" spans="1:97">
      <c r="A6" s="9">
        <v>46239</v>
      </c>
      <c r="B6">
        <v>3120.38</v>
      </c>
      <c r="C6">
        <v>3117.51</v>
      </c>
      <c r="D6">
        <v>3123.01</v>
      </c>
      <c r="E6">
        <v>3118.95</v>
      </c>
      <c r="F6">
        <v>3128.32</v>
      </c>
      <c r="G6">
        <v>3149.14</v>
      </c>
      <c r="H6">
        <v>3151.54</v>
      </c>
      <c r="I6">
        <v>3157.88</v>
      </c>
      <c r="J6">
        <v>3156.64</v>
      </c>
      <c r="K6">
        <v>3160.57</v>
      </c>
      <c r="L6">
        <v>3164.07</v>
      </c>
      <c r="M6">
        <v>3169.68</v>
      </c>
      <c r="N6">
        <v>3172.42</v>
      </c>
      <c r="O6">
        <v>3178.9</v>
      </c>
      <c r="P6">
        <v>3174.69</v>
      </c>
      <c r="Q6">
        <v>3164.81</v>
      </c>
      <c r="R6">
        <v>3166.03</v>
      </c>
      <c r="S6">
        <v>3161.19</v>
      </c>
      <c r="T6">
        <v>3150.86</v>
      </c>
      <c r="U6">
        <v>3152.55</v>
      </c>
      <c r="V6">
        <v>3140.67</v>
      </c>
      <c r="W6">
        <v>3158.57</v>
      </c>
      <c r="X6">
        <v>3161.67</v>
      </c>
      <c r="Y6">
        <v>3151.23</v>
      </c>
      <c r="Z6">
        <v>3143.66</v>
      </c>
      <c r="AA6">
        <v>3150.91</v>
      </c>
      <c r="AB6">
        <v>3155.23</v>
      </c>
      <c r="AC6">
        <v>3158.91</v>
      </c>
      <c r="AD6">
        <v>3173.28</v>
      </c>
      <c r="AE6">
        <v>3177.65</v>
      </c>
      <c r="AF6">
        <v>3174.85</v>
      </c>
      <c r="AG6">
        <v>3175.3</v>
      </c>
      <c r="AH6">
        <v>3173.53</v>
      </c>
      <c r="AI6">
        <v>3161.57</v>
      </c>
      <c r="AJ6">
        <v>3152.11</v>
      </c>
      <c r="AK6">
        <v>3150.72</v>
      </c>
      <c r="AL6">
        <v>3149.37</v>
      </c>
      <c r="AM6">
        <v>3134.9</v>
      </c>
      <c r="AN6">
        <v>3134.62</v>
      </c>
      <c r="AO6">
        <v>3136.41</v>
      </c>
      <c r="AP6">
        <v>3136.39</v>
      </c>
      <c r="AQ6">
        <v>3134.45</v>
      </c>
      <c r="AR6">
        <v>3135.44</v>
      </c>
      <c r="AS6">
        <v>3127.18</v>
      </c>
      <c r="AT6">
        <v>3125.75</v>
      </c>
      <c r="AU6">
        <v>3128.82</v>
      </c>
      <c r="AV6">
        <v>3126.46</v>
      </c>
      <c r="AW6">
        <v>3120.39</v>
      </c>
      <c r="AX6">
        <v>3110.9</v>
      </c>
      <c r="AY6">
        <v>3115.17</v>
      </c>
      <c r="AZ6">
        <v>3119.38</v>
      </c>
      <c r="BA6">
        <v>3116.13</v>
      </c>
      <c r="BB6">
        <v>3108.63</v>
      </c>
      <c r="BC6">
        <v>3108.72</v>
      </c>
      <c r="BD6">
        <v>3116.88</v>
      </c>
      <c r="BE6">
        <v>3104.94</v>
      </c>
      <c r="BF6">
        <v>3107.06</v>
      </c>
      <c r="BG6">
        <v>3118.34</v>
      </c>
      <c r="BH6">
        <v>3121.62</v>
      </c>
      <c r="BI6">
        <v>3120.12</v>
      </c>
      <c r="BJ6">
        <v>3127.99</v>
      </c>
      <c r="BK6">
        <v>3128.06</v>
      </c>
      <c r="BL6">
        <v>3128.5</v>
      </c>
      <c r="BM6">
        <v>3127.38</v>
      </c>
      <c r="BN6">
        <v>3114.23</v>
      </c>
      <c r="BO6">
        <v>3117</v>
      </c>
      <c r="BP6">
        <v>3124.12</v>
      </c>
      <c r="BQ6">
        <v>3124.68</v>
      </c>
      <c r="BR6">
        <v>3121.8</v>
      </c>
      <c r="BS6">
        <v>3118.94</v>
      </c>
      <c r="BT6">
        <v>3113.17</v>
      </c>
      <c r="BU6">
        <v>3118.88</v>
      </c>
      <c r="BV6">
        <v>3122.18</v>
      </c>
      <c r="BW6">
        <v>3129.82</v>
      </c>
      <c r="BX6">
        <v>3141.32</v>
      </c>
      <c r="BY6">
        <v>3145.92</v>
      </c>
      <c r="BZ6">
        <v>3150.74</v>
      </c>
      <c r="CA6">
        <v>3154.88</v>
      </c>
      <c r="CB6">
        <v>3156.82</v>
      </c>
      <c r="CC6">
        <v>3156.18</v>
      </c>
      <c r="CD6">
        <v>3135.26</v>
      </c>
      <c r="CE6">
        <v>3137.91</v>
      </c>
      <c r="CF6">
        <v>3149.78</v>
      </c>
      <c r="CG6">
        <v>3155.58</v>
      </c>
      <c r="CH6">
        <v>3141.95</v>
      </c>
      <c r="CI6">
        <v>3133.62</v>
      </c>
      <c r="CJ6">
        <v>3128.55</v>
      </c>
      <c r="CK6">
        <v>3120.15</v>
      </c>
      <c r="CL6">
        <v>3115.19</v>
      </c>
      <c r="CM6">
        <v>3115.08</v>
      </c>
      <c r="CN6">
        <v>3110.06</v>
      </c>
      <c r="CO6">
        <v>3108.86</v>
      </c>
      <c r="CP6">
        <v>3099.17</v>
      </c>
      <c r="CQ6">
        <v>3087.1</v>
      </c>
      <c r="CR6">
        <v>3087.31</v>
      </c>
      <c r="CS6">
        <v>3090.07</v>
      </c>
    </row>
    <row r="7" spans="1:97">
      <c r="A7" s="9">
        <v>46240</v>
      </c>
      <c r="B7">
        <v>3096.55</v>
      </c>
      <c r="C7">
        <v>3089.1</v>
      </c>
      <c r="D7">
        <v>3094.37</v>
      </c>
      <c r="E7">
        <v>3087.34</v>
      </c>
      <c r="F7">
        <v>3102.37</v>
      </c>
      <c r="G7">
        <v>3123.12</v>
      </c>
      <c r="H7">
        <v>3122.15</v>
      </c>
      <c r="I7">
        <v>3126.82</v>
      </c>
      <c r="J7">
        <v>3127.38</v>
      </c>
      <c r="K7">
        <v>3132.18</v>
      </c>
      <c r="L7">
        <v>3129.94</v>
      </c>
      <c r="M7">
        <v>3141.94</v>
      </c>
      <c r="N7">
        <v>3135.54</v>
      </c>
      <c r="O7">
        <v>3144.55</v>
      </c>
      <c r="P7">
        <v>3141.98</v>
      </c>
      <c r="Q7">
        <v>3136.06</v>
      </c>
      <c r="R7">
        <v>3135.6</v>
      </c>
      <c r="S7">
        <v>3128.7</v>
      </c>
      <c r="T7">
        <v>3122.69</v>
      </c>
      <c r="U7">
        <v>3125.34</v>
      </c>
      <c r="V7">
        <v>3117.9</v>
      </c>
      <c r="W7">
        <v>3133.05</v>
      </c>
      <c r="X7">
        <v>3133.42</v>
      </c>
      <c r="Y7">
        <v>3125.03</v>
      </c>
      <c r="Z7">
        <v>3121.01</v>
      </c>
      <c r="AA7">
        <v>3122.41</v>
      </c>
      <c r="AB7">
        <v>3126.71</v>
      </c>
      <c r="AC7">
        <v>3137.46</v>
      </c>
      <c r="AD7">
        <v>3153.49</v>
      </c>
      <c r="AE7">
        <v>3155.84</v>
      </c>
      <c r="AF7">
        <v>3158.26</v>
      </c>
      <c r="AG7">
        <v>3159.93</v>
      </c>
      <c r="AH7">
        <v>3159.38</v>
      </c>
      <c r="AI7">
        <v>3144.38</v>
      </c>
      <c r="AJ7">
        <v>3140.45</v>
      </c>
      <c r="AK7">
        <v>3134.61</v>
      </c>
      <c r="AL7">
        <v>3136.63</v>
      </c>
      <c r="AM7">
        <v>3129.4</v>
      </c>
      <c r="AN7">
        <v>3123.86</v>
      </c>
      <c r="AO7">
        <v>3117.07</v>
      </c>
      <c r="AP7">
        <v>3118.77</v>
      </c>
      <c r="AQ7">
        <v>3122.21</v>
      </c>
      <c r="AR7">
        <v>3118.03</v>
      </c>
      <c r="AS7">
        <v>3108.38</v>
      </c>
      <c r="AT7">
        <v>3114.12</v>
      </c>
      <c r="AU7">
        <v>3105.97</v>
      </c>
      <c r="AV7">
        <v>3109.96</v>
      </c>
      <c r="AW7">
        <v>3111.9</v>
      </c>
      <c r="AX7">
        <v>3103.58</v>
      </c>
      <c r="AY7">
        <v>3098.56</v>
      </c>
      <c r="AZ7">
        <v>3108.73</v>
      </c>
      <c r="BA7">
        <v>3100.41</v>
      </c>
      <c r="BB7">
        <v>3088.97</v>
      </c>
      <c r="BC7">
        <v>3090.06</v>
      </c>
      <c r="BD7">
        <v>3094.45</v>
      </c>
      <c r="BE7">
        <v>3088.08</v>
      </c>
      <c r="BF7">
        <v>3088.83</v>
      </c>
      <c r="BG7">
        <v>3097.32</v>
      </c>
      <c r="BH7">
        <v>3095.85</v>
      </c>
      <c r="BI7">
        <v>3100.16</v>
      </c>
      <c r="BJ7">
        <v>3104.21</v>
      </c>
      <c r="BK7">
        <v>3108.2</v>
      </c>
      <c r="BL7">
        <v>3107.28</v>
      </c>
      <c r="BM7">
        <v>3106.06</v>
      </c>
      <c r="BN7">
        <v>3097.94</v>
      </c>
      <c r="BO7">
        <v>3097.45</v>
      </c>
      <c r="BP7">
        <v>3098.61</v>
      </c>
      <c r="BQ7">
        <v>3103.38</v>
      </c>
      <c r="BR7">
        <v>3099.87</v>
      </c>
      <c r="BS7">
        <v>3097.05</v>
      </c>
      <c r="BT7">
        <v>3098.16</v>
      </c>
      <c r="BU7">
        <v>3105.06</v>
      </c>
      <c r="BV7">
        <v>3108</v>
      </c>
      <c r="BW7">
        <v>3114.54</v>
      </c>
      <c r="BX7">
        <v>3126.61</v>
      </c>
      <c r="BY7">
        <v>3124.01</v>
      </c>
      <c r="BZ7">
        <v>3127.12</v>
      </c>
      <c r="CA7">
        <v>3132.05</v>
      </c>
      <c r="CB7">
        <v>3133.84</v>
      </c>
      <c r="CC7">
        <v>3136.3</v>
      </c>
      <c r="CD7">
        <v>3128.33</v>
      </c>
      <c r="CE7">
        <v>3130.56</v>
      </c>
      <c r="CF7">
        <v>3134.86</v>
      </c>
      <c r="CG7">
        <v>3135.11</v>
      </c>
      <c r="CH7">
        <v>3132.58</v>
      </c>
      <c r="CI7">
        <v>3131.78</v>
      </c>
      <c r="CJ7">
        <v>3130.68</v>
      </c>
      <c r="CK7">
        <v>3122.43</v>
      </c>
      <c r="CL7">
        <v>3120.09</v>
      </c>
      <c r="CM7">
        <v>3120.57</v>
      </c>
      <c r="CN7">
        <v>3117.44</v>
      </c>
      <c r="CO7">
        <v>3114.26</v>
      </c>
      <c r="CP7">
        <v>3106.11</v>
      </c>
      <c r="CQ7">
        <v>3096.25</v>
      </c>
      <c r="CR7">
        <v>3097.58</v>
      </c>
      <c r="CS7">
        <v>3106.16</v>
      </c>
    </row>
    <row r="8" spans="1:97">
      <c r="A8" s="9">
        <v>46241</v>
      </c>
      <c r="B8">
        <v>3099.53</v>
      </c>
      <c r="C8">
        <v>3091.79</v>
      </c>
      <c r="D8">
        <v>3095.64</v>
      </c>
      <c r="E8">
        <v>3099.96</v>
      </c>
      <c r="F8">
        <v>3114.76</v>
      </c>
      <c r="G8">
        <v>3132.22</v>
      </c>
      <c r="H8">
        <v>3137.27</v>
      </c>
      <c r="I8">
        <v>3141.06</v>
      </c>
      <c r="J8">
        <v>3141.73</v>
      </c>
      <c r="K8">
        <v>3138.86</v>
      </c>
      <c r="L8">
        <v>3142.51</v>
      </c>
      <c r="M8">
        <v>3144.27</v>
      </c>
      <c r="N8">
        <v>3135.28</v>
      </c>
      <c r="O8">
        <v>3147.71</v>
      </c>
      <c r="P8">
        <v>3151.16</v>
      </c>
      <c r="Q8">
        <v>3143.2</v>
      </c>
      <c r="R8">
        <v>3135.8</v>
      </c>
      <c r="S8">
        <v>3134.65</v>
      </c>
      <c r="T8">
        <v>3128.65</v>
      </c>
      <c r="U8">
        <v>3128.48</v>
      </c>
      <c r="V8">
        <v>3123.13</v>
      </c>
      <c r="W8">
        <v>3136.29</v>
      </c>
      <c r="X8">
        <v>3140.46</v>
      </c>
      <c r="Y8">
        <v>3129.72</v>
      </c>
      <c r="Z8">
        <v>3117.49</v>
      </c>
      <c r="AA8">
        <v>3120.6</v>
      </c>
      <c r="AB8">
        <v>3122.77</v>
      </c>
      <c r="AC8">
        <v>3132.74</v>
      </c>
      <c r="AD8">
        <v>3146.82</v>
      </c>
      <c r="AE8">
        <v>3140.45</v>
      </c>
      <c r="AF8">
        <v>3138.52</v>
      </c>
      <c r="AG8">
        <v>3139.23</v>
      </c>
      <c r="AH8">
        <v>3144.22</v>
      </c>
      <c r="AI8">
        <v>3138.8</v>
      </c>
      <c r="AJ8">
        <v>3138.76</v>
      </c>
      <c r="AK8">
        <v>3133.19</v>
      </c>
      <c r="AL8">
        <v>3133.97</v>
      </c>
      <c r="AM8">
        <v>3121.64</v>
      </c>
      <c r="AN8">
        <v>3109.63</v>
      </c>
      <c r="AO8">
        <v>3101.27</v>
      </c>
      <c r="AP8">
        <v>3098.56</v>
      </c>
      <c r="AQ8">
        <v>3102.85</v>
      </c>
      <c r="AR8">
        <v>3100.22</v>
      </c>
      <c r="AS8">
        <v>3093.76</v>
      </c>
      <c r="AT8">
        <v>3100.63</v>
      </c>
      <c r="AU8">
        <v>3099.18</v>
      </c>
      <c r="AV8">
        <v>3096.06</v>
      </c>
      <c r="AW8">
        <v>3097.36</v>
      </c>
      <c r="AX8">
        <v>3095.4</v>
      </c>
      <c r="AY8">
        <v>3085.12</v>
      </c>
      <c r="AZ8">
        <v>3096.86</v>
      </c>
      <c r="BA8">
        <v>3087.55</v>
      </c>
      <c r="BB8">
        <v>3082.25</v>
      </c>
      <c r="BC8">
        <v>3082.98</v>
      </c>
      <c r="BD8">
        <v>3094.34</v>
      </c>
      <c r="BE8">
        <v>3108.92</v>
      </c>
      <c r="BF8">
        <v>3111.27</v>
      </c>
      <c r="BG8">
        <v>3109.36</v>
      </c>
      <c r="BH8">
        <v>3086.96</v>
      </c>
      <c r="BI8">
        <v>3087.09</v>
      </c>
      <c r="BJ8">
        <v>3075.59</v>
      </c>
      <c r="BK8">
        <v>3075.3</v>
      </c>
      <c r="BL8">
        <v>3064.64</v>
      </c>
      <c r="BM8">
        <v>3054.65</v>
      </c>
      <c r="BN8">
        <v>3047.78</v>
      </c>
      <c r="BO8">
        <v>3051.47</v>
      </c>
      <c r="BP8">
        <v>3057.3</v>
      </c>
      <c r="BQ8">
        <v>3062.73</v>
      </c>
      <c r="BR8">
        <v>3057.49</v>
      </c>
      <c r="BS8">
        <v>3060.27</v>
      </c>
      <c r="BT8">
        <v>3056.88</v>
      </c>
      <c r="BU8">
        <v>3056.74</v>
      </c>
      <c r="BV8">
        <v>3058.01</v>
      </c>
      <c r="BW8">
        <v>3064.81</v>
      </c>
      <c r="BX8">
        <v>3073.82</v>
      </c>
      <c r="BY8">
        <v>3077.56</v>
      </c>
      <c r="BZ8">
        <v>3078.72</v>
      </c>
      <c r="CA8">
        <v>3083.11</v>
      </c>
      <c r="CB8">
        <v>3085.99</v>
      </c>
      <c r="CC8">
        <v>3091.39</v>
      </c>
      <c r="CD8">
        <v>3088.12</v>
      </c>
      <c r="CE8">
        <v>3089.1</v>
      </c>
      <c r="CF8">
        <v>3095.16</v>
      </c>
      <c r="CG8">
        <v>3108.01</v>
      </c>
      <c r="CH8">
        <v>3110.21</v>
      </c>
      <c r="CI8">
        <v>3115.47</v>
      </c>
      <c r="CJ8">
        <v>3105.65</v>
      </c>
      <c r="CK8">
        <v>3094.54</v>
      </c>
      <c r="CL8">
        <v>3089.83</v>
      </c>
      <c r="CM8">
        <v>3090.79</v>
      </c>
      <c r="CN8">
        <v>3087.45</v>
      </c>
      <c r="CO8">
        <v>3087.22</v>
      </c>
      <c r="CP8">
        <v>3077.54</v>
      </c>
      <c r="CQ8">
        <v>3073.28</v>
      </c>
      <c r="CR8">
        <v>3074.41</v>
      </c>
      <c r="CS8">
        <v>3081.01</v>
      </c>
    </row>
    <row r="9" spans="1:97">
      <c r="A9" s="9">
        <v>46242</v>
      </c>
      <c r="B9">
        <v>3069.51</v>
      </c>
      <c r="C9">
        <v>3068.77</v>
      </c>
      <c r="D9">
        <v>3069.83</v>
      </c>
      <c r="E9">
        <v>3078.28</v>
      </c>
      <c r="F9">
        <v>3091.02</v>
      </c>
      <c r="G9">
        <v>3107.58</v>
      </c>
      <c r="H9">
        <v>3101.11</v>
      </c>
      <c r="I9">
        <v>3105.63</v>
      </c>
      <c r="J9">
        <v>3102.5</v>
      </c>
      <c r="K9">
        <v>3097.06</v>
      </c>
      <c r="L9">
        <v>3090.6</v>
      </c>
      <c r="M9">
        <v>3090.64</v>
      </c>
      <c r="N9">
        <v>3072.41</v>
      </c>
      <c r="O9">
        <v>3083.7</v>
      </c>
      <c r="P9">
        <v>3096.16</v>
      </c>
      <c r="Q9">
        <v>3091.5</v>
      </c>
      <c r="R9">
        <v>3086.38</v>
      </c>
      <c r="S9">
        <v>3084.79</v>
      </c>
      <c r="T9">
        <v>3083.8</v>
      </c>
      <c r="U9">
        <v>3084.57</v>
      </c>
      <c r="V9">
        <v>3083.46</v>
      </c>
      <c r="W9">
        <v>3098.61</v>
      </c>
      <c r="X9">
        <v>3102.63</v>
      </c>
      <c r="Y9">
        <v>3094.68</v>
      </c>
      <c r="Z9">
        <v>3099.38</v>
      </c>
      <c r="AA9">
        <v>3097.2</v>
      </c>
      <c r="AB9">
        <v>3094.11</v>
      </c>
      <c r="AC9">
        <v>3089.08</v>
      </c>
      <c r="AD9">
        <v>3093.65</v>
      </c>
      <c r="AE9">
        <v>3087.8</v>
      </c>
      <c r="AF9">
        <v>3085.31</v>
      </c>
      <c r="AG9">
        <v>3081.12</v>
      </c>
      <c r="AH9">
        <v>3087.73</v>
      </c>
      <c r="AI9">
        <v>3091.18</v>
      </c>
      <c r="AJ9">
        <v>3098.95</v>
      </c>
      <c r="AK9">
        <v>3099.02</v>
      </c>
      <c r="AL9">
        <v>3098.28</v>
      </c>
      <c r="AM9">
        <v>3095.32</v>
      </c>
      <c r="AN9">
        <v>3094.21</v>
      </c>
      <c r="AO9">
        <v>3087.51</v>
      </c>
      <c r="AP9">
        <v>3084.9</v>
      </c>
      <c r="AQ9">
        <v>3091.54</v>
      </c>
      <c r="AR9">
        <v>3094.06</v>
      </c>
      <c r="AS9">
        <v>3089.39</v>
      </c>
      <c r="AT9">
        <v>3099.66</v>
      </c>
      <c r="AU9">
        <v>3090.34</v>
      </c>
      <c r="AV9">
        <v>3087.53</v>
      </c>
      <c r="AW9">
        <v>3089.19</v>
      </c>
      <c r="AX9">
        <v>3086.93</v>
      </c>
      <c r="AY9">
        <v>3080.66</v>
      </c>
      <c r="AZ9">
        <v>3087.2</v>
      </c>
      <c r="BA9">
        <v>3074.22</v>
      </c>
      <c r="BB9">
        <v>3068.12</v>
      </c>
      <c r="BC9">
        <v>3067.23</v>
      </c>
      <c r="BD9">
        <v>3076.25</v>
      </c>
      <c r="BE9">
        <v>3092.56</v>
      </c>
      <c r="BF9">
        <v>3091.25</v>
      </c>
      <c r="BG9">
        <v>3086.85</v>
      </c>
      <c r="BH9">
        <v>3067.55</v>
      </c>
      <c r="BI9">
        <v>3062.25</v>
      </c>
      <c r="BJ9">
        <v>3046.47</v>
      </c>
      <c r="BK9">
        <v>3047.68</v>
      </c>
      <c r="BL9">
        <v>3039.93</v>
      </c>
      <c r="BM9">
        <v>3037.51</v>
      </c>
      <c r="BN9">
        <v>3033.93</v>
      </c>
      <c r="BO9">
        <v>3042.62</v>
      </c>
      <c r="BP9">
        <v>3040.3</v>
      </c>
      <c r="BQ9">
        <v>3053.7</v>
      </c>
      <c r="BR9">
        <v>3056.05</v>
      </c>
      <c r="BS9">
        <v>3061.83</v>
      </c>
      <c r="BT9">
        <v>3050.31</v>
      </c>
      <c r="BU9">
        <v>3048.74</v>
      </c>
      <c r="BV9">
        <v>3044.61</v>
      </c>
      <c r="BW9">
        <v>3050.19</v>
      </c>
      <c r="BX9">
        <v>3049.96</v>
      </c>
      <c r="BY9">
        <v>3053.31</v>
      </c>
      <c r="BZ9">
        <v>3054.2</v>
      </c>
      <c r="CA9">
        <v>3060.21</v>
      </c>
      <c r="CB9">
        <v>3062.47</v>
      </c>
      <c r="CC9">
        <v>3063.09</v>
      </c>
      <c r="CD9">
        <v>3062.69</v>
      </c>
      <c r="CE9">
        <v>3061.83</v>
      </c>
      <c r="CF9">
        <v>3064.88</v>
      </c>
      <c r="CG9">
        <v>3081.32</v>
      </c>
      <c r="CH9">
        <v>3081.45</v>
      </c>
      <c r="CI9">
        <v>3091.28</v>
      </c>
      <c r="CJ9">
        <v>3090.64</v>
      </c>
      <c r="CK9">
        <v>3091.32</v>
      </c>
      <c r="CL9">
        <v>3081.32</v>
      </c>
      <c r="CM9">
        <v>3079.07</v>
      </c>
      <c r="CN9">
        <v>3075.06</v>
      </c>
      <c r="CO9">
        <v>3075.02</v>
      </c>
      <c r="CP9">
        <v>3075.95</v>
      </c>
      <c r="CQ9">
        <v>3072.25</v>
      </c>
      <c r="CR9">
        <v>3076.78</v>
      </c>
      <c r="CS9">
        <v>3079.95</v>
      </c>
    </row>
    <row r="10" spans="1:97">
      <c r="A10" s="9">
        <v>46243</v>
      </c>
      <c r="B10">
        <v>3062.15</v>
      </c>
      <c r="C10">
        <v>3066.78</v>
      </c>
      <c r="D10">
        <v>3067.95</v>
      </c>
      <c r="E10">
        <v>3074.16</v>
      </c>
      <c r="F10">
        <v>3084.46</v>
      </c>
      <c r="G10">
        <v>3091.28</v>
      </c>
      <c r="H10">
        <v>3086.84</v>
      </c>
      <c r="I10">
        <v>3087.53</v>
      </c>
      <c r="J10">
        <v>3078.42</v>
      </c>
      <c r="K10">
        <v>3068.72</v>
      </c>
      <c r="L10">
        <v>3062.54</v>
      </c>
      <c r="M10">
        <v>3064.85</v>
      </c>
      <c r="N10">
        <v>3045.22</v>
      </c>
      <c r="O10">
        <v>3048.63</v>
      </c>
      <c r="P10">
        <v>3062.93</v>
      </c>
      <c r="Q10">
        <v>3061.34</v>
      </c>
      <c r="R10">
        <v>3057.52</v>
      </c>
      <c r="S10">
        <v>3053.22</v>
      </c>
      <c r="T10">
        <v>3053.17</v>
      </c>
      <c r="U10">
        <v>3053.2</v>
      </c>
      <c r="V10">
        <v>3054.91</v>
      </c>
      <c r="W10">
        <v>3066.48</v>
      </c>
      <c r="X10">
        <v>3070.39</v>
      </c>
      <c r="Y10">
        <v>3070.55</v>
      </c>
      <c r="Z10">
        <v>3070.74</v>
      </c>
      <c r="AA10">
        <v>3072.89</v>
      </c>
      <c r="AB10">
        <v>3062.24</v>
      </c>
      <c r="AC10">
        <v>3060.77</v>
      </c>
      <c r="AD10">
        <v>3062.31</v>
      </c>
      <c r="AE10">
        <v>3057.51</v>
      </c>
      <c r="AF10">
        <v>3057.24</v>
      </c>
      <c r="AG10">
        <v>3051.12</v>
      </c>
      <c r="AH10">
        <v>3052.85</v>
      </c>
      <c r="AI10">
        <v>3039.12</v>
      </c>
      <c r="AJ10">
        <v>3050.44</v>
      </c>
      <c r="AK10">
        <v>3047.05</v>
      </c>
      <c r="AL10">
        <v>3052.41</v>
      </c>
      <c r="AM10">
        <v>3053.91</v>
      </c>
      <c r="AN10">
        <v>3060.37</v>
      </c>
      <c r="AO10">
        <v>3062.76</v>
      </c>
      <c r="AP10">
        <v>3062.95</v>
      </c>
      <c r="AQ10">
        <v>3070.06</v>
      </c>
      <c r="AR10">
        <v>3076.04</v>
      </c>
      <c r="AS10">
        <v>3069.84</v>
      </c>
      <c r="AT10">
        <v>3076.06</v>
      </c>
      <c r="AU10">
        <v>3064.61</v>
      </c>
      <c r="AV10">
        <v>3059.01</v>
      </c>
      <c r="AW10">
        <v>3059.55</v>
      </c>
      <c r="AX10">
        <v>3056.53</v>
      </c>
      <c r="AY10">
        <v>3049.45</v>
      </c>
      <c r="AZ10">
        <v>3055.36</v>
      </c>
      <c r="BA10">
        <v>3045.26</v>
      </c>
      <c r="BB10">
        <v>3039.39</v>
      </c>
      <c r="BC10">
        <v>3041.21</v>
      </c>
      <c r="BD10">
        <v>3049.35</v>
      </c>
      <c r="BE10">
        <v>3066.33</v>
      </c>
      <c r="BF10">
        <v>3063.63</v>
      </c>
      <c r="BG10">
        <v>3056.98</v>
      </c>
      <c r="BH10">
        <v>3040.53</v>
      </c>
      <c r="BI10">
        <v>3031.8</v>
      </c>
      <c r="BJ10">
        <v>3021.17</v>
      </c>
      <c r="BK10">
        <v>3015.44</v>
      </c>
      <c r="BL10">
        <v>3009.87</v>
      </c>
      <c r="BM10">
        <v>3012.53</v>
      </c>
      <c r="BN10">
        <v>3010.18</v>
      </c>
      <c r="BO10">
        <v>3017.93</v>
      </c>
      <c r="BP10">
        <v>3011.61</v>
      </c>
      <c r="BQ10">
        <v>3028.43</v>
      </c>
      <c r="BR10">
        <v>3030.8</v>
      </c>
      <c r="BS10">
        <v>3034.03</v>
      </c>
      <c r="BT10">
        <v>3024.1</v>
      </c>
      <c r="BU10">
        <v>3022.6</v>
      </c>
      <c r="BV10">
        <v>3016.4</v>
      </c>
      <c r="BW10">
        <v>3015.77</v>
      </c>
      <c r="BX10">
        <v>3021.1</v>
      </c>
      <c r="BY10">
        <v>3025.79</v>
      </c>
      <c r="BZ10">
        <v>3024.7</v>
      </c>
      <c r="CA10">
        <v>3028.46</v>
      </c>
      <c r="CB10">
        <v>3028.59</v>
      </c>
      <c r="CC10">
        <v>3034.23</v>
      </c>
      <c r="CD10">
        <v>3035.94</v>
      </c>
      <c r="CE10">
        <v>3034.81</v>
      </c>
      <c r="CF10">
        <v>3038.03</v>
      </c>
      <c r="CG10">
        <v>3052.65</v>
      </c>
      <c r="CH10">
        <v>3052.09</v>
      </c>
      <c r="CI10">
        <v>3065.2</v>
      </c>
      <c r="CJ10">
        <v>3072.99</v>
      </c>
      <c r="CK10">
        <v>3071.72</v>
      </c>
      <c r="CL10">
        <v>3062.25</v>
      </c>
      <c r="CM10">
        <v>3059.65</v>
      </c>
      <c r="CN10">
        <v>3063.44</v>
      </c>
      <c r="CO10">
        <v>3064.49</v>
      </c>
      <c r="CP10">
        <v>3065.84</v>
      </c>
      <c r="CQ10">
        <v>3060.1</v>
      </c>
      <c r="CR10">
        <v>3064.54</v>
      </c>
      <c r="CS10">
        <v>3065.77</v>
      </c>
    </row>
    <row r="11" spans="1:97">
      <c r="A11" s="9">
        <v>46244</v>
      </c>
      <c r="B11">
        <v>3052.94</v>
      </c>
      <c r="C11">
        <v>3054.87</v>
      </c>
      <c r="D11">
        <v>3058.04</v>
      </c>
      <c r="E11">
        <v>3057.92</v>
      </c>
      <c r="F11">
        <v>3061.06</v>
      </c>
      <c r="G11">
        <v>3070.26</v>
      </c>
      <c r="H11">
        <v>3072.22</v>
      </c>
      <c r="I11">
        <v>3070.97</v>
      </c>
      <c r="J11">
        <v>3063.01</v>
      </c>
      <c r="K11">
        <v>3059.26</v>
      </c>
      <c r="L11">
        <v>3051.54</v>
      </c>
      <c r="M11">
        <v>3053.04</v>
      </c>
      <c r="N11">
        <v>3035.38</v>
      </c>
      <c r="O11">
        <v>3038.27</v>
      </c>
      <c r="P11">
        <v>3040.6</v>
      </c>
      <c r="Q11">
        <v>3034.88</v>
      </c>
      <c r="R11">
        <v>3022.32</v>
      </c>
      <c r="S11">
        <v>3014.82</v>
      </c>
      <c r="T11">
        <v>3015.25</v>
      </c>
      <c r="U11">
        <v>3019.6</v>
      </c>
      <c r="V11">
        <v>3018.86</v>
      </c>
      <c r="W11">
        <v>3028.75</v>
      </c>
      <c r="X11">
        <v>3027.23</v>
      </c>
      <c r="Y11">
        <v>3030.73</v>
      </c>
      <c r="Z11">
        <v>3028.17</v>
      </c>
      <c r="AA11">
        <v>3029.66</v>
      </c>
      <c r="AB11">
        <v>3016.21</v>
      </c>
      <c r="AC11">
        <v>3022.21</v>
      </c>
      <c r="AD11">
        <v>3019.01</v>
      </c>
      <c r="AE11">
        <v>3015.2</v>
      </c>
      <c r="AF11">
        <v>3011.37</v>
      </c>
      <c r="AG11">
        <v>3003.13</v>
      </c>
      <c r="AH11">
        <v>3005.56</v>
      </c>
      <c r="AI11">
        <v>2989.97</v>
      </c>
      <c r="AJ11">
        <v>3001.68</v>
      </c>
      <c r="AK11">
        <v>3001.92</v>
      </c>
      <c r="AL11">
        <v>3005.29</v>
      </c>
      <c r="AM11">
        <v>3009.3</v>
      </c>
      <c r="AN11">
        <v>3014.8</v>
      </c>
      <c r="AO11">
        <v>3017.71</v>
      </c>
      <c r="AP11">
        <v>3015.78</v>
      </c>
      <c r="AQ11">
        <v>3018.4</v>
      </c>
      <c r="AR11">
        <v>3020.82</v>
      </c>
      <c r="AS11">
        <v>3023.24</v>
      </c>
      <c r="AT11">
        <v>3017.69</v>
      </c>
      <c r="AU11">
        <v>3013.55</v>
      </c>
      <c r="AV11">
        <v>3009.09</v>
      </c>
      <c r="AW11">
        <v>3008.56</v>
      </c>
      <c r="AX11">
        <v>3006.12</v>
      </c>
      <c r="AY11">
        <v>2991.13</v>
      </c>
      <c r="AZ11">
        <v>2997.66</v>
      </c>
      <c r="BA11">
        <v>2990.93</v>
      </c>
      <c r="BB11">
        <v>2984.46</v>
      </c>
      <c r="BC11">
        <v>2983.09</v>
      </c>
      <c r="BD11">
        <v>2985.47</v>
      </c>
      <c r="BE11">
        <v>2998.28</v>
      </c>
      <c r="BF11">
        <v>2997.19</v>
      </c>
      <c r="BG11">
        <v>2988.01</v>
      </c>
      <c r="BH11">
        <v>2968.78</v>
      </c>
      <c r="BI11">
        <v>2965</v>
      </c>
      <c r="BJ11">
        <v>2956.57</v>
      </c>
      <c r="BK11">
        <v>2951.66</v>
      </c>
      <c r="BL11">
        <v>2946.52</v>
      </c>
      <c r="BM11">
        <v>2947.29</v>
      </c>
      <c r="BN11">
        <v>2947.05</v>
      </c>
      <c r="BO11">
        <v>2949.49</v>
      </c>
      <c r="BP11">
        <v>2947.84</v>
      </c>
      <c r="BQ11">
        <v>2959.9</v>
      </c>
      <c r="BR11">
        <v>2967.14</v>
      </c>
      <c r="BS11">
        <v>2965.61</v>
      </c>
      <c r="BT11">
        <v>2956.08</v>
      </c>
      <c r="BU11">
        <v>2957.28</v>
      </c>
      <c r="BV11">
        <v>2950.52</v>
      </c>
      <c r="BW11">
        <v>2951.46</v>
      </c>
      <c r="BX11">
        <v>2958.63</v>
      </c>
      <c r="BY11">
        <v>2963.83</v>
      </c>
      <c r="BZ11">
        <v>2963.44</v>
      </c>
      <c r="CA11">
        <v>2962.66</v>
      </c>
      <c r="CB11">
        <v>2966.11</v>
      </c>
      <c r="CC11">
        <v>2968.78</v>
      </c>
      <c r="CD11">
        <v>2983.52</v>
      </c>
      <c r="CE11">
        <v>2985.83</v>
      </c>
      <c r="CF11">
        <v>2989.32</v>
      </c>
      <c r="CG11">
        <v>3002.47</v>
      </c>
      <c r="CH11">
        <v>3007.78</v>
      </c>
      <c r="CI11">
        <v>3023.86</v>
      </c>
      <c r="CJ11">
        <v>3030.3</v>
      </c>
      <c r="CK11">
        <v>3026.09</v>
      </c>
      <c r="CL11">
        <v>3023.1</v>
      </c>
      <c r="CM11">
        <v>3020.04</v>
      </c>
      <c r="CN11">
        <v>3030.39</v>
      </c>
      <c r="CO11">
        <v>3029.2</v>
      </c>
      <c r="CP11">
        <v>3026.63</v>
      </c>
      <c r="CQ11">
        <v>3027.18</v>
      </c>
      <c r="CR11">
        <v>3034.05</v>
      </c>
      <c r="CS11">
        <v>3029.57</v>
      </c>
    </row>
    <row r="12" spans="1:97">
      <c r="A12" s="9">
        <v>46245</v>
      </c>
      <c r="B12">
        <v>3014.97</v>
      </c>
      <c r="C12">
        <v>3023.07</v>
      </c>
      <c r="D12">
        <v>3025.9</v>
      </c>
      <c r="E12">
        <v>3024.09</v>
      </c>
      <c r="F12">
        <v>3021.47</v>
      </c>
      <c r="G12">
        <v>3029.56</v>
      </c>
      <c r="H12">
        <v>3032.49</v>
      </c>
      <c r="I12">
        <v>3032.64</v>
      </c>
      <c r="J12">
        <v>3024.79</v>
      </c>
      <c r="K12">
        <v>3024.3</v>
      </c>
      <c r="L12">
        <v>3019.55</v>
      </c>
      <c r="M12">
        <v>3012.94</v>
      </c>
      <c r="N12">
        <v>3007.9</v>
      </c>
      <c r="O12">
        <v>3006.81</v>
      </c>
      <c r="P12">
        <v>3008.82</v>
      </c>
      <c r="Q12">
        <v>3002.48</v>
      </c>
      <c r="R12">
        <v>2992.96</v>
      </c>
      <c r="S12">
        <v>2988.47</v>
      </c>
      <c r="T12">
        <v>2984.03</v>
      </c>
      <c r="U12">
        <v>2989.01</v>
      </c>
      <c r="V12">
        <v>2985.87</v>
      </c>
      <c r="W12">
        <v>2997.44</v>
      </c>
      <c r="X12">
        <v>3004.33</v>
      </c>
      <c r="Y12">
        <v>3002.15</v>
      </c>
      <c r="Z12">
        <v>3001.27</v>
      </c>
      <c r="AA12">
        <v>2999.92</v>
      </c>
      <c r="AB12">
        <v>2985.37</v>
      </c>
      <c r="AC12">
        <v>2990.21</v>
      </c>
      <c r="AD12">
        <v>2982.9</v>
      </c>
      <c r="AE12">
        <v>2983.59</v>
      </c>
      <c r="AF12">
        <v>2975.2</v>
      </c>
      <c r="AG12">
        <v>2971.57</v>
      </c>
      <c r="AH12">
        <v>2969.54</v>
      </c>
      <c r="AI12">
        <v>2956.4</v>
      </c>
      <c r="AJ12">
        <v>2965.05</v>
      </c>
      <c r="AK12">
        <v>2971.35</v>
      </c>
      <c r="AL12">
        <v>2968.97</v>
      </c>
      <c r="AM12">
        <v>2970.75</v>
      </c>
      <c r="AN12">
        <v>2981.51</v>
      </c>
      <c r="AO12">
        <v>2990.11</v>
      </c>
      <c r="AP12">
        <v>2989.9</v>
      </c>
      <c r="AQ12">
        <v>2987.69</v>
      </c>
      <c r="AR12">
        <v>2994.39</v>
      </c>
      <c r="AS12">
        <v>2995.49</v>
      </c>
      <c r="AT12">
        <v>2985.8</v>
      </c>
      <c r="AU12">
        <v>2985.87</v>
      </c>
      <c r="AV12">
        <v>2976.73</v>
      </c>
      <c r="AW12">
        <v>2978.42</v>
      </c>
      <c r="AX12">
        <v>2977.47</v>
      </c>
      <c r="AY12">
        <v>2964.52</v>
      </c>
      <c r="AZ12">
        <v>2966.08</v>
      </c>
      <c r="BA12">
        <v>2960.9</v>
      </c>
      <c r="BB12">
        <v>2963.07</v>
      </c>
      <c r="BC12">
        <v>2957.96</v>
      </c>
      <c r="BD12">
        <v>2959.77</v>
      </c>
      <c r="BE12">
        <v>2974.19</v>
      </c>
      <c r="BF12">
        <v>2965.76</v>
      </c>
      <c r="BG12">
        <v>2960.84</v>
      </c>
      <c r="BH12">
        <v>2940.72</v>
      </c>
      <c r="BI12">
        <v>2939.08</v>
      </c>
      <c r="BJ12">
        <v>2924.51</v>
      </c>
      <c r="BK12">
        <v>2918.81</v>
      </c>
      <c r="BL12">
        <v>2917.72</v>
      </c>
      <c r="BM12">
        <v>2920.43</v>
      </c>
      <c r="BN12">
        <v>2919.82</v>
      </c>
      <c r="BO12">
        <v>2925.18</v>
      </c>
      <c r="BP12">
        <v>2931.15</v>
      </c>
      <c r="BQ12">
        <v>2938.43</v>
      </c>
      <c r="BR12">
        <v>2936.91</v>
      </c>
      <c r="BS12">
        <v>2940.51</v>
      </c>
      <c r="BT12">
        <v>2929.57</v>
      </c>
      <c r="BU12">
        <v>2927.37</v>
      </c>
      <c r="BV12">
        <v>2921.23</v>
      </c>
      <c r="BW12">
        <v>2920.23</v>
      </c>
      <c r="BX12">
        <v>2925.18</v>
      </c>
      <c r="BY12">
        <v>2933.85</v>
      </c>
      <c r="BZ12">
        <v>2932.13</v>
      </c>
      <c r="CA12">
        <v>2934.3</v>
      </c>
      <c r="CB12">
        <v>2931.77</v>
      </c>
      <c r="CC12">
        <v>2933.68</v>
      </c>
      <c r="CD12">
        <v>2953.27</v>
      </c>
      <c r="CE12">
        <v>2955.26</v>
      </c>
      <c r="CF12">
        <v>2961.53</v>
      </c>
      <c r="CG12">
        <v>2972.63</v>
      </c>
      <c r="CH12">
        <v>2975.92</v>
      </c>
      <c r="CI12">
        <v>2995.94</v>
      </c>
      <c r="CJ12">
        <v>2998.85</v>
      </c>
      <c r="CK12">
        <v>2990.2</v>
      </c>
      <c r="CL12">
        <v>2987.69</v>
      </c>
      <c r="CM12">
        <v>2986.71</v>
      </c>
      <c r="CN12">
        <v>2993.65</v>
      </c>
      <c r="CO12">
        <v>2994.04</v>
      </c>
      <c r="CP12">
        <v>2992.99</v>
      </c>
      <c r="CQ12">
        <v>2997.77</v>
      </c>
      <c r="CR12">
        <v>3002.7</v>
      </c>
      <c r="CS12">
        <v>2996.9</v>
      </c>
    </row>
    <row r="13" spans="1:97">
      <c r="A13" s="9">
        <v>46246</v>
      </c>
      <c r="B13">
        <v>2986.93</v>
      </c>
      <c r="C13">
        <v>2995.48</v>
      </c>
      <c r="D13">
        <v>2999.93</v>
      </c>
      <c r="E13">
        <v>2993.54</v>
      </c>
      <c r="F13">
        <v>2990.02</v>
      </c>
      <c r="G13">
        <v>2991.66</v>
      </c>
      <c r="H13">
        <v>3001.99</v>
      </c>
      <c r="I13">
        <v>3005.4</v>
      </c>
      <c r="J13">
        <v>2993.21</v>
      </c>
      <c r="K13">
        <v>2993.71</v>
      </c>
      <c r="L13">
        <v>2986.68</v>
      </c>
      <c r="M13">
        <v>2978.69</v>
      </c>
      <c r="N13">
        <v>2972.85</v>
      </c>
      <c r="O13">
        <v>2970.45</v>
      </c>
      <c r="P13">
        <v>2967.93</v>
      </c>
      <c r="Q13">
        <v>2961.24</v>
      </c>
      <c r="R13">
        <v>2953.61</v>
      </c>
      <c r="S13">
        <v>2951.58</v>
      </c>
      <c r="T13">
        <v>2946.39</v>
      </c>
      <c r="U13">
        <v>2952.78</v>
      </c>
      <c r="V13">
        <v>2955.92</v>
      </c>
      <c r="W13">
        <v>2968.34</v>
      </c>
      <c r="X13">
        <v>2975.54</v>
      </c>
      <c r="Y13">
        <v>2968.74</v>
      </c>
      <c r="Z13">
        <v>2971.82</v>
      </c>
      <c r="AA13">
        <v>2962.82</v>
      </c>
      <c r="AB13">
        <v>2956.23</v>
      </c>
      <c r="AC13">
        <v>2959.07</v>
      </c>
      <c r="AD13">
        <v>2950.98</v>
      </c>
      <c r="AE13">
        <v>2958.81</v>
      </c>
      <c r="AF13">
        <v>2949.38</v>
      </c>
      <c r="AG13">
        <v>2946.11</v>
      </c>
      <c r="AH13">
        <v>2936.63</v>
      </c>
      <c r="AI13">
        <v>2926.03</v>
      </c>
      <c r="AJ13">
        <v>2929.11</v>
      </c>
      <c r="AK13">
        <v>2936.43</v>
      </c>
      <c r="AL13">
        <v>2937.44</v>
      </c>
      <c r="AM13">
        <v>2940.02</v>
      </c>
      <c r="AN13">
        <v>2950.06</v>
      </c>
      <c r="AO13">
        <v>2952.75</v>
      </c>
      <c r="AP13">
        <v>2948.82</v>
      </c>
      <c r="AQ13">
        <v>2950.92</v>
      </c>
      <c r="AR13">
        <v>2961.31</v>
      </c>
      <c r="AS13">
        <v>2961.68</v>
      </c>
      <c r="AT13">
        <v>2952.5</v>
      </c>
      <c r="AU13">
        <v>2956.13</v>
      </c>
      <c r="AV13">
        <v>2948.28</v>
      </c>
      <c r="AW13">
        <v>2949.03</v>
      </c>
      <c r="AX13">
        <v>2944.08</v>
      </c>
      <c r="AY13">
        <v>2936.62</v>
      </c>
      <c r="AZ13">
        <v>2934.41</v>
      </c>
      <c r="BA13">
        <v>2935.22</v>
      </c>
      <c r="BB13">
        <v>2932.07</v>
      </c>
      <c r="BC13">
        <v>2924</v>
      </c>
      <c r="BD13">
        <v>2923.7</v>
      </c>
      <c r="BE13">
        <v>2919.72</v>
      </c>
      <c r="BF13">
        <v>2911.68</v>
      </c>
      <c r="BG13">
        <v>2909.8</v>
      </c>
      <c r="BH13">
        <v>2907.59</v>
      </c>
      <c r="BI13">
        <v>2914.52</v>
      </c>
      <c r="BJ13">
        <v>2911.54</v>
      </c>
      <c r="BK13">
        <v>2911.89</v>
      </c>
      <c r="BL13">
        <v>2919.06</v>
      </c>
      <c r="BM13">
        <v>2926.04</v>
      </c>
      <c r="BN13">
        <v>2923.82</v>
      </c>
      <c r="BO13">
        <v>2929.27</v>
      </c>
      <c r="BP13">
        <v>2922.18</v>
      </c>
      <c r="BQ13">
        <v>2922.93</v>
      </c>
      <c r="BR13">
        <v>2916.69</v>
      </c>
      <c r="BS13">
        <v>2917.1</v>
      </c>
      <c r="BT13">
        <v>2916.04</v>
      </c>
      <c r="BU13">
        <v>2916.93</v>
      </c>
      <c r="BV13">
        <v>2915.06</v>
      </c>
      <c r="BW13">
        <v>2917.12</v>
      </c>
      <c r="BX13">
        <v>2920.8</v>
      </c>
      <c r="BY13">
        <v>2922.21</v>
      </c>
      <c r="BZ13">
        <v>2925.1</v>
      </c>
      <c r="CA13">
        <v>2925.95</v>
      </c>
      <c r="CB13">
        <v>2920.05</v>
      </c>
      <c r="CC13">
        <v>2921.02</v>
      </c>
      <c r="CD13">
        <v>2937.68</v>
      </c>
      <c r="CE13">
        <v>2941.93</v>
      </c>
      <c r="CF13">
        <v>2943.42</v>
      </c>
      <c r="CG13">
        <v>2937.98</v>
      </c>
      <c r="CH13">
        <v>2939.07</v>
      </c>
      <c r="CI13">
        <v>2950.63</v>
      </c>
      <c r="CJ13">
        <v>2949.56</v>
      </c>
      <c r="CK13">
        <v>2943.04</v>
      </c>
      <c r="CL13">
        <v>2941.43</v>
      </c>
      <c r="CM13">
        <v>2944.96</v>
      </c>
      <c r="CN13">
        <v>2952.48</v>
      </c>
      <c r="CO13">
        <v>2951.17</v>
      </c>
      <c r="CP13">
        <v>2955.3</v>
      </c>
      <c r="CQ13">
        <v>2962.36</v>
      </c>
      <c r="CR13">
        <v>2967.05</v>
      </c>
      <c r="CS13">
        <v>2965.53</v>
      </c>
    </row>
    <row r="14" spans="1:97">
      <c r="A14" s="9">
        <v>46247</v>
      </c>
      <c r="B14">
        <v>2958.4</v>
      </c>
      <c r="C14">
        <v>2961.88</v>
      </c>
      <c r="D14">
        <v>2976.84</v>
      </c>
      <c r="E14">
        <v>2971.91</v>
      </c>
      <c r="F14">
        <v>2964.38</v>
      </c>
      <c r="G14">
        <v>2966.52</v>
      </c>
      <c r="H14">
        <v>2981.6</v>
      </c>
      <c r="I14">
        <v>2989.18</v>
      </c>
      <c r="J14">
        <v>2979.17</v>
      </c>
      <c r="K14">
        <v>2984.2</v>
      </c>
      <c r="L14">
        <v>2983.8</v>
      </c>
      <c r="M14">
        <v>2982.51</v>
      </c>
      <c r="N14">
        <v>2979.49</v>
      </c>
      <c r="O14">
        <v>2976.02</v>
      </c>
      <c r="P14">
        <v>2972.22</v>
      </c>
      <c r="Q14">
        <v>2960.44</v>
      </c>
      <c r="R14">
        <v>2953.85</v>
      </c>
      <c r="S14">
        <v>2963.77</v>
      </c>
      <c r="T14">
        <v>2957.82</v>
      </c>
      <c r="U14">
        <v>2966.55</v>
      </c>
      <c r="V14">
        <v>2966.17</v>
      </c>
      <c r="W14">
        <v>2973.55</v>
      </c>
      <c r="X14">
        <v>2977.73</v>
      </c>
      <c r="Y14">
        <v>2969.89</v>
      </c>
      <c r="Z14">
        <v>2970.03</v>
      </c>
      <c r="AA14">
        <v>2961.74</v>
      </c>
      <c r="AB14">
        <v>2953.46</v>
      </c>
      <c r="AC14">
        <v>2960.97</v>
      </c>
      <c r="AD14">
        <v>2953.84</v>
      </c>
      <c r="AE14">
        <v>2957.79</v>
      </c>
      <c r="AF14">
        <v>2950.59</v>
      </c>
      <c r="AG14">
        <v>2947.3</v>
      </c>
      <c r="AH14">
        <v>2932.21</v>
      </c>
      <c r="AI14">
        <v>2914.12</v>
      </c>
      <c r="AJ14">
        <v>2913.57</v>
      </c>
      <c r="AK14">
        <v>2921.17</v>
      </c>
      <c r="AL14">
        <v>2926.43</v>
      </c>
      <c r="AM14">
        <v>2927.96</v>
      </c>
      <c r="AN14">
        <v>2931.01</v>
      </c>
      <c r="AO14">
        <v>2939.81</v>
      </c>
      <c r="AP14">
        <v>2936.86</v>
      </c>
      <c r="AQ14">
        <v>2937.4</v>
      </c>
      <c r="AR14">
        <v>2948.07</v>
      </c>
      <c r="AS14">
        <v>2949.67</v>
      </c>
      <c r="AT14">
        <v>2937.25</v>
      </c>
      <c r="AU14">
        <v>2940.61</v>
      </c>
      <c r="AV14">
        <v>2934.47</v>
      </c>
      <c r="AW14">
        <v>2923.53</v>
      </c>
      <c r="AX14">
        <v>2924.24</v>
      </c>
      <c r="AY14">
        <v>2913.9</v>
      </c>
      <c r="AZ14">
        <v>2908.49</v>
      </c>
      <c r="BA14">
        <v>2912.7</v>
      </c>
      <c r="BB14">
        <v>2907.48</v>
      </c>
      <c r="BC14">
        <v>2903.34</v>
      </c>
      <c r="BD14">
        <v>2894.93</v>
      </c>
      <c r="BE14">
        <v>2895.19</v>
      </c>
      <c r="BF14">
        <v>2888.17</v>
      </c>
      <c r="BG14">
        <v>2885.04</v>
      </c>
      <c r="BH14">
        <v>2880.93</v>
      </c>
      <c r="BI14">
        <v>2893.53</v>
      </c>
      <c r="BJ14">
        <v>2893.7</v>
      </c>
      <c r="BK14">
        <v>2893.07</v>
      </c>
      <c r="BL14">
        <v>2902.39</v>
      </c>
      <c r="BM14">
        <v>2907.28</v>
      </c>
      <c r="BN14">
        <v>2907.64</v>
      </c>
      <c r="BO14">
        <v>2912.63</v>
      </c>
      <c r="BP14">
        <v>2908.26</v>
      </c>
      <c r="BQ14">
        <v>2904.44</v>
      </c>
      <c r="BR14">
        <v>2897.33</v>
      </c>
      <c r="BS14">
        <v>2891.83</v>
      </c>
      <c r="BT14">
        <v>2894.04</v>
      </c>
      <c r="BU14">
        <v>2895.15</v>
      </c>
      <c r="BV14">
        <v>2896.64</v>
      </c>
      <c r="BW14">
        <v>2898.49</v>
      </c>
      <c r="BX14">
        <v>2903.54</v>
      </c>
      <c r="BY14">
        <v>2907.59</v>
      </c>
      <c r="BZ14">
        <v>2909.28</v>
      </c>
      <c r="CA14">
        <v>2910.78</v>
      </c>
      <c r="CB14">
        <v>2903.41</v>
      </c>
      <c r="CC14">
        <v>2908.07</v>
      </c>
      <c r="CD14">
        <v>2924.36</v>
      </c>
      <c r="CE14">
        <v>2926.89</v>
      </c>
      <c r="CF14">
        <v>2932.5</v>
      </c>
      <c r="CG14">
        <v>2925.6</v>
      </c>
      <c r="CH14">
        <v>2922.94</v>
      </c>
      <c r="CI14">
        <v>2932.56</v>
      </c>
      <c r="CJ14">
        <v>2937.88</v>
      </c>
      <c r="CK14">
        <v>2923.12</v>
      </c>
      <c r="CL14">
        <v>2923.55</v>
      </c>
      <c r="CM14">
        <v>2922.95</v>
      </c>
      <c r="CN14">
        <v>2931.35</v>
      </c>
      <c r="CO14">
        <v>2938.12</v>
      </c>
      <c r="CP14">
        <v>2937.36</v>
      </c>
      <c r="CQ14">
        <v>2948.79</v>
      </c>
      <c r="CR14">
        <v>2948.56</v>
      </c>
      <c r="CS14">
        <v>2945.14</v>
      </c>
    </row>
    <row r="15" spans="1:97">
      <c r="A15" s="9">
        <v>46248</v>
      </c>
      <c r="B15">
        <v>2944.15</v>
      </c>
      <c r="C15">
        <v>2954.05</v>
      </c>
      <c r="D15">
        <v>2970.54</v>
      </c>
      <c r="E15">
        <v>2965.39</v>
      </c>
      <c r="F15">
        <v>2956.29</v>
      </c>
      <c r="G15">
        <v>2958.76</v>
      </c>
      <c r="H15">
        <v>2969.58</v>
      </c>
      <c r="I15">
        <v>2975.76</v>
      </c>
      <c r="J15">
        <v>2968.3</v>
      </c>
      <c r="K15">
        <v>2969.88</v>
      </c>
      <c r="L15">
        <v>2967.17</v>
      </c>
      <c r="M15">
        <v>2958.34</v>
      </c>
      <c r="N15">
        <v>2960.07</v>
      </c>
      <c r="O15">
        <v>2959.67</v>
      </c>
      <c r="P15">
        <v>2953.14</v>
      </c>
      <c r="Q15">
        <v>2946.72</v>
      </c>
      <c r="R15">
        <v>2937.74</v>
      </c>
      <c r="S15">
        <v>2951.6</v>
      </c>
      <c r="T15">
        <v>2949.72</v>
      </c>
      <c r="U15">
        <v>2952.45</v>
      </c>
      <c r="V15">
        <v>2956.27</v>
      </c>
      <c r="W15">
        <v>2960.13</v>
      </c>
      <c r="X15">
        <v>2968.09</v>
      </c>
      <c r="Y15">
        <v>2967.16</v>
      </c>
      <c r="Z15">
        <v>2964.23</v>
      </c>
      <c r="AA15">
        <v>2961.89</v>
      </c>
      <c r="AB15">
        <v>2958.16</v>
      </c>
      <c r="AC15">
        <v>2962.66</v>
      </c>
      <c r="AD15">
        <v>2956.1</v>
      </c>
      <c r="AE15">
        <v>2957.51</v>
      </c>
      <c r="AF15">
        <v>2946.15</v>
      </c>
      <c r="AG15">
        <v>2953.75</v>
      </c>
      <c r="AH15">
        <v>2934.9</v>
      </c>
      <c r="AI15">
        <v>2930.91</v>
      </c>
      <c r="AJ15">
        <v>2920.79</v>
      </c>
      <c r="AK15">
        <v>2931.54</v>
      </c>
      <c r="AL15">
        <v>2930.05</v>
      </c>
      <c r="AM15">
        <v>2932.32</v>
      </c>
      <c r="AN15">
        <v>2929.75</v>
      </c>
      <c r="AO15">
        <v>2929.7</v>
      </c>
      <c r="AP15">
        <v>2926.94</v>
      </c>
      <c r="AQ15">
        <v>2923.05</v>
      </c>
      <c r="AR15">
        <v>2935.07</v>
      </c>
      <c r="AS15">
        <v>2936.72</v>
      </c>
      <c r="AT15">
        <v>2924.46</v>
      </c>
      <c r="AU15">
        <v>2923.58</v>
      </c>
      <c r="AV15">
        <v>2921.29</v>
      </c>
      <c r="AW15">
        <v>2912.58</v>
      </c>
      <c r="AX15">
        <v>2914.48</v>
      </c>
      <c r="AY15">
        <v>2906.96</v>
      </c>
      <c r="AZ15">
        <v>2899.81</v>
      </c>
      <c r="BA15">
        <v>2905.17</v>
      </c>
      <c r="BB15">
        <v>2899.97</v>
      </c>
      <c r="BC15">
        <v>2890.57</v>
      </c>
      <c r="BD15">
        <v>2878.56</v>
      </c>
      <c r="BE15">
        <v>2883.42</v>
      </c>
      <c r="BF15">
        <v>2880.09</v>
      </c>
      <c r="BG15">
        <v>2877.14</v>
      </c>
      <c r="BH15">
        <v>2874.94</v>
      </c>
      <c r="BI15">
        <v>2888.97</v>
      </c>
      <c r="BJ15">
        <v>2890.89</v>
      </c>
      <c r="BK15">
        <v>2896.5</v>
      </c>
      <c r="BL15">
        <v>2903.09</v>
      </c>
      <c r="BM15">
        <v>2900.93</v>
      </c>
      <c r="BN15">
        <v>2901.32</v>
      </c>
      <c r="BO15">
        <v>2903.08</v>
      </c>
      <c r="BP15">
        <v>2896.39</v>
      </c>
      <c r="BQ15">
        <v>2888.82</v>
      </c>
      <c r="BR15">
        <v>2880.44</v>
      </c>
      <c r="BS15">
        <v>2880.02</v>
      </c>
      <c r="BT15">
        <v>2886</v>
      </c>
      <c r="BU15">
        <v>2890.15</v>
      </c>
      <c r="BV15">
        <v>2892.12</v>
      </c>
      <c r="BW15">
        <v>2903.24</v>
      </c>
      <c r="BX15">
        <v>2901.25</v>
      </c>
      <c r="BY15">
        <v>2903.14</v>
      </c>
      <c r="BZ15">
        <v>2903.52</v>
      </c>
      <c r="CA15">
        <v>2899.41</v>
      </c>
      <c r="CB15">
        <v>2889.75</v>
      </c>
      <c r="CC15">
        <v>2897.68</v>
      </c>
      <c r="CD15">
        <v>2913.37</v>
      </c>
      <c r="CE15">
        <v>2917.34</v>
      </c>
      <c r="CF15">
        <v>2923.64</v>
      </c>
      <c r="CG15">
        <v>2915.35</v>
      </c>
      <c r="CH15">
        <v>2917.86</v>
      </c>
      <c r="CI15">
        <v>2926.88</v>
      </c>
      <c r="CJ15">
        <v>2926.57</v>
      </c>
      <c r="CK15">
        <v>2913.23</v>
      </c>
      <c r="CL15">
        <v>2912.52</v>
      </c>
      <c r="CM15">
        <v>2914.97</v>
      </c>
      <c r="CN15">
        <v>2922.43</v>
      </c>
      <c r="CO15">
        <v>2931.45</v>
      </c>
      <c r="CP15">
        <v>2927.14</v>
      </c>
      <c r="CQ15">
        <v>2940.36</v>
      </c>
      <c r="CR15">
        <v>2946.65</v>
      </c>
      <c r="CS15">
        <v>2947.17</v>
      </c>
    </row>
    <row r="16" spans="1:97">
      <c r="A16" s="9">
        <v>46249</v>
      </c>
      <c r="B16">
        <v>2948.16</v>
      </c>
      <c r="C16">
        <v>2961.19</v>
      </c>
      <c r="D16">
        <v>2971.94</v>
      </c>
      <c r="E16">
        <v>2972.77</v>
      </c>
      <c r="F16">
        <v>2965.87</v>
      </c>
      <c r="G16">
        <v>2970.33</v>
      </c>
      <c r="H16">
        <v>2970.78</v>
      </c>
      <c r="I16">
        <v>2975.76</v>
      </c>
      <c r="J16">
        <v>2968.54</v>
      </c>
      <c r="K16">
        <v>2968.86</v>
      </c>
      <c r="L16">
        <v>2963.76</v>
      </c>
      <c r="M16">
        <v>2952.2</v>
      </c>
      <c r="N16">
        <v>2952.16</v>
      </c>
      <c r="O16">
        <v>2953.42</v>
      </c>
      <c r="P16">
        <v>2948.72</v>
      </c>
      <c r="Q16">
        <v>2942.79</v>
      </c>
      <c r="R16">
        <v>2942.59</v>
      </c>
      <c r="S16">
        <v>2960.99</v>
      </c>
      <c r="T16">
        <v>2958.99</v>
      </c>
      <c r="U16">
        <v>2965.65</v>
      </c>
      <c r="V16">
        <v>2973.84</v>
      </c>
      <c r="W16">
        <v>2984.88</v>
      </c>
      <c r="X16">
        <v>2998.69</v>
      </c>
      <c r="Y16">
        <v>3002.88</v>
      </c>
      <c r="Z16">
        <v>3001.68</v>
      </c>
      <c r="AA16">
        <v>2993.67</v>
      </c>
      <c r="AB16">
        <v>2987.43</v>
      </c>
      <c r="AC16">
        <v>2988.94</v>
      </c>
      <c r="AD16">
        <v>2982.82</v>
      </c>
      <c r="AE16">
        <v>2980.04</v>
      </c>
      <c r="AF16">
        <v>2973.15</v>
      </c>
      <c r="AG16">
        <v>2991.03</v>
      </c>
      <c r="AH16">
        <v>2969.99</v>
      </c>
      <c r="AI16">
        <v>2966.09</v>
      </c>
      <c r="AJ16">
        <v>2953.84</v>
      </c>
      <c r="AK16">
        <v>2963.37</v>
      </c>
      <c r="AL16">
        <v>2968.16</v>
      </c>
      <c r="AM16">
        <v>2972.18</v>
      </c>
      <c r="AN16">
        <v>2971.42</v>
      </c>
      <c r="AO16">
        <v>2978.37</v>
      </c>
      <c r="AP16">
        <v>2977.42</v>
      </c>
      <c r="AQ16">
        <v>2974</v>
      </c>
      <c r="AR16">
        <v>2988.98</v>
      </c>
      <c r="AS16">
        <v>2982.32</v>
      </c>
      <c r="AT16">
        <v>2975.91</v>
      </c>
      <c r="AU16">
        <v>2974.54</v>
      </c>
      <c r="AV16">
        <v>2974.16</v>
      </c>
      <c r="AW16">
        <v>2963.61</v>
      </c>
      <c r="AX16">
        <v>2959.2</v>
      </c>
      <c r="AY16">
        <v>2956.28</v>
      </c>
      <c r="AZ16">
        <v>2930.4</v>
      </c>
      <c r="BA16">
        <v>2924.92</v>
      </c>
      <c r="BB16">
        <v>2917.14</v>
      </c>
      <c r="BC16">
        <v>2909.87</v>
      </c>
      <c r="BD16">
        <v>2897.1</v>
      </c>
      <c r="BE16">
        <v>2901.92</v>
      </c>
      <c r="BF16">
        <v>2897.89</v>
      </c>
      <c r="BG16">
        <v>2899.05</v>
      </c>
      <c r="BH16">
        <v>2896.15</v>
      </c>
      <c r="BI16">
        <v>2913.62</v>
      </c>
      <c r="BJ16">
        <v>2912.84</v>
      </c>
      <c r="BK16">
        <v>2919.71</v>
      </c>
      <c r="BL16">
        <v>2926.93</v>
      </c>
      <c r="BM16">
        <v>2923.49</v>
      </c>
      <c r="BN16">
        <v>2926.24</v>
      </c>
      <c r="BO16">
        <v>2932.79</v>
      </c>
      <c r="BP16">
        <v>2923.5</v>
      </c>
      <c r="BQ16">
        <v>2914.56</v>
      </c>
      <c r="BR16">
        <v>2907.08</v>
      </c>
      <c r="BS16">
        <v>2906.52</v>
      </c>
      <c r="BT16">
        <v>2913.68</v>
      </c>
      <c r="BU16">
        <v>2915.45</v>
      </c>
      <c r="BV16">
        <v>2912.17</v>
      </c>
      <c r="BW16">
        <v>2918.33</v>
      </c>
      <c r="BX16">
        <v>2908.58</v>
      </c>
      <c r="BY16">
        <v>2908.66</v>
      </c>
      <c r="BZ16">
        <v>2912.18</v>
      </c>
      <c r="CA16">
        <v>2912.01</v>
      </c>
      <c r="CB16">
        <v>2905.68</v>
      </c>
      <c r="CC16">
        <v>2916.17</v>
      </c>
      <c r="CD16">
        <v>2920.52</v>
      </c>
      <c r="CE16">
        <v>2917.38</v>
      </c>
      <c r="CF16">
        <v>2927.32</v>
      </c>
      <c r="CG16">
        <v>2922.88</v>
      </c>
      <c r="CH16">
        <v>2930.32</v>
      </c>
      <c r="CI16">
        <v>2940.1</v>
      </c>
      <c r="CJ16">
        <v>2939.15</v>
      </c>
      <c r="CK16">
        <v>2928.59</v>
      </c>
      <c r="CL16">
        <v>2922.6</v>
      </c>
      <c r="CM16">
        <v>2925.68</v>
      </c>
      <c r="CN16">
        <v>2926.2</v>
      </c>
      <c r="CO16">
        <v>2931.05</v>
      </c>
      <c r="CP16">
        <v>2930.5</v>
      </c>
      <c r="CQ16">
        <v>2935.22</v>
      </c>
      <c r="CR16">
        <v>2941.05</v>
      </c>
      <c r="CS16">
        <v>2945.51</v>
      </c>
    </row>
    <row r="17" spans="1:97">
      <c r="A17" s="9">
        <v>46250</v>
      </c>
      <c r="B17">
        <v>2947.14</v>
      </c>
      <c r="C17">
        <v>2956.95</v>
      </c>
      <c r="D17">
        <v>2967.85</v>
      </c>
      <c r="E17">
        <v>2972.33</v>
      </c>
      <c r="F17">
        <v>2971.99</v>
      </c>
      <c r="G17">
        <v>2977.39</v>
      </c>
      <c r="H17">
        <v>2980.97</v>
      </c>
      <c r="I17">
        <v>2985.39</v>
      </c>
      <c r="J17">
        <v>2990.49</v>
      </c>
      <c r="K17">
        <v>2984.45</v>
      </c>
      <c r="L17">
        <v>2984.19</v>
      </c>
      <c r="M17">
        <v>2973.97</v>
      </c>
      <c r="N17">
        <v>2967.64</v>
      </c>
      <c r="O17">
        <v>2970.22</v>
      </c>
      <c r="P17">
        <v>2961.03</v>
      </c>
      <c r="Q17">
        <v>2958.64</v>
      </c>
      <c r="R17">
        <v>2954.95</v>
      </c>
      <c r="S17">
        <v>2973.87</v>
      </c>
      <c r="T17">
        <v>2971.57</v>
      </c>
      <c r="U17">
        <v>2983.2</v>
      </c>
      <c r="V17">
        <v>2998.3</v>
      </c>
      <c r="W17">
        <v>3016.68</v>
      </c>
      <c r="X17">
        <v>3026.76</v>
      </c>
      <c r="Y17">
        <v>3039.45</v>
      </c>
      <c r="Z17">
        <v>3036.4</v>
      </c>
      <c r="AA17">
        <v>3032.83</v>
      </c>
      <c r="AB17">
        <v>3029.3</v>
      </c>
      <c r="AC17">
        <v>3030.3</v>
      </c>
      <c r="AD17">
        <v>3030.26</v>
      </c>
      <c r="AE17">
        <v>3029.2</v>
      </c>
      <c r="AF17">
        <v>3015.48</v>
      </c>
      <c r="AG17">
        <v>3021.26</v>
      </c>
      <c r="AH17">
        <v>2998.57</v>
      </c>
      <c r="AI17">
        <v>2988.25</v>
      </c>
      <c r="AJ17">
        <v>2981.49</v>
      </c>
      <c r="AK17">
        <v>2995.33</v>
      </c>
      <c r="AL17">
        <v>3004.4</v>
      </c>
      <c r="AM17">
        <v>3017.19</v>
      </c>
      <c r="AN17">
        <v>3011.03</v>
      </c>
      <c r="AO17">
        <v>3009.68</v>
      </c>
      <c r="AP17">
        <v>3013.09</v>
      </c>
      <c r="AQ17">
        <v>3008.28</v>
      </c>
      <c r="AR17">
        <v>3024.05</v>
      </c>
      <c r="AS17">
        <v>3021.62</v>
      </c>
      <c r="AT17">
        <v>3016.76</v>
      </c>
      <c r="AU17">
        <v>3016.24</v>
      </c>
      <c r="AV17">
        <v>3015.41</v>
      </c>
      <c r="AW17">
        <v>3004.38</v>
      </c>
      <c r="AX17">
        <v>2999.75</v>
      </c>
      <c r="AY17">
        <v>3000.93</v>
      </c>
      <c r="AZ17">
        <v>2971.65</v>
      </c>
      <c r="BA17">
        <v>2966.93</v>
      </c>
      <c r="BB17">
        <v>2951.85</v>
      </c>
      <c r="BC17">
        <v>2949.99</v>
      </c>
      <c r="BD17">
        <v>2939.39</v>
      </c>
      <c r="BE17">
        <v>2942.51</v>
      </c>
      <c r="BF17">
        <v>2941.89</v>
      </c>
      <c r="BG17">
        <v>2942.93</v>
      </c>
      <c r="BH17">
        <v>2936.83</v>
      </c>
      <c r="BI17">
        <v>2953.81</v>
      </c>
      <c r="BJ17">
        <v>2954.98</v>
      </c>
      <c r="BK17">
        <v>2956.58</v>
      </c>
      <c r="BL17">
        <v>2956.5</v>
      </c>
      <c r="BM17">
        <v>2956.11</v>
      </c>
      <c r="BN17">
        <v>2950.32</v>
      </c>
      <c r="BO17">
        <v>2949.33</v>
      </c>
      <c r="BP17">
        <v>2940.62</v>
      </c>
      <c r="BQ17">
        <v>2930.6</v>
      </c>
      <c r="BR17">
        <v>2926.99</v>
      </c>
      <c r="BS17">
        <v>2920.38</v>
      </c>
      <c r="BT17">
        <v>2941.1</v>
      </c>
      <c r="BU17">
        <v>2944</v>
      </c>
      <c r="BV17">
        <v>2945.3</v>
      </c>
      <c r="BW17">
        <v>2954.72</v>
      </c>
      <c r="BX17">
        <v>2945.73</v>
      </c>
      <c r="BY17">
        <v>2945.03</v>
      </c>
      <c r="BZ17">
        <v>2952.12</v>
      </c>
      <c r="CA17">
        <v>2950.66</v>
      </c>
      <c r="CB17">
        <v>2948.37</v>
      </c>
      <c r="CC17">
        <v>2955.78</v>
      </c>
      <c r="CD17">
        <v>2951.5</v>
      </c>
      <c r="CE17">
        <v>2950.51</v>
      </c>
      <c r="CF17">
        <v>2962.38</v>
      </c>
      <c r="CG17">
        <v>2955.25</v>
      </c>
      <c r="CH17">
        <v>2958.73</v>
      </c>
      <c r="CI17">
        <v>2967.52</v>
      </c>
      <c r="CJ17">
        <v>2968.83</v>
      </c>
      <c r="CK17">
        <v>2958.35</v>
      </c>
      <c r="CL17">
        <v>2954.18</v>
      </c>
      <c r="CM17">
        <v>2959.93</v>
      </c>
      <c r="CN17">
        <v>2962.08</v>
      </c>
      <c r="CO17">
        <v>2966.71</v>
      </c>
      <c r="CP17">
        <v>2958.32</v>
      </c>
      <c r="CQ17">
        <v>2957.22</v>
      </c>
      <c r="CR17">
        <v>2955.39</v>
      </c>
      <c r="CS17">
        <v>2965.9</v>
      </c>
    </row>
    <row r="18" spans="1:97">
      <c r="A18" s="9">
        <v>46251</v>
      </c>
      <c r="B18">
        <v>2974.71</v>
      </c>
      <c r="C18">
        <v>2982.15</v>
      </c>
      <c r="D18">
        <v>2989.64</v>
      </c>
      <c r="E18">
        <v>2995.88</v>
      </c>
      <c r="F18">
        <v>2988.67</v>
      </c>
      <c r="G18">
        <v>3000.39</v>
      </c>
      <c r="H18">
        <v>3007.18</v>
      </c>
      <c r="I18">
        <v>3011.66</v>
      </c>
      <c r="J18">
        <v>3019.74</v>
      </c>
      <c r="K18">
        <v>3020.05</v>
      </c>
      <c r="L18">
        <v>3024.9</v>
      </c>
      <c r="M18">
        <v>3025.12</v>
      </c>
      <c r="N18">
        <v>3019.83</v>
      </c>
      <c r="O18">
        <v>3028.72</v>
      </c>
      <c r="P18">
        <v>3021.16</v>
      </c>
      <c r="Q18">
        <v>3020.28</v>
      </c>
      <c r="R18">
        <v>3016.31</v>
      </c>
      <c r="S18">
        <v>3030.27</v>
      </c>
      <c r="T18">
        <v>3028.39</v>
      </c>
      <c r="U18">
        <v>3039.35</v>
      </c>
      <c r="V18">
        <v>3050.86</v>
      </c>
      <c r="W18">
        <v>3076.01</v>
      </c>
      <c r="X18">
        <v>3087.54</v>
      </c>
      <c r="Y18">
        <v>3100.05</v>
      </c>
      <c r="Z18">
        <v>3094.85</v>
      </c>
      <c r="AA18">
        <v>3096.87</v>
      </c>
      <c r="AB18">
        <v>3089.68</v>
      </c>
      <c r="AC18">
        <v>3085.99</v>
      </c>
      <c r="AD18">
        <v>3083.46</v>
      </c>
      <c r="AE18">
        <v>3085.45</v>
      </c>
      <c r="AF18">
        <v>3070.68</v>
      </c>
      <c r="AG18">
        <v>3079.39</v>
      </c>
      <c r="AH18">
        <v>3059.76</v>
      </c>
      <c r="AI18">
        <v>3054.37</v>
      </c>
      <c r="AJ18">
        <v>3038.33</v>
      </c>
      <c r="AK18">
        <v>3042.72</v>
      </c>
      <c r="AL18">
        <v>3047.05</v>
      </c>
      <c r="AM18">
        <v>3062.76</v>
      </c>
      <c r="AN18">
        <v>3056.26</v>
      </c>
      <c r="AO18">
        <v>3057.5</v>
      </c>
      <c r="AP18">
        <v>3062.16</v>
      </c>
      <c r="AQ18">
        <v>3055.93</v>
      </c>
      <c r="AR18">
        <v>3062.11</v>
      </c>
      <c r="AS18">
        <v>3058.92</v>
      </c>
      <c r="AT18">
        <v>3057.23</v>
      </c>
      <c r="AU18">
        <v>3056.49</v>
      </c>
      <c r="AV18">
        <v>3058.74</v>
      </c>
      <c r="AW18">
        <v>3046.72</v>
      </c>
      <c r="AX18">
        <v>3045.46</v>
      </c>
      <c r="AY18">
        <v>3045.74</v>
      </c>
      <c r="AZ18">
        <v>3017.16</v>
      </c>
      <c r="BA18">
        <v>3009.68</v>
      </c>
      <c r="BB18">
        <v>2997.87</v>
      </c>
      <c r="BC18">
        <v>3000.95</v>
      </c>
      <c r="BD18">
        <v>2992.62</v>
      </c>
      <c r="BE18">
        <v>2993.86</v>
      </c>
      <c r="BF18">
        <v>2995.33</v>
      </c>
      <c r="BG18">
        <v>2996.18</v>
      </c>
      <c r="BH18">
        <v>2989.44</v>
      </c>
      <c r="BI18">
        <v>2999.11</v>
      </c>
      <c r="BJ18">
        <v>3001.5</v>
      </c>
      <c r="BK18">
        <v>3000.13</v>
      </c>
      <c r="BL18">
        <v>2997.25</v>
      </c>
      <c r="BM18">
        <v>2987.9</v>
      </c>
      <c r="BN18">
        <v>2983.96</v>
      </c>
      <c r="BO18">
        <v>2983.66</v>
      </c>
      <c r="BP18">
        <v>2988.91</v>
      </c>
      <c r="BQ18">
        <v>2982.05</v>
      </c>
      <c r="BR18">
        <v>2992.62</v>
      </c>
      <c r="BS18">
        <v>2990</v>
      </c>
      <c r="BT18">
        <v>3006.35</v>
      </c>
      <c r="BU18">
        <v>3012.18</v>
      </c>
      <c r="BV18">
        <v>3010.54</v>
      </c>
      <c r="BW18">
        <v>3022.2</v>
      </c>
      <c r="BX18">
        <v>3014.33</v>
      </c>
      <c r="BY18">
        <v>3019.71</v>
      </c>
      <c r="BZ18">
        <v>3022.95</v>
      </c>
      <c r="CA18">
        <v>3009.64</v>
      </c>
      <c r="CB18">
        <v>3014.08</v>
      </c>
      <c r="CC18">
        <v>3017.57</v>
      </c>
      <c r="CD18">
        <v>3010.2</v>
      </c>
      <c r="CE18">
        <v>3005.52</v>
      </c>
      <c r="CF18">
        <v>3011</v>
      </c>
      <c r="CG18">
        <v>3015.03</v>
      </c>
      <c r="CH18">
        <v>3017.59</v>
      </c>
      <c r="CI18">
        <v>3023.81</v>
      </c>
      <c r="CJ18">
        <v>3030.77</v>
      </c>
      <c r="CK18">
        <v>3022.69</v>
      </c>
      <c r="CL18">
        <v>3023.3</v>
      </c>
      <c r="CM18">
        <v>3039.08</v>
      </c>
      <c r="CN18">
        <v>3035.33</v>
      </c>
      <c r="CO18">
        <v>3042.23</v>
      </c>
      <c r="CP18">
        <v>3028.73</v>
      </c>
      <c r="CQ18">
        <v>3017.64</v>
      </c>
      <c r="CR18">
        <v>3013.78</v>
      </c>
      <c r="CS18">
        <v>3021.05</v>
      </c>
    </row>
    <row r="19" spans="1:97">
      <c r="A19" s="9">
        <v>46252</v>
      </c>
      <c r="B19">
        <v>3020.57</v>
      </c>
      <c r="C19">
        <v>3017.22</v>
      </c>
      <c r="D19">
        <v>3024.79</v>
      </c>
      <c r="E19">
        <v>3034.55</v>
      </c>
      <c r="F19">
        <v>3025.74</v>
      </c>
      <c r="G19">
        <v>3044.49</v>
      </c>
      <c r="H19">
        <v>3052.34</v>
      </c>
      <c r="I19">
        <v>3050.85</v>
      </c>
      <c r="J19">
        <v>3053.81</v>
      </c>
      <c r="K19">
        <v>3053.78</v>
      </c>
      <c r="L19">
        <v>3060.74</v>
      </c>
      <c r="M19">
        <v>3058.11</v>
      </c>
      <c r="N19">
        <v>3056.36</v>
      </c>
      <c r="O19">
        <v>3068.27</v>
      </c>
      <c r="P19">
        <v>3065.53</v>
      </c>
      <c r="Q19">
        <v>3066.43</v>
      </c>
      <c r="R19">
        <v>3062.97</v>
      </c>
      <c r="S19">
        <v>3074.63</v>
      </c>
      <c r="T19">
        <v>3078.4</v>
      </c>
      <c r="U19">
        <v>3091.14</v>
      </c>
      <c r="V19">
        <v>3103.61</v>
      </c>
      <c r="W19">
        <v>3124.84</v>
      </c>
      <c r="X19">
        <v>3136.94</v>
      </c>
      <c r="Y19">
        <v>3151.03</v>
      </c>
      <c r="Z19">
        <v>3147.6</v>
      </c>
      <c r="AA19">
        <v>3155.83</v>
      </c>
      <c r="AB19">
        <v>3151.12</v>
      </c>
      <c r="AC19">
        <v>3135.17</v>
      </c>
      <c r="AD19">
        <v>3122.19</v>
      </c>
      <c r="AE19">
        <v>3115.86</v>
      </c>
      <c r="AF19">
        <v>3102.25</v>
      </c>
      <c r="AG19">
        <v>3105.02</v>
      </c>
      <c r="AH19">
        <v>3085.64</v>
      </c>
      <c r="AI19">
        <v>3081.4</v>
      </c>
      <c r="AJ19">
        <v>3065.43</v>
      </c>
      <c r="AK19">
        <v>3070.43</v>
      </c>
      <c r="AL19">
        <v>3066.29</v>
      </c>
      <c r="AM19">
        <v>3083.05</v>
      </c>
      <c r="AN19">
        <v>3083.05</v>
      </c>
      <c r="AO19">
        <v>3076.42</v>
      </c>
      <c r="AP19">
        <v>3080.86</v>
      </c>
      <c r="AQ19">
        <v>3075.08</v>
      </c>
      <c r="AR19">
        <v>3075.83</v>
      </c>
      <c r="AS19">
        <v>3075.02</v>
      </c>
      <c r="AT19">
        <v>3082.9</v>
      </c>
      <c r="AU19">
        <v>3088.13</v>
      </c>
      <c r="AV19">
        <v>3092.23</v>
      </c>
      <c r="AW19">
        <v>3094.3</v>
      </c>
      <c r="AX19">
        <v>3087.08</v>
      </c>
      <c r="AY19">
        <v>3093.44</v>
      </c>
      <c r="AZ19">
        <v>3071.63</v>
      </c>
      <c r="BA19">
        <v>3075.14</v>
      </c>
      <c r="BB19">
        <v>3075.23</v>
      </c>
      <c r="BC19">
        <v>3077.52</v>
      </c>
      <c r="BD19">
        <v>3079.74</v>
      </c>
      <c r="BE19">
        <v>3071.66</v>
      </c>
      <c r="BF19">
        <v>3068.49</v>
      </c>
      <c r="BG19">
        <v>3074.22</v>
      </c>
      <c r="BH19">
        <v>3064.11</v>
      </c>
      <c r="BI19">
        <v>3061.99</v>
      </c>
      <c r="BJ19">
        <v>3068.7</v>
      </c>
      <c r="BK19">
        <v>3069.02</v>
      </c>
      <c r="BL19">
        <v>3063.3</v>
      </c>
      <c r="BM19">
        <v>3052.69</v>
      </c>
      <c r="BN19">
        <v>3040.93</v>
      </c>
      <c r="BO19">
        <v>3039.96</v>
      </c>
      <c r="BP19">
        <v>3047.09</v>
      </c>
      <c r="BQ19">
        <v>3039.46</v>
      </c>
      <c r="BR19">
        <v>3053.28</v>
      </c>
      <c r="BS19">
        <v>3060.59</v>
      </c>
      <c r="BT19">
        <v>3072.78</v>
      </c>
      <c r="BU19">
        <v>3076.68</v>
      </c>
      <c r="BV19">
        <v>3074.67</v>
      </c>
      <c r="BW19">
        <v>3088.45</v>
      </c>
      <c r="BX19">
        <v>3080.02</v>
      </c>
      <c r="BY19">
        <v>3089.42</v>
      </c>
      <c r="BZ19">
        <v>3097.08</v>
      </c>
      <c r="CA19">
        <v>3081.34</v>
      </c>
      <c r="CB19">
        <v>3086.18</v>
      </c>
      <c r="CC19">
        <v>3082.11</v>
      </c>
      <c r="CD19">
        <v>3075.81</v>
      </c>
      <c r="CE19">
        <v>3070.09</v>
      </c>
      <c r="CF19">
        <v>3078.43</v>
      </c>
      <c r="CG19">
        <v>3080.59</v>
      </c>
      <c r="CH19">
        <v>3087.77</v>
      </c>
      <c r="CI19">
        <v>3094.78</v>
      </c>
      <c r="CJ19">
        <v>3097.44</v>
      </c>
      <c r="CK19">
        <v>3100.16</v>
      </c>
      <c r="CL19">
        <v>3108.04</v>
      </c>
      <c r="CM19">
        <v>3124.43</v>
      </c>
      <c r="CN19">
        <v>3118.87</v>
      </c>
      <c r="CO19">
        <v>3122.37</v>
      </c>
      <c r="CP19">
        <v>3110.68</v>
      </c>
      <c r="CQ19">
        <v>3095.88</v>
      </c>
      <c r="CR19">
        <v>3090.95</v>
      </c>
      <c r="CS19">
        <v>3101.62</v>
      </c>
    </row>
    <row r="20" spans="1:97">
      <c r="A20" s="9">
        <v>46253</v>
      </c>
      <c r="B20">
        <v>3097.86</v>
      </c>
      <c r="C20">
        <v>3087.1</v>
      </c>
      <c r="D20">
        <v>3095.8</v>
      </c>
      <c r="E20">
        <v>3098.99</v>
      </c>
      <c r="F20">
        <v>3094.41</v>
      </c>
      <c r="G20">
        <v>3108.5</v>
      </c>
      <c r="H20">
        <v>3116.23</v>
      </c>
      <c r="I20">
        <v>3117.03</v>
      </c>
      <c r="J20">
        <v>3119.16</v>
      </c>
      <c r="K20">
        <v>3122.85</v>
      </c>
      <c r="L20">
        <v>3135.83</v>
      </c>
      <c r="M20">
        <v>3142.46</v>
      </c>
      <c r="N20">
        <v>3132.72</v>
      </c>
      <c r="O20">
        <v>3137.77</v>
      </c>
      <c r="P20">
        <v>3136.61</v>
      </c>
      <c r="Q20">
        <v>3138.1</v>
      </c>
      <c r="R20">
        <v>3131.97</v>
      </c>
      <c r="S20">
        <v>3134.48</v>
      </c>
      <c r="T20">
        <v>3141.45</v>
      </c>
      <c r="U20">
        <v>3164.97</v>
      </c>
      <c r="V20">
        <v>3174.36</v>
      </c>
      <c r="W20">
        <v>3196.18</v>
      </c>
      <c r="X20">
        <v>3203.85</v>
      </c>
      <c r="Y20">
        <v>3207.78</v>
      </c>
      <c r="Z20">
        <v>3211.88</v>
      </c>
      <c r="AA20">
        <v>3214.8</v>
      </c>
      <c r="AB20">
        <v>3210.02</v>
      </c>
      <c r="AC20">
        <v>3195.26</v>
      </c>
      <c r="AD20">
        <v>3178.71</v>
      </c>
      <c r="AE20">
        <v>3172.36</v>
      </c>
      <c r="AF20">
        <v>3168</v>
      </c>
      <c r="AG20">
        <v>3159.46</v>
      </c>
      <c r="AH20">
        <v>3153.73</v>
      </c>
      <c r="AI20">
        <v>3151.76</v>
      </c>
      <c r="AJ20">
        <v>3148.83</v>
      </c>
      <c r="AK20">
        <v>3151.07</v>
      </c>
      <c r="AL20">
        <v>3150.15</v>
      </c>
      <c r="AM20">
        <v>3159.02</v>
      </c>
      <c r="AN20">
        <v>3148.58</v>
      </c>
      <c r="AO20">
        <v>3141.18</v>
      </c>
      <c r="AP20">
        <v>3148.01</v>
      </c>
      <c r="AQ20">
        <v>3141.03</v>
      </c>
      <c r="AR20">
        <v>3137.4</v>
      </c>
      <c r="AS20">
        <v>3135.55</v>
      </c>
      <c r="AT20">
        <v>3148.4</v>
      </c>
      <c r="AU20">
        <v>3158.73</v>
      </c>
      <c r="AV20">
        <v>3159.48</v>
      </c>
      <c r="AW20">
        <v>3155.12</v>
      </c>
      <c r="AX20">
        <v>3147.51</v>
      </c>
      <c r="AY20">
        <v>3149.88</v>
      </c>
      <c r="AZ20">
        <v>3133.62</v>
      </c>
      <c r="BA20">
        <v>3139.83</v>
      </c>
      <c r="BB20">
        <v>3137.86</v>
      </c>
      <c r="BC20">
        <v>3147.31</v>
      </c>
      <c r="BD20">
        <v>3152.65</v>
      </c>
      <c r="BE20">
        <v>3143.78</v>
      </c>
      <c r="BF20">
        <v>3140.52</v>
      </c>
      <c r="BG20">
        <v>3147.35</v>
      </c>
      <c r="BH20">
        <v>3139.65</v>
      </c>
      <c r="BI20">
        <v>3136.46</v>
      </c>
      <c r="BJ20">
        <v>3134.25</v>
      </c>
      <c r="BK20">
        <v>3130.5</v>
      </c>
      <c r="BL20">
        <v>3126.9</v>
      </c>
      <c r="BM20">
        <v>3121.72</v>
      </c>
      <c r="BN20">
        <v>3106.25</v>
      </c>
      <c r="BO20">
        <v>3110.94</v>
      </c>
      <c r="BP20">
        <v>3116.96</v>
      </c>
      <c r="BQ20">
        <v>3111.51</v>
      </c>
      <c r="BR20">
        <v>3123.51</v>
      </c>
      <c r="BS20">
        <v>3128.57</v>
      </c>
      <c r="BT20">
        <v>3140.15</v>
      </c>
      <c r="BU20">
        <v>3144.65</v>
      </c>
      <c r="BV20">
        <v>3144.39</v>
      </c>
      <c r="BW20">
        <v>3155.9</v>
      </c>
      <c r="BX20">
        <v>3149.09</v>
      </c>
      <c r="BY20">
        <v>3160.74</v>
      </c>
      <c r="BZ20">
        <v>3169.08</v>
      </c>
      <c r="CA20">
        <v>3158.72</v>
      </c>
      <c r="CB20">
        <v>3160.86</v>
      </c>
      <c r="CC20">
        <v>3157.25</v>
      </c>
      <c r="CD20">
        <v>3152.17</v>
      </c>
      <c r="CE20">
        <v>3142.19</v>
      </c>
      <c r="CF20">
        <v>3145.66</v>
      </c>
      <c r="CG20">
        <v>3154.62</v>
      </c>
      <c r="CH20">
        <v>3157.45</v>
      </c>
      <c r="CI20">
        <v>3163.87</v>
      </c>
      <c r="CJ20">
        <v>3166.06</v>
      </c>
      <c r="CK20">
        <v>3164.59</v>
      </c>
      <c r="CL20">
        <v>3171.47</v>
      </c>
      <c r="CM20">
        <v>3183.22</v>
      </c>
      <c r="CN20">
        <v>3180.29</v>
      </c>
      <c r="CO20">
        <v>3179.79</v>
      </c>
      <c r="CP20">
        <v>3171.67</v>
      </c>
      <c r="CQ20">
        <v>3156.35</v>
      </c>
      <c r="CR20">
        <v>3142.84</v>
      </c>
      <c r="CS20">
        <v>3152.34</v>
      </c>
    </row>
    <row r="21" spans="1:97">
      <c r="A21" s="9">
        <v>46254</v>
      </c>
      <c r="B21">
        <v>3145.8</v>
      </c>
      <c r="C21">
        <v>3139.59</v>
      </c>
      <c r="D21">
        <v>3150.89</v>
      </c>
      <c r="E21">
        <v>3155.27</v>
      </c>
      <c r="F21">
        <v>3156.41</v>
      </c>
      <c r="G21">
        <v>3166.4</v>
      </c>
      <c r="H21">
        <v>3177.96</v>
      </c>
      <c r="I21">
        <v>3180.42</v>
      </c>
      <c r="J21">
        <v>3183.84</v>
      </c>
      <c r="K21">
        <v>3186.08</v>
      </c>
      <c r="L21">
        <v>3204.62</v>
      </c>
      <c r="M21">
        <v>3212.56</v>
      </c>
      <c r="N21">
        <v>3197.99</v>
      </c>
      <c r="O21">
        <v>3200.52</v>
      </c>
      <c r="P21">
        <v>3210.54</v>
      </c>
      <c r="Q21">
        <v>3216.13</v>
      </c>
      <c r="R21">
        <v>3210.12</v>
      </c>
      <c r="S21">
        <v>3212.01</v>
      </c>
      <c r="T21">
        <v>3219.18</v>
      </c>
      <c r="U21">
        <v>3235.27</v>
      </c>
      <c r="V21">
        <v>3240.34</v>
      </c>
      <c r="W21">
        <v>3257.8</v>
      </c>
      <c r="X21">
        <v>3260.15</v>
      </c>
      <c r="Y21">
        <v>3256.63</v>
      </c>
      <c r="Z21">
        <v>3259.29</v>
      </c>
      <c r="AA21">
        <v>3261.57</v>
      </c>
      <c r="AB21">
        <v>3267.28</v>
      </c>
      <c r="AC21">
        <v>3253.41</v>
      </c>
      <c r="AD21">
        <v>3239.77</v>
      </c>
      <c r="AE21">
        <v>3235.34</v>
      </c>
      <c r="AF21">
        <v>3228.4</v>
      </c>
      <c r="AG21">
        <v>3212.76</v>
      </c>
      <c r="AH21">
        <v>3202.47</v>
      </c>
      <c r="AI21">
        <v>3205.89</v>
      </c>
      <c r="AJ21">
        <v>3203.05</v>
      </c>
      <c r="AK21">
        <v>3201.42</v>
      </c>
      <c r="AL21">
        <v>3195.78</v>
      </c>
      <c r="AM21">
        <v>3209.96</v>
      </c>
      <c r="AN21">
        <v>3194.86</v>
      </c>
      <c r="AO21">
        <v>3180.84</v>
      </c>
      <c r="AP21">
        <v>3180.11</v>
      </c>
      <c r="AQ21">
        <v>3176.72</v>
      </c>
      <c r="AR21">
        <v>3174.91</v>
      </c>
      <c r="AS21">
        <v>3177.41</v>
      </c>
      <c r="AT21">
        <v>3191.41</v>
      </c>
      <c r="AU21">
        <v>3203.51</v>
      </c>
      <c r="AV21">
        <v>3205.94</v>
      </c>
      <c r="AW21">
        <v>3204.5</v>
      </c>
      <c r="AX21">
        <v>3202.08</v>
      </c>
      <c r="AY21">
        <v>3206.59</v>
      </c>
      <c r="AZ21">
        <v>3209.06</v>
      </c>
      <c r="BA21">
        <v>3222.39</v>
      </c>
      <c r="BB21">
        <v>3222.54</v>
      </c>
      <c r="BC21">
        <v>3228.26</v>
      </c>
      <c r="BD21">
        <v>3237</v>
      </c>
      <c r="BE21">
        <v>3233.3</v>
      </c>
      <c r="BF21">
        <v>3233.74</v>
      </c>
      <c r="BG21">
        <v>3236.79</v>
      </c>
      <c r="BH21">
        <v>3228.42</v>
      </c>
      <c r="BI21">
        <v>3221.06</v>
      </c>
      <c r="BJ21">
        <v>3222.16</v>
      </c>
      <c r="BK21">
        <v>3218.83</v>
      </c>
      <c r="BL21">
        <v>3211.9</v>
      </c>
      <c r="BM21">
        <v>3206.58</v>
      </c>
      <c r="BN21">
        <v>3187.36</v>
      </c>
      <c r="BO21">
        <v>3192.64</v>
      </c>
      <c r="BP21">
        <v>3196.78</v>
      </c>
      <c r="BQ21">
        <v>3195.38</v>
      </c>
      <c r="BR21">
        <v>3201.09</v>
      </c>
      <c r="BS21">
        <v>3205.81</v>
      </c>
      <c r="BT21">
        <v>3218.48</v>
      </c>
      <c r="BU21">
        <v>3227</v>
      </c>
      <c r="BV21">
        <v>3230.72</v>
      </c>
      <c r="BW21">
        <v>3244.78</v>
      </c>
      <c r="BX21">
        <v>3240.6</v>
      </c>
      <c r="BY21">
        <v>3248.88</v>
      </c>
      <c r="BZ21">
        <v>3251.9</v>
      </c>
      <c r="CA21">
        <v>3239.24</v>
      </c>
      <c r="CB21">
        <v>3236.97</v>
      </c>
      <c r="CC21">
        <v>3235.24</v>
      </c>
      <c r="CD21">
        <v>3230.35</v>
      </c>
      <c r="CE21">
        <v>3224.51</v>
      </c>
      <c r="CF21">
        <v>3220.69</v>
      </c>
      <c r="CG21">
        <v>3229.29</v>
      </c>
      <c r="CH21">
        <v>3227.38</v>
      </c>
      <c r="CI21">
        <v>3228.37</v>
      </c>
      <c r="CJ21">
        <v>3231.08</v>
      </c>
      <c r="CK21">
        <v>3230.2</v>
      </c>
      <c r="CL21">
        <v>3236.7</v>
      </c>
      <c r="CM21">
        <v>3251.5</v>
      </c>
      <c r="CN21">
        <v>3251.95</v>
      </c>
      <c r="CO21">
        <v>3255.02</v>
      </c>
      <c r="CP21">
        <v>3244.64</v>
      </c>
      <c r="CQ21">
        <v>3232.22</v>
      </c>
      <c r="CR21">
        <v>3217.34</v>
      </c>
      <c r="CS21">
        <v>3224.94</v>
      </c>
    </row>
    <row r="22" spans="1:97">
      <c r="A22" s="9">
        <v>46255</v>
      </c>
      <c r="B22">
        <v>3222.29</v>
      </c>
      <c r="C22">
        <v>3215.08</v>
      </c>
      <c r="D22">
        <v>3224.55</v>
      </c>
      <c r="E22">
        <v>3225.21</v>
      </c>
      <c r="F22">
        <v>3224.72</v>
      </c>
      <c r="G22">
        <v>3234.19</v>
      </c>
      <c r="H22">
        <v>3242.78</v>
      </c>
      <c r="I22">
        <v>3242.98</v>
      </c>
      <c r="J22">
        <v>3235.46</v>
      </c>
      <c r="K22">
        <v>3244.81</v>
      </c>
      <c r="L22">
        <v>3256.13</v>
      </c>
      <c r="M22">
        <v>3264.47</v>
      </c>
      <c r="N22">
        <v>3252.63</v>
      </c>
      <c r="O22">
        <v>3257.15</v>
      </c>
      <c r="P22">
        <v>3270.4</v>
      </c>
      <c r="Q22">
        <v>3270.67</v>
      </c>
      <c r="R22">
        <v>3266.07</v>
      </c>
      <c r="S22">
        <v>3265.25</v>
      </c>
      <c r="T22">
        <v>3278.43</v>
      </c>
      <c r="U22">
        <v>3285.78</v>
      </c>
      <c r="V22">
        <v>3286.47</v>
      </c>
      <c r="W22">
        <v>3296.32</v>
      </c>
      <c r="X22">
        <v>3295.69</v>
      </c>
      <c r="Y22">
        <v>3286.85</v>
      </c>
      <c r="Z22">
        <v>3288.77</v>
      </c>
      <c r="AA22">
        <v>3289.6</v>
      </c>
      <c r="AB22">
        <v>3296.14</v>
      </c>
      <c r="AC22">
        <v>3284.29</v>
      </c>
      <c r="AD22">
        <v>3264.43</v>
      </c>
      <c r="AE22">
        <v>3253.89</v>
      </c>
      <c r="AF22">
        <v>3260.28</v>
      </c>
      <c r="AG22">
        <v>3251.32</v>
      </c>
      <c r="AH22">
        <v>3246.23</v>
      </c>
      <c r="AI22">
        <v>3255.45</v>
      </c>
      <c r="AJ22">
        <v>3247.75</v>
      </c>
      <c r="AK22">
        <v>3238.12</v>
      </c>
      <c r="AL22">
        <v>3230.49</v>
      </c>
      <c r="AM22">
        <v>3236.6</v>
      </c>
      <c r="AN22">
        <v>3222.71</v>
      </c>
      <c r="AO22">
        <v>3212.57</v>
      </c>
      <c r="AP22">
        <v>3203.66</v>
      </c>
      <c r="AQ22">
        <v>3204.1</v>
      </c>
      <c r="AR22">
        <v>3196.59</v>
      </c>
      <c r="AS22">
        <v>3190.77</v>
      </c>
      <c r="AT22">
        <v>3205.54</v>
      </c>
      <c r="AU22">
        <v>3211.87</v>
      </c>
      <c r="AV22">
        <v>3210.99</v>
      </c>
      <c r="AW22">
        <v>3211.57</v>
      </c>
      <c r="AX22">
        <v>3211.77</v>
      </c>
      <c r="AY22">
        <v>3218.08</v>
      </c>
      <c r="AZ22">
        <v>3224.1</v>
      </c>
      <c r="BA22">
        <v>3238.61</v>
      </c>
      <c r="BB22">
        <v>3240.51</v>
      </c>
      <c r="BC22">
        <v>3243.7</v>
      </c>
      <c r="BD22">
        <v>3252.12</v>
      </c>
      <c r="BE22">
        <v>3251.85</v>
      </c>
      <c r="BF22">
        <v>3258.66</v>
      </c>
      <c r="BG22">
        <v>3260.44</v>
      </c>
      <c r="BH22">
        <v>3256.31</v>
      </c>
      <c r="BI22">
        <v>3246.56</v>
      </c>
      <c r="BJ22">
        <v>3250.87</v>
      </c>
      <c r="BK22">
        <v>3248.33</v>
      </c>
      <c r="BL22">
        <v>3250.78</v>
      </c>
      <c r="BM22">
        <v>3244.2</v>
      </c>
      <c r="BN22">
        <v>3231.57</v>
      </c>
      <c r="BO22">
        <v>3243.66</v>
      </c>
      <c r="BP22">
        <v>3243.8</v>
      </c>
      <c r="BQ22">
        <v>3241.37</v>
      </c>
      <c r="BR22">
        <v>3249.17</v>
      </c>
      <c r="BS22">
        <v>3252.43</v>
      </c>
      <c r="BT22">
        <v>3250.83</v>
      </c>
      <c r="BU22">
        <v>3260.71</v>
      </c>
      <c r="BV22">
        <v>3263.07</v>
      </c>
      <c r="BW22">
        <v>3270.47</v>
      </c>
      <c r="BX22">
        <v>3270.71</v>
      </c>
      <c r="BY22">
        <v>3277.92</v>
      </c>
      <c r="BZ22">
        <v>3279.53</v>
      </c>
      <c r="CA22">
        <v>3266.79</v>
      </c>
      <c r="CB22">
        <v>3263.5</v>
      </c>
      <c r="CC22">
        <v>3265.53</v>
      </c>
      <c r="CD22">
        <v>3262.73</v>
      </c>
      <c r="CE22">
        <v>3258.55</v>
      </c>
      <c r="CF22">
        <v>3253.41</v>
      </c>
      <c r="CG22">
        <v>3265.29</v>
      </c>
      <c r="CH22">
        <v>3264.64</v>
      </c>
      <c r="CI22">
        <v>3264.08</v>
      </c>
      <c r="CJ22">
        <v>3268.56</v>
      </c>
      <c r="CK22">
        <v>3272.23</v>
      </c>
      <c r="CL22">
        <v>3274.8</v>
      </c>
      <c r="CM22">
        <v>3287.34</v>
      </c>
      <c r="CN22">
        <v>3289.06</v>
      </c>
      <c r="CO22">
        <v>3291.5</v>
      </c>
      <c r="CP22">
        <v>3275.38</v>
      </c>
      <c r="CQ22">
        <v>3269.32</v>
      </c>
      <c r="CR22">
        <v>3258.57</v>
      </c>
      <c r="CS22">
        <v>3261.12</v>
      </c>
    </row>
    <row r="23" spans="1:97">
      <c r="A23" s="9">
        <v>46256</v>
      </c>
      <c r="B23">
        <v>3262.19</v>
      </c>
      <c r="C23">
        <v>3257.07</v>
      </c>
      <c r="D23">
        <v>3256.59</v>
      </c>
      <c r="E23">
        <v>3259.94</v>
      </c>
      <c r="F23">
        <v>3267.3</v>
      </c>
      <c r="G23">
        <v>3275.27</v>
      </c>
      <c r="H23">
        <v>3278.24</v>
      </c>
      <c r="I23">
        <v>3275.06</v>
      </c>
      <c r="J23">
        <v>3268.33</v>
      </c>
      <c r="K23">
        <v>3264.38</v>
      </c>
      <c r="L23">
        <v>3270.99</v>
      </c>
      <c r="M23">
        <v>3269.61</v>
      </c>
      <c r="N23">
        <v>3249.82</v>
      </c>
      <c r="O23">
        <v>3249.3</v>
      </c>
      <c r="P23">
        <v>3268.6</v>
      </c>
      <c r="Q23">
        <v>3267.26</v>
      </c>
      <c r="R23">
        <v>3268.38</v>
      </c>
      <c r="S23">
        <v>3269.56</v>
      </c>
      <c r="T23">
        <v>3279.67</v>
      </c>
      <c r="U23">
        <v>3285.31</v>
      </c>
      <c r="V23">
        <v>3288.89</v>
      </c>
      <c r="W23">
        <v>3291.41</v>
      </c>
      <c r="X23">
        <v>3298.18</v>
      </c>
      <c r="Y23">
        <v>3289.23</v>
      </c>
      <c r="Z23">
        <v>3290.66</v>
      </c>
      <c r="AA23">
        <v>3291.32</v>
      </c>
      <c r="AB23">
        <v>3295.61</v>
      </c>
      <c r="AC23">
        <v>3282.93</v>
      </c>
      <c r="AD23">
        <v>3271.14</v>
      </c>
      <c r="AE23">
        <v>3252.52</v>
      </c>
      <c r="AF23">
        <v>3258.53</v>
      </c>
      <c r="AG23">
        <v>3251.2</v>
      </c>
      <c r="AH23">
        <v>3239.55</v>
      </c>
      <c r="AI23">
        <v>3245.08</v>
      </c>
      <c r="AJ23">
        <v>3250.04</v>
      </c>
      <c r="AK23">
        <v>3243.76</v>
      </c>
      <c r="AL23">
        <v>3232.96</v>
      </c>
      <c r="AM23">
        <v>3236.23</v>
      </c>
      <c r="AN23">
        <v>3220.43</v>
      </c>
      <c r="AO23">
        <v>3209.63</v>
      </c>
      <c r="AP23">
        <v>3203.85</v>
      </c>
      <c r="AQ23">
        <v>3201.07</v>
      </c>
      <c r="AR23">
        <v>3201.29</v>
      </c>
      <c r="AS23">
        <v>3196.84</v>
      </c>
      <c r="AT23">
        <v>3207.42</v>
      </c>
      <c r="AU23">
        <v>3211.19</v>
      </c>
      <c r="AV23">
        <v>3205.28</v>
      </c>
      <c r="AW23">
        <v>3209.76</v>
      </c>
      <c r="AX23">
        <v>3209.63</v>
      </c>
      <c r="AY23">
        <v>3216.56</v>
      </c>
      <c r="AZ23">
        <v>3222.39</v>
      </c>
      <c r="BA23">
        <v>3241.47</v>
      </c>
      <c r="BB23">
        <v>3241.04</v>
      </c>
      <c r="BC23">
        <v>3245.37</v>
      </c>
      <c r="BD23">
        <v>3253.69</v>
      </c>
      <c r="BE23">
        <v>3258.6</v>
      </c>
      <c r="BF23">
        <v>3263.13</v>
      </c>
      <c r="BG23">
        <v>3263.95</v>
      </c>
      <c r="BH23">
        <v>3259.87</v>
      </c>
      <c r="BI23">
        <v>3254.31</v>
      </c>
      <c r="BJ23">
        <v>3259.46</v>
      </c>
      <c r="BK23">
        <v>3259.3</v>
      </c>
      <c r="BL23">
        <v>3262.15</v>
      </c>
      <c r="BM23">
        <v>3261.19</v>
      </c>
      <c r="BN23">
        <v>3244.37</v>
      </c>
      <c r="BO23">
        <v>3252.03</v>
      </c>
      <c r="BP23">
        <v>3243.9</v>
      </c>
      <c r="BQ23">
        <v>3235.94</v>
      </c>
      <c r="BR23">
        <v>3235.64</v>
      </c>
      <c r="BS23">
        <v>3242.29</v>
      </c>
      <c r="BT23">
        <v>3241.37</v>
      </c>
      <c r="BU23">
        <v>3255.53</v>
      </c>
      <c r="BV23">
        <v>3252.49</v>
      </c>
      <c r="BW23">
        <v>3259.71</v>
      </c>
      <c r="BX23">
        <v>3256.59</v>
      </c>
      <c r="BY23">
        <v>3261.83</v>
      </c>
      <c r="BZ23">
        <v>3262.53</v>
      </c>
      <c r="CA23">
        <v>3261.25</v>
      </c>
      <c r="CB23">
        <v>3252.44</v>
      </c>
      <c r="CC23">
        <v>3258.7</v>
      </c>
      <c r="CD23">
        <v>3260.04</v>
      </c>
      <c r="CE23">
        <v>3254.65</v>
      </c>
      <c r="CF23">
        <v>3263.77</v>
      </c>
      <c r="CG23">
        <v>3267.6</v>
      </c>
      <c r="CH23">
        <v>3269.53</v>
      </c>
      <c r="CI23">
        <v>3272.76</v>
      </c>
      <c r="CJ23">
        <v>3269.49</v>
      </c>
      <c r="CK23">
        <v>3273.81</v>
      </c>
      <c r="CL23">
        <v>3274.76</v>
      </c>
      <c r="CM23">
        <v>3275.68</v>
      </c>
      <c r="CN23">
        <v>3280.93</v>
      </c>
      <c r="CO23">
        <v>3280.32</v>
      </c>
      <c r="CP23">
        <v>3263.75</v>
      </c>
      <c r="CQ23">
        <v>3265.98</v>
      </c>
      <c r="CR23">
        <v>3254.06</v>
      </c>
      <c r="CS23">
        <v>3251.61</v>
      </c>
    </row>
    <row r="24" spans="1:97">
      <c r="A24" s="9">
        <v>46257</v>
      </c>
      <c r="B24">
        <v>3263.19</v>
      </c>
      <c r="C24">
        <v>3258.07</v>
      </c>
      <c r="D24">
        <v>3257.59</v>
      </c>
      <c r="E24">
        <v>3260.94</v>
      </c>
      <c r="F24">
        <v>3268.3</v>
      </c>
      <c r="G24">
        <v>3276.27</v>
      </c>
      <c r="H24">
        <v>3279.24</v>
      </c>
      <c r="I24">
        <v>3276.06</v>
      </c>
      <c r="J24">
        <v>3269.33</v>
      </c>
      <c r="K24">
        <v>3265.38</v>
      </c>
      <c r="L24">
        <v>3271.99</v>
      </c>
      <c r="M24">
        <v>3270.61</v>
      </c>
      <c r="N24">
        <v>3250.82</v>
      </c>
      <c r="O24">
        <v>3250.3</v>
      </c>
      <c r="P24">
        <v>3269.6</v>
      </c>
      <c r="Q24">
        <v>3268.26</v>
      </c>
      <c r="R24">
        <v>3269.38</v>
      </c>
      <c r="S24">
        <v>3270.56</v>
      </c>
      <c r="T24">
        <v>3280.67</v>
      </c>
      <c r="U24">
        <v>3286.31</v>
      </c>
      <c r="V24">
        <v>3289.89</v>
      </c>
      <c r="W24">
        <v>3292.41</v>
      </c>
      <c r="X24">
        <v>3299.18</v>
      </c>
      <c r="Y24">
        <v>3290.23</v>
      </c>
      <c r="Z24">
        <v>3291.66</v>
      </c>
      <c r="AA24">
        <v>3292.32</v>
      </c>
      <c r="AB24">
        <v>3296.61</v>
      </c>
      <c r="AC24">
        <v>3283.93</v>
      </c>
      <c r="AD24">
        <v>3272.14</v>
      </c>
      <c r="AE24">
        <v>3253.52</v>
      </c>
      <c r="AF24">
        <v>3259.53</v>
      </c>
      <c r="AG24">
        <v>3252.2</v>
      </c>
      <c r="AH24">
        <v>3240.55</v>
      </c>
      <c r="AI24">
        <v>3246.08</v>
      </c>
      <c r="AJ24">
        <v>3251.04</v>
      </c>
      <c r="AK24">
        <v>3244.76</v>
      </c>
      <c r="AL24">
        <v>3233.96</v>
      </c>
      <c r="AM24">
        <v>3237.23</v>
      </c>
      <c r="AN24">
        <v>3221.43</v>
      </c>
      <c r="AO24">
        <v>3210.63</v>
      </c>
      <c r="AP24">
        <v>3204.85</v>
      </c>
      <c r="AQ24">
        <v>3202.07</v>
      </c>
      <c r="AR24">
        <v>3202.29</v>
      </c>
      <c r="AS24">
        <v>3197.84</v>
      </c>
      <c r="AT24">
        <v>3208.42</v>
      </c>
      <c r="AU24">
        <v>3212.19</v>
      </c>
      <c r="AV24">
        <v>3206.28</v>
      </c>
      <c r="AW24">
        <v>3210.76</v>
      </c>
      <c r="AX24">
        <v>3210.63</v>
      </c>
      <c r="AY24">
        <v>3217.56</v>
      </c>
      <c r="AZ24">
        <v>3223.39</v>
      </c>
      <c r="BA24">
        <v>3242.47</v>
      </c>
      <c r="BB24">
        <v>3242.04</v>
      </c>
      <c r="BC24">
        <v>3246.37</v>
      </c>
      <c r="BD24">
        <v>3254.69</v>
      </c>
      <c r="BE24">
        <v>3259.6</v>
      </c>
      <c r="BF24">
        <v>3264.13</v>
      </c>
      <c r="BG24">
        <v>3264.95</v>
      </c>
      <c r="BH24">
        <v>3260.87</v>
      </c>
      <c r="BI24">
        <v>3255.31</v>
      </c>
      <c r="BJ24">
        <v>3260.46</v>
      </c>
      <c r="BK24">
        <v>3260.3</v>
      </c>
      <c r="BL24">
        <v>3263.15</v>
      </c>
      <c r="BM24">
        <v>3262.19</v>
      </c>
      <c r="BN24">
        <v>3245.37</v>
      </c>
      <c r="BO24">
        <v>3253.03</v>
      </c>
      <c r="BP24">
        <v>3244.9</v>
      </c>
      <c r="BQ24">
        <v>3236.94</v>
      </c>
      <c r="BR24">
        <v>3236.64</v>
      </c>
      <c r="BS24">
        <v>3243.29</v>
      </c>
      <c r="BT24">
        <v>3242.37</v>
      </c>
      <c r="BU24">
        <v>3256.53</v>
      </c>
      <c r="BV24">
        <v>3253.49</v>
      </c>
      <c r="BW24">
        <v>3260.71</v>
      </c>
      <c r="BX24">
        <v>3257.59</v>
      </c>
      <c r="BY24">
        <v>3262.83</v>
      </c>
      <c r="BZ24">
        <v>3263.53</v>
      </c>
      <c r="CA24">
        <v>3262.25</v>
      </c>
      <c r="CB24">
        <v>3253.44</v>
      </c>
      <c r="CC24">
        <v>3259.7</v>
      </c>
      <c r="CD24">
        <v>3261.04</v>
      </c>
      <c r="CE24">
        <v>3255.65</v>
      </c>
      <c r="CF24">
        <v>3264.77</v>
      </c>
      <c r="CG24">
        <v>3268.6</v>
      </c>
      <c r="CH24">
        <v>3270.53</v>
      </c>
      <c r="CI24">
        <v>3273.76</v>
      </c>
      <c r="CJ24">
        <v>3270.49</v>
      </c>
      <c r="CK24">
        <v>3274.81</v>
      </c>
      <c r="CL24">
        <v>3275.76</v>
      </c>
      <c r="CM24">
        <v>3276.68</v>
      </c>
      <c r="CN24">
        <v>3281.93</v>
      </c>
      <c r="CO24">
        <v>3281.32</v>
      </c>
      <c r="CP24">
        <v>3264.75</v>
      </c>
      <c r="CQ24">
        <v>3266.98</v>
      </c>
      <c r="CR24">
        <v>3255.06</v>
      </c>
      <c r="CS24">
        <v>3252.61</v>
      </c>
    </row>
    <row r="25" spans="1:97">
      <c r="A25" s="9">
        <v>46258</v>
      </c>
      <c r="B25">
        <v>3204.97</v>
      </c>
      <c r="C25">
        <v>3222.47</v>
      </c>
      <c r="D25">
        <v>3220.28</v>
      </c>
      <c r="E25">
        <v>3220.49</v>
      </c>
      <c r="F25">
        <v>3225.39</v>
      </c>
      <c r="G25">
        <v>3224.42</v>
      </c>
      <c r="H25">
        <v>3231.23</v>
      </c>
      <c r="I25">
        <v>3227.24</v>
      </c>
      <c r="J25">
        <v>3231.33</v>
      </c>
      <c r="K25">
        <v>3235.1</v>
      </c>
      <c r="L25">
        <v>3231.04</v>
      </c>
      <c r="M25">
        <v>3226.78</v>
      </c>
      <c r="N25">
        <v>3216.43</v>
      </c>
      <c r="O25">
        <v>3219.55</v>
      </c>
      <c r="P25">
        <v>3226.68</v>
      </c>
      <c r="Q25">
        <v>3219.42</v>
      </c>
      <c r="R25">
        <v>3226.39</v>
      </c>
      <c r="S25">
        <v>3230.34</v>
      </c>
      <c r="T25">
        <v>3238.35</v>
      </c>
      <c r="U25">
        <v>3239.8</v>
      </c>
      <c r="V25">
        <v>3240.33</v>
      </c>
      <c r="W25">
        <v>3257.81</v>
      </c>
      <c r="X25">
        <v>3269.47</v>
      </c>
      <c r="Y25">
        <v>3253.4</v>
      </c>
      <c r="Z25">
        <v>3257.3</v>
      </c>
      <c r="AA25">
        <v>3256.49</v>
      </c>
      <c r="AB25">
        <v>3256.51</v>
      </c>
      <c r="AC25">
        <v>3254.63</v>
      </c>
      <c r="AD25">
        <v>3247.32</v>
      </c>
      <c r="AE25">
        <v>3239.96</v>
      </c>
      <c r="AF25">
        <v>3238.92</v>
      </c>
      <c r="AG25">
        <v>3229.79</v>
      </c>
      <c r="AH25">
        <v>3200.74</v>
      </c>
      <c r="AI25">
        <v>3192.54</v>
      </c>
      <c r="AJ25">
        <v>3192.1</v>
      </c>
      <c r="AK25">
        <v>3181.01</v>
      </c>
      <c r="AL25">
        <v>3174.86</v>
      </c>
      <c r="AM25">
        <v>3183.58</v>
      </c>
      <c r="AN25">
        <v>3174.32</v>
      </c>
      <c r="AO25">
        <v>3175.16</v>
      </c>
      <c r="AP25">
        <v>3165.56</v>
      </c>
      <c r="AQ25">
        <v>3157.41</v>
      </c>
      <c r="AR25">
        <v>3167.62</v>
      </c>
      <c r="AS25">
        <v>3163.99</v>
      </c>
      <c r="AT25">
        <v>3169.38</v>
      </c>
      <c r="AU25">
        <v>3160.47</v>
      </c>
      <c r="AV25">
        <v>3154.44</v>
      </c>
      <c r="AW25">
        <v>3154.27</v>
      </c>
      <c r="AX25">
        <v>3150.92</v>
      </c>
      <c r="AY25">
        <v>3156.74</v>
      </c>
      <c r="AZ25">
        <v>3156.83</v>
      </c>
      <c r="BA25">
        <v>3170.01</v>
      </c>
      <c r="BB25">
        <v>3161.45</v>
      </c>
      <c r="BC25">
        <v>3157.39</v>
      </c>
      <c r="BD25">
        <v>3165.19</v>
      </c>
      <c r="BE25">
        <v>3179.5</v>
      </c>
      <c r="BF25">
        <v>3176.37</v>
      </c>
      <c r="BG25">
        <v>3171.08</v>
      </c>
      <c r="BH25">
        <v>3170.31</v>
      </c>
      <c r="BI25">
        <v>3164.01</v>
      </c>
      <c r="BJ25">
        <v>3173.23</v>
      </c>
      <c r="BK25">
        <v>3174.41</v>
      </c>
      <c r="BL25">
        <v>3171.12</v>
      </c>
      <c r="BM25">
        <v>3170.05</v>
      </c>
      <c r="BN25">
        <v>3150.09</v>
      </c>
      <c r="BO25">
        <v>3162.43</v>
      </c>
      <c r="BP25">
        <v>3151.12</v>
      </c>
      <c r="BQ25">
        <v>3144.41</v>
      </c>
      <c r="BR25">
        <v>3147.15</v>
      </c>
      <c r="BS25">
        <v>3147.69</v>
      </c>
      <c r="BT25">
        <v>3148.77</v>
      </c>
      <c r="BU25">
        <v>3165.76</v>
      </c>
      <c r="BV25">
        <v>3162.36</v>
      </c>
      <c r="BW25">
        <v>3152.28</v>
      </c>
      <c r="BX25">
        <v>3150.77</v>
      </c>
      <c r="BY25">
        <v>3158.87</v>
      </c>
      <c r="BZ25">
        <v>3160.86</v>
      </c>
      <c r="CA25">
        <v>3159.35</v>
      </c>
      <c r="CB25">
        <v>3151.15</v>
      </c>
      <c r="CC25">
        <v>3152.6</v>
      </c>
      <c r="CD25">
        <v>3144.19</v>
      </c>
      <c r="CE25">
        <v>3160.03</v>
      </c>
      <c r="CF25">
        <v>3155</v>
      </c>
      <c r="CG25">
        <v>3155.79</v>
      </c>
      <c r="CH25">
        <v>3138.45</v>
      </c>
      <c r="CI25">
        <v>3136.59</v>
      </c>
      <c r="CJ25">
        <v>3127.45</v>
      </c>
      <c r="CK25">
        <v>3128.18</v>
      </c>
      <c r="CL25">
        <v>3131.54</v>
      </c>
      <c r="CM25">
        <v>3132.93</v>
      </c>
      <c r="CN25">
        <v>3135.09</v>
      </c>
      <c r="CO25">
        <v>3137.36</v>
      </c>
      <c r="CP25">
        <v>3117.31</v>
      </c>
      <c r="CQ25">
        <v>3117.97</v>
      </c>
      <c r="CR25">
        <v>3114.25</v>
      </c>
      <c r="CS25">
        <v>3112.6</v>
      </c>
    </row>
    <row r="26" spans="1:97">
      <c r="A26" s="9">
        <v>46259</v>
      </c>
      <c r="B26">
        <v>3116.09</v>
      </c>
      <c r="C26">
        <v>3128.71</v>
      </c>
      <c r="D26">
        <v>3125.76</v>
      </c>
      <c r="E26">
        <v>3125.06</v>
      </c>
      <c r="F26">
        <v>3130.2</v>
      </c>
      <c r="G26">
        <v>3131.35</v>
      </c>
      <c r="H26">
        <v>3136.72</v>
      </c>
      <c r="I26">
        <v>3129.87</v>
      </c>
      <c r="J26">
        <v>3141.44</v>
      </c>
      <c r="K26">
        <v>3149.41</v>
      </c>
      <c r="L26">
        <v>3140.76</v>
      </c>
      <c r="M26">
        <v>3139.14</v>
      </c>
      <c r="N26">
        <v>3133.83</v>
      </c>
      <c r="O26">
        <v>3137.95</v>
      </c>
      <c r="P26">
        <v>3139.96</v>
      </c>
      <c r="Q26">
        <v>3134.19</v>
      </c>
      <c r="R26">
        <v>3140.77</v>
      </c>
      <c r="S26">
        <v>3147.32</v>
      </c>
      <c r="T26">
        <v>3167.44</v>
      </c>
      <c r="U26">
        <v>3167.08</v>
      </c>
      <c r="V26">
        <v>3164.93</v>
      </c>
      <c r="W26">
        <v>3177.63</v>
      </c>
      <c r="X26">
        <v>3193.35</v>
      </c>
      <c r="Y26">
        <v>3183.5</v>
      </c>
      <c r="Z26">
        <v>3185.79</v>
      </c>
      <c r="AA26">
        <v>3188.74</v>
      </c>
      <c r="AB26">
        <v>3182.71</v>
      </c>
      <c r="AC26">
        <v>3177.51</v>
      </c>
      <c r="AD26">
        <v>3173.54</v>
      </c>
      <c r="AE26">
        <v>3164.87</v>
      </c>
      <c r="AF26">
        <v>3161.73</v>
      </c>
      <c r="AG26">
        <v>3155.57</v>
      </c>
      <c r="AH26">
        <v>3132.22</v>
      </c>
      <c r="AI26">
        <v>3123.53</v>
      </c>
      <c r="AJ26">
        <v>3119.56</v>
      </c>
      <c r="AK26">
        <v>3108.7</v>
      </c>
      <c r="AL26">
        <v>3102.85</v>
      </c>
      <c r="AM26">
        <v>3106.33</v>
      </c>
      <c r="AN26">
        <v>3107.24</v>
      </c>
      <c r="AO26">
        <v>3113.13</v>
      </c>
      <c r="AP26">
        <v>3111.83</v>
      </c>
      <c r="AQ26">
        <v>3095.05</v>
      </c>
      <c r="AR26">
        <v>3102.32</v>
      </c>
      <c r="AS26">
        <v>3094.36</v>
      </c>
      <c r="AT26">
        <v>3103.31</v>
      </c>
      <c r="AU26">
        <v>3095.35</v>
      </c>
      <c r="AV26">
        <v>3090.91</v>
      </c>
      <c r="AW26">
        <v>3088.61</v>
      </c>
      <c r="AX26">
        <v>3082.23</v>
      </c>
      <c r="AY26">
        <v>3085.23</v>
      </c>
      <c r="AZ26">
        <v>3083.62</v>
      </c>
      <c r="BA26">
        <v>3098.82</v>
      </c>
      <c r="BB26">
        <v>3089.3</v>
      </c>
      <c r="BC26">
        <v>3083.25</v>
      </c>
      <c r="BD26">
        <v>3091.75</v>
      </c>
      <c r="BE26">
        <v>3100.31</v>
      </c>
      <c r="BF26">
        <v>3093.04</v>
      </c>
      <c r="BG26">
        <v>3093.14</v>
      </c>
      <c r="BH26">
        <v>3092.61</v>
      </c>
      <c r="BI26">
        <v>3085.89</v>
      </c>
      <c r="BJ26">
        <v>3092.23</v>
      </c>
      <c r="BK26">
        <v>3089.89</v>
      </c>
      <c r="BL26">
        <v>3096.36</v>
      </c>
      <c r="BM26">
        <v>3098.86</v>
      </c>
      <c r="BN26">
        <v>3080.58</v>
      </c>
      <c r="BO26">
        <v>3093.27</v>
      </c>
      <c r="BP26">
        <v>3085.4</v>
      </c>
      <c r="BQ26">
        <v>3073.07</v>
      </c>
      <c r="BR26">
        <v>3073.09</v>
      </c>
      <c r="BS26">
        <v>3074.04</v>
      </c>
      <c r="BT26">
        <v>3073.36</v>
      </c>
      <c r="BU26">
        <v>3085.71</v>
      </c>
      <c r="BV26">
        <v>3083.3</v>
      </c>
      <c r="BW26">
        <v>3073.95</v>
      </c>
      <c r="BX26">
        <v>3072.72</v>
      </c>
      <c r="BY26">
        <v>3089.04</v>
      </c>
      <c r="BZ26">
        <v>3096.36</v>
      </c>
      <c r="CA26">
        <v>3092.8</v>
      </c>
      <c r="CB26">
        <v>3085.03</v>
      </c>
      <c r="CC26">
        <v>3089.77</v>
      </c>
      <c r="CD26">
        <v>3079.61</v>
      </c>
      <c r="CE26">
        <v>3096.29</v>
      </c>
      <c r="CF26">
        <v>3086.31</v>
      </c>
      <c r="CG26">
        <v>3086.22</v>
      </c>
      <c r="CH26">
        <v>3072.35</v>
      </c>
      <c r="CI26">
        <v>3066.6</v>
      </c>
      <c r="CJ26">
        <v>3059.25</v>
      </c>
      <c r="CK26">
        <v>3058.84</v>
      </c>
      <c r="CL26">
        <v>3067.21</v>
      </c>
      <c r="CM26">
        <v>3065.87</v>
      </c>
      <c r="CN26">
        <v>3072.03</v>
      </c>
      <c r="CO26">
        <v>3074.28</v>
      </c>
      <c r="CP26">
        <v>3054.57</v>
      </c>
      <c r="CQ26">
        <v>3060.59</v>
      </c>
      <c r="CR26">
        <v>3051.08</v>
      </c>
      <c r="CS26">
        <v>3051.72</v>
      </c>
    </row>
    <row r="27" spans="1:97">
      <c r="A27" s="9">
        <v>46260</v>
      </c>
      <c r="B27">
        <v>3048.11</v>
      </c>
      <c r="C27">
        <v>3049.26</v>
      </c>
      <c r="D27">
        <v>3047.67</v>
      </c>
      <c r="E27">
        <v>3050.24</v>
      </c>
      <c r="F27">
        <v>3051.61</v>
      </c>
      <c r="G27">
        <v>3049.77</v>
      </c>
      <c r="H27">
        <v>3060.06</v>
      </c>
      <c r="I27">
        <v>3067.49</v>
      </c>
      <c r="J27">
        <v>3078.81</v>
      </c>
      <c r="K27">
        <v>3079.09</v>
      </c>
      <c r="L27">
        <v>3072.6</v>
      </c>
      <c r="M27">
        <v>3074.2</v>
      </c>
      <c r="N27">
        <v>3071.9</v>
      </c>
      <c r="O27">
        <v>3080.25</v>
      </c>
      <c r="P27">
        <v>3083.34</v>
      </c>
      <c r="Q27">
        <v>3081.06</v>
      </c>
      <c r="R27">
        <v>3088.23</v>
      </c>
      <c r="S27">
        <v>3092.16</v>
      </c>
      <c r="T27">
        <v>3103.49</v>
      </c>
      <c r="U27">
        <v>3106.97</v>
      </c>
      <c r="V27">
        <v>3104.26</v>
      </c>
      <c r="W27">
        <v>3112.61</v>
      </c>
      <c r="X27">
        <v>3127.13</v>
      </c>
      <c r="Y27">
        <v>3115.61</v>
      </c>
      <c r="Z27">
        <v>3120.91</v>
      </c>
      <c r="AA27">
        <v>3117.98</v>
      </c>
      <c r="AB27">
        <v>3107.47</v>
      </c>
      <c r="AC27">
        <v>3090.69</v>
      </c>
      <c r="AD27">
        <v>3090.26</v>
      </c>
      <c r="AE27">
        <v>3093.51</v>
      </c>
      <c r="AF27">
        <v>3097.79</v>
      </c>
      <c r="AG27">
        <v>3098.6</v>
      </c>
      <c r="AH27">
        <v>3076.1</v>
      </c>
      <c r="AI27">
        <v>3065.09</v>
      </c>
      <c r="AJ27">
        <v>3066.7</v>
      </c>
      <c r="AK27">
        <v>3055.42</v>
      </c>
      <c r="AL27">
        <v>3052.76</v>
      </c>
      <c r="AM27">
        <v>3052.27</v>
      </c>
      <c r="AN27">
        <v>3059.69</v>
      </c>
      <c r="AO27">
        <v>3069.43</v>
      </c>
      <c r="AP27">
        <v>3072</v>
      </c>
      <c r="AQ27">
        <v>3057.64</v>
      </c>
      <c r="AR27">
        <v>3064.01</v>
      </c>
      <c r="AS27">
        <v>3059.18</v>
      </c>
      <c r="AT27">
        <v>3074.36</v>
      </c>
      <c r="AU27">
        <v>3068</v>
      </c>
      <c r="AV27">
        <v>3069.72</v>
      </c>
      <c r="AW27">
        <v>3064.56</v>
      </c>
      <c r="AX27">
        <v>3060.09</v>
      </c>
      <c r="AY27">
        <v>3066.5</v>
      </c>
      <c r="AZ27">
        <v>3071.12</v>
      </c>
      <c r="BA27">
        <v>3081.09</v>
      </c>
      <c r="BB27">
        <v>3070.98</v>
      </c>
      <c r="BC27">
        <v>3074.25</v>
      </c>
      <c r="BD27">
        <v>3077.34</v>
      </c>
      <c r="BE27">
        <v>3083.86</v>
      </c>
      <c r="BF27">
        <v>3071.87</v>
      </c>
      <c r="BG27">
        <v>3069.8</v>
      </c>
      <c r="BH27">
        <v>3074.08</v>
      </c>
      <c r="BI27">
        <v>3068.5</v>
      </c>
      <c r="BJ27">
        <v>3070.92</v>
      </c>
      <c r="BK27">
        <v>3068.79</v>
      </c>
      <c r="BL27">
        <v>3063.26</v>
      </c>
      <c r="BM27">
        <v>3071.44</v>
      </c>
      <c r="BN27">
        <v>3053.92</v>
      </c>
      <c r="BO27">
        <v>3063.89</v>
      </c>
      <c r="BP27">
        <v>3055.31</v>
      </c>
      <c r="BQ27">
        <v>3051.82</v>
      </c>
      <c r="BR27">
        <v>3056.62</v>
      </c>
      <c r="BS27">
        <v>3062.78</v>
      </c>
      <c r="BT27">
        <v>3063.88</v>
      </c>
      <c r="BU27">
        <v>3076.65</v>
      </c>
      <c r="BV27">
        <v>3064.59</v>
      </c>
      <c r="BW27">
        <v>3050.63</v>
      </c>
      <c r="BX27">
        <v>3044.09</v>
      </c>
      <c r="BY27">
        <v>3064.86</v>
      </c>
      <c r="BZ27">
        <v>3073.1</v>
      </c>
      <c r="CA27">
        <v>3076.4</v>
      </c>
      <c r="CB27">
        <v>3075.29</v>
      </c>
      <c r="CC27">
        <v>3079.13</v>
      </c>
      <c r="CD27">
        <v>3065.34</v>
      </c>
      <c r="CE27">
        <v>3077.49</v>
      </c>
      <c r="CF27">
        <v>3066.45</v>
      </c>
      <c r="CG27">
        <v>3069.35</v>
      </c>
      <c r="CH27">
        <v>3054.65</v>
      </c>
      <c r="CI27">
        <v>3046.95</v>
      </c>
      <c r="CJ27">
        <v>3033.86</v>
      </c>
      <c r="CK27">
        <v>3033.55</v>
      </c>
      <c r="CL27">
        <v>3041.91</v>
      </c>
      <c r="CM27">
        <v>3041.83</v>
      </c>
      <c r="CN27">
        <v>3049.06</v>
      </c>
      <c r="CO27">
        <v>3054.03</v>
      </c>
      <c r="CP27">
        <v>3045.01</v>
      </c>
      <c r="CQ27">
        <v>3051.23</v>
      </c>
      <c r="CR27">
        <v>3040.97</v>
      </c>
      <c r="CS27">
        <v>3046.41</v>
      </c>
    </row>
    <row r="28" spans="1:97">
      <c r="A28" s="9">
        <v>46261</v>
      </c>
      <c r="B28">
        <v>3029.48</v>
      </c>
      <c r="C28">
        <v>3032.28</v>
      </c>
      <c r="D28">
        <v>3033.12</v>
      </c>
      <c r="E28">
        <v>3036.16</v>
      </c>
      <c r="F28">
        <v>3036.02</v>
      </c>
      <c r="G28">
        <v>3037.82</v>
      </c>
      <c r="H28">
        <v>3045.54</v>
      </c>
      <c r="I28">
        <v>3048.66</v>
      </c>
      <c r="J28">
        <v>3059.49</v>
      </c>
      <c r="K28">
        <v>3065.99</v>
      </c>
      <c r="L28">
        <v>3059.13</v>
      </c>
      <c r="M28">
        <v>3063.3</v>
      </c>
      <c r="N28">
        <v>3066.98</v>
      </c>
      <c r="O28">
        <v>3075.35</v>
      </c>
      <c r="P28">
        <v>3074.97</v>
      </c>
      <c r="Q28">
        <v>3071.91</v>
      </c>
      <c r="R28">
        <v>3075.17</v>
      </c>
      <c r="S28">
        <v>3081.49</v>
      </c>
      <c r="T28">
        <v>3094.51</v>
      </c>
      <c r="U28">
        <v>3096.33</v>
      </c>
      <c r="V28">
        <v>3092.59</v>
      </c>
      <c r="W28">
        <v>3100.83</v>
      </c>
      <c r="X28">
        <v>3107.77</v>
      </c>
      <c r="Y28">
        <v>3095.38</v>
      </c>
      <c r="Z28">
        <v>3104.72</v>
      </c>
      <c r="AA28">
        <v>3098.28</v>
      </c>
      <c r="AB28">
        <v>3081.43</v>
      </c>
      <c r="AC28">
        <v>3064.24</v>
      </c>
      <c r="AD28">
        <v>3064.16</v>
      </c>
      <c r="AE28">
        <v>3074.43</v>
      </c>
      <c r="AF28">
        <v>3085.94</v>
      </c>
      <c r="AG28">
        <v>3089.68</v>
      </c>
      <c r="AH28">
        <v>3067.92</v>
      </c>
      <c r="AI28">
        <v>3064.55</v>
      </c>
      <c r="AJ28">
        <v>3063.11</v>
      </c>
      <c r="AK28">
        <v>3054.53</v>
      </c>
      <c r="AL28">
        <v>3059.3</v>
      </c>
      <c r="AM28">
        <v>3059.94</v>
      </c>
      <c r="AN28">
        <v>3068.5</v>
      </c>
      <c r="AO28">
        <v>3079.67</v>
      </c>
      <c r="AP28">
        <v>3086.65</v>
      </c>
      <c r="AQ28">
        <v>3068.5</v>
      </c>
      <c r="AR28">
        <v>3072.13</v>
      </c>
      <c r="AS28">
        <v>3063.47</v>
      </c>
      <c r="AT28">
        <v>3074.88</v>
      </c>
      <c r="AU28">
        <v>3062.28</v>
      </c>
      <c r="AV28">
        <v>3063.89</v>
      </c>
      <c r="AW28">
        <v>3054.78</v>
      </c>
      <c r="AX28">
        <v>3047.47</v>
      </c>
      <c r="AY28">
        <v>3056.27</v>
      </c>
      <c r="AZ28">
        <v>3063.04</v>
      </c>
      <c r="BA28">
        <v>3075.39</v>
      </c>
      <c r="BB28">
        <v>3066.82</v>
      </c>
      <c r="BC28">
        <v>3069.35</v>
      </c>
      <c r="BD28">
        <v>3071.77</v>
      </c>
      <c r="BE28">
        <v>3080.51</v>
      </c>
      <c r="BF28">
        <v>3068.45</v>
      </c>
      <c r="BG28">
        <v>3069.07</v>
      </c>
      <c r="BH28">
        <v>3071.1</v>
      </c>
      <c r="BI28">
        <v>3073</v>
      </c>
      <c r="BJ28">
        <v>3071.18</v>
      </c>
      <c r="BK28">
        <v>3074.32</v>
      </c>
      <c r="BL28">
        <v>3066.9</v>
      </c>
      <c r="BM28">
        <v>3078.47</v>
      </c>
      <c r="BN28">
        <v>3065.93</v>
      </c>
      <c r="BO28">
        <v>3078.55</v>
      </c>
      <c r="BP28">
        <v>3067.73</v>
      </c>
      <c r="BQ28">
        <v>3071.42</v>
      </c>
      <c r="BR28">
        <v>3076.91</v>
      </c>
      <c r="BS28">
        <v>3077.27</v>
      </c>
      <c r="BT28">
        <v>3071.91</v>
      </c>
      <c r="BU28">
        <v>3085.8</v>
      </c>
      <c r="BV28">
        <v>3076.65</v>
      </c>
      <c r="BW28">
        <v>3057.26</v>
      </c>
      <c r="BX28">
        <v>3055.05</v>
      </c>
      <c r="BY28">
        <v>3074.41</v>
      </c>
      <c r="BZ28">
        <v>3084.8</v>
      </c>
      <c r="CA28">
        <v>3086</v>
      </c>
      <c r="CB28">
        <v>3090.34</v>
      </c>
      <c r="CC28">
        <v>3094.41</v>
      </c>
      <c r="CD28">
        <v>3082.26</v>
      </c>
      <c r="CE28">
        <v>3097.01</v>
      </c>
      <c r="CF28">
        <v>3077.41</v>
      </c>
      <c r="CG28">
        <v>3080.09</v>
      </c>
      <c r="CH28">
        <v>3065.88</v>
      </c>
      <c r="CI28">
        <v>3053.81</v>
      </c>
      <c r="CJ28">
        <v>3043.61</v>
      </c>
      <c r="CK28">
        <v>3042.3</v>
      </c>
      <c r="CL28">
        <v>3044.9</v>
      </c>
      <c r="CM28">
        <v>3045.76</v>
      </c>
      <c r="CN28">
        <v>3050.91</v>
      </c>
      <c r="CO28">
        <v>3057.68</v>
      </c>
      <c r="CP28">
        <v>3048.18</v>
      </c>
      <c r="CQ28">
        <v>3052.39</v>
      </c>
      <c r="CR28">
        <v>3042.05</v>
      </c>
      <c r="CS28">
        <v>3057.35</v>
      </c>
    </row>
    <row r="29" spans="1:97">
      <c r="A29" s="9">
        <v>46262</v>
      </c>
      <c r="B29">
        <v>3046.34</v>
      </c>
      <c r="C29">
        <v>3042.7</v>
      </c>
      <c r="D29">
        <v>3044.47</v>
      </c>
      <c r="E29">
        <v>3059.9</v>
      </c>
      <c r="F29">
        <v>3062.98</v>
      </c>
      <c r="G29">
        <v>3066.81</v>
      </c>
      <c r="H29">
        <v>3072.18</v>
      </c>
      <c r="I29">
        <v>3080.34</v>
      </c>
      <c r="J29">
        <v>3084.05</v>
      </c>
      <c r="K29">
        <v>3088.09</v>
      </c>
      <c r="L29">
        <v>3077.29</v>
      </c>
      <c r="M29">
        <v>3082.7</v>
      </c>
      <c r="N29">
        <v>3083.4</v>
      </c>
      <c r="O29">
        <v>3089.2</v>
      </c>
      <c r="P29">
        <v>3095.56</v>
      </c>
      <c r="Q29">
        <v>3101.17</v>
      </c>
      <c r="R29">
        <v>3100</v>
      </c>
      <c r="S29">
        <v>3098.83</v>
      </c>
      <c r="T29">
        <v>3106.79</v>
      </c>
      <c r="U29">
        <v>3107.87</v>
      </c>
      <c r="V29">
        <v>3106.54</v>
      </c>
      <c r="W29">
        <v>3104.6</v>
      </c>
      <c r="X29">
        <v>3103.87</v>
      </c>
      <c r="Y29">
        <v>3089.91</v>
      </c>
      <c r="Z29">
        <v>3091.74</v>
      </c>
      <c r="AA29">
        <v>3083.44</v>
      </c>
      <c r="AB29">
        <v>3079.88</v>
      </c>
      <c r="AC29">
        <v>3052.35</v>
      </c>
      <c r="AD29">
        <v>3047.24</v>
      </c>
      <c r="AE29">
        <v>3056.95</v>
      </c>
      <c r="AF29">
        <v>3076.09</v>
      </c>
      <c r="AG29">
        <v>3096.89</v>
      </c>
      <c r="AH29">
        <v>3089.87</v>
      </c>
      <c r="AI29">
        <v>3093.32</v>
      </c>
      <c r="AJ29">
        <v>3088.94</v>
      </c>
      <c r="AK29">
        <v>3078.15</v>
      </c>
      <c r="AL29">
        <v>3079.38</v>
      </c>
      <c r="AM29">
        <v>3078.06</v>
      </c>
      <c r="AN29">
        <v>3087.85</v>
      </c>
      <c r="AO29">
        <v>3102.74</v>
      </c>
      <c r="AP29">
        <v>3115.78</v>
      </c>
      <c r="AQ29">
        <v>3099.4</v>
      </c>
      <c r="AR29">
        <v>3103.33</v>
      </c>
      <c r="AS29">
        <v>3094.34</v>
      </c>
      <c r="AT29">
        <v>3099.3</v>
      </c>
      <c r="AU29">
        <v>3091.53</v>
      </c>
      <c r="AV29">
        <v>3090.83</v>
      </c>
      <c r="AW29">
        <v>3083.66</v>
      </c>
      <c r="AX29">
        <v>3076.76</v>
      </c>
      <c r="AY29">
        <v>3080.48</v>
      </c>
      <c r="AZ29">
        <v>3082.93</v>
      </c>
      <c r="BA29">
        <v>3091.5</v>
      </c>
      <c r="BB29">
        <v>3091.15</v>
      </c>
      <c r="BC29">
        <v>3092.56</v>
      </c>
      <c r="BD29">
        <v>3091.1</v>
      </c>
      <c r="BE29">
        <v>3090.66</v>
      </c>
      <c r="BF29">
        <v>3086.09</v>
      </c>
      <c r="BG29">
        <v>3081.58</v>
      </c>
      <c r="BH29">
        <v>3079.97</v>
      </c>
      <c r="BI29">
        <v>3082.52</v>
      </c>
      <c r="BJ29">
        <v>3078.63</v>
      </c>
      <c r="BK29">
        <v>3084.44</v>
      </c>
      <c r="BL29">
        <v>3078.84</v>
      </c>
      <c r="BM29">
        <v>3094.57</v>
      </c>
      <c r="BN29">
        <v>3088.84</v>
      </c>
      <c r="BO29">
        <v>3099.08</v>
      </c>
      <c r="BP29">
        <v>3091.6</v>
      </c>
      <c r="BQ29">
        <v>3091.49</v>
      </c>
      <c r="BR29">
        <v>3094.65</v>
      </c>
      <c r="BS29">
        <v>3094.1</v>
      </c>
      <c r="BT29">
        <v>3086.04</v>
      </c>
      <c r="BU29">
        <v>3101.69</v>
      </c>
      <c r="BV29">
        <v>3098.77</v>
      </c>
      <c r="BW29">
        <v>3090.5</v>
      </c>
      <c r="BX29">
        <v>3080.61</v>
      </c>
      <c r="BY29">
        <v>3094.09</v>
      </c>
      <c r="BZ29">
        <v>3098.33</v>
      </c>
      <c r="CA29">
        <v>3102.23</v>
      </c>
      <c r="CB29">
        <v>3101.73</v>
      </c>
      <c r="CC29">
        <v>3110.81</v>
      </c>
      <c r="CD29">
        <v>3101.57</v>
      </c>
      <c r="CE29">
        <v>3108.88</v>
      </c>
      <c r="CF29">
        <v>3090.27</v>
      </c>
      <c r="CG29">
        <v>3093.37</v>
      </c>
      <c r="CH29">
        <v>3080.56</v>
      </c>
      <c r="CI29">
        <v>3071.81</v>
      </c>
      <c r="CJ29">
        <v>3061.18</v>
      </c>
      <c r="CK29">
        <v>3063.25</v>
      </c>
      <c r="CL29">
        <v>3062.64</v>
      </c>
      <c r="CM29">
        <v>3062.5</v>
      </c>
      <c r="CN29">
        <v>3072.7</v>
      </c>
      <c r="CO29">
        <v>3083.57</v>
      </c>
      <c r="CP29">
        <v>3084.27</v>
      </c>
      <c r="CQ29">
        <v>3085.57</v>
      </c>
      <c r="CR29">
        <v>3072.39</v>
      </c>
      <c r="CS29">
        <v>3087.42</v>
      </c>
    </row>
    <row r="30" spans="1:97">
      <c r="A30" s="9">
        <v>46263</v>
      </c>
      <c r="B30">
        <v>3071.87</v>
      </c>
      <c r="C30">
        <v>3068.41</v>
      </c>
      <c r="D30">
        <v>3065.83</v>
      </c>
      <c r="E30">
        <v>3076.67</v>
      </c>
      <c r="F30">
        <v>3080.69</v>
      </c>
      <c r="G30">
        <v>3083.32</v>
      </c>
      <c r="H30">
        <v>3081.75</v>
      </c>
      <c r="I30">
        <v>3090.71</v>
      </c>
      <c r="J30">
        <v>3093.94</v>
      </c>
      <c r="K30">
        <v>3097.27</v>
      </c>
      <c r="L30">
        <v>3095.99</v>
      </c>
      <c r="M30">
        <v>3105.32</v>
      </c>
      <c r="N30">
        <v>3106.16</v>
      </c>
      <c r="O30">
        <v>3108.64</v>
      </c>
      <c r="P30">
        <v>3112.02</v>
      </c>
      <c r="Q30">
        <v>3117.52</v>
      </c>
      <c r="R30">
        <v>3116.1</v>
      </c>
      <c r="S30">
        <v>3113.99</v>
      </c>
      <c r="T30">
        <v>3119.46</v>
      </c>
      <c r="U30">
        <v>3117.81</v>
      </c>
      <c r="V30">
        <v>3120.97</v>
      </c>
      <c r="W30">
        <v>3115.5</v>
      </c>
      <c r="X30">
        <v>3117</v>
      </c>
      <c r="Y30">
        <v>3107.11</v>
      </c>
      <c r="Z30">
        <v>3106.75</v>
      </c>
      <c r="AA30">
        <v>3095.84</v>
      </c>
      <c r="AB30">
        <v>3094.39</v>
      </c>
      <c r="AC30">
        <v>3063.81</v>
      </c>
      <c r="AD30">
        <v>3070.14</v>
      </c>
      <c r="AE30">
        <v>3079.88</v>
      </c>
      <c r="AF30">
        <v>3098.2</v>
      </c>
      <c r="AG30">
        <v>3120.13</v>
      </c>
      <c r="AH30">
        <v>3113.84</v>
      </c>
      <c r="AI30">
        <v>3125.75</v>
      </c>
      <c r="AJ30">
        <v>3115.01</v>
      </c>
      <c r="AK30">
        <v>3104.85</v>
      </c>
      <c r="AL30">
        <v>3101.19</v>
      </c>
      <c r="AM30">
        <v>3103.59</v>
      </c>
      <c r="AN30">
        <v>3104.26</v>
      </c>
      <c r="AO30">
        <v>3116.82</v>
      </c>
      <c r="AP30">
        <v>3129.81</v>
      </c>
      <c r="AQ30">
        <v>3118.36</v>
      </c>
      <c r="AR30">
        <v>3120.82</v>
      </c>
      <c r="AS30">
        <v>3109.64</v>
      </c>
      <c r="AT30">
        <v>3109.29</v>
      </c>
      <c r="AU30">
        <v>3100.5</v>
      </c>
      <c r="AV30">
        <v>3086.26</v>
      </c>
      <c r="AW30">
        <v>3073.51</v>
      </c>
      <c r="AX30">
        <v>3075.31</v>
      </c>
      <c r="AY30">
        <v>3079.96</v>
      </c>
      <c r="AZ30">
        <v>3082.09</v>
      </c>
      <c r="BA30">
        <v>3086.63</v>
      </c>
      <c r="BB30">
        <v>3087.01</v>
      </c>
      <c r="BC30">
        <v>3096.67</v>
      </c>
      <c r="BD30">
        <v>3094.28</v>
      </c>
      <c r="BE30">
        <v>3088.21</v>
      </c>
      <c r="BF30">
        <v>3092.89</v>
      </c>
      <c r="BG30">
        <v>3091.18</v>
      </c>
      <c r="BH30">
        <v>3083.2</v>
      </c>
      <c r="BI30">
        <v>3096.31</v>
      </c>
      <c r="BJ30">
        <v>3088.98</v>
      </c>
      <c r="BK30">
        <v>3095.48</v>
      </c>
      <c r="BL30">
        <v>3090.73</v>
      </c>
      <c r="BM30">
        <v>3106.84</v>
      </c>
      <c r="BN30">
        <v>3106.07</v>
      </c>
      <c r="BO30">
        <v>3111.35</v>
      </c>
      <c r="BP30">
        <v>3102.39</v>
      </c>
      <c r="BQ30">
        <v>3104.38</v>
      </c>
      <c r="BR30">
        <v>3113.77</v>
      </c>
      <c r="BS30">
        <v>3106.94</v>
      </c>
      <c r="BT30">
        <v>3102.07</v>
      </c>
      <c r="BU30">
        <v>3114.17</v>
      </c>
      <c r="BV30">
        <v>3110.81</v>
      </c>
      <c r="BW30">
        <v>3103.24</v>
      </c>
      <c r="BX30">
        <v>3091.58</v>
      </c>
      <c r="BY30">
        <v>3104.62</v>
      </c>
      <c r="BZ30">
        <v>3112.26</v>
      </c>
      <c r="CA30">
        <v>3111.57</v>
      </c>
      <c r="CB30">
        <v>3117.82</v>
      </c>
      <c r="CC30">
        <v>3128.7</v>
      </c>
      <c r="CD30">
        <v>3113.97</v>
      </c>
      <c r="CE30">
        <v>3116.44</v>
      </c>
      <c r="CF30">
        <v>3108.02</v>
      </c>
      <c r="CG30">
        <v>3122.21</v>
      </c>
      <c r="CH30">
        <v>3116.85</v>
      </c>
      <c r="CI30">
        <v>3108.26</v>
      </c>
      <c r="CJ30">
        <v>3108.59</v>
      </c>
      <c r="CK30">
        <v>3121.82</v>
      </c>
      <c r="CL30">
        <v>3127.02</v>
      </c>
      <c r="CM30">
        <v>3137.11</v>
      </c>
      <c r="CN30">
        <v>3141.79</v>
      </c>
      <c r="CO30">
        <v>3147.84</v>
      </c>
      <c r="CP30">
        <v>3139.72</v>
      </c>
      <c r="CQ30">
        <v>3140.97</v>
      </c>
      <c r="CR30">
        <v>3132.8</v>
      </c>
      <c r="CS30">
        <v>3150.88</v>
      </c>
    </row>
    <row r="31" spans="1:97">
      <c r="A31" s="9">
        <v>46264</v>
      </c>
      <c r="B31">
        <v>3136.11</v>
      </c>
      <c r="C31">
        <v>3130.77</v>
      </c>
      <c r="D31">
        <v>3120.79</v>
      </c>
      <c r="E31">
        <v>3137.83</v>
      </c>
      <c r="F31">
        <v>3140.35</v>
      </c>
      <c r="G31">
        <v>3126.3</v>
      </c>
      <c r="H31">
        <v>3124.76</v>
      </c>
      <c r="I31">
        <v>3137.16</v>
      </c>
      <c r="J31">
        <v>3127.64</v>
      </c>
      <c r="K31">
        <v>3120.52</v>
      </c>
      <c r="L31">
        <v>3122.51</v>
      </c>
      <c r="M31">
        <v>3135.68</v>
      </c>
      <c r="N31">
        <v>3130.08</v>
      </c>
      <c r="O31">
        <v>3130.8</v>
      </c>
      <c r="P31">
        <v>3134.38</v>
      </c>
      <c r="Q31">
        <v>3142.87</v>
      </c>
      <c r="R31">
        <v>3138.67</v>
      </c>
      <c r="S31">
        <v>3130.15</v>
      </c>
      <c r="T31">
        <v>3119.68</v>
      </c>
      <c r="U31">
        <v>3123.44</v>
      </c>
      <c r="V31">
        <v>3132.98</v>
      </c>
      <c r="W31">
        <v>3129.95</v>
      </c>
      <c r="X31">
        <v>3132.31</v>
      </c>
      <c r="Y31">
        <v>3120.21</v>
      </c>
      <c r="Z31">
        <v>3126.63</v>
      </c>
      <c r="AA31">
        <v>3119.41</v>
      </c>
      <c r="AB31">
        <v>3121.44</v>
      </c>
      <c r="AC31">
        <v>3094.32</v>
      </c>
      <c r="AD31">
        <v>3100.24</v>
      </c>
      <c r="AE31">
        <v>3111.97</v>
      </c>
      <c r="AF31">
        <v>3134.3</v>
      </c>
      <c r="AG31">
        <v>3148.99</v>
      </c>
      <c r="AH31">
        <v>3140.78</v>
      </c>
      <c r="AI31">
        <v>3145.81</v>
      </c>
      <c r="AJ31">
        <v>3132.21</v>
      </c>
      <c r="AK31">
        <v>3122.64</v>
      </c>
      <c r="AL31">
        <v>3117.07</v>
      </c>
      <c r="AM31">
        <v>3111.54</v>
      </c>
      <c r="AN31">
        <v>3116.64</v>
      </c>
      <c r="AO31">
        <v>3124.9</v>
      </c>
      <c r="AP31">
        <v>3135.72</v>
      </c>
      <c r="AQ31">
        <v>3135.15</v>
      </c>
      <c r="AR31">
        <v>3134.54</v>
      </c>
      <c r="AS31">
        <v>3131.22</v>
      </c>
      <c r="AT31">
        <v>3127.98</v>
      </c>
      <c r="AU31">
        <v>3114.58</v>
      </c>
      <c r="AV31">
        <v>3098.56</v>
      </c>
      <c r="AW31">
        <v>3086.35</v>
      </c>
      <c r="AX31">
        <v>3089.06</v>
      </c>
      <c r="AY31">
        <v>3099.19</v>
      </c>
      <c r="AZ31">
        <v>3101.53</v>
      </c>
      <c r="BA31">
        <v>3102.4</v>
      </c>
      <c r="BB31">
        <v>3105.45</v>
      </c>
      <c r="BC31">
        <v>3124.54</v>
      </c>
      <c r="BD31">
        <v>3123.29</v>
      </c>
      <c r="BE31">
        <v>3116.23</v>
      </c>
      <c r="BF31">
        <v>3116.26</v>
      </c>
      <c r="BG31">
        <v>3116.16</v>
      </c>
      <c r="BH31">
        <v>3101.68</v>
      </c>
      <c r="BI31">
        <v>3117.66</v>
      </c>
      <c r="BJ31">
        <v>3107.84</v>
      </c>
      <c r="BK31">
        <v>3118.51</v>
      </c>
      <c r="BL31">
        <v>3114.59</v>
      </c>
      <c r="BM31">
        <v>3123.92</v>
      </c>
      <c r="BN31">
        <v>3109.67</v>
      </c>
      <c r="BO31">
        <v>3109.08</v>
      </c>
      <c r="BP31">
        <v>3101.71</v>
      </c>
      <c r="BQ31">
        <v>3107.2</v>
      </c>
      <c r="BR31">
        <v>3121.99</v>
      </c>
      <c r="BS31">
        <v>3114.62</v>
      </c>
      <c r="BT31">
        <v>3114.39</v>
      </c>
      <c r="BU31">
        <v>3127.8</v>
      </c>
      <c r="BV31">
        <v>3130.01</v>
      </c>
      <c r="BW31">
        <v>3119.29</v>
      </c>
      <c r="BX31">
        <v>3110.68</v>
      </c>
      <c r="BY31">
        <v>3124.98</v>
      </c>
      <c r="BZ31">
        <v>3125.18</v>
      </c>
      <c r="CA31">
        <v>3122.45</v>
      </c>
      <c r="CB31">
        <v>3127.51</v>
      </c>
      <c r="CC31">
        <v>3133.06</v>
      </c>
      <c r="CD31">
        <v>3118.38</v>
      </c>
      <c r="CE31">
        <v>3116.77</v>
      </c>
      <c r="CF31">
        <v>3112.5</v>
      </c>
      <c r="CG31">
        <v>3128.11</v>
      </c>
      <c r="CH31">
        <v>3113.47</v>
      </c>
      <c r="CI31">
        <v>3101.48</v>
      </c>
      <c r="CJ31">
        <v>3104.26</v>
      </c>
      <c r="CK31">
        <v>3119.02</v>
      </c>
      <c r="CL31">
        <v>3126.46</v>
      </c>
      <c r="CM31">
        <v>3141.1</v>
      </c>
      <c r="CN31">
        <v>3149.52</v>
      </c>
      <c r="CO31">
        <v>3155.29</v>
      </c>
      <c r="CP31">
        <v>3146.9</v>
      </c>
      <c r="CQ31">
        <v>3142.69</v>
      </c>
      <c r="CR31">
        <v>3132.22</v>
      </c>
      <c r="CS31">
        <v>3148.27</v>
      </c>
    </row>
    <row r="32" spans="1:97">
      <c r="A32" s="9">
        <v>46265</v>
      </c>
      <c r="B32">
        <v>3136.66</v>
      </c>
      <c r="C32">
        <v>3132.19</v>
      </c>
      <c r="D32">
        <v>3136.53</v>
      </c>
      <c r="E32">
        <v>3155.06</v>
      </c>
      <c r="F32">
        <v>3149.18</v>
      </c>
      <c r="G32">
        <v>3128.72</v>
      </c>
      <c r="H32">
        <v>3125.6</v>
      </c>
      <c r="I32">
        <v>3134.52</v>
      </c>
      <c r="J32">
        <v>3126.41</v>
      </c>
      <c r="K32">
        <v>3123.47</v>
      </c>
      <c r="L32">
        <v>3123.5</v>
      </c>
      <c r="M32">
        <v>3138.79</v>
      </c>
      <c r="N32">
        <v>3121.82</v>
      </c>
      <c r="O32">
        <v>3117.16</v>
      </c>
      <c r="P32">
        <v>3120.94</v>
      </c>
      <c r="Q32">
        <v>3129.53</v>
      </c>
      <c r="R32">
        <v>3127</v>
      </c>
      <c r="S32">
        <v>3126.1</v>
      </c>
      <c r="T32">
        <v>3132.14</v>
      </c>
      <c r="U32">
        <v>3138.34</v>
      </c>
      <c r="V32">
        <v>3145.89</v>
      </c>
      <c r="W32">
        <v>3147.58</v>
      </c>
      <c r="X32">
        <v>3152.85</v>
      </c>
      <c r="Y32">
        <v>3155.17</v>
      </c>
      <c r="Z32">
        <v>3165.31</v>
      </c>
      <c r="AA32">
        <v>3164.22</v>
      </c>
      <c r="AB32">
        <v>3172.15</v>
      </c>
      <c r="AC32">
        <v>3166.18</v>
      </c>
      <c r="AD32">
        <v>3173.31</v>
      </c>
      <c r="AE32">
        <v>3171.25</v>
      </c>
      <c r="AF32">
        <v>3175.37</v>
      </c>
      <c r="AG32">
        <v>3185.95</v>
      </c>
      <c r="AH32">
        <v>3177.71</v>
      </c>
      <c r="AI32">
        <v>3182.73</v>
      </c>
      <c r="AJ32">
        <v>3154.56</v>
      </c>
      <c r="AK32">
        <v>3144.24</v>
      </c>
      <c r="AL32">
        <v>3140.38</v>
      </c>
      <c r="AM32">
        <v>3136.42</v>
      </c>
      <c r="AN32">
        <v>3143.85</v>
      </c>
      <c r="AO32">
        <v>3156.8</v>
      </c>
      <c r="AP32">
        <v>3163.44</v>
      </c>
      <c r="AQ32">
        <v>3162.54</v>
      </c>
      <c r="AR32">
        <v>3164.8</v>
      </c>
      <c r="AS32">
        <v>3162.52</v>
      </c>
      <c r="AT32">
        <v>3156.22</v>
      </c>
      <c r="AU32">
        <v>3143.05</v>
      </c>
      <c r="AV32">
        <v>3126.17</v>
      </c>
      <c r="AW32">
        <v>3112.48</v>
      </c>
      <c r="AX32">
        <v>3112.67</v>
      </c>
      <c r="AY32">
        <v>3118.62</v>
      </c>
      <c r="AZ32">
        <v>3122.28</v>
      </c>
      <c r="BA32">
        <v>3124.05</v>
      </c>
      <c r="BB32">
        <v>3129.92</v>
      </c>
      <c r="BC32">
        <v>3139.17</v>
      </c>
      <c r="BD32">
        <v>3146.38</v>
      </c>
      <c r="BE32">
        <v>3140.58</v>
      </c>
      <c r="BF32">
        <v>3139.43</v>
      </c>
      <c r="BG32">
        <v>3132.61</v>
      </c>
      <c r="BH32">
        <v>3112.11</v>
      </c>
      <c r="BI32">
        <v>3135.32</v>
      </c>
      <c r="BJ32">
        <v>3119.94</v>
      </c>
      <c r="BK32">
        <v>3132.69</v>
      </c>
      <c r="BL32">
        <v>3130.81</v>
      </c>
      <c r="BM32">
        <v>3126.63</v>
      </c>
      <c r="BN32">
        <v>3107.38</v>
      </c>
      <c r="BO32">
        <v>3109.74</v>
      </c>
      <c r="BP32">
        <v>3100.5</v>
      </c>
      <c r="BQ32">
        <v>3103.72</v>
      </c>
      <c r="BR32">
        <v>3109.96</v>
      </c>
      <c r="BS32">
        <v>3095.77</v>
      </c>
      <c r="BT32">
        <v>3085.04</v>
      </c>
      <c r="BU32">
        <v>3084.12</v>
      </c>
      <c r="BV32">
        <v>3093.66</v>
      </c>
      <c r="BW32">
        <v>3094.51</v>
      </c>
      <c r="BX32">
        <v>3096.41</v>
      </c>
      <c r="BY32">
        <v>3108.07</v>
      </c>
      <c r="BZ32">
        <v>3112.76</v>
      </c>
      <c r="CA32">
        <v>3101.86</v>
      </c>
      <c r="CB32">
        <v>3108.34</v>
      </c>
      <c r="CC32">
        <v>3111.87</v>
      </c>
      <c r="CD32">
        <v>3096.17</v>
      </c>
      <c r="CE32">
        <v>3099.57</v>
      </c>
      <c r="CF32">
        <v>3105.19</v>
      </c>
      <c r="CG32">
        <v>3123.46</v>
      </c>
      <c r="CH32">
        <v>3107.53</v>
      </c>
      <c r="CI32">
        <v>3099.38</v>
      </c>
      <c r="CJ32">
        <v>3104.59</v>
      </c>
      <c r="CK32">
        <v>3114.68</v>
      </c>
      <c r="CL32">
        <v>3123.67</v>
      </c>
      <c r="CM32">
        <v>3122.09</v>
      </c>
      <c r="CN32">
        <v>3129.8</v>
      </c>
      <c r="CO32">
        <v>3149.08</v>
      </c>
      <c r="CP32">
        <v>3142.43</v>
      </c>
      <c r="CQ32">
        <v>3126.06</v>
      </c>
      <c r="CR32">
        <v>3122.67</v>
      </c>
      <c r="CS32">
        <v>3130.4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330</v>
      </c>
      <c r="C2">
        <v>330</v>
      </c>
      <c r="D2">
        <v>330</v>
      </c>
      <c r="E2">
        <v>330</v>
      </c>
      <c r="F2">
        <v>330</v>
      </c>
      <c r="G2">
        <v>330</v>
      </c>
      <c r="H2">
        <v>330</v>
      </c>
      <c r="I2">
        <v>330</v>
      </c>
      <c r="J2">
        <v>330</v>
      </c>
      <c r="K2">
        <v>330</v>
      </c>
      <c r="L2">
        <v>330</v>
      </c>
      <c r="M2">
        <v>330</v>
      </c>
      <c r="N2">
        <v>330</v>
      </c>
      <c r="O2">
        <v>330</v>
      </c>
      <c r="P2">
        <v>330</v>
      </c>
      <c r="Q2">
        <v>330</v>
      </c>
      <c r="R2">
        <v>330</v>
      </c>
      <c r="S2">
        <v>330</v>
      </c>
      <c r="T2">
        <v>330</v>
      </c>
      <c r="U2">
        <v>330</v>
      </c>
      <c r="V2">
        <v>330</v>
      </c>
      <c r="W2">
        <v>330</v>
      </c>
      <c r="X2">
        <v>330</v>
      </c>
      <c r="Y2">
        <v>330</v>
      </c>
      <c r="Z2">
        <v>330</v>
      </c>
      <c r="AA2">
        <v>330</v>
      </c>
      <c r="AB2">
        <v>330</v>
      </c>
      <c r="AC2">
        <v>330</v>
      </c>
      <c r="AD2">
        <v>330</v>
      </c>
      <c r="AE2">
        <v>330</v>
      </c>
      <c r="AF2">
        <v>330</v>
      </c>
      <c r="AG2">
        <v>330</v>
      </c>
      <c r="AH2">
        <v>330</v>
      </c>
      <c r="AI2">
        <v>330</v>
      </c>
      <c r="AJ2">
        <v>330</v>
      </c>
      <c r="AK2">
        <v>330</v>
      </c>
      <c r="AL2">
        <v>330</v>
      </c>
      <c r="AM2">
        <v>330</v>
      </c>
      <c r="AN2">
        <v>330</v>
      </c>
      <c r="AO2">
        <v>330</v>
      </c>
      <c r="AP2">
        <v>330</v>
      </c>
      <c r="AQ2">
        <v>330</v>
      </c>
      <c r="AR2">
        <v>330</v>
      </c>
      <c r="AS2">
        <v>330</v>
      </c>
      <c r="AT2">
        <v>330</v>
      </c>
      <c r="AU2">
        <v>330</v>
      </c>
      <c r="AV2">
        <v>330</v>
      </c>
      <c r="AW2">
        <v>330</v>
      </c>
      <c r="AX2">
        <v>330</v>
      </c>
      <c r="AY2">
        <v>330</v>
      </c>
      <c r="AZ2">
        <v>330</v>
      </c>
      <c r="BA2">
        <v>330</v>
      </c>
      <c r="BB2">
        <v>330</v>
      </c>
      <c r="BC2">
        <v>330</v>
      </c>
      <c r="BD2">
        <v>330</v>
      </c>
      <c r="BE2">
        <v>330</v>
      </c>
      <c r="BF2">
        <v>330</v>
      </c>
      <c r="BG2">
        <v>330</v>
      </c>
      <c r="BH2">
        <v>330</v>
      </c>
      <c r="BI2">
        <v>330</v>
      </c>
      <c r="BJ2">
        <v>330</v>
      </c>
      <c r="BK2">
        <v>330</v>
      </c>
      <c r="BL2">
        <v>330</v>
      </c>
      <c r="BM2">
        <v>330</v>
      </c>
      <c r="BN2">
        <v>330</v>
      </c>
      <c r="BO2">
        <v>330</v>
      </c>
      <c r="BP2">
        <v>330</v>
      </c>
      <c r="BQ2">
        <v>330</v>
      </c>
      <c r="BR2">
        <v>330</v>
      </c>
      <c r="BS2">
        <v>330</v>
      </c>
      <c r="BT2">
        <v>330</v>
      </c>
      <c r="BU2">
        <v>330</v>
      </c>
      <c r="BV2">
        <v>330</v>
      </c>
      <c r="BW2">
        <v>330</v>
      </c>
      <c r="BX2">
        <v>330</v>
      </c>
      <c r="BY2">
        <v>330</v>
      </c>
      <c r="BZ2">
        <v>330</v>
      </c>
      <c r="CA2">
        <v>330</v>
      </c>
      <c r="CB2">
        <v>330</v>
      </c>
      <c r="CC2">
        <v>330</v>
      </c>
      <c r="CD2">
        <v>330</v>
      </c>
      <c r="CE2">
        <v>330</v>
      </c>
      <c r="CF2">
        <v>330</v>
      </c>
      <c r="CG2">
        <v>330</v>
      </c>
      <c r="CH2">
        <v>330</v>
      </c>
      <c r="CI2">
        <v>330</v>
      </c>
      <c r="CJ2">
        <v>330</v>
      </c>
      <c r="CK2">
        <v>330</v>
      </c>
      <c r="CL2">
        <v>330</v>
      </c>
      <c r="CM2">
        <v>330</v>
      </c>
      <c r="CN2">
        <v>330</v>
      </c>
      <c r="CO2">
        <v>330</v>
      </c>
      <c r="CP2">
        <v>330</v>
      </c>
      <c r="CQ2">
        <v>330</v>
      </c>
      <c r="CR2">
        <v>330</v>
      </c>
      <c r="CS2">
        <v>330</v>
      </c>
    </row>
    <row r="3" spans="1:97">
      <c r="A3" s="9">
        <v>46236</v>
      </c>
      <c r="B3">
        <v>330</v>
      </c>
      <c r="C3">
        <v>330</v>
      </c>
      <c r="D3">
        <v>330</v>
      </c>
      <c r="E3">
        <v>330</v>
      </c>
      <c r="F3">
        <v>330</v>
      </c>
      <c r="G3">
        <v>330</v>
      </c>
      <c r="H3">
        <v>330</v>
      </c>
      <c r="I3">
        <v>330</v>
      </c>
      <c r="J3">
        <v>330</v>
      </c>
      <c r="K3">
        <v>330</v>
      </c>
      <c r="L3">
        <v>330</v>
      </c>
      <c r="M3">
        <v>330</v>
      </c>
      <c r="N3">
        <v>330</v>
      </c>
      <c r="O3">
        <v>330</v>
      </c>
      <c r="P3">
        <v>330</v>
      </c>
      <c r="Q3">
        <v>330</v>
      </c>
      <c r="R3">
        <v>330</v>
      </c>
      <c r="S3">
        <v>330</v>
      </c>
      <c r="T3">
        <v>330</v>
      </c>
      <c r="U3">
        <v>330</v>
      </c>
      <c r="V3">
        <v>330</v>
      </c>
      <c r="W3">
        <v>330</v>
      </c>
      <c r="X3">
        <v>330</v>
      </c>
      <c r="Y3">
        <v>330</v>
      </c>
      <c r="Z3">
        <v>330</v>
      </c>
      <c r="AA3">
        <v>330</v>
      </c>
      <c r="AB3">
        <v>330</v>
      </c>
      <c r="AC3">
        <v>330</v>
      </c>
      <c r="AD3">
        <v>330</v>
      </c>
      <c r="AE3">
        <v>330</v>
      </c>
      <c r="AF3">
        <v>330</v>
      </c>
      <c r="AG3">
        <v>330</v>
      </c>
      <c r="AH3">
        <v>330</v>
      </c>
      <c r="AI3">
        <v>330</v>
      </c>
      <c r="AJ3">
        <v>330</v>
      </c>
      <c r="AK3">
        <v>330</v>
      </c>
      <c r="AL3">
        <v>330</v>
      </c>
      <c r="AM3">
        <v>330</v>
      </c>
      <c r="AN3">
        <v>330</v>
      </c>
      <c r="AO3">
        <v>330</v>
      </c>
      <c r="AP3">
        <v>330</v>
      </c>
      <c r="AQ3">
        <v>330</v>
      </c>
      <c r="AR3">
        <v>330</v>
      </c>
      <c r="AS3">
        <v>330</v>
      </c>
      <c r="AT3">
        <v>330</v>
      </c>
      <c r="AU3">
        <v>330</v>
      </c>
      <c r="AV3">
        <v>330</v>
      </c>
      <c r="AW3">
        <v>330</v>
      </c>
      <c r="AX3">
        <v>330</v>
      </c>
      <c r="AY3">
        <v>330</v>
      </c>
      <c r="AZ3">
        <v>330</v>
      </c>
      <c r="BA3">
        <v>330</v>
      </c>
      <c r="BB3">
        <v>330</v>
      </c>
      <c r="BC3">
        <v>330</v>
      </c>
      <c r="BD3">
        <v>330</v>
      </c>
      <c r="BE3">
        <v>330</v>
      </c>
      <c r="BF3">
        <v>330</v>
      </c>
      <c r="BG3">
        <v>330</v>
      </c>
      <c r="BH3">
        <v>330</v>
      </c>
      <c r="BI3">
        <v>330</v>
      </c>
      <c r="BJ3">
        <v>330</v>
      </c>
      <c r="BK3">
        <v>330</v>
      </c>
      <c r="BL3">
        <v>330</v>
      </c>
      <c r="BM3">
        <v>330</v>
      </c>
      <c r="BN3">
        <v>330</v>
      </c>
      <c r="BO3">
        <v>330</v>
      </c>
      <c r="BP3">
        <v>330</v>
      </c>
      <c r="BQ3">
        <v>330</v>
      </c>
      <c r="BR3">
        <v>330</v>
      </c>
      <c r="BS3">
        <v>330</v>
      </c>
      <c r="BT3">
        <v>330</v>
      </c>
      <c r="BU3">
        <v>330</v>
      </c>
      <c r="BV3">
        <v>330</v>
      </c>
      <c r="BW3">
        <v>330</v>
      </c>
      <c r="BX3">
        <v>330</v>
      </c>
      <c r="BY3">
        <v>330</v>
      </c>
      <c r="BZ3">
        <v>330</v>
      </c>
      <c r="CA3">
        <v>330</v>
      </c>
      <c r="CB3">
        <v>330</v>
      </c>
      <c r="CC3">
        <v>330</v>
      </c>
      <c r="CD3">
        <v>330</v>
      </c>
      <c r="CE3">
        <v>330</v>
      </c>
      <c r="CF3">
        <v>330</v>
      </c>
      <c r="CG3">
        <v>330</v>
      </c>
      <c r="CH3">
        <v>330</v>
      </c>
      <c r="CI3">
        <v>330</v>
      </c>
      <c r="CJ3">
        <v>330</v>
      </c>
      <c r="CK3">
        <v>330</v>
      </c>
      <c r="CL3">
        <v>330</v>
      </c>
      <c r="CM3">
        <v>330</v>
      </c>
      <c r="CN3">
        <v>330</v>
      </c>
      <c r="CO3">
        <v>330</v>
      </c>
      <c r="CP3">
        <v>330</v>
      </c>
      <c r="CQ3">
        <v>330</v>
      </c>
      <c r="CR3">
        <v>330</v>
      </c>
      <c r="CS3">
        <v>330</v>
      </c>
    </row>
    <row r="4" spans="1:97">
      <c r="A4" s="9">
        <v>46237</v>
      </c>
      <c r="B4">
        <v>630</v>
      </c>
      <c r="C4">
        <v>630</v>
      </c>
      <c r="D4">
        <v>630</v>
      </c>
      <c r="E4">
        <v>630</v>
      </c>
      <c r="F4">
        <v>630</v>
      </c>
      <c r="G4">
        <v>630</v>
      </c>
      <c r="H4">
        <v>630</v>
      </c>
      <c r="I4">
        <v>630</v>
      </c>
      <c r="J4">
        <v>630</v>
      </c>
      <c r="K4">
        <v>630</v>
      </c>
      <c r="L4">
        <v>630</v>
      </c>
      <c r="M4">
        <v>630</v>
      </c>
      <c r="N4">
        <v>630</v>
      </c>
      <c r="O4">
        <v>630</v>
      </c>
      <c r="P4">
        <v>630</v>
      </c>
      <c r="Q4">
        <v>630</v>
      </c>
      <c r="R4">
        <v>630</v>
      </c>
      <c r="S4">
        <v>630</v>
      </c>
      <c r="T4">
        <v>630</v>
      </c>
      <c r="U4">
        <v>630</v>
      </c>
      <c r="V4">
        <v>630</v>
      </c>
      <c r="W4">
        <v>630</v>
      </c>
      <c r="X4">
        <v>630</v>
      </c>
      <c r="Y4">
        <v>630</v>
      </c>
      <c r="Z4">
        <v>630</v>
      </c>
      <c r="AA4">
        <v>630</v>
      </c>
      <c r="AB4">
        <v>630</v>
      </c>
      <c r="AC4">
        <v>630</v>
      </c>
      <c r="AD4">
        <v>630</v>
      </c>
      <c r="AE4">
        <v>630</v>
      </c>
      <c r="AF4">
        <v>630</v>
      </c>
      <c r="AG4">
        <v>630</v>
      </c>
      <c r="AH4">
        <v>630</v>
      </c>
      <c r="AI4">
        <v>630</v>
      </c>
      <c r="AJ4">
        <v>630</v>
      </c>
      <c r="AK4">
        <v>630</v>
      </c>
      <c r="AL4">
        <v>630</v>
      </c>
      <c r="AM4">
        <v>630</v>
      </c>
      <c r="AN4">
        <v>630</v>
      </c>
      <c r="AO4">
        <v>630</v>
      </c>
      <c r="AP4">
        <v>630</v>
      </c>
      <c r="AQ4">
        <v>630</v>
      </c>
      <c r="AR4">
        <v>630</v>
      </c>
      <c r="AS4">
        <v>630</v>
      </c>
      <c r="AT4">
        <v>630</v>
      </c>
      <c r="AU4">
        <v>630</v>
      </c>
      <c r="AV4">
        <v>630</v>
      </c>
      <c r="AW4">
        <v>630</v>
      </c>
      <c r="AX4">
        <v>630</v>
      </c>
      <c r="AY4">
        <v>630</v>
      </c>
      <c r="AZ4">
        <v>630</v>
      </c>
      <c r="BA4">
        <v>630</v>
      </c>
      <c r="BB4">
        <v>630</v>
      </c>
      <c r="BC4">
        <v>630</v>
      </c>
      <c r="BD4">
        <v>630</v>
      </c>
      <c r="BE4">
        <v>630</v>
      </c>
      <c r="BF4">
        <v>630</v>
      </c>
      <c r="BG4">
        <v>630</v>
      </c>
      <c r="BH4">
        <v>630</v>
      </c>
      <c r="BI4">
        <v>630</v>
      </c>
      <c r="BJ4">
        <v>630</v>
      </c>
      <c r="BK4">
        <v>630</v>
      </c>
      <c r="BL4">
        <v>630</v>
      </c>
      <c r="BM4">
        <v>630</v>
      </c>
      <c r="BN4">
        <v>630</v>
      </c>
      <c r="BO4">
        <v>630</v>
      </c>
      <c r="BP4">
        <v>630</v>
      </c>
      <c r="BQ4">
        <v>630</v>
      </c>
      <c r="BR4">
        <v>630</v>
      </c>
      <c r="BS4">
        <v>630</v>
      </c>
      <c r="BT4">
        <v>630</v>
      </c>
      <c r="BU4">
        <v>630</v>
      </c>
      <c r="BV4">
        <v>630</v>
      </c>
      <c r="BW4">
        <v>630</v>
      </c>
      <c r="BX4">
        <v>630</v>
      </c>
      <c r="BY4">
        <v>630</v>
      </c>
      <c r="BZ4">
        <v>630</v>
      </c>
      <c r="CA4">
        <v>630</v>
      </c>
      <c r="CB4">
        <v>630</v>
      </c>
      <c r="CC4">
        <v>630</v>
      </c>
      <c r="CD4">
        <v>630</v>
      </c>
      <c r="CE4">
        <v>630</v>
      </c>
      <c r="CF4">
        <v>630</v>
      </c>
      <c r="CG4">
        <v>630</v>
      </c>
      <c r="CH4">
        <v>630</v>
      </c>
      <c r="CI4">
        <v>630</v>
      </c>
      <c r="CJ4">
        <v>630</v>
      </c>
      <c r="CK4">
        <v>630</v>
      </c>
      <c r="CL4">
        <v>630</v>
      </c>
      <c r="CM4">
        <v>630</v>
      </c>
      <c r="CN4">
        <v>630</v>
      </c>
      <c r="CO4">
        <v>630</v>
      </c>
      <c r="CP4">
        <v>630</v>
      </c>
      <c r="CQ4">
        <v>630</v>
      </c>
      <c r="CR4">
        <v>630</v>
      </c>
      <c r="CS4">
        <v>630</v>
      </c>
    </row>
    <row r="5" spans="1:97">
      <c r="A5" s="9">
        <v>46238</v>
      </c>
      <c r="B5">
        <v>330</v>
      </c>
      <c r="C5">
        <v>330</v>
      </c>
      <c r="D5">
        <v>330</v>
      </c>
      <c r="E5">
        <v>330</v>
      </c>
      <c r="F5">
        <v>330</v>
      </c>
      <c r="G5">
        <v>330</v>
      </c>
      <c r="H5">
        <v>330</v>
      </c>
      <c r="I5">
        <v>330</v>
      </c>
      <c r="J5">
        <v>330</v>
      </c>
      <c r="K5">
        <v>330</v>
      </c>
      <c r="L5">
        <v>330</v>
      </c>
      <c r="M5">
        <v>330</v>
      </c>
      <c r="N5">
        <v>330</v>
      </c>
      <c r="O5">
        <v>330</v>
      </c>
      <c r="P5">
        <v>330</v>
      </c>
      <c r="Q5">
        <v>330</v>
      </c>
      <c r="R5">
        <v>330</v>
      </c>
      <c r="S5">
        <v>330</v>
      </c>
      <c r="T5">
        <v>330</v>
      </c>
      <c r="U5">
        <v>330</v>
      </c>
      <c r="V5">
        <v>330</v>
      </c>
      <c r="W5">
        <v>330</v>
      </c>
      <c r="X5">
        <v>330</v>
      </c>
      <c r="Y5">
        <v>330</v>
      </c>
      <c r="Z5">
        <v>330</v>
      </c>
      <c r="AA5">
        <v>330</v>
      </c>
      <c r="AB5">
        <v>330</v>
      </c>
      <c r="AC5">
        <v>330</v>
      </c>
      <c r="AD5">
        <v>330</v>
      </c>
      <c r="AE5">
        <v>330</v>
      </c>
      <c r="AF5">
        <v>330</v>
      </c>
      <c r="AG5">
        <v>330</v>
      </c>
      <c r="AH5">
        <v>330</v>
      </c>
      <c r="AI5">
        <v>330</v>
      </c>
      <c r="AJ5">
        <v>330</v>
      </c>
      <c r="AK5">
        <v>330</v>
      </c>
      <c r="AL5">
        <v>330</v>
      </c>
      <c r="AM5">
        <v>330</v>
      </c>
      <c r="AN5">
        <v>330</v>
      </c>
      <c r="AO5">
        <v>330</v>
      </c>
      <c r="AP5">
        <v>330</v>
      </c>
      <c r="AQ5">
        <v>330</v>
      </c>
      <c r="AR5">
        <v>330</v>
      </c>
      <c r="AS5">
        <v>330</v>
      </c>
      <c r="AT5">
        <v>330</v>
      </c>
      <c r="AU5">
        <v>330</v>
      </c>
      <c r="AV5">
        <v>330</v>
      </c>
      <c r="AW5">
        <v>330</v>
      </c>
      <c r="AX5">
        <v>330</v>
      </c>
      <c r="AY5">
        <v>330</v>
      </c>
      <c r="AZ5">
        <v>330</v>
      </c>
      <c r="BA5">
        <v>330</v>
      </c>
      <c r="BB5">
        <v>330</v>
      </c>
      <c r="BC5">
        <v>330</v>
      </c>
      <c r="BD5">
        <v>330</v>
      </c>
      <c r="BE5">
        <v>330</v>
      </c>
      <c r="BF5">
        <v>330</v>
      </c>
      <c r="BG5">
        <v>330</v>
      </c>
      <c r="BH5">
        <v>330</v>
      </c>
      <c r="BI5">
        <v>330</v>
      </c>
      <c r="BJ5">
        <v>330</v>
      </c>
      <c r="BK5">
        <v>330</v>
      </c>
      <c r="BL5">
        <v>330</v>
      </c>
      <c r="BM5">
        <v>330</v>
      </c>
      <c r="BN5">
        <v>330</v>
      </c>
      <c r="BO5">
        <v>330</v>
      </c>
      <c r="BP5">
        <v>330</v>
      </c>
      <c r="BQ5">
        <v>330</v>
      </c>
      <c r="BR5">
        <v>330</v>
      </c>
      <c r="BS5">
        <v>330</v>
      </c>
      <c r="BT5">
        <v>330</v>
      </c>
      <c r="BU5">
        <v>330</v>
      </c>
      <c r="BV5">
        <v>330</v>
      </c>
      <c r="BW5">
        <v>330</v>
      </c>
      <c r="BX5">
        <v>330</v>
      </c>
      <c r="BY5">
        <v>330</v>
      </c>
      <c r="BZ5">
        <v>330</v>
      </c>
      <c r="CA5">
        <v>330</v>
      </c>
      <c r="CB5">
        <v>330</v>
      </c>
      <c r="CC5">
        <v>330</v>
      </c>
      <c r="CD5">
        <v>330</v>
      </c>
      <c r="CE5">
        <v>330</v>
      </c>
      <c r="CF5">
        <v>330</v>
      </c>
      <c r="CG5">
        <v>330</v>
      </c>
      <c r="CH5">
        <v>330</v>
      </c>
      <c r="CI5">
        <v>330</v>
      </c>
      <c r="CJ5">
        <v>330</v>
      </c>
      <c r="CK5">
        <v>330</v>
      </c>
      <c r="CL5">
        <v>330</v>
      </c>
      <c r="CM5">
        <v>330</v>
      </c>
      <c r="CN5">
        <v>330</v>
      </c>
      <c r="CO5">
        <v>330</v>
      </c>
      <c r="CP5">
        <v>330</v>
      </c>
      <c r="CQ5">
        <v>330</v>
      </c>
      <c r="CR5">
        <v>330</v>
      </c>
      <c r="CS5">
        <v>330</v>
      </c>
    </row>
    <row r="6" spans="1:97">
      <c r="A6" s="9">
        <v>46239</v>
      </c>
      <c r="B6">
        <v>330</v>
      </c>
      <c r="C6">
        <v>330</v>
      </c>
      <c r="D6">
        <v>330</v>
      </c>
      <c r="E6">
        <v>330</v>
      </c>
      <c r="F6">
        <v>330</v>
      </c>
      <c r="G6">
        <v>330</v>
      </c>
      <c r="H6">
        <v>330</v>
      </c>
      <c r="I6">
        <v>330</v>
      </c>
      <c r="J6">
        <v>330</v>
      </c>
      <c r="K6">
        <v>330</v>
      </c>
      <c r="L6">
        <v>330</v>
      </c>
      <c r="M6">
        <v>330</v>
      </c>
      <c r="N6">
        <v>330</v>
      </c>
      <c r="O6">
        <v>330</v>
      </c>
      <c r="P6">
        <v>330</v>
      </c>
      <c r="Q6">
        <v>330</v>
      </c>
      <c r="R6">
        <v>330</v>
      </c>
      <c r="S6">
        <v>330</v>
      </c>
      <c r="T6">
        <v>330</v>
      </c>
      <c r="U6">
        <v>330</v>
      </c>
      <c r="V6">
        <v>330</v>
      </c>
      <c r="W6">
        <v>330</v>
      </c>
      <c r="X6">
        <v>330</v>
      </c>
      <c r="Y6">
        <v>330</v>
      </c>
      <c r="Z6">
        <v>330</v>
      </c>
      <c r="AA6">
        <v>330</v>
      </c>
      <c r="AB6">
        <v>330</v>
      </c>
      <c r="AC6">
        <v>330</v>
      </c>
      <c r="AD6">
        <v>330</v>
      </c>
      <c r="AE6">
        <v>330</v>
      </c>
      <c r="AF6">
        <v>330</v>
      </c>
      <c r="AG6">
        <v>330</v>
      </c>
      <c r="AH6">
        <v>330</v>
      </c>
      <c r="AI6">
        <v>330</v>
      </c>
      <c r="AJ6">
        <v>330</v>
      </c>
      <c r="AK6">
        <v>330</v>
      </c>
      <c r="AL6">
        <v>330</v>
      </c>
      <c r="AM6">
        <v>330</v>
      </c>
      <c r="AN6">
        <v>330</v>
      </c>
      <c r="AO6">
        <v>330</v>
      </c>
      <c r="AP6">
        <v>330</v>
      </c>
      <c r="AQ6">
        <v>330</v>
      </c>
      <c r="AR6">
        <v>330</v>
      </c>
      <c r="AS6">
        <v>330</v>
      </c>
      <c r="AT6">
        <v>330</v>
      </c>
      <c r="AU6">
        <v>330</v>
      </c>
      <c r="AV6">
        <v>330</v>
      </c>
      <c r="AW6">
        <v>330</v>
      </c>
      <c r="AX6">
        <v>330</v>
      </c>
      <c r="AY6">
        <v>330</v>
      </c>
      <c r="AZ6">
        <v>330</v>
      </c>
      <c r="BA6">
        <v>330</v>
      </c>
      <c r="BB6">
        <v>330</v>
      </c>
      <c r="BC6">
        <v>330</v>
      </c>
      <c r="BD6">
        <v>330</v>
      </c>
      <c r="BE6">
        <v>330</v>
      </c>
      <c r="BF6">
        <v>330</v>
      </c>
      <c r="BG6">
        <v>330</v>
      </c>
      <c r="BH6">
        <v>330</v>
      </c>
      <c r="BI6">
        <v>330</v>
      </c>
      <c r="BJ6">
        <v>330</v>
      </c>
      <c r="BK6">
        <v>330</v>
      </c>
      <c r="BL6">
        <v>330</v>
      </c>
      <c r="BM6">
        <v>330</v>
      </c>
      <c r="BN6">
        <v>330</v>
      </c>
      <c r="BO6">
        <v>330</v>
      </c>
      <c r="BP6">
        <v>330</v>
      </c>
      <c r="BQ6">
        <v>330</v>
      </c>
      <c r="BR6">
        <v>330</v>
      </c>
      <c r="BS6">
        <v>330</v>
      </c>
      <c r="BT6">
        <v>330</v>
      </c>
      <c r="BU6">
        <v>330</v>
      </c>
      <c r="BV6">
        <v>330</v>
      </c>
      <c r="BW6">
        <v>330</v>
      </c>
      <c r="BX6">
        <v>330</v>
      </c>
      <c r="BY6">
        <v>330</v>
      </c>
      <c r="BZ6">
        <v>330</v>
      </c>
      <c r="CA6">
        <v>330</v>
      </c>
      <c r="CB6">
        <v>330</v>
      </c>
      <c r="CC6">
        <v>330</v>
      </c>
      <c r="CD6">
        <v>330</v>
      </c>
      <c r="CE6">
        <v>330</v>
      </c>
      <c r="CF6">
        <v>330</v>
      </c>
      <c r="CG6">
        <v>330</v>
      </c>
      <c r="CH6">
        <v>330</v>
      </c>
      <c r="CI6">
        <v>330</v>
      </c>
      <c r="CJ6">
        <v>330</v>
      </c>
      <c r="CK6">
        <v>330</v>
      </c>
      <c r="CL6">
        <v>330</v>
      </c>
      <c r="CM6">
        <v>330</v>
      </c>
      <c r="CN6">
        <v>330</v>
      </c>
      <c r="CO6">
        <v>330</v>
      </c>
      <c r="CP6">
        <v>330</v>
      </c>
      <c r="CQ6">
        <v>330</v>
      </c>
      <c r="CR6">
        <v>330</v>
      </c>
      <c r="CS6">
        <v>330</v>
      </c>
    </row>
    <row r="7" spans="1:97">
      <c r="A7" s="9">
        <v>46240</v>
      </c>
      <c r="B7">
        <v>330</v>
      </c>
      <c r="C7">
        <v>330</v>
      </c>
      <c r="D7">
        <v>330</v>
      </c>
      <c r="E7">
        <v>330</v>
      </c>
      <c r="F7">
        <v>330</v>
      </c>
      <c r="G7">
        <v>330</v>
      </c>
      <c r="H7">
        <v>330</v>
      </c>
      <c r="I7">
        <v>330</v>
      </c>
      <c r="J7">
        <v>330</v>
      </c>
      <c r="K7">
        <v>330</v>
      </c>
      <c r="L7">
        <v>330</v>
      </c>
      <c r="M7">
        <v>330</v>
      </c>
      <c r="N7">
        <v>330</v>
      </c>
      <c r="O7">
        <v>330</v>
      </c>
      <c r="P7">
        <v>330</v>
      </c>
      <c r="Q7">
        <v>330</v>
      </c>
      <c r="R7">
        <v>330</v>
      </c>
      <c r="S7">
        <v>330</v>
      </c>
      <c r="T7">
        <v>330</v>
      </c>
      <c r="U7">
        <v>330</v>
      </c>
      <c r="V7">
        <v>330</v>
      </c>
      <c r="W7">
        <v>330</v>
      </c>
      <c r="X7">
        <v>330</v>
      </c>
      <c r="Y7">
        <v>330</v>
      </c>
      <c r="Z7">
        <v>330</v>
      </c>
      <c r="AA7">
        <v>330</v>
      </c>
      <c r="AB7">
        <v>330</v>
      </c>
      <c r="AC7">
        <v>330</v>
      </c>
      <c r="AD7">
        <v>330</v>
      </c>
      <c r="AE7">
        <v>330</v>
      </c>
      <c r="AF7">
        <v>330</v>
      </c>
      <c r="AG7">
        <v>330</v>
      </c>
      <c r="AH7">
        <v>330</v>
      </c>
      <c r="AI7">
        <v>330</v>
      </c>
      <c r="AJ7">
        <v>330</v>
      </c>
      <c r="AK7">
        <v>330</v>
      </c>
      <c r="AL7">
        <v>330</v>
      </c>
      <c r="AM7">
        <v>330</v>
      </c>
      <c r="AN7">
        <v>330</v>
      </c>
      <c r="AO7">
        <v>330</v>
      </c>
      <c r="AP7">
        <v>330</v>
      </c>
      <c r="AQ7">
        <v>330</v>
      </c>
      <c r="AR7">
        <v>330</v>
      </c>
      <c r="AS7">
        <v>330</v>
      </c>
      <c r="AT7">
        <v>330</v>
      </c>
      <c r="AU7">
        <v>330</v>
      </c>
      <c r="AV7">
        <v>330</v>
      </c>
      <c r="AW7">
        <v>330</v>
      </c>
      <c r="AX7">
        <v>330</v>
      </c>
      <c r="AY7">
        <v>330</v>
      </c>
      <c r="AZ7">
        <v>330</v>
      </c>
      <c r="BA7">
        <v>330</v>
      </c>
      <c r="BB7">
        <v>330</v>
      </c>
      <c r="BC7">
        <v>330</v>
      </c>
      <c r="BD7">
        <v>330</v>
      </c>
      <c r="BE7">
        <v>330</v>
      </c>
      <c r="BF7">
        <v>330</v>
      </c>
      <c r="BG7">
        <v>330</v>
      </c>
      <c r="BH7">
        <v>330</v>
      </c>
      <c r="BI7">
        <v>330</v>
      </c>
      <c r="BJ7">
        <v>330</v>
      </c>
      <c r="BK7">
        <v>330</v>
      </c>
      <c r="BL7">
        <v>330</v>
      </c>
      <c r="BM7">
        <v>330</v>
      </c>
      <c r="BN7">
        <v>330</v>
      </c>
      <c r="BO7">
        <v>330</v>
      </c>
      <c r="BP7">
        <v>330</v>
      </c>
      <c r="BQ7">
        <v>330</v>
      </c>
      <c r="BR7">
        <v>330</v>
      </c>
      <c r="BS7">
        <v>330</v>
      </c>
      <c r="BT7">
        <v>330</v>
      </c>
      <c r="BU7">
        <v>330</v>
      </c>
      <c r="BV7">
        <v>330</v>
      </c>
      <c r="BW7">
        <v>330</v>
      </c>
      <c r="BX7">
        <v>330</v>
      </c>
      <c r="BY7">
        <v>330</v>
      </c>
      <c r="BZ7">
        <v>330</v>
      </c>
      <c r="CA7">
        <v>330</v>
      </c>
      <c r="CB7">
        <v>330</v>
      </c>
      <c r="CC7">
        <v>330</v>
      </c>
      <c r="CD7">
        <v>330</v>
      </c>
      <c r="CE7">
        <v>330</v>
      </c>
      <c r="CF7">
        <v>330</v>
      </c>
      <c r="CG7">
        <v>330</v>
      </c>
      <c r="CH7">
        <v>330</v>
      </c>
      <c r="CI7">
        <v>330</v>
      </c>
      <c r="CJ7">
        <v>330</v>
      </c>
      <c r="CK7">
        <v>330</v>
      </c>
      <c r="CL7">
        <v>330</v>
      </c>
      <c r="CM7">
        <v>330</v>
      </c>
      <c r="CN7">
        <v>330</v>
      </c>
      <c r="CO7">
        <v>330</v>
      </c>
      <c r="CP7">
        <v>330</v>
      </c>
      <c r="CQ7">
        <v>330</v>
      </c>
      <c r="CR7">
        <v>330</v>
      </c>
      <c r="CS7">
        <v>330</v>
      </c>
    </row>
    <row r="8" spans="1:97">
      <c r="A8" s="9">
        <v>46241</v>
      </c>
      <c r="B8">
        <v>330</v>
      </c>
      <c r="C8">
        <v>330</v>
      </c>
      <c r="D8">
        <v>330</v>
      </c>
      <c r="E8">
        <v>330</v>
      </c>
      <c r="F8">
        <v>330</v>
      </c>
      <c r="G8">
        <v>330</v>
      </c>
      <c r="H8">
        <v>330</v>
      </c>
      <c r="I8">
        <v>330</v>
      </c>
      <c r="J8">
        <v>330</v>
      </c>
      <c r="K8">
        <v>330</v>
      </c>
      <c r="L8">
        <v>330</v>
      </c>
      <c r="M8">
        <v>330</v>
      </c>
      <c r="N8">
        <v>330</v>
      </c>
      <c r="O8">
        <v>330</v>
      </c>
      <c r="P8">
        <v>330</v>
      </c>
      <c r="Q8">
        <v>330</v>
      </c>
      <c r="R8">
        <v>330</v>
      </c>
      <c r="S8">
        <v>330</v>
      </c>
      <c r="T8">
        <v>330</v>
      </c>
      <c r="U8">
        <v>330</v>
      </c>
      <c r="V8">
        <v>330</v>
      </c>
      <c r="W8">
        <v>330</v>
      </c>
      <c r="X8">
        <v>330</v>
      </c>
      <c r="Y8">
        <v>330</v>
      </c>
      <c r="Z8">
        <v>330</v>
      </c>
      <c r="AA8">
        <v>330</v>
      </c>
      <c r="AB8">
        <v>330</v>
      </c>
      <c r="AC8">
        <v>330</v>
      </c>
      <c r="AD8">
        <v>330</v>
      </c>
      <c r="AE8">
        <v>330</v>
      </c>
      <c r="AF8">
        <v>330</v>
      </c>
      <c r="AG8">
        <v>330</v>
      </c>
      <c r="AH8">
        <v>330</v>
      </c>
      <c r="AI8">
        <v>330</v>
      </c>
      <c r="AJ8">
        <v>330</v>
      </c>
      <c r="AK8">
        <v>330</v>
      </c>
      <c r="AL8">
        <v>330</v>
      </c>
      <c r="AM8">
        <v>330</v>
      </c>
      <c r="AN8">
        <v>330</v>
      </c>
      <c r="AO8">
        <v>330</v>
      </c>
      <c r="AP8">
        <v>330</v>
      </c>
      <c r="AQ8">
        <v>330</v>
      </c>
      <c r="AR8">
        <v>330</v>
      </c>
      <c r="AS8">
        <v>330</v>
      </c>
      <c r="AT8">
        <v>330</v>
      </c>
      <c r="AU8">
        <v>330</v>
      </c>
      <c r="AV8">
        <v>330</v>
      </c>
      <c r="AW8">
        <v>330</v>
      </c>
      <c r="AX8">
        <v>330</v>
      </c>
      <c r="AY8">
        <v>330</v>
      </c>
      <c r="AZ8">
        <v>330</v>
      </c>
      <c r="BA8">
        <v>330</v>
      </c>
      <c r="BB8">
        <v>330</v>
      </c>
      <c r="BC8">
        <v>330</v>
      </c>
      <c r="BD8">
        <v>330</v>
      </c>
      <c r="BE8">
        <v>330</v>
      </c>
      <c r="BF8">
        <v>330</v>
      </c>
      <c r="BG8">
        <v>330</v>
      </c>
      <c r="BH8">
        <v>330</v>
      </c>
      <c r="BI8">
        <v>330</v>
      </c>
      <c r="BJ8">
        <v>330</v>
      </c>
      <c r="BK8">
        <v>330</v>
      </c>
      <c r="BL8">
        <v>330</v>
      </c>
      <c r="BM8">
        <v>330</v>
      </c>
      <c r="BN8">
        <v>330</v>
      </c>
      <c r="BO8">
        <v>330</v>
      </c>
      <c r="BP8">
        <v>330</v>
      </c>
      <c r="BQ8">
        <v>330</v>
      </c>
      <c r="BR8">
        <v>330</v>
      </c>
      <c r="BS8">
        <v>330</v>
      </c>
      <c r="BT8">
        <v>330</v>
      </c>
      <c r="BU8">
        <v>330</v>
      </c>
      <c r="BV8">
        <v>330</v>
      </c>
      <c r="BW8">
        <v>330</v>
      </c>
      <c r="BX8">
        <v>330</v>
      </c>
      <c r="BY8">
        <v>330</v>
      </c>
      <c r="BZ8">
        <v>330</v>
      </c>
      <c r="CA8">
        <v>330</v>
      </c>
      <c r="CB8">
        <v>330</v>
      </c>
      <c r="CC8">
        <v>330</v>
      </c>
      <c r="CD8">
        <v>330</v>
      </c>
      <c r="CE8">
        <v>330</v>
      </c>
      <c r="CF8">
        <v>330</v>
      </c>
      <c r="CG8">
        <v>330</v>
      </c>
      <c r="CH8">
        <v>330</v>
      </c>
      <c r="CI8">
        <v>330</v>
      </c>
      <c r="CJ8">
        <v>330</v>
      </c>
      <c r="CK8">
        <v>330</v>
      </c>
      <c r="CL8">
        <v>330</v>
      </c>
      <c r="CM8">
        <v>330</v>
      </c>
      <c r="CN8">
        <v>330</v>
      </c>
      <c r="CO8">
        <v>330</v>
      </c>
      <c r="CP8">
        <v>330</v>
      </c>
      <c r="CQ8">
        <v>330</v>
      </c>
      <c r="CR8">
        <v>330</v>
      </c>
      <c r="CS8">
        <v>330</v>
      </c>
    </row>
    <row r="9" spans="1:97">
      <c r="A9" s="9">
        <v>46242</v>
      </c>
      <c r="B9">
        <v>330</v>
      </c>
      <c r="C9">
        <v>330</v>
      </c>
      <c r="D9">
        <v>330</v>
      </c>
      <c r="E9">
        <v>330</v>
      </c>
      <c r="F9">
        <v>330</v>
      </c>
      <c r="G9">
        <v>330</v>
      </c>
      <c r="H9">
        <v>330</v>
      </c>
      <c r="I9">
        <v>330</v>
      </c>
      <c r="J9">
        <v>330</v>
      </c>
      <c r="K9">
        <v>330</v>
      </c>
      <c r="L9">
        <v>330</v>
      </c>
      <c r="M9">
        <v>330</v>
      </c>
      <c r="N9">
        <v>330</v>
      </c>
      <c r="O9">
        <v>330</v>
      </c>
      <c r="P9">
        <v>330</v>
      </c>
      <c r="Q9">
        <v>330</v>
      </c>
      <c r="R9">
        <v>330</v>
      </c>
      <c r="S9">
        <v>330</v>
      </c>
      <c r="T9">
        <v>330</v>
      </c>
      <c r="U9">
        <v>330</v>
      </c>
      <c r="V9">
        <v>330</v>
      </c>
      <c r="W9">
        <v>330</v>
      </c>
      <c r="X9">
        <v>330</v>
      </c>
      <c r="Y9">
        <v>330</v>
      </c>
      <c r="Z9">
        <v>330</v>
      </c>
      <c r="AA9">
        <v>330</v>
      </c>
      <c r="AB9">
        <v>330</v>
      </c>
      <c r="AC9">
        <v>330</v>
      </c>
      <c r="AD9">
        <v>330</v>
      </c>
      <c r="AE9">
        <v>330</v>
      </c>
      <c r="AF9">
        <v>330</v>
      </c>
      <c r="AG9">
        <v>330</v>
      </c>
      <c r="AH9">
        <v>330</v>
      </c>
      <c r="AI9">
        <v>330</v>
      </c>
      <c r="AJ9">
        <v>330</v>
      </c>
      <c r="AK9">
        <v>330</v>
      </c>
      <c r="AL9">
        <v>330</v>
      </c>
      <c r="AM9">
        <v>330</v>
      </c>
      <c r="AN9">
        <v>330</v>
      </c>
      <c r="AO9">
        <v>330</v>
      </c>
      <c r="AP9">
        <v>330</v>
      </c>
      <c r="AQ9">
        <v>330</v>
      </c>
      <c r="AR9">
        <v>330</v>
      </c>
      <c r="AS9">
        <v>330</v>
      </c>
      <c r="AT9">
        <v>330</v>
      </c>
      <c r="AU9">
        <v>330</v>
      </c>
      <c r="AV9">
        <v>330</v>
      </c>
      <c r="AW9">
        <v>330</v>
      </c>
      <c r="AX9">
        <v>330</v>
      </c>
      <c r="AY9">
        <v>330</v>
      </c>
      <c r="AZ9">
        <v>330</v>
      </c>
      <c r="BA9">
        <v>330</v>
      </c>
      <c r="BB9">
        <v>330</v>
      </c>
      <c r="BC9">
        <v>330</v>
      </c>
      <c r="BD9">
        <v>330</v>
      </c>
      <c r="BE9">
        <v>330</v>
      </c>
      <c r="BF9">
        <v>330</v>
      </c>
      <c r="BG9">
        <v>330</v>
      </c>
      <c r="BH9">
        <v>330</v>
      </c>
      <c r="BI9">
        <v>330</v>
      </c>
      <c r="BJ9">
        <v>330</v>
      </c>
      <c r="BK9">
        <v>330</v>
      </c>
      <c r="BL9">
        <v>330</v>
      </c>
      <c r="BM9">
        <v>330</v>
      </c>
      <c r="BN9">
        <v>330</v>
      </c>
      <c r="BO9">
        <v>330</v>
      </c>
      <c r="BP9">
        <v>330</v>
      </c>
      <c r="BQ9">
        <v>330</v>
      </c>
      <c r="BR9">
        <v>330</v>
      </c>
      <c r="BS9">
        <v>330</v>
      </c>
      <c r="BT9">
        <v>330</v>
      </c>
      <c r="BU9">
        <v>330</v>
      </c>
      <c r="BV9">
        <v>330</v>
      </c>
      <c r="BW9">
        <v>330</v>
      </c>
      <c r="BX9">
        <v>330</v>
      </c>
      <c r="BY9">
        <v>330</v>
      </c>
      <c r="BZ9">
        <v>330</v>
      </c>
      <c r="CA9">
        <v>330</v>
      </c>
      <c r="CB9">
        <v>330</v>
      </c>
      <c r="CC9">
        <v>330</v>
      </c>
      <c r="CD9">
        <v>330</v>
      </c>
      <c r="CE9">
        <v>330</v>
      </c>
      <c r="CF9">
        <v>330</v>
      </c>
      <c r="CG9">
        <v>330</v>
      </c>
      <c r="CH9">
        <v>330</v>
      </c>
      <c r="CI9">
        <v>330</v>
      </c>
      <c r="CJ9">
        <v>330</v>
      </c>
      <c r="CK9">
        <v>330</v>
      </c>
      <c r="CL9">
        <v>330</v>
      </c>
      <c r="CM9">
        <v>330</v>
      </c>
      <c r="CN9">
        <v>330</v>
      </c>
      <c r="CO9">
        <v>330</v>
      </c>
      <c r="CP9">
        <v>330</v>
      </c>
      <c r="CQ9">
        <v>330</v>
      </c>
      <c r="CR9">
        <v>330</v>
      </c>
      <c r="CS9">
        <v>330</v>
      </c>
    </row>
    <row r="10" spans="1:97">
      <c r="A10" s="9">
        <v>46243</v>
      </c>
      <c r="B10">
        <v>330</v>
      </c>
      <c r="C10">
        <v>330</v>
      </c>
      <c r="D10">
        <v>330</v>
      </c>
      <c r="E10">
        <v>330</v>
      </c>
      <c r="F10">
        <v>330</v>
      </c>
      <c r="G10">
        <v>330</v>
      </c>
      <c r="H10">
        <v>330</v>
      </c>
      <c r="I10">
        <v>330</v>
      </c>
      <c r="J10">
        <v>330</v>
      </c>
      <c r="K10">
        <v>330</v>
      </c>
      <c r="L10">
        <v>330</v>
      </c>
      <c r="M10">
        <v>330</v>
      </c>
      <c r="N10">
        <v>330</v>
      </c>
      <c r="O10">
        <v>330</v>
      </c>
      <c r="P10">
        <v>330</v>
      </c>
      <c r="Q10">
        <v>330</v>
      </c>
      <c r="R10">
        <v>330</v>
      </c>
      <c r="S10">
        <v>330</v>
      </c>
      <c r="T10">
        <v>330</v>
      </c>
      <c r="U10">
        <v>330</v>
      </c>
      <c r="V10">
        <v>330</v>
      </c>
      <c r="W10">
        <v>330</v>
      </c>
      <c r="X10">
        <v>330</v>
      </c>
      <c r="Y10">
        <v>330</v>
      </c>
      <c r="Z10">
        <v>330</v>
      </c>
      <c r="AA10">
        <v>330</v>
      </c>
      <c r="AB10">
        <v>330</v>
      </c>
      <c r="AC10">
        <v>330</v>
      </c>
      <c r="AD10">
        <v>330</v>
      </c>
      <c r="AE10">
        <v>330</v>
      </c>
      <c r="AF10">
        <v>330</v>
      </c>
      <c r="AG10">
        <v>330</v>
      </c>
      <c r="AH10">
        <v>330</v>
      </c>
      <c r="AI10">
        <v>330</v>
      </c>
      <c r="AJ10">
        <v>330</v>
      </c>
      <c r="AK10">
        <v>330</v>
      </c>
      <c r="AL10">
        <v>330</v>
      </c>
      <c r="AM10">
        <v>330</v>
      </c>
      <c r="AN10">
        <v>330</v>
      </c>
      <c r="AO10">
        <v>330</v>
      </c>
      <c r="AP10">
        <v>330</v>
      </c>
      <c r="AQ10">
        <v>330</v>
      </c>
      <c r="AR10">
        <v>330</v>
      </c>
      <c r="AS10">
        <v>330</v>
      </c>
      <c r="AT10">
        <v>330</v>
      </c>
      <c r="AU10">
        <v>330</v>
      </c>
      <c r="AV10">
        <v>330</v>
      </c>
      <c r="AW10">
        <v>330</v>
      </c>
      <c r="AX10">
        <v>330</v>
      </c>
      <c r="AY10">
        <v>330</v>
      </c>
      <c r="AZ10">
        <v>330</v>
      </c>
      <c r="BA10">
        <v>330</v>
      </c>
      <c r="BB10">
        <v>330</v>
      </c>
      <c r="BC10">
        <v>330</v>
      </c>
      <c r="BD10">
        <v>330</v>
      </c>
      <c r="BE10">
        <v>330</v>
      </c>
      <c r="BF10">
        <v>330</v>
      </c>
      <c r="BG10">
        <v>330</v>
      </c>
      <c r="BH10">
        <v>330</v>
      </c>
      <c r="BI10">
        <v>330</v>
      </c>
      <c r="BJ10">
        <v>330</v>
      </c>
      <c r="BK10">
        <v>330</v>
      </c>
      <c r="BL10">
        <v>330</v>
      </c>
      <c r="BM10">
        <v>330</v>
      </c>
      <c r="BN10">
        <v>330</v>
      </c>
      <c r="BO10">
        <v>330</v>
      </c>
      <c r="BP10">
        <v>330</v>
      </c>
      <c r="BQ10">
        <v>330</v>
      </c>
      <c r="BR10">
        <v>330</v>
      </c>
      <c r="BS10">
        <v>330</v>
      </c>
      <c r="BT10">
        <v>330</v>
      </c>
      <c r="BU10">
        <v>330</v>
      </c>
      <c r="BV10">
        <v>330</v>
      </c>
      <c r="BW10">
        <v>330</v>
      </c>
      <c r="BX10">
        <v>330</v>
      </c>
      <c r="BY10">
        <v>330</v>
      </c>
      <c r="BZ10">
        <v>330</v>
      </c>
      <c r="CA10">
        <v>330</v>
      </c>
      <c r="CB10">
        <v>330</v>
      </c>
      <c r="CC10">
        <v>330</v>
      </c>
      <c r="CD10">
        <v>330</v>
      </c>
      <c r="CE10">
        <v>330</v>
      </c>
      <c r="CF10">
        <v>330</v>
      </c>
      <c r="CG10">
        <v>330</v>
      </c>
      <c r="CH10">
        <v>330</v>
      </c>
      <c r="CI10">
        <v>330</v>
      </c>
      <c r="CJ10">
        <v>330</v>
      </c>
      <c r="CK10">
        <v>330</v>
      </c>
      <c r="CL10">
        <v>330</v>
      </c>
      <c r="CM10">
        <v>330</v>
      </c>
      <c r="CN10">
        <v>330</v>
      </c>
      <c r="CO10">
        <v>330</v>
      </c>
      <c r="CP10">
        <v>330</v>
      </c>
      <c r="CQ10">
        <v>330</v>
      </c>
      <c r="CR10">
        <v>330</v>
      </c>
      <c r="CS10">
        <v>330</v>
      </c>
    </row>
    <row r="11" spans="1:97">
      <c r="A11" s="9">
        <v>46244</v>
      </c>
      <c r="B11">
        <v>330</v>
      </c>
      <c r="C11">
        <v>330</v>
      </c>
      <c r="D11">
        <v>330</v>
      </c>
      <c r="E11">
        <v>330</v>
      </c>
      <c r="F11">
        <v>330</v>
      </c>
      <c r="G11">
        <v>330</v>
      </c>
      <c r="H11">
        <v>330</v>
      </c>
      <c r="I11">
        <v>330</v>
      </c>
      <c r="J11">
        <v>330</v>
      </c>
      <c r="K11">
        <v>330</v>
      </c>
      <c r="L11">
        <v>330</v>
      </c>
      <c r="M11">
        <v>330</v>
      </c>
      <c r="N11">
        <v>330</v>
      </c>
      <c r="O11">
        <v>330</v>
      </c>
      <c r="P11">
        <v>330</v>
      </c>
      <c r="Q11">
        <v>330</v>
      </c>
      <c r="R11">
        <v>330</v>
      </c>
      <c r="S11">
        <v>330</v>
      </c>
      <c r="T11">
        <v>330</v>
      </c>
      <c r="U11">
        <v>330</v>
      </c>
      <c r="V11">
        <v>330</v>
      </c>
      <c r="W11">
        <v>330</v>
      </c>
      <c r="X11">
        <v>330</v>
      </c>
      <c r="Y11">
        <v>330</v>
      </c>
      <c r="Z11">
        <v>330</v>
      </c>
      <c r="AA11">
        <v>330</v>
      </c>
      <c r="AB11">
        <v>330</v>
      </c>
      <c r="AC11">
        <v>330</v>
      </c>
      <c r="AD11">
        <v>330</v>
      </c>
      <c r="AE11">
        <v>330</v>
      </c>
      <c r="AF11">
        <v>330</v>
      </c>
      <c r="AG11">
        <v>330</v>
      </c>
      <c r="AH11">
        <v>330</v>
      </c>
      <c r="AI11">
        <v>330</v>
      </c>
      <c r="AJ11">
        <v>330</v>
      </c>
      <c r="AK11">
        <v>330</v>
      </c>
      <c r="AL11">
        <v>330</v>
      </c>
      <c r="AM11">
        <v>330</v>
      </c>
      <c r="AN11">
        <v>330</v>
      </c>
      <c r="AO11">
        <v>330</v>
      </c>
      <c r="AP11">
        <v>330</v>
      </c>
      <c r="AQ11">
        <v>330</v>
      </c>
      <c r="AR11">
        <v>330</v>
      </c>
      <c r="AS11">
        <v>330</v>
      </c>
      <c r="AT11">
        <v>330</v>
      </c>
      <c r="AU11">
        <v>330</v>
      </c>
      <c r="AV11">
        <v>330</v>
      </c>
      <c r="AW11">
        <v>330</v>
      </c>
      <c r="AX11">
        <v>330</v>
      </c>
      <c r="AY11">
        <v>330</v>
      </c>
      <c r="AZ11">
        <v>330</v>
      </c>
      <c r="BA11">
        <v>330</v>
      </c>
      <c r="BB11">
        <v>330</v>
      </c>
      <c r="BC11">
        <v>330</v>
      </c>
      <c r="BD11">
        <v>330</v>
      </c>
      <c r="BE11">
        <v>330</v>
      </c>
      <c r="BF11">
        <v>330</v>
      </c>
      <c r="BG11">
        <v>330</v>
      </c>
      <c r="BH11">
        <v>330</v>
      </c>
      <c r="BI11">
        <v>330</v>
      </c>
      <c r="BJ11">
        <v>330</v>
      </c>
      <c r="BK11">
        <v>330</v>
      </c>
      <c r="BL11">
        <v>330</v>
      </c>
      <c r="BM11">
        <v>330</v>
      </c>
      <c r="BN11">
        <v>330</v>
      </c>
      <c r="BO11">
        <v>330</v>
      </c>
      <c r="BP11">
        <v>330</v>
      </c>
      <c r="BQ11">
        <v>330</v>
      </c>
      <c r="BR11">
        <v>330</v>
      </c>
      <c r="BS11">
        <v>330</v>
      </c>
      <c r="BT11">
        <v>330</v>
      </c>
      <c r="BU11">
        <v>330</v>
      </c>
      <c r="BV11">
        <v>330</v>
      </c>
      <c r="BW11">
        <v>330</v>
      </c>
      <c r="BX11">
        <v>330</v>
      </c>
      <c r="BY11">
        <v>330</v>
      </c>
      <c r="BZ11">
        <v>330</v>
      </c>
      <c r="CA11">
        <v>330</v>
      </c>
      <c r="CB11">
        <v>330</v>
      </c>
      <c r="CC11">
        <v>330</v>
      </c>
      <c r="CD11">
        <v>330</v>
      </c>
      <c r="CE11">
        <v>330</v>
      </c>
      <c r="CF11">
        <v>330</v>
      </c>
      <c r="CG11">
        <v>330</v>
      </c>
      <c r="CH11">
        <v>330</v>
      </c>
      <c r="CI11">
        <v>330</v>
      </c>
      <c r="CJ11">
        <v>330</v>
      </c>
      <c r="CK11">
        <v>330</v>
      </c>
      <c r="CL11">
        <v>330</v>
      </c>
      <c r="CM11">
        <v>330</v>
      </c>
      <c r="CN11">
        <v>330</v>
      </c>
      <c r="CO11">
        <v>330</v>
      </c>
      <c r="CP11">
        <v>330</v>
      </c>
      <c r="CQ11">
        <v>330</v>
      </c>
      <c r="CR11">
        <v>330</v>
      </c>
      <c r="CS11">
        <v>330</v>
      </c>
    </row>
    <row r="12" spans="1:97">
      <c r="A12" s="9">
        <v>46245</v>
      </c>
      <c r="B12">
        <v>330</v>
      </c>
      <c r="C12">
        <v>330</v>
      </c>
      <c r="D12">
        <v>330</v>
      </c>
      <c r="E12">
        <v>330</v>
      </c>
      <c r="F12">
        <v>330</v>
      </c>
      <c r="G12">
        <v>330</v>
      </c>
      <c r="H12">
        <v>330</v>
      </c>
      <c r="I12">
        <v>330</v>
      </c>
      <c r="J12">
        <v>330</v>
      </c>
      <c r="K12">
        <v>330</v>
      </c>
      <c r="L12">
        <v>330</v>
      </c>
      <c r="M12">
        <v>330</v>
      </c>
      <c r="N12">
        <v>330</v>
      </c>
      <c r="O12">
        <v>330</v>
      </c>
      <c r="P12">
        <v>330</v>
      </c>
      <c r="Q12">
        <v>330</v>
      </c>
      <c r="R12">
        <v>330</v>
      </c>
      <c r="S12">
        <v>330</v>
      </c>
      <c r="T12">
        <v>330</v>
      </c>
      <c r="U12">
        <v>330</v>
      </c>
      <c r="V12">
        <v>330</v>
      </c>
      <c r="W12">
        <v>330</v>
      </c>
      <c r="X12">
        <v>330</v>
      </c>
      <c r="Y12">
        <v>330</v>
      </c>
      <c r="Z12">
        <v>330</v>
      </c>
      <c r="AA12">
        <v>330</v>
      </c>
      <c r="AB12">
        <v>330</v>
      </c>
      <c r="AC12">
        <v>330</v>
      </c>
      <c r="AD12">
        <v>330</v>
      </c>
      <c r="AE12">
        <v>330</v>
      </c>
      <c r="AF12">
        <v>330</v>
      </c>
      <c r="AG12">
        <v>330</v>
      </c>
      <c r="AH12">
        <v>330</v>
      </c>
      <c r="AI12">
        <v>330</v>
      </c>
      <c r="AJ12">
        <v>330</v>
      </c>
      <c r="AK12">
        <v>330</v>
      </c>
      <c r="AL12">
        <v>330</v>
      </c>
      <c r="AM12">
        <v>330</v>
      </c>
      <c r="AN12">
        <v>330</v>
      </c>
      <c r="AO12">
        <v>330</v>
      </c>
      <c r="AP12">
        <v>330</v>
      </c>
      <c r="AQ12">
        <v>330</v>
      </c>
      <c r="AR12">
        <v>330</v>
      </c>
      <c r="AS12">
        <v>330</v>
      </c>
      <c r="AT12">
        <v>330</v>
      </c>
      <c r="AU12">
        <v>330</v>
      </c>
      <c r="AV12">
        <v>330</v>
      </c>
      <c r="AW12">
        <v>330</v>
      </c>
      <c r="AX12">
        <v>330</v>
      </c>
      <c r="AY12">
        <v>330</v>
      </c>
      <c r="AZ12">
        <v>330</v>
      </c>
      <c r="BA12">
        <v>330</v>
      </c>
      <c r="BB12">
        <v>330</v>
      </c>
      <c r="BC12">
        <v>330</v>
      </c>
      <c r="BD12">
        <v>330</v>
      </c>
      <c r="BE12">
        <v>330</v>
      </c>
      <c r="BF12">
        <v>330</v>
      </c>
      <c r="BG12">
        <v>330</v>
      </c>
      <c r="BH12">
        <v>330</v>
      </c>
      <c r="BI12">
        <v>330</v>
      </c>
      <c r="BJ12">
        <v>330</v>
      </c>
      <c r="BK12">
        <v>330</v>
      </c>
      <c r="BL12">
        <v>330</v>
      </c>
      <c r="BM12">
        <v>330</v>
      </c>
      <c r="BN12">
        <v>330</v>
      </c>
      <c r="BO12">
        <v>330</v>
      </c>
      <c r="BP12">
        <v>330</v>
      </c>
      <c r="BQ12">
        <v>330</v>
      </c>
      <c r="BR12">
        <v>330</v>
      </c>
      <c r="BS12">
        <v>330</v>
      </c>
      <c r="BT12">
        <v>330</v>
      </c>
      <c r="BU12">
        <v>330</v>
      </c>
      <c r="BV12">
        <v>330</v>
      </c>
      <c r="BW12">
        <v>330</v>
      </c>
      <c r="BX12">
        <v>330</v>
      </c>
      <c r="BY12">
        <v>330</v>
      </c>
      <c r="BZ12">
        <v>330</v>
      </c>
      <c r="CA12">
        <v>330</v>
      </c>
      <c r="CB12">
        <v>330</v>
      </c>
      <c r="CC12">
        <v>330</v>
      </c>
      <c r="CD12">
        <v>330</v>
      </c>
      <c r="CE12">
        <v>330</v>
      </c>
      <c r="CF12">
        <v>330</v>
      </c>
      <c r="CG12">
        <v>330</v>
      </c>
      <c r="CH12">
        <v>330</v>
      </c>
      <c r="CI12">
        <v>330</v>
      </c>
      <c r="CJ12">
        <v>330</v>
      </c>
      <c r="CK12">
        <v>330</v>
      </c>
      <c r="CL12">
        <v>330</v>
      </c>
      <c r="CM12">
        <v>330</v>
      </c>
      <c r="CN12">
        <v>330</v>
      </c>
      <c r="CO12">
        <v>330</v>
      </c>
      <c r="CP12">
        <v>330</v>
      </c>
      <c r="CQ12">
        <v>330</v>
      </c>
      <c r="CR12">
        <v>330</v>
      </c>
      <c r="CS12">
        <v>330</v>
      </c>
    </row>
    <row r="13" spans="1:97">
      <c r="A13" s="9">
        <v>46246</v>
      </c>
      <c r="B13">
        <v>330</v>
      </c>
      <c r="C13">
        <v>330</v>
      </c>
      <c r="D13">
        <v>330</v>
      </c>
      <c r="E13">
        <v>330</v>
      </c>
      <c r="F13">
        <v>330</v>
      </c>
      <c r="G13">
        <v>330</v>
      </c>
      <c r="H13">
        <v>330</v>
      </c>
      <c r="I13">
        <v>330</v>
      </c>
      <c r="J13">
        <v>330</v>
      </c>
      <c r="K13">
        <v>330</v>
      </c>
      <c r="L13">
        <v>330</v>
      </c>
      <c r="M13">
        <v>330</v>
      </c>
      <c r="N13">
        <v>330</v>
      </c>
      <c r="O13">
        <v>330</v>
      </c>
      <c r="P13">
        <v>330</v>
      </c>
      <c r="Q13">
        <v>330</v>
      </c>
      <c r="R13">
        <v>330</v>
      </c>
      <c r="S13">
        <v>330</v>
      </c>
      <c r="T13">
        <v>330</v>
      </c>
      <c r="U13">
        <v>330</v>
      </c>
      <c r="V13">
        <v>330</v>
      </c>
      <c r="W13">
        <v>330</v>
      </c>
      <c r="X13">
        <v>330</v>
      </c>
      <c r="Y13">
        <v>330</v>
      </c>
      <c r="Z13">
        <v>330</v>
      </c>
      <c r="AA13">
        <v>330</v>
      </c>
      <c r="AB13">
        <v>330</v>
      </c>
      <c r="AC13">
        <v>330</v>
      </c>
      <c r="AD13">
        <v>330</v>
      </c>
      <c r="AE13">
        <v>330</v>
      </c>
      <c r="AF13">
        <v>330</v>
      </c>
      <c r="AG13">
        <v>330</v>
      </c>
      <c r="AH13">
        <v>330</v>
      </c>
      <c r="AI13">
        <v>330</v>
      </c>
      <c r="AJ13">
        <v>330</v>
      </c>
      <c r="AK13">
        <v>330</v>
      </c>
      <c r="AL13">
        <v>330</v>
      </c>
      <c r="AM13">
        <v>330</v>
      </c>
      <c r="AN13">
        <v>330</v>
      </c>
      <c r="AO13">
        <v>330</v>
      </c>
      <c r="AP13">
        <v>330</v>
      </c>
      <c r="AQ13">
        <v>330</v>
      </c>
      <c r="AR13">
        <v>330</v>
      </c>
      <c r="AS13">
        <v>330</v>
      </c>
      <c r="AT13">
        <v>330</v>
      </c>
      <c r="AU13">
        <v>330</v>
      </c>
      <c r="AV13">
        <v>330</v>
      </c>
      <c r="AW13">
        <v>330</v>
      </c>
      <c r="AX13">
        <v>330</v>
      </c>
      <c r="AY13">
        <v>330</v>
      </c>
      <c r="AZ13">
        <v>330</v>
      </c>
      <c r="BA13">
        <v>330</v>
      </c>
      <c r="BB13">
        <v>330</v>
      </c>
      <c r="BC13">
        <v>330</v>
      </c>
      <c r="BD13">
        <v>330</v>
      </c>
      <c r="BE13">
        <v>330</v>
      </c>
      <c r="BF13">
        <v>330</v>
      </c>
      <c r="BG13">
        <v>330</v>
      </c>
      <c r="BH13">
        <v>330</v>
      </c>
      <c r="BI13">
        <v>330</v>
      </c>
      <c r="BJ13">
        <v>330</v>
      </c>
      <c r="BK13">
        <v>330</v>
      </c>
      <c r="BL13">
        <v>330</v>
      </c>
      <c r="BM13">
        <v>330</v>
      </c>
      <c r="BN13">
        <v>330</v>
      </c>
      <c r="BO13">
        <v>330</v>
      </c>
      <c r="BP13">
        <v>330</v>
      </c>
      <c r="BQ13">
        <v>330</v>
      </c>
      <c r="BR13">
        <v>330</v>
      </c>
      <c r="BS13">
        <v>330</v>
      </c>
      <c r="BT13">
        <v>330</v>
      </c>
      <c r="BU13">
        <v>330</v>
      </c>
      <c r="BV13">
        <v>330</v>
      </c>
      <c r="BW13">
        <v>330</v>
      </c>
      <c r="BX13">
        <v>330</v>
      </c>
      <c r="BY13">
        <v>330</v>
      </c>
      <c r="BZ13">
        <v>330</v>
      </c>
      <c r="CA13">
        <v>330</v>
      </c>
      <c r="CB13">
        <v>330</v>
      </c>
      <c r="CC13">
        <v>330</v>
      </c>
      <c r="CD13">
        <v>330</v>
      </c>
      <c r="CE13">
        <v>330</v>
      </c>
      <c r="CF13">
        <v>330</v>
      </c>
      <c r="CG13">
        <v>330</v>
      </c>
      <c r="CH13">
        <v>330</v>
      </c>
      <c r="CI13">
        <v>330</v>
      </c>
      <c r="CJ13">
        <v>330</v>
      </c>
      <c r="CK13">
        <v>330</v>
      </c>
      <c r="CL13">
        <v>330</v>
      </c>
      <c r="CM13">
        <v>330</v>
      </c>
      <c r="CN13">
        <v>330</v>
      </c>
      <c r="CO13">
        <v>330</v>
      </c>
      <c r="CP13">
        <v>330</v>
      </c>
      <c r="CQ13">
        <v>330</v>
      </c>
      <c r="CR13">
        <v>330</v>
      </c>
      <c r="CS13">
        <v>330</v>
      </c>
    </row>
    <row r="14" spans="1:97">
      <c r="A14" s="9">
        <v>46247</v>
      </c>
      <c r="B14">
        <v>630</v>
      </c>
      <c r="C14">
        <v>630</v>
      </c>
      <c r="D14">
        <v>630</v>
      </c>
      <c r="E14">
        <v>630</v>
      </c>
      <c r="F14">
        <v>630</v>
      </c>
      <c r="G14">
        <v>630</v>
      </c>
      <c r="H14">
        <v>630</v>
      </c>
      <c r="I14">
        <v>630</v>
      </c>
      <c r="J14">
        <v>630</v>
      </c>
      <c r="K14">
        <v>630</v>
      </c>
      <c r="L14">
        <v>630</v>
      </c>
      <c r="M14">
        <v>630</v>
      </c>
      <c r="N14">
        <v>630</v>
      </c>
      <c r="O14">
        <v>630</v>
      </c>
      <c r="P14">
        <v>630</v>
      </c>
      <c r="Q14">
        <v>630</v>
      </c>
      <c r="R14">
        <v>630</v>
      </c>
      <c r="S14">
        <v>630</v>
      </c>
      <c r="T14">
        <v>630</v>
      </c>
      <c r="U14">
        <v>630</v>
      </c>
      <c r="V14">
        <v>630</v>
      </c>
      <c r="W14">
        <v>630</v>
      </c>
      <c r="X14">
        <v>630</v>
      </c>
      <c r="Y14">
        <v>630</v>
      </c>
      <c r="Z14">
        <v>630</v>
      </c>
      <c r="AA14">
        <v>630</v>
      </c>
      <c r="AB14">
        <v>630</v>
      </c>
      <c r="AC14">
        <v>630</v>
      </c>
      <c r="AD14">
        <v>630</v>
      </c>
      <c r="AE14">
        <v>630</v>
      </c>
      <c r="AF14">
        <v>630</v>
      </c>
      <c r="AG14">
        <v>630</v>
      </c>
      <c r="AH14">
        <v>630</v>
      </c>
      <c r="AI14">
        <v>630</v>
      </c>
      <c r="AJ14">
        <v>630</v>
      </c>
      <c r="AK14">
        <v>630</v>
      </c>
      <c r="AL14">
        <v>630</v>
      </c>
      <c r="AM14">
        <v>630</v>
      </c>
      <c r="AN14">
        <v>630</v>
      </c>
      <c r="AO14">
        <v>630</v>
      </c>
      <c r="AP14">
        <v>630</v>
      </c>
      <c r="AQ14">
        <v>630</v>
      </c>
      <c r="AR14">
        <v>630</v>
      </c>
      <c r="AS14">
        <v>630</v>
      </c>
      <c r="AT14">
        <v>630</v>
      </c>
      <c r="AU14">
        <v>630</v>
      </c>
      <c r="AV14">
        <v>630</v>
      </c>
      <c r="AW14">
        <v>630</v>
      </c>
      <c r="AX14">
        <v>630</v>
      </c>
      <c r="AY14">
        <v>630</v>
      </c>
      <c r="AZ14">
        <v>630</v>
      </c>
      <c r="BA14">
        <v>630</v>
      </c>
      <c r="BB14">
        <v>630</v>
      </c>
      <c r="BC14">
        <v>630</v>
      </c>
      <c r="BD14">
        <v>630</v>
      </c>
      <c r="BE14">
        <v>630</v>
      </c>
      <c r="BF14">
        <v>630</v>
      </c>
      <c r="BG14">
        <v>630</v>
      </c>
      <c r="BH14">
        <v>630</v>
      </c>
      <c r="BI14">
        <v>630</v>
      </c>
      <c r="BJ14">
        <v>630</v>
      </c>
      <c r="BK14">
        <v>630</v>
      </c>
      <c r="BL14">
        <v>630</v>
      </c>
      <c r="BM14">
        <v>630</v>
      </c>
      <c r="BN14">
        <v>630</v>
      </c>
      <c r="BO14">
        <v>630</v>
      </c>
      <c r="BP14">
        <v>630</v>
      </c>
      <c r="BQ14">
        <v>630</v>
      </c>
      <c r="BR14">
        <v>630</v>
      </c>
      <c r="BS14">
        <v>630</v>
      </c>
      <c r="BT14">
        <v>630</v>
      </c>
      <c r="BU14">
        <v>630</v>
      </c>
      <c r="BV14">
        <v>630</v>
      </c>
      <c r="BW14">
        <v>630</v>
      </c>
      <c r="BX14">
        <v>630</v>
      </c>
      <c r="BY14">
        <v>630</v>
      </c>
      <c r="BZ14">
        <v>630</v>
      </c>
      <c r="CA14">
        <v>630</v>
      </c>
      <c r="CB14">
        <v>630</v>
      </c>
      <c r="CC14">
        <v>630</v>
      </c>
      <c r="CD14">
        <v>630</v>
      </c>
      <c r="CE14">
        <v>630</v>
      </c>
      <c r="CF14">
        <v>630</v>
      </c>
      <c r="CG14">
        <v>630</v>
      </c>
      <c r="CH14">
        <v>630</v>
      </c>
      <c r="CI14">
        <v>630</v>
      </c>
      <c r="CJ14">
        <v>630</v>
      </c>
      <c r="CK14">
        <v>630</v>
      </c>
      <c r="CL14">
        <v>630</v>
      </c>
      <c r="CM14">
        <v>630</v>
      </c>
      <c r="CN14">
        <v>630</v>
      </c>
      <c r="CO14">
        <v>630</v>
      </c>
      <c r="CP14">
        <v>630</v>
      </c>
      <c r="CQ14">
        <v>630</v>
      </c>
      <c r="CR14">
        <v>630</v>
      </c>
      <c r="CS14">
        <v>630</v>
      </c>
    </row>
    <row r="15" spans="1:97">
      <c r="A15" s="9">
        <v>46248</v>
      </c>
      <c r="B15">
        <v>630</v>
      </c>
      <c r="C15">
        <v>630</v>
      </c>
      <c r="D15">
        <v>630</v>
      </c>
      <c r="E15">
        <v>630</v>
      </c>
      <c r="F15">
        <v>630</v>
      </c>
      <c r="G15">
        <v>630</v>
      </c>
      <c r="H15">
        <v>630</v>
      </c>
      <c r="I15">
        <v>630</v>
      </c>
      <c r="J15">
        <v>630</v>
      </c>
      <c r="K15">
        <v>630</v>
      </c>
      <c r="L15">
        <v>630</v>
      </c>
      <c r="M15">
        <v>630</v>
      </c>
      <c r="N15">
        <v>630</v>
      </c>
      <c r="O15">
        <v>630</v>
      </c>
      <c r="P15">
        <v>630</v>
      </c>
      <c r="Q15">
        <v>630</v>
      </c>
      <c r="R15">
        <v>630</v>
      </c>
      <c r="S15">
        <v>630</v>
      </c>
      <c r="T15">
        <v>630</v>
      </c>
      <c r="U15">
        <v>630</v>
      </c>
      <c r="V15">
        <v>630</v>
      </c>
      <c r="W15">
        <v>630</v>
      </c>
      <c r="X15">
        <v>630</v>
      </c>
      <c r="Y15">
        <v>630</v>
      </c>
      <c r="Z15">
        <v>630</v>
      </c>
      <c r="AA15">
        <v>630</v>
      </c>
      <c r="AB15">
        <v>630</v>
      </c>
      <c r="AC15">
        <v>630</v>
      </c>
      <c r="AD15">
        <v>630</v>
      </c>
      <c r="AE15">
        <v>630</v>
      </c>
      <c r="AF15">
        <v>630</v>
      </c>
      <c r="AG15">
        <v>630</v>
      </c>
      <c r="AH15">
        <v>630</v>
      </c>
      <c r="AI15">
        <v>630</v>
      </c>
      <c r="AJ15">
        <v>630</v>
      </c>
      <c r="AK15">
        <v>630</v>
      </c>
      <c r="AL15">
        <v>630</v>
      </c>
      <c r="AM15">
        <v>630</v>
      </c>
      <c r="AN15">
        <v>630</v>
      </c>
      <c r="AO15">
        <v>630</v>
      </c>
      <c r="AP15">
        <v>630</v>
      </c>
      <c r="AQ15">
        <v>630</v>
      </c>
      <c r="AR15">
        <v>630</v>
      </c>
      <c r="AS15">
        <v>630</v>
      </c>
      <c r="AT15">
        <v>630</v>
      </c>
      <c r="AU15">
        <v>630</v>
      </c>
      <c r="AV15">
        <v>630</v>
      </c>
      <c r="AW15">
        <v>630</v>
      </c>
      <c r="AX15">
        <v>630</v>
      </c>
      <c r="AY15">
        <v>630</v>
      </c>
      <c r="AZ15">
        <v>630</v>
      </c>
      <c r="BA15">
        <v>630</v>
      </c>
      <c r="BB15">
        <v>630</v>
      </c>
      <c r="BC15">
        <v>630</v>
      </c>
      <c r="BD15">
        <v>630</v>
      </c>
      <c r="BE15">
        <v>630</v>
      </c>
      <c r="BF15">
        <v>630</v>
      </c>
      <c r="BG15">
        <v>630</v>
      </c>
      <c r="BH15">
        <v>630</v>
      </c>
      <c r="BI15">
        <v>630</v>
      </c>
      <c r="BJ15">
        <v>630</v>
      </c>
      <c r="BK15">
        <v>630</v>
      </c>
      <c r="BL15">
        <v>630</v>
      </c>
      <c r="BM15">
        <v>630</v>
      </c>
      <c r="BN15">
        <v>630</v>
      </c>
      <c r="BO15">
        <v>630</v>
      </c>
      <c r="BP15">
        <v>630</v>
      </c>
      <c r="BQ15">
        <v>630</v>
      </c>
      <c r="BR15">
        <v>630</v>
      </c>
      <c r="BS15">
        <v>630</v>
      </c>
      <c r="BT15">
        <v>630</v>
      </c>
      <c r="BU15">
        <v>630</v>
      </c>
      <c r="BV15">
        <v>630</v>
      </c>
      <c r="BW15">
        <v>630</v>
      </c>
      <c r="BX15">
        <v>630</v>
      </c>
      <c r="BY15">
        <v>630</v>
      </c>
      <c r="BZ15">
        <v>630</v>
      </c>
      <c r="CA15">
        <v>630</v>
      </c>
      <c r="CB15">
        <v>630</v>
      </c>
      <c r="CC15">
        <v>630</v>
      </c>
      <c r="CD15">
        <v>630</v>
      </c>
      <c r="CE15">
        <v>630</v>
      </c>
      <c r="CF15">
        <v>630</v>
      </c>
      <c r="CG15">
        <v>630</v>
      </c>
      <c r="CH15">
        <v>630</v>
      </c>
      <c r="CI15">
        <v>630</v>
      </c>
      <c r="CJ15">
        <v>630</v>
      </c>
      <c r="CK15">
        <v>630</v>
      </c>
      <c r="CL15">
        <v>630</v>
      </c>
      <c r="CM15">
        <v>630</v>
      </c>
      <c r="CN15">
        <v>630</v>
      </c>
      <c r="CO15">
        <v>630</v>
      </c>
      <c r="CP15">
        <v>630</v>
      </c>
      <c r="CQ15">
        <v>630</v>
      </c>
      <c r="CR15">
        <v>630</v>
      </c>
      <c r="CS15">
        <v>630</v>
      </c>
    </row>
    <row r="16" spans="1:97">
      <c r="A16" s="9">
        <v>46249</v>
      </c>
      <c r="B16">
        <v>630</v>
      </c>
      <c r="C16">
        <v>630</v>
      </c>
      <c r="D16">
        <v>630</v>
      </c>
      <c r="E16">
        <v>630</v>
      </c>
      <c r="F16">
        <v>630</v>
      </c>
      <c r="G16">
        <v>630</v>
      </c>
      <c r="H16">
        <v>630</v>
      </c>
      <c r="I16">
        <v>630</v>
      </c>
      <c r="J16">
        <v>630</v>
      </c>
      <c r="K16">
        <v>630</v>
      </c>
      <c r="L16">
        <v>630</v>
      </c>
      <c r="M16">
        <v>630</v>
      </c>
      <c r="N16">
        <v>630</v>
      </c>
      <c r="O16">
        <v>630</v>
      </c>
      <c r="P16">
        <v>630</v>
      </c>
      <c r="Q16">
        <v>630</v>
      </c>
      <c r="R16">
        <v>630</v>
      </c>
      <c r="S16">
        <v>630</v>
      </c>
      <c r="T16">
        <v>630</v>
      </c>
      <c r="U16">
        <v>630</v>
      </c>
      <c r="V16">
        <v>630</v>
      </c>
      <c r="W16">
        <v>630</v>
      </c>
      <c r="X16">
        <v>630</v>
      </c>
      <c r="Y16">
        <v>630</v>
      </c>
      <c r="Z16">
        <v>630</v>
      </c>
      <c r="AA16">
        <v>630</v>
      </c>
      <c r="AB16">
        <v>630</v>
      </c>
      <c r="AC16">
        <v>630</v>
      </c>
      <c r="AD16">
        <v>630</v>
      </c>
      <c r="AE16">
        <v>630</v>
      </c>
      <c r="AF16">
        <v>630</v>
      </c>
      <c r="AG16">
        <v>630</v>
      </c>
      <c r="AH16">
        <v>630</v>
      </c>
      <c r="AI16">
        <v>630</v>
      </c>
      <c r="AJ16">
        <v>630</v>
      </c>
      <c r="AK16">
        <v>630</v>
      </c>
      <c r="AL16">
        <v>630</v>
      </c>
      <c r="AM16">
        <v>630</v>
      </c>
      <c r="AN16">
        <v>630</v>
      </c>
      <c r="AO16">
        <v>630</v>
      </c>
      <c r="AP16">
        <v>630</v>
      </c>
      <c r="AQ16">
        <v>630</v>
      </c>
      <c r="AR16">
        <v>630</v>
      </c>
      <c r="AS16">
        <v>630</v>
      </c>
      <c r="AT16">
        <v>630</v>
      </c>
      <c r="AU16">
        <v>630</v>
      </c>
      <c r="AV16">
        <v>630</v>
      </c>
      <c r="AW16">
        <v>630</v>
      </c>
      <c r="AX16">
        <v>630</v>
      </c>
      <c r="AY16">
        <v>630</v>
      </c>
      <c r="AZ16">
        <v>630</v>
      </c>
      <c r="BA16">
        <v>630</v>
      </c>
      <c r="BB16">
        <v>630</v>
      </c>
      <c r="BC16">
        <v>630</v>
      </c>
      <c r="BD16">
        <v>630</v>
      </c>
      <c r="BE16">
        <v>630</v>
      </c>
      <c r="BF16">
        <v>630</v>
      </c>
      <c r="BG16">
        <v>630</v>
      </c>
      <c r="BH16">
        <v>630</v>
      </c>
      <c r="BI16">
        <v>630</v>
      </c>
      <c r="BJ16">
        <v>630</v>
      </c>
      <c r="BK16">
        <v>630</v>
      </c>
      <c r="BL16">
        <v>630</v>
      </c>
      <c r="BM16">
        <v>630</v>
      </c>
      <c r="BN16">
        <v>630</v>
      </c>
      <c r="BO16">
        <v>630</v>
      </c>
      <c r="BP16">
        <v>630</v>
      </c>
      <c r="BQ16">
        <v>630</v>
      </c>
      <c r="BR16">
        <v>630</v>
      </c>
      <c r="BS16">
        <v>630</v>
      </c>
      <c r="BT16">
        <v>630</v>
      </c>
      <c r="BU16">
        <v>630</v>
      </c>
      <c r="BV16">
        <v>630</v>
      </c>
      <c r="BW16">
        <v>630</v>
      </c>
      <c r="BX16">
        <v>630</v>
      </c>
      <c r="BY16">
        <v>630</v>
      </c>
      <c r="BZ16">
        <v>630</v>
      </c>
      <c r="CA16">
        <v>630</v>
      </c>
      <c r="CB16">
        <v>630</v>
      </c>
      <c r="CC16">
        <v>630</v>
      </c>
      <c r="CD16">
        <v>630</v>
      </c>
      <c r="CE16">
        <v>630</v>
      </c>
      <c r="CF16">
        <v>630</v>
      </c>
      <c r="CG16">
        <v>630</v>
      </c>
      <c r="CH16">
        <v>630</v>
      </c>
      <c r="CI16">
        <v>630</v>
      </c>
      <c r="CJ16">
        <v>630</v>
      </c>
      <c r="CK16">
        <v>630</v>
      </c>
      <c r="CL16">
        <v>630</v>
      </c>
      <c r="CM16">
        <v>630</v>
      </c>
      <c r="CN16">
        <v>630</v>
      </c>
      <c r="CO16">
        <v>630</v>
      </c>
      <c r="CP16">
        <v>630</v>
      </c>
      <c r="CQ16">
        <v>630</v>
      </c>
      <c r="CR16">
        <v>630</v>
      </c>
      <c r="CS16">
        <v>630</v>
      </c>
    </row>
    <row r="17" spans="1:97">
      <c r="A17" s="9">
        <v>46250</v>
      </c>
      <c r="B17">
        <v>630</v>
      </c>
      <c r="C17">
        <v>630</v>
      </c>
      <c r="D17">
        <v>630</v>
      </c>
      <c r="E17">
        <v>630</v>
      </c>
      <c r="F17">
        <v>630</v>
      </c>
      <c r="G17">
        <v>630</v>
      </c>
      <c r="H17">
        <v>630</v>
      </c>
      <c r="I17">
        <v>630</v>
      </c>
      <c r="J17">
        <v>630</v>
      </c>
      <c r="K17">
        <v>630</v>
      </c>
      <c r="L17">
        <v>630</v>
      </c>
      <c r="M17">
        <v>630</v>
      </c>
      <c r="N17">
        <v>630</v>
      </c>
      <c r="O17">
        <v>630</v>
      </c>
      <c r="P17">
        <v>630</v>
      </c>
      <c r="Q17">
        <v>630</v>
      </c>
      <c r="R17">
        <v>630</v>
      </c>
      <c r="S17">
        <v>630</v>
      </c>
      <c r="T17">
        <v>630</v>
      </c>
      <c r="U17">
        <v>630</v>
      </c>
      <c r="V17">
        <v>630</v>
      </c>
      <c r="W17">
        <v>630</v>
      </c>
      <c r="X17">
        <v>630</v>
      </c>
      <c r="Y17">
        <v>630</v>
      </c>
      <c r="Z17">
        <v>630</v>
      </c>
      <c r="AA17">
        <v>630</v>
      </c>
      <c r="AB17">
        <v>630</v>
      </c>
      <c r="AC17">
        <v>980</v>
      </c>
      <c r="AD17">
        <v>980</v>
      </c>
      <c r="AE17">
        <v>980</v>
      </c>
      <c r="AF17">
        <v>980</v>
      </c>
      <c r="AG17">
        <v>980</v>
      </c>
      <c r="AH17">
        <v>980</v>
      </c>
      <c r="AI17">
        <v>980</v>
      </c>
      <c r="AJ17">
        <v>980</v>
      </c>
      <c r="AK17">
        <v>980</v>
      </c>
      <c r="AL17">
        <v>980</v>
      </c>
      <c r="AM17">
        <v>980</v>
      </c>
      <c r="AN17">
        <v>980</v>
      </c>
      <c r="AO17">
        <v>980</v>
      </c>
      <c r="AP17">
        <v>980</v>
      </c>
      <c r="AQ17">
        <v>980</v>
      </c>
      <c r="AR17">
        <v>980</v>
      </c>
      <c r="AS17">
        <v>980</v>
      </c>
      <c r="AT17">
        <v>980</v>
      </c>
      <c r="AU17">
        <v>980</v>
      </c>
      <c r="AV17">
        <v>980</v>
      </c>
      <c r="AW17">
        <v>980</v>
      </c>
      <c r="AX17">
        <v>980</v>
      </c>
      <c r="AY17">
        <v>980</v>
      </c>
      <c r="AZ17">
        <v>980</v>
      </c>
      <c r="BA17">
        <v>980</v>
      </c>
      <c r="BB17">
        <v>980</v>
      </c>
      <c r="BC17">
        <v>980</v>
      </c>
      <c r="BD17">
        <v>980</v>
      </c>
      <c r="BE17">
        <v>980</v>
      </c>
      <c r="BF17">
        <v>980</v>
      </c>
      <c r="BG17">
        <v>980</v>
      </c>
      <c r="BH17">
        <v>980</v>
      </c>
      <c r="BI17">
        <v>980</v>
      </c>
      <c r="BJ17">
        <v>980</v>
      </c>
      <c r="BK17">
        <v>980</v>
      </c>
      <c r="BL17">
        <v>980</v>
      </c>
      <c r="BM17">
        <v>980</v>
      </c>
      <c r="BN17">
        <v>980</v>
      </c>
      <c r="BO17">
        <v>980</v>
      </c>
      <c r="BP17">
        <v>980</v>
      </c>
      <c r="BQ17">
        <v>980</v>
      </c>
      <c r="BR17">
        <v>980</v>
      </c>
      <c r="BS17">
        <v>980</v>
      </c>
      <c r="BT17">
        <v>980</v>
      </c>
      <c r="BU17">
        <v>980</v>
      </c>
      <c r="BV17">
        <v>980</v>
      </c>
      <c r="BW17">
        <v>980</v>
      </c>
      <c r="BX17">
        <v>980</v>
      </c>
      <c r="BY17">
        <v>980</v>
      </c>
      <c r="BZ17">
        <v>980</v>
      </c>
      <c r="CA17">
        <v>980</v>
      </c>
      <c r="CB17">
        <v>980</v>
      </c>
      <c r="CC17">
        <v>980</v>
      </c>
      <c r="CD17">
        <v>980</v>
      </c>
      <c r="CE17">
        <v>980</v>
      </c>
      <c r="CF17">
        <v>980</v>
      </c>
      <c r="CG17">
        <v>980</v>
      </c>
      <c r="CH17">
        <v>980</v>
      </c>
      <c r="CI17">
        <v>980</v>
      </c>
      <c r="CJ17">
        <v>980</v>
      </c>
      <c r="CK17">
        <v>980</v>
      </c>
      <c r="CL17">
        <v>980</v>
      </c>
      <c r="CM17">
        <v>980</v>
      </c>
      <c r="CN17">
        <v>980</v>
      </c>
      <c r="CO17">
        <v>980</v>
      </c>
      <c r="CP17">
        <v>980</v>
      </c>
      <c r="CQ17">
        <v>980</v>
      </c>
      <c r="CR17">
        <v>980</v>
      </c>
      <c r="CS17">
        <v>980</v>
      </c>
    </row>
    <row r="18" spans="1:97">
      <c r="A18" s="9">
        <v>46251</v>
      </c>
      <c r="B18">
        <v>650</v>
      </c>
      <c r="C18">
        <v>650</v>
      </c>
      <c r="D18">
        <v>650</v>
      </c>
      <c r="E18">
        <v>650</v>
      </c>
      <c r="F18">
        <v>650</v>
      </c>
      <c r="G18">
        <v>650</v>
      </c>
      <c r="H18">
        <v>650</v>
      </c>
      <c r="I18">
        <v>650</v>
      </c>
      <c r="J18">
        <v>650</v>
      </c>
      <c r="K18">
        <v>650</v>
      </c>
      <c r="L18">
        <v>650</v>
      </c>
      <c r="M18">
        <v>650</v>
      </c>
      <c r="N18">
        <v>650</v>
      </c>
      <c r="O18">
        <v>650</v>
      </c>
      <c r="P18">
        <v>650</v>
      </c>
      <c r="Q18">
        <v>650</v>
      </c>
      <c r="R18">
        <v>650</v>
      </c>
      <c r="S18">
        <v>650</v>
      </c>
      <c r="T18">
        <v>650</v>
      </c>
      <c r="U18">
        <v>650</v>
      </c>
      <c r="V18">
        <v>650</v>
      </c>
      <c r="W18">
        <v>650</v>
      </c>
      <c r="X18">
        <v>650</v>
      </c>
      <c r="Y18">
        <v>650</v>
      </c>
      <c r="Z18">
        <v>650</v>
      </c>
      <c r="AA18">
        <v>650</v>
      </c>
      <c r="AB18">
        <v>650</v>
      </c>
      <c r="AC18">
        <v>650</v>
      </c>
      <c r="AD18">
        <v>650</v>
      </c>
      <c r="AE18">
        <v>650</v>
      </c>
      <c r="AF18">
        <v>650</v>
      </c>
      <c r="AG18">
        <v>650</v>
      </c>
      <c r="AH18">
        <v>650</v>
      </c>
      <c r="AI18">
        <v>650</v>
      </c>
      <c r="AJ18">
        <v>650</v>
      </c>
      <c r="AK18">
        <v>650</v>
      </c>
      <c r="AL18">
        <v>650</v>
      </c>
      <c r="AM18">
        <v>650</v>
      </c>
      <c r="AN18">
        <v>650</v>
      </c>
      <c r="AO18">
        <v>650</v>
      </c>
      <c r="AP18">
        <v>650</v>
      </c>
      <c r="AQ18">
        <v>650</v>
      </c>
      <c r="AR18">
        <v>650</v>
      </c>
      <c r="AS18">
        <v>650</v>
      </c>
      <c r="AT18">
        <v>650</v>
      </c>
      <c r="AU18">
        <v>650</v>
      </c>
      <c r="AV18">
        <v>650</v>
      </c>
      <c r="AW18">
        <v>650</v>
      </c>
      <c r="AX18">
        <v>650</v>
      </c>
      <c r="AY18">
        <v>650</v>
      </c>
      <c r="AZ18">
        <v>650</v>
      </c>
      <c r="BA18">
        <v>650</v>
      </c>
      <c r="BB18">
        <v>650</v>
      </c>
      <c r="BC18">
        <v>650</v>
      </c>
      <c r="BD18">
        <v>650</v>
      </c>
      <c r="BE18">
        <v>650</v>
      </c>
      <c r="BF18">
        <v>650</v>
      </c>
      <c r="BG18">
        <v>650</v>
      </c>
      <c r="BH18">
        <v>650</v>
      </c>
      <c r="BI18">
        <v>650</v>
      </c>
      <c r="BJ18">
        <v>650</v>
      </c>
      <c r="BK18">
        <v>650</v>
      </c>
      <c r="BL18">
        <v>650</v>
      </c>
      <c r="BM18">
        <v>650</v>
      </c>
      <c r="BN18">
        <v>650</v>
      </c>
      <c r="BO18">
        <v>650</v>
      </c>
      <c r="BP18">
        <v>650</v>
      </c>
      <c r="BQ18">
        <v>650</v>
      </c>
      <c r="BR18">
        <v>650</v>
      </c>
      <c r="BS18">
        <v>650</v>
      </c>
      <c r="BT18">
        <v>650</v>
      </c>
      <c r="BU18">
        <v>650</v>
      </c>
      <c r="BV18">
        <v>650</v>
      </c>
      <c r="BW18">
        <v>650</v>
      </c>
      <c r="BX18">
        <v>650</v>
      </c>
      <c r="BY18">
        <v>650</v>
      </c>
      <c r="BZ18">
        <v>650</v>
      </c>
      <c r="CA18">
        <v>650</v>
      </c>
      <c r="CB18">
        <v>650</v>
      </c>
      <c r="CC18">
        <v>650</v>
      </c>
      <c r="CD18">
        <v>650</v>
      </c>
      <c r="CE18">
        <v>650</v>
      </c>
      <c r="CF18">
        <v>650</v>
      </c>
      <c r="CG18">
        <v>650</v>
      </c>
      <c r="CH18">
        <v>650</v>
      </c>
      <c r="CI18">
        <v>650</v>
      </c>
      <c r="CJ18">
        <v>650</v>
      </c>
      <c r="CK18">
        <v>650</v>
      </c>
      <c r="CL18">
        <v>650</v>
      </c>
      <c r="CM18">
        <v>650</v>
      </c>
      <c r="CN18">
        <v>650</v>
      </c>
      <c r="CO18">
        <v>650</v>
      </c>
      <c r="CP18">
        <v>650</v>
      </c>
      <c r="CQ18">
        <v>650</v>
      </c>
      <c r="CR18">
        <v>650</v>
      </c>
      <c r="CS18">
        <v>650</v>
      </c>
    </row>
    <row r="19" spans="1:97">
      <c r="A19" s="9">
        <v>46252</v>
      </c>
      <c r="B19">
        <v>650</v>
      </c>
      <c r="C19">
        <v>650</v>
      </c>
      <c r="D19">
        <v>650</v>
      </c>
      <c r="E19">
        <v>650</v>
      </c>
      <c r="F19">
        <v>650</v>
      </c>
      <c r="G19">
        <v>650</v>
      </c>
      <c r="H19">
        <v>650</v>
      </c>
      <c r="I19">
        <v>650</v>
      </c>
      <c r="J19">
        <v>650</v>
      </c>
      <c r="K19">
        <v>650</v>
      </c>
      <c r="L19">
        <v>650</v>
      </c>
      <c r="M19">
        <v>650</v>
      </c>
      <c r="N19">
        <v>650</v>
      </c>
      <c r="O19">
        <v>650</v>
      </c>
      <c r="P19">
        <v>650</v>
      </c>
      <c r="Q19">
        <v>650</v>
      </c>
      <c r="R19">
        <v>650</v>
      </c>
      <c r="S19">
        <v>650</v>
      </c>
      <c r="T19">
        <v>650</v>
      </c>
      <c r="U19">
        <v>650</v>
      </c>
      <c r="V19">
        <v>650</v>
      </c>
      <c r="W19">
        <v>650</v>
      </c>
      <c r="X19">
        <v>650</v>
      </c>
      <c r="Y19">
        <v>650</v>
      </c>
      <c r="Z19">
        <v>650</v>
      </c>
      <c r="AA19">
        <v>650</v>
      </c>
      <c r="AB19">
        <v>650</v>
      </c>
      <c r="AC19">
        <v>650</v>
      </c>
      <c r="AD19">
        <v>650</v>
      </c>
      <c r="AE19">
        <v>650</v>
      </c>
      <c r="AF19">
        <v>650</v>
      </c>
      <c r="AG19">
        <v>650</v>
      </c>
      <c r="AH19">
        <v>650</v>
      </c>
      <c r="AI19">
        <v>650</v>
      </c>
      <c r="AJ19">
        <v>650</v>
      </c>
      <c r="AK19">
        <v>650</v>
      </c>
      <c r="AL19">
        <v>650</v>
      </c>
      <c r="AM19">
        <v>650</v>
      </c>
      <c r="AN19">
        <v>650</v>
      </c>
      <c r="AO19">
        <v>650</v>
      </c>
      <c r="AP19">
        <v>650</v>
      </c>
      <c r="AQ19">
        <v>650</v>
      </c>
      <c r="AR19">
        <v>650</v>
      </c>
      <c r="AS19">
        <v>650</v>
      </c>
      <c r="AT19">
        <v>650</v>
      </c>
      <c r="AU19">
        <v>650</v>
      </c>
      <c r="AV19">
        <v>650</v>
      </c>
      <c r="AW19">
        <v>650</v>
      </c>
      <c r="AX19">
        <v>650</v>
      </c>
      <c r="AY19">
        <v>650</v>
      </c>
      <c r="AZ19">
        <v>650</v>
      </c>
      <c r="BA19">
        <v>650</v>
      </c>
      <c r="BB19">
        <v>650</v>
      </c>
      <c r="BC19">
        <v>650</v>
      </c>
      <c r="BD19">
        <v>650</v>
      </c>
      <c r="BE19">
        <v>650</v>
      </c>
      <c r="BF19">
        <v>650</v>
      </c>
      <c r="BG19">
        <v>650</v>
      </c>
      <c r="BH19">
        <v>650</v>
      </c>
      <c r="BI19">
        <v>650</v>
      </c>
      <c r="BJ19">
        <v>650</v>
      </c>
      <c r="BK19">
        <v>650</v>
      </c>
      <c r="BL19">
        <v>650</v>
      </c>
      <c r="BM19">
        <v>650</v>
      </c>
      <c r="BN19">
        <v>650</v>
      </c>
      <c r="BO19">
        <v>650</v>
      </c>
      <c r="BP19">
        <v>650</v>
      </c>
      <c r="BQ19">
        <v>650</v>
      </c>
      <c r="BR19">
        <v>650</v>
      </c>
      <c r="BS19">
        <v>650</v>
      </c>
      <c r="BT19">
        <v>650</v>
      </c>
      <c r="BU19">
        <v>650</v>
      </c>
      <c r="BV19">
        <v>650</v>
      </c>
      <c r="BW19">
        <v>650</v>
      </c>
      <c r="BX19">
        <v>650</v>
      </c>
      <c r="BY19">
        <v>650</v>
      </c>
      <c r="BZ19">
        <v>650</v>
      </c>
      <c r="CA19">
        <v>650</v>
      </c>
      <c r="CB19">
        <v>650</v>
      </c>
      <c r="CC19">
        <v>650</v>
      </c>
      <c r="CD19">
        <v>650</v>
      </c>
      <c r="CE19">
        <v>650</v>
      </c>
      <c r="CF19">
        <v>650</v>
      </c>
      <c r="CG19">
        <v>650</v>
      </c>
      <c r="CH19">
        <v>650</v>
      </c>
      <c r="CI19">
        <v>650</v>
      </c>
      <c r="CJ19">
        <v>650</v>
      </c>
      <c r="CK19">
        <v>650</v>
      </c>
      <c r="CL19">
        <v>650</v>
      </c>
      <c r="CM19">
        <v>650</v>
      </c>
      <c r="CN19">
        <v>650</v>
      </c>
      <c r="CO19">
        <v>650</v>
      </c>
      <c r="CP19">
        <v>650</v>
      </c>
      <c r="CQ19">
        <v>650</v>
      </c>
      <c r="CR19">
        <v>650</v>
      </c>
      <c r="CS19">
        <v>650</v>
      </c>
    </row>
    <row r="20" spans="1:97">
      <c r="A20" s="9">
        <v>46253</v>
      </c>
      <c r="B20">
        <v>650</v>
      </c>
      <c r="C20">
        <v>650</v>
      </c>
      <c r="D20">
        <v>650</v>
      </c>
      <c r="E20">
        <v>650</v>
      </c>
      <c r="F20">
        <v>650</v>
      </c>
      <c r="G20">
        <v>650</v>
      </c>
      <c r="H20">
        <v>650</v>
      </c>
      <c r="I20">
        <v>650</v>
      </c>
      <c r="J20">
        <v>650</v>
      </c>
      <c r="K20">
        <v>650</v>
      </c>
      <c r="L20">
        <v>650</v>
      </c>
      <c r="M20">
        <v>650</v>
      </c>
      <c r="N20">
        <v>650</v>
      </c>
      <c r="O20">
        <v>650</v>
      </c>
      <c r="P20">
        <v>650</v>
      </c>
      <c r="Q20">
        <v>650</v>
      </c>
      <c r="R20">
        <v>650</v>
      </c>
      <c r="S20">
        <v>650</v>
      </c>
      <c r="T20">
        <v>650</v>
      </c>
      <c r="U20">
        <v>650</v>
      </c>
      <c r="V20">
        <v>650</v>
      </c>
      <c r="W20">
        <v>650</v>
      </c>
      <c r="X20">
        <v>650</v>
      </c>
      <c r="Y20">
        <v>650</v>
      </c>
      <c r="Z20">
        <v>650</v>
      </c>
      <c r="AA20">
        <v>650</v>
      </c>
      <c r="AB20">
        <v>650</v>
      </c>
      <c r="AC20">
        <v>650</v>
      </c>
      <c r="AD20">
        <v>650</v>
      </c>
      <c r="AE20">
        <v>650</v>
      </c>
      <c r="AF20">
        <v>650</v>
      </c>
      <c r="AG20">
        <v>650</v>
      </c>
      <c r="AH20">
        <v>650</v>
      </c>
      <c r="AI20">
        <v>650</v>
      </c>
      <c r="AJ20">
        <v>650</v>
      </c>
      <c r="AK20">
        <v>650</v>
      </c>
      <c r="AL20">
        <v>650</v>
      </c>
      <c r="AM20">
        <v>650</v>
      </c>
      <c r="AN20">
        <v>650</v>
      </c>
      <c r="AO20">
        <v>650</v>
      </c>
      <c r="AP20">
        <v>650</v>
      </c>
      <c r="AQ20">
        <v>650</v>
      </c>
      <c r="AR20">
        <v>650</v>
      </c>
      <c r="AS20">
        <v>650</v>
      </c>
      <c r="AT20">
        <v>650</v>
      </c>
      <c r="AU20">
        <v>650</v>
      </c>
      <c r="AV20">
        <v>650</v>
      </c>
      <c r="AW20">
        <v>650</v>
      </c>
      <c r="AX20">
        <v>650</v>
      </c>
      <c r="AY20">
        <v>650</v>
      </c>
      <c r="AZ20">
        <v>650</v>
      </c>
      <c r="BA20">
        <v>650</v>
      </c>
      <c r="BB20">
        <v>650</v>
      </c>
      <c r="BC20">
        <v>650</v>
      </c>
      <c r="BD20">
        <v>650</v>
      </c>
      <c r="BE20">
        <v>650</v>
      </c>
      <c r="BF20">
        <v>650</v>
      </c>
      <c r="BG20">
        <v>650</v>
      </c>
      <c r="BH20">
        <v>650</v>
      </c>
      <c r="BI20">
        <v>650</v>
      </c>
      <c r="BJ20">
        <v>650</v>
      </c>
      <c r="BK20">
        <v>650</v>
      </c>
      <c r="BL20">
        <v>650</v>
      </c>
      <c r="BM20">
        <v>650</v>
      </c>
      <c r="BN20">
        <v>650</v>
      </c>
      <c r="BO20">
        <v>650</v>
      </c>
      <c r="BP20">
        <v>650</v>
      </c>
      <c r="BQ20">
        <v>650</v>
      </c>
      <c r="BR20">
        <v>650</v>
      </c>
      <c r="BS20">
        <v>650</v>
      </c>
      <c r="BT20">
        <v>650</v>
      </c>
      <c r="BU20">
        <v>650</v>
      </c>
      <c r="BV20">
        <v>650</v>
      </c>
      <c r="BW20">
        <v>650</v>
      </c>
      <c r="BX20">
        <v>650</v>
      </c>
      <c r="BY20">
        <v>650</v>
      </c>
      <c r="BZ20">
        <v>650</v>
      </c>
      <c r="CA20">
        <v>650</v>
      </c>
      <c r="CB20">
        <v>650</v>
      </c>
      <c r="CC20">
        <v>650</v>
      </c>
      <c r="CD20">
        <v>650</v>
      </c>
      <c r="CE20">
        <v>650</v>
      </c>
      <c r="CF20">
        <v>650</v>
      </c>
      <c r="CG20">
        <v>650</v>
      </c>
      <c r="CH20">
        <v>650</v>
      </c>
      <c r="CI20">
        <v>650</v>
      </c>
      <c r="CJ20">
        <v>650</v>
      </c>
      <c r="CK20">
        <v>650</v>
      </c>
      <c r="CL20">
        <v>650</v>
      </c>
      <c r="CM20">
        <v>650</v>
      </c>
      <c r="CN20">
        <v>650</v>
      </c>
      <c r="CO20">
        <v>650</v>
      </c>
      <c r="CP20">
        <v>650</v>
      </c>
      <c r="CQ20">
        <v>650</v>
      </c>
      <c r="CR20">
        <v>650</v>
      </c>
      <c r="CS20">
        <v>650</v>
      </c>
    </row>
    <row r="21" spans="1:97">
      <c r="A21" s="9">
        <v>46254</v>
      </c>
      <c r="B21">
        <v>1150</v>
      </c>
      <c r="C21">
        <v>1150</v>
      </c>
      <c r="D21">
        <v>1150</v>
      </c>
      <c r="E21">
        <v>1150</v>
      </c>
      <c r="F21">
        <v>1150</v>
      </c>
      <c r="G21">
        <v>1150</v>
      </c>
      <c r="H21">
        <v>1150</v>
      </c>
      <c r="I21">
        <v>1150</v>
      </c>
      <c r="J21">
        <v>1150</v>
      </c>
      <c r="K21">
        <v>1150</v>
      </c>
      <c r="L21">
        <v>1150</v>
      </c>
      <c r="M21">
        <v>1150</v>
      </c>
      <c r="N21">
        <v>1150</v>
      </c>
      <c r="O21">
        <v>1150</v>
      </c>
      <c r="P21">
        <v>1150</v>
      </c>
      <c r="Q21">
        <v>1150</v>
      </c>
      <c r="R21">
        <v>1150</v>
      </c>
      <c r="S21">
        <v>1150</v>
      </c>
      <c r="T21">
        <v>1150</v>
      </c>
      <c r="U21">
        <v>1480</v>
      </c>
      <c r="V21">
        <v>1480</v>
      </c>
      <c r="W21">
        <v>1480</v>
      </c>
      <c r="X21">
        <v>1480</v>
      </c>
      <c r="Y21">
        <v>1480</v>
      </c>
      <c r="Z21">
        <v>1480</v>
      </c>
      <c r="AA21">
        <v>1480</v>
      </c>
      <c r="AB21">
        <v>1480</v>
      </c>
      <c r="AC21">
        <v>1480</v>
      </c>
      <c r="AD21">
        <v>1480</v>
      </c>
      <c r="AE21">
        <v>1480</v>
      </c>
      <c r="AF21">
        <v>1480</v>
      </c>
      <c r="AG21">
        <v>1480</v>
      </c>
      <c r="AH21">
        <v>1480</v>
      </c>
      <c r="AI21">
        <v>1480</v>
      </c>
      <c r="AJ21">
        <v>1480</v>
      </c>
      <c r="AK21">
        <v>1480</v>
      </c>
      <c r="AL21">
        <v>1480</v>
      </c>
      <c r="AM21">
        <v>1480</v>
      </c>
      <c r="AN21">
        <v>1480</v>
      </c>
      <c r="AO21">
        <v>1480</v>
      </c>
      <c r="AP21">
        <v>1480</v>
      </c>
      <c r="AQ21">
        <v>1480</v>
      </c>
      <c r="AR21">
        <v>1480</v>
      </c>
      <c r="AS21">
        <v>1480</v>
      </c>
      <c r="AT21">
        <v>1480</v>
      </c>
      <c r="AU21">
        <v>1480</v>
      </c>
      <c r="AV21">
        <v>1480</v>
      </c>
      <c r="AW21">
        <v>1480</v>
      </c>
      <c r="AX21">
        <v>1480</v>
      </c>
      <c r="AY21">
        <v>1480</v>
      </c>
      <c r="AZ21">
        <v>1480</v>
      </c>
      <c r="BA21">
        <v>1480</v>
      </c>
      <c r="BB21">
        <v>1480</v>
      </c>
      <c r="BC21">
        <v>1480</v>
      </c>
      <c r="BD21">
        <v>1480</v>
      </c>
      <c r="BE21">
        <v>1480</v>
      </c>
      <c r="BF21">
        <v>1480</v>
      </c>
      <c r="BG21">
        <v>1480</v>
      </c>
      <c r="BH21">
        <v>1480</v>
      </c>
      <c r="BI21">
        <v>1480</v>
      </c>
      <c r="BJ21">
        <v>1480</v>
      </c>
      <c r="BK21">
        <v>1480</v>
      </c>
      <c r="BL21">
        <v>1480</v>
      </c>
      <c r="BM21">
        <v>1480</v>
      </c>
      <c r="BN21">
        <v>1480</v>
      </c>
      <c r="BO21">
        <v>1480</v>
      </c>
      <c r="BP21">
        <v>1480</v>
      </c>
      <c r="BQ21">
        <v>1480</v>
      </c>
      <c r="BR21">
        <v>1480</v>
      </c>
      <c r="BS21">
        <v>1480</v>
      </c>
      <c r="BT21">
        <v>1480</v>
      </c>
      <c r="BU21">
        <v>1480</v>
      </c>
      <c r="BV21">
        <v>1480</v>
      </c>
      <c r="BW21">
        <v>1480</v>
      </c>
      <c r="BX21">
        <v>1480</v>
      </c>
      <c r="BY21">
        <v>1480</v>
      </c>
      <c r="BZ21">
        <v>1480</v>
      </c>
      <c r="CA21">
        <v>1480</v>
      </c>
      <c r="CB21">
        <v>1480</v>
      </c>
      <c r="CC21">
        <v>1480</v>
      </c>
      <c r="CD21">
        <v>1480</v>
      </c>
      <c r="CE21">
        <v>1480</v>
      </c>
      <c r="CF21">
        <v>1480</v>
      </c>
      <c r="CG21">
        <v>1480</v>
      </c>
      <c r="CH21">
        <v>1480</v>
      </c>
      <c r="CI21">
        <v>1480</v>
      </c>
      <c r="CJ21">
        <v>1480</v>
      </c>
      <c r="CK21">
        <v>1480</v>
      </c>
      <c r="CL21">
        <v>1480</v>
      </c>
      <c r="CM21">
        <v>1480</v>
      </c>
      <c r="CN21">
        <v>1480</v>
      </c>
      <c r="CO21">
        <v>1480</v>
      </c>
      <c r="CP21">
        <v>1480</v>
      </c>
      <c r="CQ21">
        <v>1480</v>
      </c>
      <c r="CR21">
        <v>1480</v>
      </c>
      <c r="CS21">
        <v>1480</v>
      </c>
    </row>
    <row r="22" spans="1:97">
      <c r="A22" s="9">
        <v>46255</v>
      </c>
      <c r="B22">
        <v>1830</v>
      </c>
      <c r="C22">
        <v>1830</v>
      </c>
      <c r="D22">
        <v>1830</v>
      </c>
      <c r="E22">
        <v>1830</v>
      </c>
      <c r="F22">
        <v>1830</v>
      </c>
      <c r="G22">
        <v>1830</v>
      </c>
      <c r="H22">
        <v>1830</v>
      </c>
      <c r="I22">
        <v>1830</v>
      </c>
      <c r="J22">
        <v>1830</v>
      </c>
      <c r="K22">
        <v>1830</v>
      </c>
      <c r="L22">
        <v>1830</v>
      </c>
      <c r="M22">
        <v>1830</v>
      </c>
      <c r="N22">
        <v>1830</v>
      </c>
      <c r="O22">
        <v>1830</v>
      </c>
      <c r="P22">
        <v>1830</v>
      </c>
      <c r="Q22">
        <v>1830</v>
      </c>
      <c r="R22">
        <v>1830</v>
      </c>
      <c r="S22">
        <v>1830</v>
      </c>
      <c r="T22">
        <v>1830</v>
      </c>
      <c r="U22">
        <v>1830</v>
      </c>
      <c r="V22">
        <v>1830</v>
      </c>
      <c r="W22">
        <v>1830</v>
      </c>
      <c r="X22">
        <v>1830</v>
      </c>
      <c r="Y22">
        <v>1830</v>
      </c>
      <c r="Z22">
        <v>1830</v>
      </c>
      <c r="AA22">
        <v>1830</v>
      </c>
      <c r="AB22">
        <v>1830</v>
      </c>
      <c r="AC22">
        <v>1830</v>
      </c>
      <c r="AD22">
        <v>1830</v>
      </c>
      <c r="AE22">
        <v>1830</v>
      </c>
      <c r="AF22">
        <v>1830</v>
      </c>
      <c r="AG22">
        <v>1848</v>
      </c>
      <c r="AH22">
        <v>1848</v>
      </c>
      <c r="AI22">
        <v>1848</v>
      </c>
      <c r="AJ22">
        <v>1848</v>
      </c>
      <c r="AK22">
        <v>1848</v>
      </c>
      <c r="AL22">
        <v>1848</v>
      </c>
      <c r="AM22">
        <v>1848</v>
      </c>
      <c r="AN22">
        <v>1848</v>
      </c>
      <c r="AO22">
        <v>1848</v>
      </c>
      <c r="AP22">
        <v>1848</v>
      </c>
      <c r="AQ22">
        <v>1848</v>
      </c>
      <c r="AR22">
        <v>1848</v>
      </c>
      <c r="AS22">
        <v>1848</v>
      </c>
      <c r="AT22">
        <v>1848</v>
      </c>
      <c r="AU22">
        <v>1848</v>
      </c>
      <c r="AV22">
        <v>1848</v>
      </c>
      <c r="AW22">
        <v>1848</v>
      </c>
      <c r="AX22">
        <v>1848</v>
      </c>
      <c r="AY22">
        <v>1848</v>
      </c>
      <c r="AZ22">
        <v>1848</v>
      </c>
      <c r="BA22">
        <v>1848</v>
      </c>
      <c r="BB22">
        <v>1848</v>
      </c>
      <c r="BC22">
        <v>1848</v>
      </c>
      <c r="BD22">
        <v>1848</v>
      </c>
      <c r="BE22">
        <v>1848</v>
      </c>
      <c r="BF22">
        <v>1848</v>
      </c>
      <c r="BG22">
        <v>1848</v>
      </c>
      <c r="BH22">
        <v>1848</v>
      </c>
      <c r="BI22">
        <v>1848</v>
      </c>
      <c r="BJ22">
        <v>1848</v>
      </c>
      <c r="BK22">
        <v>1848</v>
      </c>
      <c r="BL22">
        <v>1848</v>
      </c>
      <c r="BM22">
        <v>1848</v>
      </c>
      <c r="BN22">
        <v>1848</v>
      </c>
      <c r="BO22">
        <v>1848</v>
      </c>
      <c r="BP22">
        <v>1848</v>
      </c>
      <c r="BQ22">
        <v>1848</v>
      </c>
      <c r="BR22">
        <v>1848</v>
      </c>
      <c r="BS22">
        <v>1848</v>
      </c>
      <c r="BT22">
        <v>1848</v>
      </c>
      <c r="BU22">
        <v>1848</v>
      </c>
      <c r="BV22">
        <v>1848</v>
      </c>
      <c r="BW22">
        <v>1848</v>
      </c>
      <c r="BX22">
        <v>1848</v>
      </c>
      <c r="BY22">
        <v>1848</v>
      </c>
      <c r="BZ22">
        <v>1848</v>
      </c>
      <c r="CA22">
        <v>1848</v>
      </c>
      <c r="CB22">
        <v>1848</v>
      </c>
      <c r="CC22">
        <v>1848</v>
      </c>
      <c r="CD22">
        <v>1848</v>
      </c>
      <c r="CE22">
        <v>1848</v>
      </c>
      <c r="CF22">
        <v>1848</v>
      </c>
      <c r="CG22">
        <v>1848</v>
      </c>
      <c r="CH22">
        <v>1848</v>
      </c>
      <c r="CI22">
        <v>1848</v>
      </c>
      <c r="CJ22">
        <v>1848</v>
      </c>
      <c r="CK22">
        <v>1848</v>
      </c>
      <c r="CL22">
        <v>1848</v>
      </c>
      <c r="CM22">
        <v>1848</v>
      </c>
      <c r="CN22">
        <v>1848</v>
      </c>
      <c r="CO22">
        <v>1848</v>
      </c>
      <c r="CP22">
        <v>1848</v>
      </c>
      <c r="CQ22">
        <v>1848</v>
      </c>
      <c r="CR22">
        <v>1848</v>
      </c>
      <c r="CS22">
        <v>1848</v>
      </c>
    </row>
    <row r="23" spans="1:97">
      <c r="A23" s="9">
        <v>46256</v>
      </c>
      <c r="B23">
        <v>3028</v>
      </c>
      <c r="C23">
        <v>3028</v>
      </c>
      <c r="D23">
        <v>3028</v>
      </c>
      <c r="E23">
        <v>3028</v>
      </c>
      <c r="F23">
        <v>3028</v>
      </c>
      <c r="G23">
        <v>3028</v>
      </c>
      <c r="H23">
        <v>3028</v>
      </c>
      <c r="I23">
        <v>3028</v>
      </c>
      <c r="J23">
        <v>3028</v>
      </c>
      <c r="K23">
        <v>3028</v>
      </c>
      <c r="L23">
        <v>3028</v>
      </c>
      <c r="M23">
        <v>3028</v>
      </c>
      <c r="N23">
        <v>3028</v>
      </c>
      <c r="O23">
        <v>3028</v>
      </c>
      <c r="P23">
        <v>3028</v>
      </c>
      <c r="Q23">
        <v>3028</v>
      </c>
      <c r="R23">
        <v>3028</v>
      </c>
      <c r="S23">
        <v>3028</v>
      </c>
      <c r="T23">
        <v>3028</v>
      </c>
      <c r="U23">
        <v>3028</v>
      </c>
      <c r="V23">
        <v>3028</v>
      </c>
      <c r="W23">
        <v>3028</v>
      </c>
      <c r="X23">
        <v>3028</v>
      </c>
      <c r="Y23">
        <v>3028</v>
      </c>
      <c r="Z23">
        <v>3028</v>
      </c>
      <c r="AA23">
        <v>3028</v>
      </c>
      <c r="AB23">
        <v>3028</v>
      </c>
      <c r="AC23">
        <v>3028</v>
      </c>
      <c r="AD23">
        <v>3028</v>
      </c>
      <c r="AE23">
        <v>3028</v>
      </c>
      <c r="AF23">
        <v>3028</v>
      </c>
      <c r="AG23">
        <v>3028</v>
      </c>
      <c r="AH23">
        <v>3028</v>
      </c>
      <c r="AI23">
        <v>3028</v>
      </c>
      <c r="AJ23">
        <v>3028</v>
      </c>
      <c r="AK23">
        <v>3028</v>
      </c>
      <c r="AL23">
        <v>3028</v>
      </c>
      <c r="AM23">
        <v>3028</v>
      </c>
      <c r="AN23">
        <v>3028</v>
      </c>
      <c r="AO23">
        <v>3028</v>
      </c>
      <c r="AP23">
        <v>3028</v>
      </c>
      <c r="AQ23">
        <v>3028</v>
      </c>
      <c r="AR23">
        <v>3028</v>
      </c>
      <c r="AS23">
        <v>3028</v>
      </c>
      <c r="AT23">
        <v>3028</v>
      </c>
      <c r="AU23">
        <v>3028</v>
      </c>
      <c r="AV23">
        <v>3028</v>
      </c>
      <c r="AW23">
        <v>3028</v>
      </c>
      <c r="AX23">
        <v>3028</v>
      </c>
      <c r="AY23">
        <v>3028</v>
      </c>
      <c r="AZ23">
        <v>3028</v>
      </c>
      <c r="BA23">
        <v>3028</v>
      </c>
      <c r="BB23">
        <v>3028</v>
      </c>
      <c r="BC23">
        <v>3028</v>
      </c>
      <c r="BD23">
        <v>3028</v>
      </c>
      <c r="BE23">
        <v>3028</v>
      </c>
      <c r="BF23">
        <v>3028</v>
      </c>
      <c r="BG23">
        <v>3028</v>
      </c>
      <c r="BH23">
        <v>3028</v>
      </c>
      <c r="BI23">
        <v>3028</v>
      </c>
      <c r="BJ23">
        <v>3028</v>
      </c>
      <c r="BK23">
        <v>3028</v>
      </c>
      <c r="BL23">
        <v>3028</v>
      </c>
      <c r="BM23">
        <v>3028</v>
      </c>
      <c r="BN23">
        <v>3028</v>
      </c>
      <c r="BO23">
        <v>3028</v>
      </c>
      <c r="BP23">
        <v>3028</v>
      </c>
      <c r="BQ23">
        <v>3028</v>
      </c>
      <c r="BR23">
        <v>3028</v>
      </c>
      <c r="BS23">
        <v>3028</v>
      </c>
      <c r="BT23">
        <v>3028</v>
      </c>
      <c r="BU23">
        <v>3028</v>
      </c>
      <c r="BV23">
        <v>3028</v>
      </c>
      <c r="BW23">
        <v>3028</v>
      </c>
      <c r="BX23">
        <v>3028</v>
      </c>
      <c r="BY23">
        <v>3028</v>
      </c>
      <c r="BZ23">
        <v>3028</v>
      </c>
      <c r="CA23">
        <v>3028</v>
      </c>
      <c r="CB23">
        <v>3028</v>
      </c>
      <c r="CC23">
        <v>3028</v>
      </c>
      <c r="CD23">
        <v>3028</v>
      </c>
      <c r="CE23">
        <v>3028</v>
      </c>
      <c r="CF23">
        <v>3028</v>
      </c>
      <c r="CG23">
        <v>3028</v>
      </c>
      <c r="CH23">
        <v>3028</v>
      </c>
      <c r="CI23">
        <v>3028</v>
      </c>
      <c r="CJ23">
        <v>3028</v>
      </c>
      <c r="CK23">
        <v>3028</v>
      </c>
      <c r="CL23">
        <v>3028</v>
      </c>
      <c r="CM23">
        <v>3028</v>
      </c>
      <c r="CN23">
        <v>3028</v>
      </c>
      <c r="CO23">
        <v>3028</v>
      </c>
      <c r="CP23">
        <v>3028</v>
      </c>
      <c r="CQ23">
        <v>3028</v>
      </c>
      <c r="CR23">
        <v>3028</v>
      </c>
      <c r="CS23">
        <v>3028</v>
      </c>
    </row>
    <row r="24" spans="1:97">
      <c r="A24" s="9">
        <v>46257</v>
      </c>
      <c r="B24">
        <v>3029</v>
      </c>
      <c r="C24">
        <v>3029</v>
      </c>
      <c r="D24">
        <v>3029</v>
      </c>
      <c r="E24">
        <v>3029</v>
      </c>
      <c r="F24">
        <v>3029</v>
      </c>
      <c r="G24">
        <v>3029</v>
      </c>
      <c r="H24">
        <v>3029</v>
      </c>
      <c r="I24">
        <v>3029</v>
      </c>
      <c r="J24">
        <v>3029</v>
      </c>
      <c r="K24">
        <v>3029</v>
      </c>
      <c r="L24">
        <v>3029</v>
      </c>
      <c r="M24">
        <v>3029</v>
      </c>
      <c r="N24">
        <v>3029</v>
      </c>
      <c r="O24">
        <v>3029</v>
      </c>
      <c r="P24">
        <v>3029</v>
      </c>
      <c r="Q24">
        <v>3029</v>
      </c>
      <c r="R24">
        <v>3029</v>
      </c>
      <c r="S24">
        <v>3029</v>
      </c>
      <c r="T24">
        <v>3029</v>
      </c>
      <c r="U24">
        <v>3029</v>
      </c>
      <c r="V24">
        <v>3029</v>
      </c>
      <c r="W24">
        <v>3029</v>
      </c>
      <c r="X24">
        <v>3029</v>
      </c>
      <c r="Y24">
        <v>3029</v>
      </c>
      <c r="Z24">
        <v>3029</v>
      </c>
      <c r="AA24">
        <v>3029</v>
      </c>
      <c r="AB24">
        <v>3029</v>
      </c>
      <c r="AC24">
        <v>3029</v>
      </c>
      <c r="AD24">
        <v>3029</v>
      </c>
      <c r="AE24">
        <v>3029</v>
      </c>
      <c r="AF24">
        <v>3029</v>
      </c>
      <c r="AG24">
        <v>3029</v>
      </c>
      <c r="AH24">
        <v>3029</v>
      </c>
      <c r="AI24">
        <v>3029</v>
      </c>
      <c r="AJ24">
        <v>3029</v>
      </c>
      <c r="AK24">
        <v>3029</v>
      </c>
      <c r="AL24">
        <v>3029</v>
      </c>
      <c r="AM24">
        <v>3029</v>
      </c>
      <c r="AN24">
        <v>3029</v>
      </c>
      <c r="AO24">
        <v>3029</v>
      </c>
      <c r="AP24">
        <v>3029</v>
      </c>
      <c r="AQ24">
        <v>3029</v>
      </c>
      <c r="AR24">
        <v>3029</v>
      </c>
      <c r="AS24">
        <v>3029</v>
      </c>
      <c r="AT24">
        <v>3029</v>
      </c>
      <c r="AU24">
        <v>3029</v>
      </c>
      <c r="AV24">
        <v>3029</v>
      </c>
      <c r="AW24">
        <v>3029</v>
      </c>
      <c r="AX24">
        <v>3029</v>
      </c>
      <c r="AY24">
        <v>3029</v>
      </c>
      <c r="AZ24">
        <v>3029</v>
      </c>
      <c r="BA24">
        <v>3029</v>
      </c>
      <c r="BB24">
        <v>3029</v>
      </c>
      <c r="BC24">
        <v>3029</v>
      </c>
      <c r="BD24">
        <v>3029</v>
      </c>
      <c r="BE24">
        <v>3029</v>
      </c>
      <c r="BF24">
        <v>3029</v>
      </c>
      <c r="BG24">
        <v>3029</v>
      </c>
      <c r="BH24">
        <v>3029</v>
      </c>
      <c r="BI24">
        <v>3029</v>
      </c>
      <c r="BJ24">
        <v>3029</v>
      </c>
      <c r="BK24">
        <v>3029</v>
      </c>
      <c r="BL24">
        <v>3029</v>
      </c>
      <c r="BM24">
        <v>3029</v>
      </c>
      <c r="BN24">
        <v>3029</v>
      </c>
      <c r="BO24">
        <v>3029</v>
      </c>
      <c r="BP24">
        <v>3029</v>
      </c>
      <c r="BQ24">
        <v>3029</v>
      </c>
      <c r="BR24">
        <v>3029</v>
      </c>
      <c r="BS24">
        <v>3029</v>
      </c>
      <c r="BT24">
        <v>3029</v>
      </c>
      <c r="BU24">
        <v>3029</v>
      </c>
      <c r="BV24">
        <v>3029</v>
      </c>
      <c r="BW24">
        <v>3029</v>
      </c>
      <c r="BX24">
        <v>3029</v>
      </c>
      <c r="BY24">
        <v>3029</v>
      </c>
      <c r="BZ24">
        <v>3029</v>
      </c>
      <c r="CA24">
        <v>3029</v>
      </c>
      <c r="CB24">
        <v>3029</v>
      </c>
      <c r="CC24">
        <v>3029</v>
      </c>
      <c r="CD24">
        <v>3029</v>
      </c>
      <c r="CE24">
        <v>3029</v>
      </c>
      <c r="CF24">
        <v>3029</v>
      </c>
      <c r="CG24">
        <v>3029</v>
      </c>
      <c r="CH24">
        <v>3029</v>
      </c>
      <c r="CI24">
        <v>3029</v>
      </c>
      <c r="CJ24">
        <v>3029</v>
      </c>
      <c r="CK24">
        <v>3029</v>
      </c>
      <c r="CL24">
        <v>3029</v>
      </c>
      <c r="CM24">
        <v>3029</v>
      </c>
      <c r="CN24">
        <v>3029</v>
      </c>
      <c r="CO24">
        <v>3029</v>
      </c>
      <c r="CP24">
        <v>3029</v>
      </c>
      <c r="CQ24">
        <v>3029</v>
      </c>
      <c r="CR24">
        <v>3029</v>
      </c>
      <c r="CS24">
        <v>3029</v>
      </c>
    </row>
    <row r="25" spans="1:97">
      <c r="A25" s="9">
        <v>46258</v>
      </c>
      <c r="B25">
        <v>2130</v>
      </c>
      <c r="C25">
        <v>2130</v>
      </c>
      <c r="D25">
        <v>2130</v>
      </c>
      <c r="E25">
        <v>2130</v>
      </c>
      <c r="F25">
        <v>2130</v>
      </c>
      <c r="G25">
        <v>2130</v>
      </c>
      <c r="H25">
        <v>2130</v>
      </c>
      <c r="I25">
        <v>2130</v>
      </c>
      <c r="J25">
        <v>2130</v>
      </c>
      <c r="K25">
        <v>2130</v>
      </c>
      <c r="L25">
        <v>2130</v>
      </c>
      <c r="M25">
        <v>2130</v>
      </c>
      <c r="N25">
        <v>2130</v>
      </c>
      <c r="O25">
        <v>2130</v>
      </c>
      <c r="P25">
        <v>2130</v>
      </c>
      <c r="Q25">
        <v>2130</v>
      </c>
      <c r="R25">
        <v>2130</v>
      </c>
      <c r="S25">
        <v>2130</v>
      </c>
      <c r="T25">
        <v>2130</v>
      </c>
      <c r="U25">
        <v>2130</v>
      </c>
      <c r="V25">
        <v>2130</v>
      </c>
      <c r="W25">
        <v>2130</v>
      </c>
      <c r="X25">
        <v>2130</v>
      </c>
      <c r="Y25">
        <v>2130</v>
      </c>
      <c r="Z25">
        <v>2130</v>
      </c>
      <c r="AA25">
        <v>2130</v>
      </c>
      <c r="AB25">
        <v>2130</v>
      </c>
      <c r="AC25">
        <v>2130</v>
      </c>
      <c r="AD25">
        <v>2130</v>
      </c>
      <c r="AE25">
        <v>2130</v>
      </c>
      <c r="AF25">
        <v>2130</v>
      </c>
      <c r="AG25">
        <v>2130</v>
      </c>
      <c r="AH25">
        <v>2130</v>
      </c>
      <c r="AI25">
        <v>2130</v>
      </c>
      <c r="AJ25">
        <v>2130</v>
      </c>
      <c r="AK25">
        <v>2130</v>
      </c>
      <c r="AL25">
        <v>2130</v>
      </c>
      <c r="AM25">
        <v>2130</v>
      </c>
      <c r="AN25">
        <v>2130</v>
      </c>
      <c r="AO25">
        <v>2130</v>
      </c>
      <c r="AP25">
        <v>2130</v>
      </c>
      <c r="AQ25">
        <v>2130</v>
      </c>
      <c r="AR25">
        <v>2130</v>
      </c>
      <c r="AS25">
        <v>2130</v>
      </c>
      <c r="AT25">
        <v>2130</v>
      </c>
      <c r="AU25">
        <v>2130</v>
      </c>
      <c r="AV25">
        <v>2130</v>
      </c>
      <c r="AW25">
        <v>2130</v>
      </c>
      <c r="AX25">
        <v>2130</v>
      </c>
      <c r="AY25">
        <v>2130</v>
      </c>
      <c r="AZ25">
        <v>2130</v>
      </c>
      <c r="BA25">
        <v>2130</v>
      </c>
      <c r="BB25">
        <v>2130</v>
      </c>
      <c r="BC25">
        <v>2130</v>
      </c>
      <c r="BD25">
        <v>2130</v>
      </c>
      <c r="BE25">
        <v>2130</v>
      </c>
      <c r="BF25">
        <v>2130</v>
      </c>
      <c r="BG25">
        <v>2130</v>
      </c>
      <c r="BH25">
        <v>2130</v>
      </c>
      <c r="BI25">
        <v>2130</v>
      </c>
      <c r="BJ25">
        <v>2130</v>
      </c>
      <c r="BK25">
        <v>2130</v>
      </c>
      <c r="BL25">
        <v>2130</v>
      </c>
      <c r="BM25">
        <v>2130</v>
      </c>
      <c r="BN25">
        <v>2130</v>
      </c>
      <c r="BO25">
        <v>2130</v>
      </c>
      <c r="BP25">
        <v>2130</v>
      </c>
      <c r="BQ25">
        <v>2130</v>
      </c>
      <c r="BR25">
        <v>2130</v>
      </c>
      <c r="BS25">
        <v>2130</v>
      </c>
      <c r="BT25">
        <v>2130</v>
      </c>
      <c r="BU25">
        <v>2130</v>
      </c>
      <c r="BV25">
        <v>2130</v>
      </c>
      <c r="BW25">
        <v>2130</v>
      </c>
      <c r="BX25">
        <v>2130</v>
      </c>
      <c r="BY25">
        <v>2130</v>
      </c>
      <c r="BZ25">
        <v>2130</v>
      </c>
      <c r="CA25">
        <v>2130</v>
      </c>
      <c r="CB25">
        <v>2130</v>
      </c>
      <c r="CC25">
        <v>2130</v>
      </c>
      <c r="CD25">
        <v>2130</v>
      </c>
      <c r="CE25">
        <v>2130</v>
      </c>
      <c r="CF25">
        <v>2130</v>
      </c>
      <c r="CG25">
        <v>2130</v>
      </c>
      <c r="CH25">
        <v>2130</v>
      </c>
      <c r="CI25">
        <v>2130</v>
      </c>
      <c r="CJ25">
        <v>2130</v>
      </c>
      <c r="CK25">
        <v>2130</v>
      </c>
      <c r="CL25">
        <v>2130</v>
      </c>
      <c r="CM25">
        <v>2130</v>
      </c>
      <c r="CN25">
        <v>2130</v>
      </c>
      <c r="CO25">
        <v>2130</v>
      </c>
      <c r="CP25">
        <v>2130</v>
      </c>
      <c r="CQ25">
        <v>2130</v>
      </c>
      <c r="CR25">
        <v>2130</v>
      </c>
      <c r="CS25">
        <v>2130</v>
      </c>
    </row>
    <row r="26" spans="1:97">
      <c r="A26" s="9">
        <v>46259</v>
      </c>
      <c r="B26">
        <v>2130</v>
      </c>
      <c r="C26">
        <v>2130</v>
      </c>
      <c r="D26">
        <v>2130</v>
      </c>
      <c r="E26">
        <v>2130</v>
      </c>
      <c r="F26">
        <v>2130</v>
      </c>
      <c r="G26">
        <v>2130</v>
      </c>
      <c r="H26">
        <v>2130</v>
      </c>
      <c r="I26">
        <v>2130</v>
      </c>
      <c r="J26">
        <v>2130</v>
      </c>
      <c r="K26">
        <v>2130</v>
      </c>
      <c r="L26">
        <v>2130</v>
      </c>
      <c r="M26">
        <v>2130</v>
      </c>
      <c r="N26">
        <v>2130</v>
      </c>
      <c r="O26">
        <v>2130</v>
      </c>
      <c r="P26">
        <v>2130</v>
      </c>
      <c r="Q26">
        <v>2130</v>
      </c>
      <c r="R26">
        <v>2130</v>
      </c>
      <c r="S26">
        <v>2130</v>
      </c>
      <c r="T26">
        <v>2130</v>
      </c>
      <c r="U26">
        <v>2130</v>
      </c>
      <c r="V26">
        <v>2130</v>
      </c>
      <c r="W26">
        <v>2130</v>
      </c>
      <c r="X26">
        <v>2130</v>
      </c>
      <c r="Y26">
        <v>2130</v>
      </c>
      <c r="Z26">
        <v>2130</v>
      </c>
      <c r="AA26">
        <v>2130</v>
      </c>
      <c r="AB26">
        <v>2130</v>
      </c>
      <c r="AC26">
        <v>2130</v>
      </c>
      <c r="AD26">
        <v>2130</v>
      </c>
      <c r="AE26">
        <v>2130</v>
      </c>
      <c r="AF26">
        <v>2130</v>
      </c>
      <c r="AG26">
        <v>2130</v>
      </c>
      <c r="AH26">
        <v>2130</v>
      </c>
      <c r="AI26">
        <v>2130</v>
      </c>
      <c r="AJ26">
        <v>2130</v>
      </c>
      <c r="AK26">
        <v>2130</v>
      </c>
      <c r="AL26">
        <v>2130</v>
      </c>
      <c r="AM26">
        <v>2130</v>
      </c>
      <c r="AN26">
        <v>2130</v>
      </c>
      <c r="AO26">
        <v>2130</v>
      </c>
      <c r="AP26">
        <v>2130</v>
      </c>
      <c r="AQ26">
        <v>2130</v>
      </c>
      <c r="AR26">
        <v>2130</v>
      </c>
      <c r="AS26">
        <v>2130</v>
      </c>
      <c r="AT26">
        <v>2130</v>
      </c>
      <c r="AU26">
        <v>2130</v>
      </c>
      <c r="AV26">
        <v>2130</v>
      </c>
      <c r="AW26">
        <v>2130</v>
      </c>
      <c r="AX26">
        <v>2130</v>
      </c>
      <c r="AY26">
        <v>2130</v>
      </c>
      <c r="AZ26">
        <v>2130</v>
      </c>
      <c r="BA26">
        <v>2130</v>
      </c>
      <c r="BB26">
        <v>2130</v>
      </c>
      <c r="BC26">
        <v>2130</v>
      </c>
      <c r="BD26">
        <v>2130</v>
      </c>
      <c r="BE26">
        <v>2130</v>
      </c>
      <c r="BF26">
        <v>2130</v>
      </c>
      <c r="BG26">
        <v>2130</v>
      </c>
      <c r="BH26">
        <v>2130</v>
      </c>
      <c r="BI26">
        <v>2130</v>
      </c>
      <c r="BJ26">
        <v>2130</v>
      </c>
      <c r="BK26">
        <v>2130</v>
      </c>
      <c r="BL26">
        <v>2130</v>
      </c>
      <c r="BM26">
        <v>2130</v>
      </c>
      <c r="BN26">
        <v>2130</v>
      </c>
      <c r="BO26">
        <v>2130</v>
      </c>
      <c r="BP26">
        <v>2130</v>
      </c>
      <c r="BQ26">
        <v>2130</v>
      </c>
      <c r="BR26">
        <v>2130</v>
      </c>
      <c r="BS26">
        <v>2130</v>
      </c>
      <c r="BT26">
        <v>2130</v>
      </c>
      <c r="BU26">
        <v>2130</v>
      </c>
      <c r="BV26">
        <v>2130</v>
      </c>
      <c r="BW26">
        <v>2130</v>
      </c>
      <c r="BX26">
        <v>2130</v>
      </c>
      <c r="BY26">
        <v>2130</v>
      </c>
      <c r="BZ26">
        <v>2130</v>
      </c>
      <c r="CA26">
        <v>2130</v>
      </c>
      <c r="CB26">
        <v>2130</v>
      </c>
      <c r="CC26">
        <v>2130</v>
      </c>
      <c r="CD26">
        <v>2130</v>
      </c>
      <c r="CE26">
        <v>2130</v>
      </c>
      <c r="CF26">
        <v>2130</v>
      </c>
      <c r="CG26">
        <v>2130</v>
      </c>
      <c r="CH26">
        <v>2130</v>
      </c>
      <c r="CI26">
        <v>2130</v>
      </c>
      <c r="CJ26">
        <v>2130</v>
      </c>
      <c r="CK26">
        <v>2130</v>
      </c>
      <c r="CL26">
        <v>2130</v>
      </c>
      <c r="CM26">
        <v>2130</v>
      </c>
      <c r="CN26">
        <v>2130</v>
      </c>
      <c r="CO26">
        <v>2130</v>
      </c>
      <c r="CP26">
        <v>2130</v>
      </c>
      <c r="CQ26">
        <v>2130</v>
      </c>
      <c r="CR26">
        <v>2130</v>
      </c>
      <c r="CS26">
        <v>2130</v>
      </c>
    </row>
    <row r="27" spans="1:97">
      <c r="A27" s="9">
        <v>46260</v>
      </c>
      <c r="B27">
        <v>2130</v>
      </c>
      <c r="C27">
        <v>2130</v>
      </c>
      <c r="D27">
        <v>2130</v>
      </c>
      <c r="E27">
        <v>2130</v>
      </c>
      <c r="F27">
        <v>2130</v>
      </c>
      <c r="G27">
        <v>2130</v>
      </c>
      <c r="H27">
        <v>2130</v>
      </c>
      <c r="I27">
        <v>2130</v>
      </c>
      <c r="J27">
        <v>2130</v>
      </c>
      <c r="K27">
        <v>2130</v>
      </c>
      <c r="L27">
        <v>2130</v>
      </c>
      <c r="M27">
        <v>2130</v>
      </c>
      <c r="N27">
        <v>2130</v>
      </c>
      <c r="O27">
        <v>2130</v>
      </c>
      <c r="P27">
        <v>2130</v>
      </c>
      <c r="Q27">
        <v>2130</v>
      </c>
      <c r="R27">
        <v>2130</v>
      </c>
      <c r="S27">
        <v>2130</v>
      </c>
      <c r="T27">
        <v>2130</v>
      </c>
      <c r="U27">
        <v>2130</v>
      </c>
      <c r="V27">
        <v>2130</v>
      </c>
      <c r="W27">
        <v>2130</v>
      </c>
      <c r="X27">
        <v>2130</v>
      </c>
      <c r="Y27">
        <v>2130</v>
      </c>
      <c r="Z27">
        <v>2130</v>
      </c>
      <c r="AA27">
        <v>2130</v>
      </c>
      <c r="AB27">
        <v>2130</v>
      </c>
      <c r="AC27">
        <v>2130</v>
      </c>
      <c r="AD27">
        <v>2130</v>
      </c>
      <c r="AE27">
        <v>2130</v>
      </c>
      <c r="AF27">
        <v>2130</v>
      </c>
      <c r="AG27">
        <v>2130</v>
      </c>
      <c r="AH27">
        <v>2130</v>
      </c>
      <c r="AI27">
        <v>2130</v>
      </c>
      <c r="AJ27">
        <v>2130</v>
      </c>
      <c r="AK27">
        <v>2130</v>
      </c>
      <c r="AL27">
        <v>2130</v>
      </c>
      <c r="AM27">
        <v>2130</v>
      </c>
      <c r="AN27">
        <v>2130</v>
      </c>
      <c r="AO27">
        <v>2130</v>
      </c>
      <c r="AP27">
        <v>2130</v>
      </c>
      <c r="AQ27">
        <v>2130</v>
      </c>
      <c r="AR27">
        <v>2130</v>
      </c>
      <c r="AS27">
        <v>2130</v>
      </c>
      <c r="AT27">
        <v>2130</v>
      </c>
      <c r="AU27">
        <v>2130</v>
      </c>
      <c r="AV27">
        <v>2130</v>
      </c>
      <c r="AW27">
        <v>2130</v>
      </c>
      <c r="AX27">
        <v>2130</v>
      </c>
      <c r="AY27">
        <v>2130</v>
      </c>
      <c r="AZ27">
        <v>2130</v>
      </c>
      <c r="BA27">
        <v>2130</v>
      </c>
      <c r="BB27">
        <v>2130</v>
      </c>
      <c r="BC27">
        <v>2130</v>
      </c>
      <c r="BD27">
        <v>2130</v>
      </c>
      <c r="BE27">
        <v>2130</v>
      </c>
      <c r="BF27">
        <v>2130</v>
      </c>
      <c r="BG27">
        <v>2130</v>
      </c>
      <c r="BH27">
        <v>2130</v>
      </c>
      <c r="BI27">
        <v>2130</v>
      </c>
      <c r="BJ27">
        <v>2130</v>
      </c>
      <c r="BK27">
        <v>2130</v>
      </c>
      <c r="BL27">
        <v>2130</v>
      </c>
      <c r="BM27">
        <v>2130</v>
      </c>
      <c r="BN27">
        <v>2130</v>
      </c>
      <c r="BO27">
        <v>2130</v>
      </c>
      <c r="BP27">
        <v>2130</v>
      </c>
      <c r="BQ27">
        <v>2130</v>
      </c>
      <c r="BR27">
        <v>2130</v>
      </c>
      <c r="BS27">
        <v>2130</v>
      </c>
      <c r="BT27">
        <v>2130</v>
      </c>
      <c r="BU27">
        <v>2130</v>
      </c>
      <c r="BV27">
        <v>2130</v>
      </c>
      <c r="BW27">
        <v>2130</v>
      </c>
      <c r="BX27">
        <v>2130</v>
      </c>
      <c r="BY27">
        <v>2130</v>
      </c>
      <c r="BZ27">
        <v>2130</v>
      </c>
      <c r="CA27">
        <v>2130</v>
      </c>
      <c r="CB27">
        <v>2130</v>
      </c>
      <c r="CC27">
        <v>2130</v>
      </c>
      <c r="CD27">
        <v>2130</v>
      </c>
      <c r="CE27">
        <v>2130</v>
      </c>
      <c r="CF27">
        <v>2130</v>
      </c>
      <c r="CG27">
        <v>2130</v>
      </c>
      <c r="CH27">
        <v>2130</v>
      </c>
      <c r="CI27">
        <v>2130</v>
      </c>
      <c r="CJ27">
        <v>2130</v>
      </c>
      <c r="CK27">
        <v>2130</v>
      </c>
      <c r="CL27">
        <v>2130</v>
      </c>
      <c r="CM27">
        <v>2130</v>
      </c>
      <c r="CN27">
        <v>2130</v>
      </c>
      <c r="CO27">
        <v>2130</v>
      </c>
      <c r="CP27">
        <v>2130</v>
      </c>
      <c r="CQ27">
        <v>2130</v>
      </c>
      <c r="CR27">
        <v>2130</v>
      </c>
      <c r="CS27">
        <v>1780</v>
      </c>
    </row>
    <row r="28" spans="1:97">
      <c r="A28" s="9">
        <v>46261</v>
      </c>
      <c r="B28">
        <v>2130</v>
      </c>
      <c r="C28">
        <v>2130</v>
      </c>
      <c r="D28">
        <v>2130</v>
      </c>
      <c r="E28">
        <v>2130</v>
      </c>
      <c r="F28">
        <v>2130</v>
      </c>
      <c r="G28">
        <v>2130</v>
      </c>
      <c r="H28">
        <v>2130</v>
      </c>
      <c r="I28">
        <v>2130</v>
      </c>
      <c r="J28">
        <v>2130</v>
      </c>
      <c r="K28">
        <v>2130</v>
      </c>
      <c r="L28">
        <v>2130</v>
      </c>
      <c r="M28">
        <v>2130</v>
      </c>
      <c r="N28">
        <v>2130</v>
      </c>
      <c r="O28">
        <v>2130</v>
      </c>
      <c r="P28">
        <v>2130</v>
      </c>
      <c r="Q28">
        <v>2130</v>
      </c>
      <c r="R28">
        <v>2130</v>
      </c>
      <c r="S28">
        <v>2130</v>
      </c>
      <c r="T28">
        <v>2130</v>
      </c>
      <c r="U28">
        <v>2130</v>
      </c>
      <c r="V28">
        <v>2130</v>
      </c>
      <c r="W28">
        <v>2130</v>
      </c>
      <c r="X28">
        <v>2130</v>
      </c>
      <c r="Y28">
        <v>2130</v>
      </c>
      <c r="Z28">
        <v>2130</v>
      </c>
      <c r="AA28">
        <v>2130</v>
      </c>
      <c r="AB28">
        <v>2130</v>
      </c>
      <c r="AC28">
        <v>2130</v>
      </c>
      <c r="AD28">
        <v>2130</v>
      </c>
      <c r="AE28">
        <v>2130</v>
      </c>
      <c r="AF28">
        <v>2130</v>
      </c>
      <c r="AG28">
        <v>2130</v>
      </c>
      <c r="AH28">
        <v>2130</v>
      </c>
      <c r="AI28">
        <v>2130</v>
      </c>
      <c r="AJ28">
        <v>2130</v>
      </c>
      <c r="AK28">
        <v>2130</v>
      </c>
      <c r="AL28">
        <v>2130</v>
      </c>
      <c r="AM28">
        <v>2130</v>
      </c>
      <c r="AN28">
        <v>2130</v>
      </c>
      <c r="AO28">
        <v>2130</v>
      </c>
      <c r="AP28">
        <v>2130</v>
      </c>
      <c r="AQ28">
        <v>2130</v>
      </c>
      <c r="AR28">
        <v>2130</v>
      </c>
      <c r="AS28">
        <v>2130</v>
      </c>
      <c r="AT28">
        <v>2130</v>
      </c>
      <c r="AU28">
        <v>2130</v>
      </c>
      <c r="AV28">
        <v>2130</v>
      </c>
      <c r="AW28">
        <v>2130</v>
      </c>
      <c r="AX28">
        <v>2130</v>
      </c>
      <c r="AY28">
        <v>2130</v>
      </c>
      <c r="AZ28">
        <v>2130</v>
      </c>
      <c r="BA28">
        <v>2130</v>
      </c>
      <c r="BB28">
        <v>2130</v>
      </c>
      <c r="BC28">
        <v>2130</v>
      </c>
      <c r="BD28">
        <v>2130</v>
      </c>
      <c r="BE28">
        <v>2130</v>
      </c>
      <c r="BF28">
        <v>2130</v>
      </c>
      <c r="BG28">
        <v>2130</v>
      </c>
      <c r="BH28">
        <v>2130</v>
      </c>
      <c r="BI28">
        <v>2130</v>
      </c>
      <c r="BJ28">
        <v>2130</v>
      </c>
      <c r="BK28">
        <v>2130</v>
      </c>
      <c r="BL28">
        <v>2130</v>
      </c>
      <c r="BM28">
        <v>2130</v>
      </c>
      <c r="BN28">
        <v>2130</v>
      </c>
      <c r="BO28">
        <v>2130</v>
      </c>
      <c r="BP28">
        <v>2130</v>
      </c>
      <c r="BQ28">
        <v>2130</v>
      </c>
      <c r="BR28">
        <v>2130</v>
      </c>
      <c r="BS28">
        <v>2130</v>
      </c>
      <c r="BT28">
        <v>2130</v>
      </c>
      <c r="BU28">
        <v>2130</v>
      </c>
      <c r="BV28">
        <v>2130</v>
      </c>
      <c r="BW28">
        <v>2130</v>
      </c>
      <c r="BX28">
        <v>2130</v>
      </c>
      <c r="BY28">
        <v>2130</v>
      </c>
      <c r="BZ28">
        <v>2130</v>
      </c>
      <c r="CA28">
        <v>2130</v>
      </c>
      <c r="CB28">
        <v>2130</v>
      </c>
      <c r="CC28">
        <v>2130</v>
      </c>
      <c r="CD28">
        <v>2130</v>
      </c>
      <c r="CE28">
        <v>2130</v>
      </c>
      <c r="CF28">
        <v>2130</v>
      </c>
      <c r="CG28">
        <v>2130</v>
      </c>
      <c r="CH28">
        <v>2130</v>
      </c>
      <c r="CI28">
        <v>2130</v>
      </c>
      <c r="CJ28">
        <v>2130</v>
      </c>
      <c r="CK28">
        <v>2130</v>
      </c>
      <c r="CL28">
        <v>2130</v>
      </c>
      <c r="CM28">
        <v>2130</v>
      </c>
      <c r="CN28">
        <v>2130</v>
      </c>
      <c r="CO28">
        <v>2130</v>
      </c>
      <c r="CP28">
        <v>2130</v>
      </c>
      <c r="CQ28">
        <v>2130</v>
      </c>
      <c r="CR28">
        <v>2130</v>
      </c>
      <c r="CS28">
        <v>2130</v>
      </c>
    </row>
    <row r="29" spans="1:97">
      <c r="A29" s="9">
        <v>46262</v>
      </c>
      <c r="B29">
        <v>2130</v>
      </c>
      <c r="C29">
        <v>2130</v>
      </c>
      <c r="D29">
        <v>2130</v>
      </c>
      <c r="E29">
        <v>2130</v>
      </c>
      <c r="F29">
        <v>2130</v>
      </c>
      <c r="G29">
        <v>2130</v>
      </c>
      <c r="H29">
        <v>2130</v>
      </c>
      <c r="I29">
        <v>2130</v>
      </c>
      <c r="J29">
        <v>2130</v>
      </c>
      <c r="K29">
        <v>2130</v>
      </c>
      <c r="L29">
        <v>2130</v>
      </c>
      <c r="M29">
        <v>2130</v>
      </c>
      <c r="N29">
        <v>2130</v>
      </c>
      <c r="O29">
        <v>2130</v>
      </c>
      <c r="P29">
        <v>2130</v>
      </c>
      <c r="Q29">
        <v>2130</v>
      </c>
      <c r="R29">
        <v>2130</v>
      </c>
      <c r="S29">
        <v>2130</v>
      </c>
      <c r="T29">
        <v>2130</v>
      </c>
      <c r="U29">
        <v>2130</v>
      </c>
      <c r="V29">
        <v>2130</v>
      </c>
      <c r="W29">
        <v>2130</v>
      </c>
      <c r="X29">
        <v>2130</v>
      </c>
      <c r="Y29">
        <v>2130</v>
      </c>
      <c r="Z29">
        <v>2130</v>
      </c>
      <c r="AA29">
        <v>2130</v>
      </c>
      <c r="AB29">
        <v>2130</v>
      </c>
      <c r="AC29">
        <v>2130</v>
      </c>
      <c r="AD29">
        <v>2130</v>
      </c>
      <c r="AE29">
        <v>2130</v>
      </c>
      <c r="AF29">
        <v>2130</v>
      </c>
      <c r="AG29">
        <v>2130</v>
      </c>
      <c r="AH29">
        <v>2130</v>
      </c>
      <c r="AI29">
        <v>2130</v>
      </c>
      <c r="AJ29">
        <v>2130</v>
      </c>
      <c r="AK29">
        <v>2130</v>
      </c>
      <c r="AL29">
        <v>2130</v>
      </c>
      <c r="AM29">
        <v>2130</v>
      </c>
      <c r="AN29">
        <v>2130</v>
      </c>
      <c r="AO29">
        <v>2130</v>
      </c>
      <c r="AP29">
        <v>2130</v>
      </c>
      <c r="AQ29">
        <v>2130</v>
      </c>
      <c r="AR29">
        <v>2130</v>
      </c>
      <c r="AS29">
        <v>2130</v>
      </c>
      <c r="AT29">
        <v>2130</v>
      </c>
      <c r="AU29">
        <v>2130</v>
      </c>
      <c r="AV29">
        <v>2130</v>
      </c>
      <c r="AW29">
        <v>2130</v>
      </c>
      <c r="AX29">
        <v>2130</v>
      </c>
      <c r="AY29">
        <v>2130</v>
      </c>
      <c r="AZ29">
        <v>2130</v>
      </c>
      <c r="BA29">
        <v>2130</v>
      </c>
      <c r="BB29">
        <v>2130</v>
      </c>
      <c r="BC29">
        <v>2130</v>
      </c>
      <c r="BD29">
        <v>2130</v>
      </c>
      <c r="BE29">
        <v>2130</v>
      </c>
      <c r="BF29">
        <v>2130</v>
      </c>
      <c r="BG29">
        <v>2130</v>
      </c>
      <c r="BH29">
        <v>2130</v>
      </c>
      <c r="BI29">
        <v>2130</v>
      </c>
      <c r="BJ29">
        <v>2130</v>
      </c>
      <c r="BK29">
        <v>2130</v>
      </c>
      <c r="BL29">
        <v>2130</v>
      </c>
      <c r="BM29">
        <v>2130</v>
      </c>
      <c r="BN29">
        <v>2130</v>
      </c>
      <c r="BO29">
        <v>2130</v>
      </c>
      <c r="BP29">
        <v>2130</v>
      </c>
      <c r="BQ29">
        <v>2130</v>
      </c>
      <c r="BR29">
        <v>2130</v>
      </c>
      <c r="BS29">
        <v>2130</v>
      </c>
      <c r="BT29">
        <v>2130</v>
      </c>
      <c r="BU29">
        <v>2130</v>
      </c>
      <c r="BV29">
        <v>2130</v>
      </c>
      <c r="BW29">
        <v>2130</v>
      </c>
      <c r="BX29">
        <v>2130</v>
      </c>
      <c r="BY29">
        <v>2130</v>
      </c>
      <c r="BZ29">
        <v>2130</v>
      </c>
      <c r="CA29">
        <v>2130</v>
      </c>
      <c r="CB29">
        <v>2130</v>
      </c>
      <c r="CC29">
        <v>2130</v>
      </c>
      <c r="CD29">
        <v>2130</v>
      </c>
      <c r="CE29">
        <v>2130</v>
      </c>
      <c r="CF29">
        <v>2130</v>
      </c>
      <c r="CG29">
        <v>2130</v>
      </c>
      <c r="CH29">
        <v>2130</v>
      </c>
      <c r="CI29">
        <v>2130</v>
      </c>
      <c r="CJ29">
        <v>2130</v>
      </c>
      <c r="CK29">
        <v>2130</v>
      </c>
      <c r="CL29">
        <v>2130</v>
      </c>
      <c r="CM29">
        <v>2130</v>
      </c>
      <c r="CN29">
        <v>2130</v>
      </c>
      <c r="CO29">
        <v>2130</v>
      </c>
      <c r="CP29">
        <v>2130</v>
      </c>
      <c r="CQ29">
        <v>2130</v>
      </c>
      <c r="CR29">
        <v>2130</v>
      </c>
      <c r="CS29">
        <v>2130</v>
      </c>
    </row>
    <row r="30" spans="1:97">
      <c r="A30" s="9">
        <v>46263</v>
      </c>
      <c r="B30">
        <v>2130</v>
      </c>
      <c r="C30">
        <v>2130</v>
      </c>
      <c r="D30">
        <v>2130</v>
      </c>
      <c r="E30">
        <v>2130</v>
      </c>
      <c r="F30">
        <v>2130</v>
      </c>
      <c r="G30">
        <v>2130</v>
      </c>
      <c r="H30">
        <v>2130</v>
      </c>
      <c r="I30">
        <v>2130</v>
      </c>
      <c r="J30">
        <v>2130</v>
      </c>
      <c r="K30">
        <v>2130</v>
      </c>
      <c r="L30">
        <v>2130</v>
      </c>
      <c r="M30">
        <v>2130</v>
      </c>
      <c r="N30">
        <v>2130</v>
      </c>
      <c r="O30">
        <v>2130</v>
      </c>
      <c r="P30">
        <v>2130</v>
      </c>
      <c r="Q30">
        <v>2130</v>
      </c>
      <c r="R30">
        <v>2130</v>
      </c>
      <c r="S30">
        <v>2130</v>
      </c>
      <c r="T30">
        <v>2130</v>
      </c>
      <c r="U30">
        <v>2130</v>
      </c>
      <c r="V30">
        <v>2130</v>
      </c>
      <c r="W30">
        <v>2130</v>
      </c>
      <c r="X30">
        <v>2130</v>
      </c>
      <c r="Y30">
        <v>2130</v>
      </c>
      <c r="Z30">
        <v>2130</v>
      </c>
      <c r="AA30">
        <v>2130</v>
      </c>
      <c r="AB30">
        <v>2130</v>
      </c>
      <c r="AC30">
        <v>2130</v>
      </c>
      <c r="AD30">
        <v>2130</v>
      </c>
      <c r="AE30">
        <v>2130</v>
      </c>
      <c r="AF30">
        <v>2130</v>
      </c>
      <c r="AG30">
        <v>2130</v>
      </c>
      <c r="AH30">
        <v>2130</v>
      </c>
      <c r="AI30">
        <v>2130</v>
      </c>
      <c r="AJ30">
        <v>2130</v>
      </c>
      <c r="AK30">
        <v>2130</v>
      </c>
      <c r="AL30">
        <v>2130</v>
      </c>
      <c r="AM30">
        <v>2130</v>
      </c>
      <c r="AN30">
        <v>2130</v>
      </c>
      <c r="AO30">
        <v>2130</v>
      </c>
      <c r="AP30">
        <v>2130</v>
      </c>
      <c r="AQ30">
        <v>2130</v>
      </c>
      <c r="AR30">
        <v>2130</v>
      </c>
      <c r="AS30">
        <v>2130</v>
      </c>
      <c r="AT30">
        <v>2130</v>
      </c>
      <c r="AU30">
        <v>2130</v>
      </c>
      <c r="AV30">
        <v>2130</v>
      </c>
      <c r="AW30">
        <v>2130</v>
      </c>
      <c r="AX30">
        <v>2130</v>
      </c>
      <c r="AY30">
        <v>2130</v>
      </c>
      <c r="AZ30">
        <v>2130</v>
      </c>
      <c r="BA30">
        <v>2130</v>
      </c>
      <c r="BB30">
        <v>2130</v>
      </c>
      <c r="BC30">
        <v>2130</v>
      </c>
      <c r="BD30">
        <v>2130</v>
      </c>
      <c r="BE30">
        <v>2130</v>
      </c>
      <c r="BF30">
        <v>2130</v>
      </c>
      <c r="BG30">
        <v>2130</v>
      </c>
      <c r="BH30">
        <v>2130</v>
      </c>
      <c r="BI30">
        <v>2130</v>
      </c>
      <c r="BJ30">
        <v>2130</v>
      </c>
      <c r="BK30">
        <v>2130</v>
      </c>
      <c r="BL30">
        <v>2130</v>
      </c>
      <c r="BM30">
        <v>2130</v>
      </c>
      <c r="BN30">
        <v>2130</v>
      </c>
      <c r="BO30">
        <v>2130</v>
      </c>
      <c r="BP30">
        <v>2130</v>
      </c>
      <c r="BQ30">
        <v>2130</v>
      </c>
      <c r="BR30">
        <v>2130</v>
      </c>
      <c r="BS30">
        <v>2130</v>
      </c>
      <c r="BT30">
        <v>2130</v>
      </c>
      <c r="BU30">
        <v>2130</v>
      </c>
      <c r="BV30">
        <v>2130</v>
      </c>
      <c r="BW30">
        <v>2130</v>
      </c>
      <c r="BX30">
        <v>2130</v>
      </c>
      <c r="BY30">
        <v>2130</v>
      </c>
      <c r="BZ30">
        <v>2130</v>
      </c>
      <c r="CA30">
        <v>2130</v>
      </c>
      <c r="CB30">
        <v>2130</v>
      </c>
      <c r="CC30">
        <v>2130</v>
      </c>
      <c r="CD30">
        <v>2130</v>
      </c>
      <c r="CE30">
        <v>2130</v>
      </c>
      <c r="CF30">
        <v>2130</v>
      </c>
      <c r="CG30">
        <v>2130</v>
      </c>
      <c r="CH30">
        <v>2130</v>
      </c>
      <c r="CI30">
        <v>2130</v>
      </c>
      <c r="CJ30">
        <v>2130</v>
      </c>
      <c r="CK30">
        <v>2130</v>
      </c>
      <c r="CL30">
        <v>2130</v>
      </c>
      <c r="CM30">
        <v>2130</v>
      </c>
      <c r="CN30">
        <v>2130</v>
      </c>
      <c r="CO30">
        <v>2130</v>
      </c>
      <c r="CP30">
        <v>2130</v>
      </c>
      <c r="CQ30">
        <v>2130</v>
      </c>
      <c r="CR30">
        <v>2130</v>
      </c>
      <c r="CS30">
        <v>2130</v>
      </c>
    </row>
    <row r="31" spans="1:97">
      <c r="A31" s="9">
        <v>46264</v>
      </c>
      <c r="B31">
        <v>2730</v>
      </c>
      <c r="C31">
        <v>2730</v>
      </c>
      <c r="D31">
        <v>2730</v>
      </c>
      <c r="E31">
        <v>2730</v>
      </c>
      <c r="F31">
        <v>2730</v>
      </c>
      <c r="G31">
        <v>2730</v>
      </c>
      <c r="H31">
        <v>2730</v>
      </c>
      <c r="I31">
        <v>2730</v>
      </c>
      <c r="J31">
        <v>2730</v>
      </c>
      <c r="K31">
        <v>2730</v>
      </c>
      <c r="L31">
        <v>2730</v>
      </c>
      <c r="M31">
        <v>2730</v>
      </c>
      <c r="N31">
        <v>2730</v>
      </c>
      <c r="O31">
        <v>2730</v>
      </c>
      <c r="P31">
        <v>2730</v>
      </c>
      <c r="Q31">
        <v>2730</v>
      </c>
      <c r="R31">
        <v>2730</v>
      </c>
      <c r="S31">
        <v>2730</v>
      </c>
      <c r="T31">
        <v>2730</v>
      </c>
      <c r="U31">
        <v>2730</v>
      </c>
      <c r="V31">
        <v>2730</v>
      </c>
      <c r="W31">
        <v>2730</v>
      </c>
      <c r="X31">
        <v>2730</v>
      </c>
      <c r="Y31">
        <v>2730</v>
      </c>
      <c r="Z31">
        <v>2730</v>
      </c>
      <c r="AA31">
        <v>2730</v>
      </c>
      <c r="AB31">
        <v>2730</v>
      </c>
      <c r="AC31">
        <v>2730</v>
      </c>
      <c r="AD31">
        <v>2730</v>
      </c>
      <c r="AE31">
        <v>2730</v>
      </c>
      <c r="AF31">
        <v>2730</v>
      </c>
      <c r="AG31">
        <v>2730</v>
      </c>
      <c r="AH31">
        <v>2730</v>
      </c>
      <c r="AI31">
        <v>2730</v>
      </c>
      <c r="AJ31">
        <v>2730</v>
      </c>
      <c r="AK31">
        <v>2730</v>
      </c>
      <c r="AL31">
        <v>2730</v>
      </c>
      <c r="AM31">
        <v>2730</v>
      </c>
      <c r="AN31">
        <v>2730</v>
      </c>
      <c r="AO31">
        <v>2730</v>
      </c>
      <c r="AP31">
        <v>2730</v>
      </c>
      <c r="AQ31">
        <v>2730</v>
      </c>
      <c r="AR31">
        <v>2730</v>
      </c>
      <c r="AS31">
        <v>2730</v>
      </c>
      <c r="AT31">
        <v>2730</v>
      </c>
      <c r="AU31">
        <v>2730</v>
      </c>
      <c r="AV31">
        <v>2730</v>
      </c>
      <c r="AW31">
        <v>2730</v>
      </c>
      <c r="AX31">
        <v>2730</v>
      </c>
      <c r="AY31">
        <v>2730</v>
      </c>
      <c r="AZ31">
        <v>2730</v>
      </c>
      <c r="BA31">
        <v>2730</v>
      </c>
      <c r="BB31">
        <v>2730</v>
      </c>
      <c r="BC31">
        <v>2730</v>
      </c>
      <c r="BD31">
        <v>2730</v>
      </c>
      <c r="BE31">
        <v>2730</v>
      </c>
      <c r="BF31">
        <v>2730</v>
      </c>
      <c r="BG31">
        <v>2730</v>
      </c>
      <c r="BH31">
        <v>2730</v>
      </c>
      <c r="BI31">
        <v>2730</v>
      </c>
      <c r="BJ31">
        <v>2730</v>
      </c>
      <c r="BK31">
        <v>2730</v>
      </c>
      <c r="BL31">
        <v>2730</v>
      </c>
      <c r="BM31">
        <v>2730</v>
      </c>
      <c r="BN31">
        <v>2730</v>
      </c>
      <c r="BO31">
        <v>2730</v>
      </c>
      <c r="BP31">
        <v>2730</v>
      </c>
      <c r="BQ31">
        <v>2730</v>
      </c>
      <c r="BR31">
        <v>2730</v>
      </c>
      <c r="BS31">
        <v>2730</v>
      </c>
      <c r="BT31">
        <v>2730</v>
      </c>
      <c r="BU31">
        <v>2730</v>
      </c>
      <c r="BV31">
        <v>2730</v>
      </c>
      <c r="BW31">
        <v>2730</v>
      </c>
      <c r="BX31">
        <v>2730</v>
      </c>
      <c r="BY31">
        <v>2730</v>
      </c>
      <c r="BZ31">
        <v>2730</v>
      </c>
      <c r="CA31">
        <v>2730</v>
      </c>
      <c r="CB31">
        <v>2730</v>
      </c>
      <c r="CC31">
        <v>2730</v>
      </c>
      <c r="CD31">
        <v>2730</v>
      </c>
      <c r="CE31">
        <v>2730</v>
      </c>
      <c r="CF31">
        <v>2730</v>
      </c>
      <c r="CG31">
        <v>2730</v>
      </c>
      <c r="CH31">
        <v>2730</v>
      </c>
      <c r="CI31">
        <v>2730</v>
      </c>
      <c r="CJ31">
        <v>2730</v>
      </c>
      <c r="CK31">
        <v>2730</v>
      </c>
      <c r="CL31">
        <v>2730</v>
      </c>
      <c r="CM31">
        <v>2730</v>
      </c>
      <c r="CN31">
        <v>2730</v>
      </c>
      <c r="CO31">
        <v>2730</v>
      </c>
      <c r="CP31">
        <v>2730</v>
      </c>
      <c r="CQ31">
        <v>2730</v>
      </c>
      <c r="CR31">
        <v>2730</v>
      </c>
      <c r="CS31">
        <v>2730</v>
      </c>
    </row>
    <row r="32" spans="1:97">
      <c r="A32" s="9">
        <v>46265</v>
      </c>
      <c r="B32">
        <v>2730</v>
      </c>
      <c r="C32">
        <v>2730</v>
      </c>
      <c r="D32">
        <v>2730</v>
      </c>
      <c r="E32">
        <v>2730</v>
      </c>
      <c r="F32">
        <v>2730</v>
      </c>
      <c r="G32">
        <v>2730</v>
      </c>
      <c r="H32">
        <v>2730</v>
      </c>
      <c r="I32">
        <v>2730</v>
      </c>
      <c r="J32">
        <v>2730</v>
      </c>
      <c r="K32">
        <v>2730</v>
      </c>
      <c r="L32">
        <v>2730</v>
      </c>
      <c r="M32">
        <v>2730</v>
      </c>
      <c r="N32">
        <v>2730</v>
      </c>
      <c r="O32">
        <v>2730</v>
      </c>
      <c r="P32">
        <v>2730</v>
      </c>
      <c r="Q32">
        <v>2730</v>
      </c>
      <c r="R32">
        <v>2730</v>
      </c>
      <c r="S32">
        <v>2730</v>
      </c>
      <c r="T32">
        <v>2730</v>
      </c>
      <c r="U32">
        <v>2730</v>
      </c>
      <c r="V32">
        <v>2730</v>
      </c>
      <c r="W32">
        <v>2730</v>
      </c>
      <c r="X32">
        <v>2730</v>
      </c>
      <c r="Y32">
        <v>2730</v>
      </c>
      <c r="Z32">
        <v>2730</v>
      </c>
      <c r="AA32">
        <v>2730</v>
      </c>
      <c r="AB32">
        <v>2730</v>
      </c>
      <c r="AC32">
        <v>2730</v>
      </c>
      <c r="AD32">
        <v>2730</v>
      </c>
      <c r="AE32">
        <v>2730</v>
      </c>
      <c r="AF32">
        <v>2730</v>
      </c>
      <c r="AG32">
        <v>2730</v>
      </c>
      <c r="AH32">
        <v>2730</v>
      </c>
      <c r="AI32">
        <v>2730</v>
      </c>
      <c r="AJ32">
        <v>2730</v>
      </c>
      <c r="AK32">
        <v>2730</v>
      </c>
      <c r="AL32">
        <v>2730</v>
      </c>
      <c r="AM32">
        <v>2730</v>
      </c>
      <c r="AN32">
        <v>2730</v>
      </c>
      <c r="AO32">
        <v>2730</v>
      </c>
      <c r="AP32">
        <v>2730</v>
      </c>
      <c r="AQ32">
        <v>2730</v>
      </c>
      <c r="AR32">
        <v>2730</v>
      </c>
      <c r="AS32">
        <v>2730</v>
      </c>
      <c r="AT32">
        <v>2730</v>
      </c>
      <c r="AU32">
        <v>2730</v>
      </c>
      <c r="AV32">
        <v>2730</v>
      </c>
      <c r="AW32">
        <v>2730</v>
      </c>
      <c r="AX32">
        <v>2730</v>
      </c>
      <c r="AY32">
        <v>2730</v>
      </c>
      <c r="AZ32">
        <v>2730</v>
      </c>
      <c r="BA32">
        <v>2730</v>
      </c>
      <c r="BB32">
        <v>2730</v>
      </c>
      <c r="BC32">
        <v>2730</v>
      </c>
      <c r="BD32">
        <v>2730</v>
      </c>
      <c r="BE32">
        <v>2730</v>
      </c>
      <c r="BF32">
        <v>2730</v>
      </c>
      <c r="BG32">
        <v>2730</v>
      </c>
      <c r="BH32">
        <v>2730</v>
      </c>
      <c r="BI32">
        <v>2730</v>
      </c>
      <c r="BJ32">
        <v>2730</v>
      </c>
      <c r="BK32">
        <v>2730</v>
      </c>
      <c r="BL32">
        <v>2730</v>
      </c>
      <c r="BM32">
        <v>2730</v>
      </c>
      <c r="BN32">
        <v>2730</v>
      </c>
      <c r="BO32">
        <v>2730</v>
      </c>
      <c r="BP32">
        <v>2730</v>
      </c>
      <c r="BQ32">
        <v>2730</v>
      </c>
      <c r="BR32">
        <v>2730</v>
      </c>
      <c r="BS32">
        <v>2730</v>
      </c>
      <c r="BT32">
        <v>2730</v>
      </c>
      <c r="BU32">
        <v>2730</v>
      </c>
      <c r="BV32">
        <v>2730</v>
      </c>
      <c r="BW32">
        <v>2730</v>
      </c>
      <c r="BX32">
        <v>2730</v>
      </c>
      <c r="BY32">
        <v>2730</v>
      </c>
      <c r="BZ32">
        <v>2730</v>
      </c>
      <c r="CA32">
        <v>2730</v>
      </c>
      <c r="CB32">
        <v>2730</v>
      </c>
      <c r="CC32">
        <v>2730</v>
      </c>
      <c r="CD32">
        <v>2730</v>
      </c>
      <c r="CE32">
        <v>2730</v>
      </c>
      <c r="CF32">
        <v>2730</v>
      </c>
      <c r="CG32">
        <v>2730</v>
      </c>
      <c r="CH32">
        <v>2730</v>
      </c>
      <c r="CI32">
        <v>2730</v>
      </c>
      <c r="CJ32">
        <v>2730</v>
      </c>
      <c r="CK32">
        <v>2730</v>
      </c>
      <c r="CL32">
        <v>2730</v>
      </c>
      <c r="CM32">
        <v>2730</v>
      </c>
      <c r="CN32">
        <v>2730</v>
      </c>
      <c r="CO32">
        <v>2730</v>
      </c>
      <c r="CP32">
        <v>2730</v>
      </c>
      <c r="CQ32">
        <v>2730</v>
      </c>
      <c r="CR32">
        <v>2730</v>
      </c>
      <c r="CS32">
        <v>2730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CS32"/>
  <sheetViews>
    <sheetView workbookViewId="0">
      <selection activeCell="J61" sqref="J61:J62"/>
    </sheetView>
  </sheetViews>
  <sheetFormatPr defaultColWidth="8.89166666666667" defaultRowHeight="13.5"/>
  <cols>
    <col min="1" max="1" width="11.8916666666667" style="9" customWidth="1"/>
  </cols>
  <sheetData>
    <row r="1" ht="12" customHeight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28215</v>
      </c>
      <c r="C2">
        <v>28215</v>
      </c>
      <c r="D2">
        <v>28215</v>
      </c>
      <c r="E2">
        <v>28215</v>
      </c>
      <c r="F2">
        <v>28215</v>
      </c>
      <c r="G2">
        <v>28215</v>
      </c>
      <c r="H2">
        <v>28215</v>
      </c>
      <c r="I2">
        <v>28215</v>
      </c>
      <c r="J2">
        <v>28215</v>
      </c>
      <c r="K2">
        <v>28215</v>
      </c>
      <c r="L2">
        <v>28215</v>
      </c>
      <c r="M2">
        <v>28215</v>
      </c>
      <c r="N2">
        <v>28215</v>
      </c>
      <c r="O2">
        <v>28215</v>
      </c>
      <c r="P2">
        <v>28215</v>
      </c>
      <c r="Q2">
        <v>28215</v>
      </c>
      <c r="R2">
        <v>28215</v>
      </c>
      <c r="S2">
        <v>28215</v>
      </c>
      <c r="T2">
        <v>28215</v>
      </c>
      <c r="U2">
        <v>28215</v>
      </c>
      <c r="V2">
        <v>28215</v>
      </c>
      <c r="W2">
        <v>28215</v>
      </c>
      <c r="X2">
        <v>28215</v>
      </c>
      <c r="Y2">
        <v>28215</v>
      </c>
      <c r="Z2">
        <v>28215</v>
      </c>
      <c r="AA2">
        <v>28215</v>
      </c>
      <c r="AB2">
        <v>28215</v>
      </c>
      <c r="AC2">
        <v>28215</v>
      </c>
      <c r="AD2">
        <v>28215</v>
      </c>
      <c r="AE2">
        <v>28215</v>
      </c>
      <c r="AF2">
        <v>28215</v>
      </c>
      <c r="AG2">
        <v>28215</v>
      </c>
      <c r="AH2">
        <v>28215</v>
      </c>
      <c r="AI2">
        <v>28215</v>
      </c>
      <c r="AJ2">
        <v>28215</v>
      </c>
      <c r="AK2">
        <v>28215</v>
      </c>
      <c r="AL2">
        <v>28215</v>
      </c>
      <c r="AM2">
        <v>28215</v>
      </c>
      <c r="AN2">
        <v>28215</v>
      </c>
      <c r="AO2">
        <v>28215</v>
      </c>
      <c r="AP2">
        <v>28215</v>
      </c>
      <c r="AQ2">
        <v>28215</v>
      </c>
      <c r="AR2">
        <v>28215</v>
      </c>
      <c r="AS2">
        <v>28215</v>
      </c>
      <c r="AT2">
        <v>28215</v>
      </c>
      <c r="AU2">
        <v>28215</v>
      </c>
      <c r="AV2">
        <v>28215</v>
      </c>
      <c r="AW2">
        <v>28215</v>
      </c>
      <c r="AX2">
        <v>28215</v>
      </c>
      <c r="AY2">
        <v>28215</v>
      </c>
      <c r="AZ2">
        <v>28215</v>
      </c>
      <c r="BA2">
        <v>28215</v>
      </c>
      <c r="BB2">
        <v>28215</v>
      </c>
      <c r="BC2">
        <v>28215</v>
      </c>
      <c r="BD2">
        <v>28215</v>
      </c>
      <c r="BE2">
        <v>28215</v>
      </c>
      <c r="BF2">
        <v>28215</v>
      </c>
      <c r="BG2">
        <v>28215</v>
      </c>
      <c r="BH2">
        <v>28215</v>
      </c>
      <c r="BI2">
        <v>28215</v>
      </c>
      <c r="BJ2">
        <v>28215</v>
      </c>
      <c r="BK2">
        <v>28215</v>
      </c>
      <c r="BL2">
        <v>28215</v>
      </c>
      <c r="BM2">
        <v>28215</v>
      </c>
      <c r="BN2">
        <v>28215</v>
      </c>
      <c r="BO2">
        <v>28215</v>
      </c>
      <c r="BP2">
        <v>28215</v>
      </c>
      <c r="BQ2">
        <v>28215</v>
      </c>
      <c r="BR2">
        <v>28215</v>
      </c>
      <c r="BS2">
        <v>28215</v>
      </c>
      <c r="BT2">
        <v>28215</v>
      </c>
      <c r="BU2">
        <v>28215</v>
      </c>
      <c r="BV2">
        <v>28215</v>
      </c>
      <c r="BW2">
        <v>28215</v>
      </c>
      <c r="BX2">
        <v>28215</v>
      </c>
      <c r="BY2">
        <v>28215</v>
      </c>
      <c r="BZ2">
        <v>28215</v>
      </c>
      <c r="CA2">
        <v>28215</v>
      </c>
      <c r="CB2">
        <v>28215</v>
      </c>
      <c r="CC2">
        <v>28215</v>
      </c>
      <c r="CD2">
        <v>28215</v>
      </c>
      <c r="CE2">
        <v>28215</v>
      </c>
      <c r="CF2">
        <v>28215</v>
      </c>
      <c r="CG2">
        <v>28215</v>
      </c>
      <c r="CH2">
        <v>28215</v>
      </c>
      <c r="CI2">
        <v>28215</v>
      </c>
      <c r="CJ2">
        <v>28215</v>
      </c>
      <c r="CK2">
        <v>28215</v>
      </c>
      <c r="CL2">
        <v>28215</v>
      </c>
      <c r="CM2">
        <v>28215</v>
      </c>
      <c r="CN2">
        <v>28215</v>
      </c>
      <c r="CO2">
        <v>28215</v>
      </c>
      <c r="CP2">
        <v>28215</v>
      </c>
      <c r="CQ2">
        <v>28215</v>
      </c>
      <c r="CR2">
        <v>28215</v>
      </c>
      <c r="CS2">
        <v>28215</v>
      </c>
    </row>
    <row r="3" spans="1:97">
      <c r="A3" s="9">
        <v>46236</v>
      </c>
      <c r="B3">
        <v>28215</v>
      </c>
      <c r="C3">
        <v>28215</v>
      </c>
      <c r="D3">
        <v>28215</v>
      </c>
      <c r="E3">
        <v>28215</v>
      </c>
      <c r="F3">
        <v>28215</v>
      </c>
      <c r="G3">
        <v>28215</v>
      </c>
      <c r="H3">
        <v>28215</v>
      </c>
      <c r="I3">
        <v>28215</v>
      </c>
      <c r="J3">
        <v>28215</v>
      </c>
      <c r="K3">
        <v>28215</v>
      </c>
      <c r="L3">
        <v>28215</v>
      </c>
      <c r="M3">
        <v>28215</v>
      </c>
      <c r="N3">
        <v>28215</v>
      </c>
      <c r="O3">
        <v>28215</v>
      </c>
      <c r="P3">
        <v>28215</v>
      </c>
      <c r="Q3">
        <v>28215</v>
      </c>
      <c r="R3">
        <v>28215</v>
      </c>
      <c r="S3">
        <v>28215</v>
      </c>
      <c r="T3">
        <v>28215</v>
      </c>
      <c r="U3">
        <v>28215</v>
      </c>
      <c r="V3">
        <v>28215</v>
      </c>
      <c r="W3">
        <v>28215</v>
      </c>
      <c r="X3">
        <v>28215</v>
      </c>
      <c r="Y3">
        <v>28215</v>
      </c>
      <c r="Z3">
        <v>28215</v>
      </c>
      <c r="AA3">
        <v>28215</v>
      </c>
      <c r="AB3">
        <v>28215</v>
      </c>
      <c r="AC3">
        <v>28215</v>
      </c>
      <c r="AD3">
        <v>28215</v>
      </c>
      <c r="AE3">
        <v>28215</v>
      </c>
      <c r="AF3">
        <v>28215</v>
      </c>
      <c r="AG3">
        <v>28215</v>
      </c>
      <c r="AH3">
        <v>28215</v>
      </c>
      <c r="AI3">
        <v>28215</v>
      </c>
      <c r="AJ3">
        <v>28215</v>
      </c>
      <c r="AK3">
        <v>28215</v>
      </c>
      <c r="AL3">
        <v>28215</v>
      </c>
      <c r="AM3">
        <v>28215</v>
      </c>
      <c r="AN3">
        <v>28215</v>
      </c>
      <c r="AO3">
        <v>28215</v>
      </c>
      <c r="AP3">
        <v>28215</v>
      </c>
      <c r="AQ3">
        <v>28215</v>
      </c>
      <c r="AR3">
        <v>28215</v>
      </c>
      <c r="AS3">
        <v>28215</v>
      </c>
      <c r="AT3">
        <v>28215</v>
      </c>
      <c r="AU3">
        <v>28215</v>
      </c>
      <c r="AV3">
        <v>28215</v>
      </c>
      <c r="AW3">
        <v>28215</v>
      </c>
      <c r="AX3">
        <v>28215</v>
      </c>
      <c r="AY3">
        <v>28215</v>
      </c>
      <c r="AZ3">
        <v>28215</v>
      </c>
      <c r="BA3">
        <v>28215</v>
      </c>
      <c r="BB3">
        <v>28215</v>
      </c>
      <c r="BC3">
        <v>28215</v>
      </c>
      <c r="BD3">
        <v>28215</v>
      </c>
      <c r="BE3">
        <v>28215</v>
      </c>
      <c r="BF3">
        <v>28215</v>
      </c>
      <c r="BG3">
        <v>28215</v>
      </c>
      <c r="BH3">
        <v>28215</v>
      </c>
      <c r="BI3">
        <v>28215</v>
      </c>
      <c r="BJ3">
        <v>28215</v>
      </c>
      <c r="BK3">
        <v>28215</v>
      </c>
      <c r="BL3">
        <v>28215</v>
      </c>
      <c r="BM3">
        <v>28215</v>
      </c>
      <c r="BN3">
        <v>28215</v>
      </c>
      <c r="BO3">
        <v>28215</v>
      </c>
      <c r="BP3">
        <v>28215</v>
      </c>
      <c r="BQ3">
        <v>28215</v>
      </c>
      <c r="BR3">
        <v>28215</v>
      </c>
      <c r="BS3">
        <v>28215</v>
      </c>
      <c r="BT3">
        <v>28215</v>
      </c>
      <c r="BU3">
        <v>28215</v>
      </c>
      <c r="BV3">
        <v>28215</v>
      </c>
      <c r="BW3">
        <v>28215</v>
      </c>
      <c r="BX3">
        <v>28215</v>
      </c>
      <c r="BY3">
        <v>28215</v>
      </c>
      <c r="BZ3">
        <v>28215</v>
      </c>
      <c r="CA3">
        <v>28215</v>
      </c>
      <c r="CB3">
        <v>28215</v>
      </c>
      <c r="CC3">
        <v>28215</v>
      </c>
      <c r="CD3">
        <v>28215</v>
      </c>
      <c r="CE3">
        <v>28215</v>
      </c>
      <c r="CF3">
        <v>28215</v>
      </c>
      <c r="CG3">
        <v>28215</v>
      </c>
      <c r="CH3">
        <v>28215</v>
      </c>
      <c r="CI3">
        <v>28215</v>
      </c>
      <c r="CJ3">
        <v>28215</v>
      </c>
      <c r="CK3">
        <v>28215</v>
      </c>
      <c r="CL3">
        <v>28215</v>
      </c>
      <c r="CM3">
        <v>28215</v>
      </c>
      <c r="CN3">
        <v>28215</v>
      </c>
      <c r="CO3">
        <v>28215</v>
      </c>
      <c r="CP3">
        <v>28215</v>
      </c>
      <c r="CQ3">
        <v>28215</v>
      </c>
      <c r="CR3">
        <v>28215</v>
      </c>
      <c r="CS3">
        <v>28215</v>
      </c>
    </row>
    <row r="4" spans="1:97">
      <c r="A4" s="9">
        <v>46237</v>
      </c>
      <c r="B4">
        <v>28215</v>
      </c>
      <c r="C4">
        <v>28215</v>
      </c>
      <c r="D4">
        <v>28215</v>
      </c>
      <c r="E4">
        <v>28215</v>
      </c>
      <c r="F4">
        <v>28215</v>
      </c>
      <c r="G4">
        <v>28215</v>
      </c>
      <c r="H4">
        <v>28215</v>
      </c>
      <c r="I4">
        <v>28215</v>
      </c>
      <c r="J4">
        <v>28215</v>
      </c>
      <c r="K4">
        <v>28215</v>
      </c>
      <c r="L4">
        <v>28215</v>
      </c>
      <c r="M4">
        <v>28215</v>
      </c>
      <c r="N4">
        <v>28215</v>
      </c>
      <c r="O4">
        <v>28215</v>
      </c>
      <c r="P4">
        <v>28215</v>
      </c>
      <c r="Q4">
        <v>28215</v>
      </c>
      <c r="R4">
        <v>28215</v>
      </c>
      <c r="S4">
        <v>28215</v>
      </c>
      <c r="T4">
        <v>28215</v>
      </c>
      <c r="U4">
        <v>28215</v>
      </c>
      <c r="V4">
        <v>28215</v>
      </c>
      <c r="W4">
        <v>28215</v>
      </c>
      <c r="X4">
        <v>28215</v>
      </c>
      <c r="Y4">
        <v>28215</v>
      </c>
      <c r="Z4">
        <v>28215</v>
      </c>
      <c r="AA4">
        <v>28215</v>
      </c>
      <c r="AB4">
        <v>28215</v>
      </c>
      <c r="AC4">
        <v>28215</v>
      </c>
      <c r="AD4">
        <v>28215</v>
      </c>
      <c r="AE4">
        <v>28215</v>
      </c>
      <c r="AF4">
        <v>28215</v>
      </c>
      <c r="AG4">
        <v>28215</v>
      </c>
      <c r="AH4">
        <v>28215</v>
      </c>
      <c r="AI4">
        <v>28215</v>
      </c>
      <c r="AJ4">
        <v>28215</v>
      </c>
      <c r="AK4">
        <v>28215</v>
      </c>
      <c r="AL4">
        <v>28215</v>
      </c>
      <c r="AM4">
        <v>28215</v>
      </c>
      <c r="AN4">
        <v>28215</v>
      </c>
      <c r="AO4">
        <v>28215</v>
      </c>
      <c r="AP4">
        <v>28215</v>
      </c>
      <c r="AQ4">
        <v>28215</v>
      </c>
      <c r="AR4">
        <v>28215</v>
      </c>
      <c r="AS4">
        <v>28215</v>
      </c>
      <c r="AT4">
        <v>28215</v>
      </c>
      <c r="AU4">
        <v>28215</v>
      </c>
      <c r="AV4">
        <v>28215</v>
      </c>
      <c r="AW4">
        <v>28215</v>
      </c>
      <c r="AX4">
        <v>28215</v>
      </c>
      <c r="AY4">
        <v>28215</v>
      </c>
      <c r="AZ4">
        <v>28215</v>
      </c>
      <c r="BA4">
        <v>28215</v>
      </c>
      <c r="BB4">
        <v>28215</v>
      </c>
      <c r="BC4">
        <v>28215</v>
      </c>
      <c r="BD4">
        <v>28215</v>
      </c>
      <c r="BE4">
        <v>28215</v>
      </c>
      <c r="BF4">
        <v>28215</v>
      </c>
      <c r="BG4">
        <v>28215</v>
      </c>
      <c r="BH4">
        <v>28215</v>
      </c>
      <c r="BI4">
        <v>28215</v>
      </c>
      <c r="BJ4">
        <v>28215</v>
      </c>
      <c r="BK4">
        <v>28215</v>
      </c>
      <c r="BL4">
        <v>28215</v>
      </c>
      <c r="BM4">
        <v>28215</v>
      </c>
      <c r="BN4">
        <v>28215</v>
      </c>
      <c r="BO4">
        <v>28215</v>
      </c>
      <c r="BP4">
        <v>28215</v>
      </c>
      <c r="BQ4">
        <v>28215</v>
      </c>
      <c r="BR4">
        <v>28215</v>
      </c>
      <c r="BS4">
        <v>28215</v>
      </c>
      <c r="BT4">
        <v>28215</v>
      </c>
      <c r="BU4">
        <v>28215</v>
      </c>
      <c r="BV4">
        <v>28215</v>
      </c>
      <c r="BW4">
        <v>28215</v>
      </c>
      <c r="BX4">
        <v>28215</v>
      </c>
      <c r="BY4">
        <v>28215</v>
      </c>
      <c r="BZ4">
        <v>28215</v>
      </c>
      <c r="CA4">
        <v>28215</v>
      </c>
      <c r="CB4">
        <v>28215</v>
      </c>
      <c r="CC4">
        <v>28215</v>
      </c>
      <c r="CD4">
        <v>28215</v>
      </c>
      <c r="CE4">
        <v>28215</v>
      </c>
      <c r="CF4">
        <v>28215</v>
      </c>
      <c r="CG4">
        <v>28215</v>
      </c>
      <c r="CH4">
        <v>28215</v>
      </c>
      <c r="CI4">
        <v>28215</v>
      </c>
      <c r="CJ4">
        <v>28215</v>
      </c>
      <c r="CK4">
        <v>28215</v>
      </c>
      <c r="CL4">
        <v>28215</v>
      </c>
      <c r="CM4">
        <v>28215</v>
      </c>
      <c r="CN4">
        <v>28215</v>
      </c>
      <c r="CO4">
        <v>28215</v>
      </c>
      <c r="CP4">
        <v>28215</v>
      </c>
      <c r="CQ4">
        <v>28215</v>
      </c>
      <c r="CR4">
        <v>28215</v>
      </c>
      <c r="CS4">
        <v>28215</v>
      </c>
    </row>
    <row r="5" spans="1:97">
      <c r="A5" s="9">
        <v>46238</v>
      </c>
      <c r="B5">
        <v>28215</v>
      </c>
      <c r="C5">
        <v>28215</v>
      </c>
      <c r="D5">
        <v>28215</v>
      </c>
      <c r="E5">
        <v>28215</v>
      </c>
      <c r="F5">
        <v>28215</v>
      </c>
      <c r="G5">
        <v>28215</v>
      </c>
      <c r="H5">
        <v>28215</v>
      </c>
      <c r="I5">
        <v>28215</v>
      </c>
      <c r="J5">
        <v>28215</v>
      </c>
      <c r="K5">
        <v>28215</v>
      </c>
      <c r="L5">
        <v>28215</v>
      </c>
      <c r="M5">
        <v>28215</v>
      </c>
      <c r="N5">
        <v>28215</v>
      </c>
      <c r="O5">
        <v>28215</v>
      </c>
      <c r="P5">
        <v>28215</v>
      </c>
      <c r="Q5">
        <v>28215</v>
      </c>
      <c r="R5">
        <v>28215</v>
      </c>
      <c r="S5">
        <v>28215</v>
      </c>
      <c r="T5">
        <v>28215</v>
      </c>
      <c r="U5">
        <v>28215</v>
      </c>
      <c r="V5">
        <v>28215</v>
      </c>
      <c r="W5">
        <v>28215</v>
      </c>
      <c r="X5">
        <v>28215</v>
      </c>
      <c r="Y5">
        <v>28215</v>
      </c>
      <c r="Z5">
        <v>28215</v>
      </c>
      <c r="AA5">
        <v>28215</v>
      </c>
      <c r="AB5">
        <v>28215</v>
      </c>
      <c r="AC5">
        <v>28215</v>
      </c>
      <c r="AD5">
        <v>28215</v>
      </c>
      <c r="AE5">
        <v>28215</v>
      </c>
      <c r="AF5">
        <v>28215</v>
      </c>
      <c r="AG5">
        <v>28215</v>
      </c>
      <c r="AH5">
        <v>28215</v>
      </c>
      <c r="AI5">
        <v>28215</v>
      </c>
      <c r="AJ5">
        <v>28215</v>
      </c>
      <c r="AK5">
        <v>28215</v>
      </c>
      <c r="AL5">
        <v>28215</v>
      </c>
      <c r="AM5">
        <v>28215</v>
      </c>
      <c r="AN5">
        <v>28215</v>
      </c>
      <c r="AO5">
        <v>28215</v>
      </c>
      <c r="AP5">
        <v>28215</v>
      </c>
      <c r="AQ5">
        <v>28215</v>
      </c>
      <c r="AR5">
        <v>28215</v>
      </c>
      <c r="AS5">
        <v>28215</v>
      </c>
      <c r="AT5">
        <v>28215</v>
      </c>
      <c r="AU5">
        <v>28215</v>
      </c>
      <c r="AV5">
        <v>28215</v>
      </c>
      <c r="AW5">
        <v>28215</v>
      </c>
      <c r="AX5">
        <v>28215</v>
      </c>
      <c r="AY5">
        <v>28215</v>
      </c>
      <c r="AZ5">
        <v>28215</v>
      </c>
      <c r="BA5">
        <v>28215</v>
      </c>
      <c r="BB5">
        <v>28215</v>
      </c>
      <c r="BC5">
        <v>28215</v>
      </c>
      <c r="BD5">
        <v>28215</v>
      </c>
      <c r="BE5">
        <v>28215</v>
      </c>
      <c r="BF5">
        <v>28215</v>
      </c>
      <c r="BG5">
        <v>28215</v>
      </c>
      <c r="BH5">
        <v>28215</v>
      </c>
      <c r="BI5">
        <v>28215</v>
      </c>
      <c r="BJ5">
        <v>28215</v>
      </c>
      <c r="BK5">
        <v>28215</v>
      </c>
      <c r="BL5">
        <v>28215</v>
      </c>
      <c r="BM5">
        <v>28215</v>
      </c>
      <c r="BN5">
        <v>28215</v>
      </c>
      <c r="BO5">
        <v>28215</v>
      </c>
      <c r="BP5">
        <v>28215</v>
      </c>
      <c r="BQ5">
        <v>28215</v>
      </c>
      <c r="BR5">
        <v>28215</v>
      </c>
      <c r="BS5">
        <v>28215</v>
      </c>
      <c r="BT5">
        <v>28215</v>
      </c>
      <c r="BU5">
        <v>28215</v>
      </c>
      <c r="BV5">
        <v>28215</v>
      </c>
      <c r="BW5">
        <v>28215</v>
      </c>
      <c r="BX5">
        <v>28215</v>
      </c>
      <c r="BY5">
        <v>28215</v>
      </c>
      <c r="BZ5">
        <v>28215</v>
      </c>
      <c r="CA5">
        <v>28215</v>
      </c>
      <c r="CB5">
        <v>28215</v>
      </c>
      <c r="CC5">
        <v>28215</v>
      </c>
      <c r="CD5">
        <v>28215</v>
      </c>
      <c r="CE5">
        <v>28215</v>
      </c>
      <c r="CF5">
        <v>28215</v>
      </c>
      <c r="CG5">
        <v>28215</v>
      </c>
      <c r="CH5">
        <v>28215</v>
      </c>
      <c r="CI5">
        <v>28215</v>
      </c>
      <c r="CJ5">
        <v>28215</v>
      </c>
      <c r="CK5">
        <v>28215</v>
      </c>
      <c r="CL5">
        <v>28215</v>
      </c>
      <c r="CM5">
        <v>28215</v>
      </c>
      <c r="CN5">
        <v>28215</v>
      </c>
      <c r="CO5">
        <v>28215</v>
      </c>
      <c r="CP5">
        <v>28215</v>
      </c>
      <c r="CQ5">
        <v>28215</v>
      </c>
      <c r="CR5">
        <v>28215</v>
      </c>
      <c r="CS5">
        <v>28215</v>
      </c>
    </row>
    <row r="6" spans="1:97">
      <c r="A6" s="9">
        <v>46239</v>
      </c>
      <c r="B6">
        <v>28215</v>
      </c>
      <c r="C6">
        <v>28215</v>
      </c>
      <c r="D6">
        <v>28215</v>
      </c>
      <c r="E6">
        <v>28215</v>
      </c>
      <c r="F6">
        <v>28215</v>
      </c>
      <c r="G6">
        <v>28215</v>
      </c>
      <c r="H6">
        <v>28215</v>
      </c>
      <c r="I6">
        <v>28215</v>
      </c>
      <c r="J6">
        <v>28215</v>
      </c>
      <c r="K6">
        <v>28215</v>
      </c>
      <c r="L6">
        <v>28215</v>
      </c>
      <c r="M6">
        <v>28215</v>
      </c>
      <c r="N6">
        <v>28215</v>
      </c>
      <c r="O6">
        <v>28215</v>
      </c>
      <c r="P6">
        <v>28215</v>
      </c>
      <c r="Q6">
        <v>28215</v>
      </c>
      <c r="R6">
        <v>28215</v>
      </c>
      <c r="S6">
        <v>28215</v>
      </c>
      <c r="T6">
        <v>28215</v>
      </c>
      <c r="U6">
        <v>28215</v>
      </c>
      <c r="V6">
        <v>28215</v>
      </c>
      <c r="W6">
        <v>28215</v>
      </c>
      <c r="X6">
        <v>28215</v>
      </c>
      <c r="Y6">
        <v>28215</v>
      </c>
      <c r="Z6">
        <v>28215</v>
      </c>
      <c r="AA6">
        <v>28215</v>
      </c>
      <c r="AB6">
        <v>28215</v>
      </c>
      <c r="AC6">
        <v>28215</v>
      </c>
      <c r="AD6">
        <v>28215</v>
      </c>
      <c r="AE6">
        <v>28215</v>
      </c>
      <c r="AF6">
        <v>28215</v>
      </c>
      <c r="AG6">
        <v>28215</v>
      </c>
      <c r="AH6">
        <v>28215</v>
      </c>
      <c r="AI6">
        <v>28215</v>
      </c>
      <c r="AJ6">
        <v>28215</v>
      </c>
      <c r="AK6">
        <v>28215</v>
      </c>
      <c r="AL6">
        <v>28215</v>
      </c>
      <c r="AM6">
        <v>28215</v>
      </c>
      <c r="AN6">
        <v>28215</v>
      </c>
      <c r="AO6">
        <v>28215</v>
      </c>
      <c r="AP6">
        <v>28215</v>
      </c>
      <c r="AQ6">
        <v>28215</v>
      </c>
      <c r="AR6">
        <v>28215</v>
      </c>
      <c r="AS6">
        <v>28215</v>
      </c>
      <c r="AT6">
        <v>28215</v>
      </c>
      <c r="AU6">
        <v>28215</v>
      </c>
      <c r="AV6">
        <v>28215</v>
      </c>
      <c r="AW6">
        <v>28215</v>
      </c>
      <c r="AX6">
        <v>28215</v>
      </c>
      <c r="AY6">
        <v>28215</v>
      </c>
      <c r="AZ6">
        <v>28215</v>
      </c>
      <c r="BA6">
        <v>28215</v>
      </c>
      <c r="BB6">
        <v>28215</v>
      </c>
      <c r="BC6">
        <v>28215</v>
      </c>
      <c r="BD6">
        <v>28215</v>
      </c>
      <c r="BE6">
        <v>28215</v>
      </c>
      <c r="BF6">
        <v>28215</v>
      </c>
      <c r="BG6">
        <v>28215</v>
      </c>
      <c r="BH6">
        <v>28215</v>
      </c>
      <c r="BI6">
        <v>28215</v>
      </c>
      <c r="BJ6">
        <v>28215</v>
      </c>
      <c r="BK6">
        <v>28215</v>
      </c>
      <c r="BL6">
        <v>28215</v>
      </c>
      <c r="BM6">
        <v>28215</v>
      </c>
      <c r="BN6">
        <v>28215</v>
      </c>
      <c r="BO6">
        <v>28215</v>
      </c>
      <c r="BP6">
        <v>28215</v>
      </c>
      <c r="BQ6">
        <v>28215</v>
      </c>
      <c r="BR6">
        <v>28215</v>
      </c>
      <c r="BS6">
        <v>28215</v>
      </c>
      <c r="BT6">
        <v>28215</v>
      </c>
      <c r="BU6">
        <v>28215</v>
      </c>
      <c r="BV6">
        <v>28215</v>
      </c>
      <c r="BW6">
        <v>28215</v>
      </c>
      <c r="BX6">
        <v>28215</v>
      </c>
      <c r="BY6">
        <v>28215</v>
      </c>
      <c r="BZ6">
        <v>28215</v>
      </c>
      <c r="CA6">
        <v>28215</v>
      </c>
      <c r="CB6">
        <v>28215</v>
      </c>
      <c r="CC6">
        <v>28215</v>
      </c>
      <c r="CD6">
        <v>28215</v>
      </c>
      <c r="CE6">
        <v>28215</v>
      </c>
      <c r="CF6">
        <v>28215</v>
      </c>
      <c r="CG6">
        <v>28215</v>
      </c>
      <c r="CH6">
        <v>28215</v>
      </c>
      <c r="CI6">
        <v>28215</v>
      </c>
      <c r="CJ6">
        <v>28215</v>
      </c>
      <c r="CK6">
        <v>28215</v>
      </c>
      <c r="CL6">
        <v>28215</v>
      </c>
      <c r="CM6">
        <v>28215</v>
      </c>
      <c r="CN6">
        <v>28215</v>
      </c>
      <c r="CO6">
        <v>28215</v>
      </c>
      <c r="CP6">
        <v>28215</v>
      </c>
      <c r="CQ6">
        <v>28215</v>
      </c>
      <c r="CR6">
        <v>28215</v>
      </c>
      <c r="CS6">
        <v>28215</v>
      </c>
    </row>
    <row r="7" spans="1:97">
      <c r="A7" s="9">
        <v>46240</v>
      </c>
      <c r="B7">
        <v>28215</v>
      </c>
      <c r="C7">
        <v>28215</v>
      </c>
      <c r="D7">
        <v>28215</v>
      </c>
      <c r="E7">
        <v>28215</v>
      </c>
      <c r="F7">
        <v>28215</v>
      </c>
      <c r="G7">
        <v>28215</v>
      </c>
      <c r="H7">
        <v>28215</v>
      </c>
      <c r="I7">
        <v>28215</v>
      </c>
      <c r="J7">
        <v>28215</v>
      </c>
      <c r="K7">
        <v>28215</v>
      </c>
      <c r="L7">
        <v>28215</v>
      </c>
      <c r="M7">
        <v>28215</v>
      </c>
      <c r="N7">
        <v>28215</v>
      </c>
      <c r="O7">
        <v>28215</v>
      </c>
      <c r="P7">
        <v>28215</v>
      </c>
      <c r="Q7">
        <v>28215</v>
      </c>
      <c r="R7">
        <v>28215</v>
      </c>
      <c r="S7">
        <v>28215</v>
      </c>
      <c r="T7">
        <v>28215</v>
      </c>
      <c r="U7">
        <v>28215</v>
      </c>
      <c r="V7">
        <v>28215</v>
      </c>
      <c r="W7">
        <v>28215</v>
      </c>
      <c r="X7">
        <v>28215</v>
      </c>
      <c r="Y7">
        <v>28215</v>
      </c>
      <c r="Z7">
        <v>28215</v>
      </c>
      <c r="AA7">
        <v>28215</v>
      </c>
      <c r="AB7">
        <v>28215</v>
      </c>
      <c r="AC7">
        <v>28215</v>
      </c>
      <c r="AD7">
        <v>28215</v>
      </c>
      <c r="AE7">
        <v>28215</v>
      </c>
      <c r="AF7">
        <v>28215</v>
      </c>
      <c r="AG7">
        <v>28215</v>
      </c>
      <c r="AH7">
        <v>28215</v>
      </c>
      <c r="AI7">
        <v>28215</v>
      </c>
      <c r="AJ7">
        <v>28215</v>
      </c>
      <c r="AK7">
        <v>28215</v>
      </c>
      <c r="AL7">
        <v>28215</v>
      </c>
      <c r="AM7">
        <v>28215</v>
      </c>
      <c r="AN7">
        <v>28215</v>
      </c>
      <c r="AO7">
        <v>28215</v>
      </c>
      <c r="AP7">
        <v>28215</v>
      </c>
      <c r="AQ7">
        <v>28215</v>
      </c>
      <c r="AR7">
        <v>28215</v>
      </c>
      <c r="AS7">
        <v>28215</v>
      </c>
      <c r="AT7">
        <v>28215</v>
      </c>
      <c r="AU7">
        <v>28215</v>
      </c>
      <c r="AV7">
        <v>28215</v>
      </c>
      <c r="AW7">
        <v>28215</v>
      </c>
      <c r="AX7">
        <v>28215</v>
      </c>
      <c r="AY7">
        <v>28215</v>
      </c>
      <c r="AZ7">
        <v>28215</v>
      </c>
      <c r="BA7">
        <v>28215</v>
      </c>
      <c r="BB7">
        <v>28215</v>
      </c>
      <c r="BC7">
        <v>28215</v>
      </c>
      <c r="BD7">
        <v>28215</v>
      </c>
      <c r="BE7">
        <v>28215</v>
      </c>
      <c r="BF7">
        <v>28215</v>
      </c>
      <c r="BG7">
        <v>28215</v>
      </c>
      <c r="BH7">
        <v>28215</v>
      </c>
      <c r="BI7">
        <v>28215</v>
      </c>
      <c r="BJ7">
        <v>28215</v>
      </c>
      <c r="BK7">
        <v>28215</v>
      </c>
      <c r="BL7">
        <v>28215</v>
      </c>
      <c r="BM7">
        <v>28215</v>
      </c>
      <c r="BN7">
        <v>28215</v>
      </c>
      <c r="BO7">
        <v>28215</v>
      </c>
      <c r="BP7">
        <v>28215</v>
      </c>
      <c r="BQ7">
        <v>28215</v>
      </c>
      <c r="BR7">
        <v>28215</v>
      </c>
      <c r="BS7">
        <v>28215</v>
      </c>
      <c r="BT7">
        <v>28215</v>
      </c>
      <c r="BU7">
        <v>28215</v>
      </c>
      <c r="BV7">
        <v>28215</v>
      </c>
      <c r="BW7">
        <v>28215</v>
      </c>
      <c r="BX7">
        <v>28215</v>
      </c>
      <c r="BY7">
        <v>28215</v>
      </c>
      <c r="BZ7">
        <v>28215</v>
      </c>
      <c r="CA7">
        <v>28215</v>
      </c>
      <c r="CB7">
        <v>28215</v>
      </c>
      <c r="CC7">
        <v>28215</v>
      </c>
      <c r="CD7">
        <v>28215</v>
      </c>
      <c r="CE7">
        <v>28215</v>
      </c>
      <c r="CF7">
        <v>28215</v>
      </c>
      <c r="CG7">
        <v>28215</v>
      </c>
      <c r="CH7">
        <v>28215</v>
      </c>
      <c r="CI7">
        <v>28215</v>
      </c>
      <c r="CJ7">
        <v>28215</v>
      </c>
      <c r="CK7">
        <v>28215</v>
      </c>
      <c r="CL7">
        <v>28215</v>
      </c>
      <c r="CM7">
        <v>28215</v>
      </c>
      <c r="CN7">
        <v>28215</v>
      </c>
      <c r="CO7">
        <v>28215</v>
      </c>
      <c r="CP7">
        <v>28215</v>
      </c>
      <c r="CQ7">
        <v>28215</v>
      </c>
      <c r="CR7">
        <v>28215</v>
      </c>
      <c r="CS7">
        <v>28215</v>
      </c>
    </row>
    <row r="8" spans="1:97">
      <c r="A8" s="9">
        <v>46241</v>
      </c>
      <c r="B8">
        <v>28215</v>
      </c>
      <c r="C8">
        <v>28215</v>
      </c>
      <c r="D8">
        <v>28215</v>
      </c>
      <c r="E8">
        <v>28215</v>
      </c>
      <c r="F8">
        <v>28215</v>
      </c>
      <c r="G8">
        <v>28215</v>
      </c>
      <c r="H8">
        <v>28215</v>
      </c>
      <c r="I8">
        <v>28215</v>
      </c>
      <c r="J8">
        <v>28215</v>
      </c>
      <c r="K8">
        <v>28215</v>
      </c>
      <c r="L8">
        <v>28215</v>
      </c>
      <c r="M8">
        <v>28215</v>
      </c>
      <c r="N8">
        <v>28215</v>
      </c>
      <c r="O8">
        <v>28215</v>
      </c>
      <c r="P8">
        <v>28215</v>
      </c>
      <c r="Q8">
        <v>28215</v>
      </c>
      <c r="R8">
        <v>28215</v>
      </c>
      <c r="S8">
        <v>28215</v>
      </c>
      <c r="T8">
        <v>28215</v>
      </c>
      <c r="U8">
        <v>28215</v>
      </c>
      <c r="V8">
        <v>28215</v>
      </c>
      <c r="W8">
        <v>28215</v>
      </c>
      <c r="X8">
        <v>28215</v>
      </c>
      <c r="Y8">
        <v>28215</v>
      </c>
      <c r="Z8">
        <v>28215</v>
      </c>
      <c r="AA8">
        <v>28215</v>
      </c>
      <c r="AB8">
        <v>28215</v>
      </c>
      <c r="AC8">
        <v>28215</v>
      </c>
      <c r="AD8">
        <v>28215</v>
      </c>
      <c r="AE8">
        <v>28215</v>
      </c>
      <c r="AF8">
        <v>28215</v>
      </c>
      <c r="AG8">
        <v>28215</v>
      </c>
      <c r="AH8">
        <v>28215</v>
      </c>
      <c r="AI8">
        <v>28215</v>
      </c>
      <c r="AJ8">
        <v>28215</v>
      </c>
      <c r="AK8">
        <v>28215</v>
      </c>
      <c r="AL8">
        <v>28215</v>
      </c>
      <c r="AM8">
        <v>28215</v>
      </c>
      <c r="AN8">
        <v>28215</v>
      </c>
      <c r="AO8">
        <v>28215</v>
      </c>
      <c r="AP8">
        <v>28215</v>
      </c>
      <c r="AQ8">
        <v>28215</v>
      </c>
      <c r="AR8">
        <v>28215</v>
      </c>
      <c r="AS8">
        <v>28215</v>
      </c>
      <c r="AT8">
        <v>28215</v>
      </c>
      <c r="AU8">
        <v>28215</v>
      </c>
      <c r="AV8">
        <v>28215</v>
      </c>
      <c r="AW8">
        <v>28215</v>
      </c>
      <c r="AX8">
        <v>28215</v>
      </c>
      <c r="AY8">
        <v>28215</v>
      </c>
      <c r="AZ8">
        <v>28215</v>
      </c>
      <c r="BA8">
        <v>28215</v>
      </c>
      <c r="BB8">
        <v>28215</v>
      </c>
      <c r="BC8">
        <v>28215</v>
      </c>
      <c r="BD8">
        <v>28215</v>
      </c>
      <c r="BE8">
        <v>28215</v>
      </c>
      <c r="BF8">
        <v>28215</v>
      </c>
      <c r="BG8">
        <v>28215</v>
      </c>
      <c r="BH8">
        <v>28215</v>
      </c>
      <c r="BI8">
        <v>28215</v>
      </c>
      <c r="BJ8">
        <v>28215</v>
      </c>
      <c r="BK8">
        <v>28215</v>
      </c>
      <c r="BL8">
        <v>28215</v>
      </c>
      <c r="BM8">
        <v>28215</v>
      </c>
      <c r="BN8">
        <v>28215</v>
      </c>
      <c r="BO8">
        <v>28215</v>
      </c>
      <c r="BP8">
        <v>28215</v>
      </c>
      <c r="BQ8">
        <v>28215</v>
      </c>
      <c r="BR8">
        <v>28215</v>
      </c>
      <c r="BS8">
        <v>28215</v>
      </c>
      <c r="BT8">
        <v>28215</v>
      </c>
      <c r="BU8">
        <v>28215</v>
      </c>
      <c r="BV8">
        <v>28215</v>
      </c>
      <c r="BW8">
        <v>28215</v>
      </c>
      <c r="BX8">
        <v>28215</v>
      </c>
      <c r="BY8">
        <v>28215</v>
      </c>
      <c r="BZ8">
        <v>28215</v>
      </c>
      <c r="CA8">
        <v>28215</v>
      </c>
      <c r="CB8">
        <v>28215</v>
      </c>
      <c r="CC8">
        <v>28215</v>
      </c>
      <c r="CD8">
        <v>28215</v>
      </c>
      <c r="CE8">
        <v>28215</v>
      </c>
      <c r="CF8">
        <v>28215</v>
      </c>
      <c r="CG8">
        <v>28215</v>
      </c>
      <c r="CH8">
        <v>28215</v>
      </c>
      <c r="CI8">
        <v>28215</v>
      </c>
      <c r="CJ8">
        <v>28215</v>
      </c>
      <c r="CK8">
        <v>28215</v>
      </c>
      <c r="CL8">
        <v>28215</v>
      </c>
      <c r="CM8">
        <v>28215</v>
      </c>
      <c r="CN8">
        <v>28215</v>
      </c>
      <c r="CO8">
        <v>28215</v>
      </c>
      <c r="CP8">
        <v>28215</v>
      </c>
      <c r="CQ8">
        <v>28215</v>
      </c>
      <c r="CR8">
        <v>28215</v>
      </c>
      <c r="CS8">
        <v>28215</v>
      </c>
    </row>
    <row r="9" spans="1:97">
      <c r="A9" s="9">
        <v>46242</v>
      </c>
      <c r="B9">
        <v>28215</v>
      </c>
      <c r="C9">
        <v>28215</v>
      </c>
      <c r="D9">
        <v>28215</v>
      </c>
      <c r="E9">
        <v>28215</v>
      </c>
      <c r="F9">
        <v>28215</v>
      </c>
      <c r="G9">
        <v>28215</v>
      </c>
      <c r="H9">
        <v>28215</v>
      </c>
      <c r="I9">
        <v>28215</v>
      </c>
      <c r="J9">
        <v>28215</v>
      </c>
      <c r="K9">
        <v>28215</v>
      </c>
      <c r="L9">
        <v>28215</v>
      </c>
      <c r="M9">
        <v>28215</v>
      </c>
      <c r="N9">
        <v>28215</v>
      </c>
      <c r="O9">
        <v>28215</v>
      </c>
      <c r="P9">
        <v>28215</v>
      </c>
      <c r="Q9">
        <v>28215</v>
      </c>
      <c r="R9">
        <v>28215</v>
      </c>
      <c r="S9">
        <v>28215</v>
      </c>
      <c r="T9">
        <v>28215</v>
      </c>
      <c r="U9">
        <v>28215</v>
      </c>
      <c r="V9">
        <v>28215</v>
      </c>
      <c r="W9">
        <v>28215</v>
      </c>
      <c r="X9">
        <v>28215</v>
      </c>
      <c r="Y9">
        <v>28215</v>
      </c>
      <c r="Z9">
        <v>28215</v>
      </c>
      <c r="AA9">
        <v>28215</v>
      </c>
      <c r="AB9">
        <v>28215</v>
      </c>
      <c r="AC9">
        <v>28215</v>
      </c>
      <c r="AD9">
        <v>28215</v>
      </c>
      <c r="AE9">
        <v>28215</v>
      </c>
      <c r="AF9">
        <v>28215</v>
      </c>
      <c r="AG9">
        <v>28215</v>
      </c>
      <c r="AH9">
        <v>28215</v>
      </c>
      <c r="AI9">
        <v>28215</v>
      </c>
      <c r="AJ9">
        <v>28215</v>
      </c>
      <c r="AK9">
        <v>28215</v>
      </c>
      <c r="AL9">
        <v>28215</v>
      </c>
      <c r="AM9">
        <v>28215</v>
      </c>
      <c r="AN9">
        <v>28215</v>
      </c>
      <c r="AO9">
        <v>28215</v>
      </c>
      <c r="AP9">
        <v>28215</v>
      </c>
      <c r="AQ9">
        <v>28215</v>
      </c>
      <c r="AR9">
        <v>28215</v>
      </c>
      <c r="AS9">
        <v>28215</v>
      </c>
      <c r="AT9">
        <v>28215</v>
      </c>
      <c r="AU9">
        <v>28215</v>
      </c>
      <c r="AV9">
        <v>28215</v>
      </c>
      <c r="AW9">
        <v>28215</v>
      </c>
      <c r="AX9">
        <v>28215</v>
      </c>
      <c r="AY9">
        <v>28215</v>
      </c>
      <c r="AZ9">
        <v>28215</v>
      </c>
      <c r="BA9">
        <v>28215</v>
      </c>
      <c r="BB9">
        <v>28215</v>
      </c>
      <c r="BC9">
        <v>28215</v>
      </c>
      <c r="BD9">
        <v>28215</v>
      </c>
      <c r="BE9">
        <v>28215</v>
      </c>
      <c r="BF9">
        <v>28215</v>
      </c>
      <c r="BG9">
        <v>28215</v>
      </c>
      <c r="BH9">
        <v>28215</v>
      </c>
      <c r="BI9">
        <v>28215</v>
      </c>
      <c r="BJ9">
        <v>28215</v>
      </c>
      <c r="BK9">
        <v>28215</v>
      </c>
      <c r="BL9">
        <v>28215</v>
      </c>
      <c r="BM9">
        <v>28215</v>
      </c>
      <c r="BN9">
        <v>28215</v>
      </c>
      <c r="BO9">
        <v>28215</v>
      </c>
      <c r="BP9">
        <v>28215</v>
      </c>
      <c r="BQ9">
        <v>28215</v>
      </c>
      <c r="BR9">
        <v>28215</v>
      </c>
      <c r="BS9">
        <v>28215</v>
      </c>
      <c r="BT9">
        <v>28215</v>
      </c>
      <c r="BU9">
        <v>28215</v>
      </c>
      <c r="BV9">
        <v>28215</v>
      </c>
      <c r="BW9">
        <v>28215</v>
      </c>
      <c r="BX9">
        <v>28215</v>
      </c>
      <c r="BY9">
        <v>28215</v>
      </c>
      <c r="BZ9">
        <v>28215</v>
      </c>
      <c r="CA9">
        <v>28215</v>
      </c>
      <c r="CB9">
        <v>28215</v>
      </c>
      <c r="CC9">
        <v>28215</v>
      </c>
      <c r="CD9">
        <v>28215</v>
      </c>
      <c r="CE9">
        <v>28215</v>
      </c>
      <c r="CF9">
        <v>28215</v>
      </c>
      <c r="CG9">
        <v>28215</v>
      </c>
      <c r="CH9">
        <v>28215</v>
      </c>
      <c r="CI9">
        <v>28215</v>
      </c>
      <c r="CJ9">
        <v>28215</v>
      </c>
      <c r="CK9">
        <v>28215</v>
      </c>
      <c r="CL9">
        <v>28215</v>
      </c>
      <c r="CM9">
        <v>28215</v>
      </c>
      <c r="CN9">
        <v>28215</v>
      </c>
      <c r="CO9">
        <v>28215</v>
      </c>
      <c r="CP9">
        <v>28215</v>
      </c>
      <c r="CQ9">
        <v>28215</v>
      </c>
      <c r="CR9">
        <v>28215</v>
      </c>
      <c r="CS9">
        <v>28215</v>
      </c>
    </row>
    <row r="10" spans="1:97">
      <c r="A10" s="9">
        <v>46243</v>
      </c>
      <c r="B10">
        <v>28215</v>
      </c>
      <c r="C10">
        <v>28215</v>
      </c>
      <c r="D10">
        <v>28215</v>
      </c>
      <c r="E10">
        <v>28215</v>
      </c>
      <c r="F10">
        <v>28215</v>
      </c>
      <c r="G10">
        <v>28215</v>
      </c>
      <c r="H10">
        <v>28215</v>
      </c>
      <c r="I10">
        <v>28215</v>
      </c>
      <c r="J10">
        <v>28215</v>
      </c>
      <c r="K10">
        <v>28215</v>
      </c>
      <c r="L10">
        <v>28215</v>
      </c>
      <c r="M10">
        <v>28215</v>
      </c>
      <c r="N10">
        <v>28215</v>
      </c>
      <c r="O10">
        <v>28215</v>
      </c>
      <c r="P10">
        <v>28215</v>
      </c>
      <c r="Q10">
        <v>28215</v>
      </c>
      <c r="R10">
        <v>28215</v>
      </c>
      <c r="S10">
        <v>28215</v>
      </c>
      <c r="T10">
        <v>28215</v>
      </c>
      <c r="U10">
        <v>28215</v>
      </c>
      <c r="V10">
        <v>28215</v>
      </c>
      <c r="W10">
        <v>28215</v>
      </c>
      <c r="X10">
        <v>28215</v>
      </c>
      <c r="Y10">
        <v>28215</v>
      </c>
      <c r="Z10">
        <v>28215</v>
      </c>
      <c r="AA10">
        <v>28215</v>
      </c>
      <c r="AB10">
        <v>28215</v>
      </c>
      <c r="AC10">
        <v>28215</v>
      </c>
      <c r="AD10">
        <v>28215</v>
      </c>
      <c r="AE10">
        <v>28215</v>
      </c>
      <c r="AF10">
        <v>28215</v>
      </c>
      <c r="AG10">
        <v>28215</v>
      </c>
      <c r="AH10">
        <v>28215</v>
      </c>
      <c r="AI10">
        <v>28215</v>
      </c>
      <c r="AJ10">
        <v>28215</v>
      </c>
      <c r="AK10">
        <v>28215</v>
      </c>
      <c r="AL10">
        <v>28215</v>
      </c>
      <c r="AM10">
        <v>28215</v>
      </c>
      <c r="AN10">
        <v>28215</v>
      </c>
      <c r="AO10">
        <v>28215</v>
      </c>
      <c r="AP10">
        <v>28215</v>
      </c>
      <c r="AQ10">
        <v>28215</v>
      </c>
      <c r="AR10">
        <v>28215</v>
      </c>
      <c r="AS10">
        <v>28215</v>
      </c>
      <c r="AT10">
        <v>28215</v>
      </c>
      <c r="AU10">
        <v>28215</v>
      </c>
      <c r="AV10">
        <v>28215</v>
      </c>
      <c r="AW10">
        <v>28215</v>
      </c>
      <c r="AX10">
        <v>28215</v>
      </c>
      <c r="AY10">
        <v>28215</v>
      </c>
      <c r="AZ10">
        <v>28215</v>
      </c>
      <c r="BA10">
        <v>28215</v>
      </c>
      <c r="BB10">
        <v>28215</v>
      </c>
      <c r="BC10">
        <v>28215</v>
      </c>
      <c r="BD10">
        <v>28215</v>
      </c>
      <c r="BE10">
        <v>28215</v>
      </c>
      <c r="BF10">
        <v>28215</v>
      </c>
      <c r="BG10">
        <v>28215</v>
      </c>
      <c r="BH10">
        <v>28215</v>
      </c>
      <c r="BI10">
        <v>28215</v>
      </c>
      <c r="BJ10">
        <v>28215</v>
      </c>
      <c r="BK10">
        <v>28215</v>
      </c>
      <c r="BL10">
        <v>28215</v>
      </c>
      <c r="BM10">
        <v>28215</v>
      </c>
      <c r="BN10">
        <v>28215</v>
      </c>
      <c r="BO10">
        <v>28215</v>
      </c>
      <c r="BP10">
        <v>28215</v>
      </c>
      <c r="BQ10">
        <v>28215</v>
      </c>
      <c r="BR10">
        <v>28215</v>
      </c>
      <c r="BS10">
        <v>28215</v>
      </c>
      <c r="BT10">
        <v>28215</v>
      </c>
      <c r="BU10">
        <v>28215</v>
      </c>
      <c r="BV10">
        <v>28215</v>
      </c>
      <c r="BW10">
        <v>28215</v>
      </c>
      <c r="BX10">
        <v>28215</v>
      </c>
      <c r="BY10">
        <v>28215</v>
      </c>
      <c r="BZ10">
        <v>28215</v>
      </c>
      <c r="CA10">
        <v>28215</v>
      </c>
      <c r="CB10">
        <v>28215</v>
      </c>
      <c r="CC10">
        <v>28215</v>
      </c>
      <c r="CD10">
        <v>28215</v>
      </c>
      <c r="CE10">
        <v>28215</v>
      </c>
      <c r="CF10">
        <v>28215</v>
      </c>
      <c r="CG10">
        <v>28215</v>
      </c>
      <c r="CH10">
        <v>28215</v>
      </c>
      <c r="CI10">
        <v>28215</v>
      </c>
      <c r="CJ10">
        <v>28215</v>
      </c>
      <c r="CK10">
        <v>28215</v>
      </c>
      <c r="CL10">
        <v>28215</v>
      </c>
      <c r="CM10">
        <v>28215</v>
      </c>
      <c r="CN10">
        <v>28215</v>
      </c>
      <c r="CO10">
        <v>28215</v>
      </c>
      <c r="CP10">
        <v>28215</v>
      </c>
      <c r="CQ10">
        <v>28215</v>
      </c>
      <c r="CR10">
        <v>28215</v>
      </c>
      <c r="CS10">
        <v>28215</v>
      </c>
    </row>
    <row r="11" spans="1:97">
      <c r="A11" s="9">
        <v>46244</v>
      </c>
      <c r="B11">
        <v>28215</v>
      </c>
      <c r="C11">
        <v>28215</v>
      </c>
      <c r="D11">
        <v>28215</v>
      </c>
      <c r="E11">
        <v>28215</v>
      </c>
      <c r="F11">
        <v>28215</v>
      </c>
      <c r="G11">
        <v>28215</v>
      </c>
      <c r="H11">
        <v>28215</v>
      </c>
      <c r="I11">
        <v>28215</v>
      </c>
      <c r="J11">
        <v>28215</v>
      </c>
      <c r="K11">
        <v>28215</v>
      </c>
      <c r="L11">
        <v>28215</v>
      </c>
      <c r="M11">
        <v>28215</v>
      </c>
      <c r="N11">
        <v>28215</v>
      </c>
      <c r="O11">
        <v>28215</v>
      </c>
      <c r="P11">
        <v>28215</v>
      </c>
      <c r="Q11">
        <v>28215</v>
      </c>
      <c r="R11">
        <v>28215</v>
      </c>
      <c r="S11">
        <v>28215</v>
      </c>
      <c r="T11">
        <v>28215</v>
      </c>
      <c r="U11">
        <v>28215</v>
      </c>
      <c r="V11">
        <v>28215</v>
      </c>
      <c r="W11">
        <v>28215</v>
      </c>
      <c r="X11">
        <v>28215</v>
      </c>
      <c r="Y11">
        <v>28215</v>
      </c>
      <c r="Z11">
        <v>28215</v>
      </c>
      <c r="AA11">
        <v>28215</v>
      </c>
      <c r="AB11">
        <v>28215</v>
      </c>
      <c r="AC11">
        <v>28215</v>
      </c>
      <c r="AD11">
        <v>28215</v>
      </c>
      <c r="AE11">
        <v>28215</v>
      </c>
      <c r="AF11">
        <v>28215</v>
      </c>
      <c r="AG11">
        <v>28215</v>
      </c>
      <c r="AH11">
        <v>28215</v>
      </c>
      <c r="AI11">
        <v>28215</v>
      </c>
      <c r="AJ11">
        <v>28215</v>
      </c>
      <c r="AK11">
        <v>28215</v>
      </c>
      <c r="AL11">
        <v>28215</v>
      </c>
      <c r="AM11">
        <v>28215</v>
      </c>
      <c r="AN11">
        <v>28215</v>
      </c>
      <c r="AO11">
        <v>28215</v>
      </c>
      <c r="AP11">
        <v>28215</v>
      </c>
      <c r="AQ11">
        <v>28215</v>
      </c>
      <c r="AR11">
        <v>28215</v>
      </c>
      <c r="AS11">
        <v>28215</v>
      </c>
      <c r="AT11">
        <v>28215</v>
      </c>
      <c r="AU11">
        <v>28215</v>
      </c>
      <c r="AV11">
        <v>28215</v>
      </c>
      <c r="AW11">
        <v>28215</v>
      </c>
      <c r="AX11">
        <v>28215</v>
      </c>
      <c r="AY11">
        <v>28215</v>
      </c>
      <c r="AZ11">
        <v>28215</v>
      </c>
      <c r="BA11">
        <v>28215</v>
      </c>
      <c r="BB11">
        <v>28215</v>
      </c>
      <c r="BC11">
        <v>28215</v>
      </c>
      <c r="BD11">
        <v>28215</v>
      </c>
      <c r="BE11">
        <v>28215</v>
      </c>
      <c r="BF11">
        <v>28215</v>
      </c>
      <c r="BG11">
        <v>28215</v>
      </c>
      <c r="BH11">
        <v>28215</v>
      </c>
      <c r="BI11">
        <v>28215</v>
      </c>
      <c r="BJ11">
        <v>28215</v>
      </c>
      <c r="BK11">
        <v>28215</v>
      </c>
      <c r="BL11">
        <v>28215</v>
      </c>
      <c r="BM11">
        <v>28215</v>
      </c>
      <c r="BN11">
        <v>28215</v>
      </c>
      <c r="BO11">
        <v>28215</v>
      </c>
      <c r="BP11">
        <v>28215</v>
      </c>
      <c r="BQ11">
        <v>28215</v>
      </c>
      <c r="BR11">
        <v>28215</v>
      </c>
      <c r="BS11">
        <v>28215</v>
      </c>
      <c r="BT11">
        <v>28215</v>
      </c>
      <c r="BU11">
        <v>28215</v>
      </c>
      <c r="BV11">
        <v>28215</v>
      </c>
      <c r="BW11">
        <v>28215</v>
      </c>
      <c r="BX11">
        <v>28215</v>
      </c>
      <c r="BY11">
        <v>28215</v>
      </c>
      <c r="BZ11">
        <v>28215</v>
      </c>
      <c r="CA11">
        <v>28215</v>
      </c>
      <c r="CB11">
        <v>28215</v>
      </c>
      <c r="CC11">
        <v>28215</v>
      </c>
      <c r="CD11">
        <v>28215</v>
      </c>
      <c r="CE11">
        <v>28215</v>
      </c>
      <c r="CF11">
        <v>28215</v>
      </c>
      <c r="CG11">
        <v>28215</v>
      </c>
      <c r="CH11">
        <v>28215</v>
      </c>
      <c r="CI11">
        <v>28215</v>
      </c>
      <c r="CJ11">
        <v>28215</v>
      </c>
      <c r="CK11">
        <v>28215</v>
      </c>
      <c r="CL11">
        <v>28215</v>
      </c>
      <c r="CM11">
        <v>28215</v>
      </c>
      <c r="CN11">
        <v>28215</v>
      </c>
      <c r="CO11">
        <v>28215</v>
      </c>
      <c r="CP11">
        <v>28215</v>
      </c>
      <c r="CQ11">
        <v>28215</v>
      </c>
      <c r="CR11">
        <v>28215</v>
      </c>
      <c r="CS11">
        <v>28215</v>
      </c>
    </row>
    <row r="12" spans="1:97">
      <c r="A12" s="9">
        <v>46245</v>
      </c>
      <c r="B12">
        <v>28215</v>
      </c>
      <c r="C12">
        <v>28215</v>
      </c>
      <c r="D12">
        <v>28215</v>
      </c>
      <c r="E12">
        <v>28215</v>
      </c>
      <c r="F12">
        <v>28215</v>
      </c>
      <c r="G12">
        <v>28215</v>
      </c>
      <c r="H12">
        <v>28215</v>
      </c>
      <c r="I12">
        <v>28215</v>
      </c>
      <c r="J12">
        <v>28215</v>
      </c>
      <c r="K12">
        <v>28215</v>
      </c>
      <c r="L12">
        <v>28215</v>
      </c>
      <c r="M12">
        <v>28215</v>
      </c>
      <c r="N12">
        <v>28215</v>
      </c>
      <c r="O12">
        <v>28215</v>
      </c>
      <c r="P12">
        <v>28215</v>
      </c>
      <c r="Q12">
        <v>28215</v>
      </c>
      <c r="R12">
        <v>28215</v>
      </c>
      <c r="S12">
        <v>28215</v>
      </c>
      <c r="T12">
        <v>28215</v>
      </c>
      <c r="U12">
        <v>28215</v>
      </c>
      <c r="V12">
        <v>28215</v>
      </c>
      <c r="W12">
        <v>28215</v>
      </c>
      <c r="X12">
        <v>28215</v>
      </c>
      <c r="Y12">
        <v>28215</v>
      </c>
      <c r="Z12">
        <v>28215</v>
      </c>
      <c r="AA12">
        <v>28215</v>
      </c>
      <c r="AB12">
        <v>28215</v>
      </c>
      <c r="AC12">
        <v>28215</v>
      </c>
      <c r="AD12">
        <v>28215</v>
      </c>
      <c r="AE12">
        <v>28215</v>
      </c>
      <c r="AF12">
        <v>28215</v>
      </c>
      <c r="AG12">
        <v>28215</v>
      </c>
      <c r="AH12">
        <v>28215</v>
      </c>
      <c r="AI12">
        <v>28215</v>
      </c>
      <c r="AJ12">
        <v>28215</v>
      </c>
      <c r="AK12">
        <v>28215</v>
      </c>
      <c r="AL12">
        <v>28215</v>
      </c>
      <c r="AM12">
        <v>28215</v>
      </c>
      <c r="AN12">
        <v>28215</v>
      </c>
      <c r="AO12">
        <v>28215</v>
      </c>
      <c r="AP12">
        <v>28215</v>
      </c>
      <c r="AQ12">
        <v>28215</v>
      </c>
      <c r="AR12">
        <v>28215</v>
      </c>
      <c r="AS12">
        <v>28215</v>
      </c>
      <c r="AT12">
        <v>28215</v>
      </c>
      <c r="AU12">
        <v>28215</v>
      </c>
      <c r="AV12">
        <v>28215</v>
      </c>
      <c r="AW12">
        <v>28215</v>
      </c>
      <c r="AX12">
        <v>28215</v>
      </c>
      <c r="AY12">
        <v>28215</v>
      </c>
      <c r="AZ12">
        <v>28215</v>
      </c>
      <c r="BA12">
        <v>28215</v>
      </c>
      <c r="BB12">
        <v>28215</v>
      </c>
      <c r="BC12">
        <v>28215</v>
      </c>
      <c r="BD12">
        <v>28215</v>
      </c>
      <c r="BE12">
        <v>28215</v>
      </c>
      <c r="BF12">
        <v>28215</v>
      </c>
      <c r="BG12">
        <v>28215</v>
      </c>
      <c r="BH12">
        <v>28215</v>
      </c>
      <c r="BI12">
        <v>28215</v>
      </c>
      <c r="BJ12">
        <v>28215</v>
      </c>
      <c r="BK12">
        <v>28215</v>
      </c>
      <c r="BL12">
        <v>28215</v>
      </c>
      <c r="BM12">
        <v>28215</v>
      </c>
      <c r="BN12">
        <v>28215</v>
      </c>
      <c r="BO12">
        <v>28215</v>
      </c>
      <c r="BP12">
        <v>28215</v>
      </c>
      <c r="BQ12">
        <v>28215</v>
      </c>
      <c r="BR12">
        <v>28215</v>
      </c>
      <c r="BS12">
        <v>28215</v>
      </c>
      <c r="BT12">
        <v>28215</v>
      </c>
      <c r="BU12">
        <v>28215</v>
      </c>
      <c r="BV12">
        <v>28215</v>
      </c>
      <c r="BW12">
        <v>28215</v>
      </c>
      <c r="BX12">
        <v>28215</v>
      </c>
      <c r="BY12">
        <v>28215</v>
      </c>
      <c r="BZ12">
        <v>28215</v>
      </c>
      <c r="CA12">
        <v>28215</v>
      </c>
      <c r="CB12">
        <v>28215</v>
      </c>
      <c r="CC12">
        <v>28215</v>
      </c>
      <c r="CD12">
        <v>28215</v>
      </c>
      <c r="CE12">
        <v>28215</v>
      </c>
      <c r="CF12">
        <v>28215</v>
      </c>
      <c r="CG12">
        <v>28215</v>
      </c>
      <c r="CH12">
        <v>28215</v>
      </c>
      <c r="CI12">
        <v>28215</v>
      </c>
      <c r="CJ12">
        <v>28215</v>
      </c>
      <c r="CK12">
        <v>28215</v>
      </c>
      <c r="CL12">
        <v>28215</v>
      </c>
      <c r="CM12">
        <v>28215</v>
      </c>
      <c r="CN12">
        <v>28215</v>
      </c>
      <c r="CO12">
        <v>28215</v>
      </c>
      <c r="CP12">
        <v>28215</v>
      </c>
      <c r="CQ12">
        <v>28215</v>
      </c>
      <c r="CR12">
        <v>28215</v>
      </c>
      <c r="CS12">
        <v>28215</v>
      </c>
    </row>
    <row r="13" spans="1:97">
      <c r="A13" s="9">
        <v>46246</v>
      </c>
      <c r="B13">
        <v>28215</v>
      </c>
      <c r="C13">
        <v>28215</v>
      </c>
      <c r="D13">
        <v>28215</v>
      </c>
      <c r="E13">
        <v>28215</v>
      </c>
      <c r="F13">
        <v>28215</v>
      </c>
      <c r="G13">
        <v>28215</v>
      </c>
      <c r="H13">
        <v>28215</v>
      </c>
      <c r="I13">
        <v>28215</v>
      </c>
      <c r="J13">
        <v>28215</v>
      </c>
      <c r="K13">
        <v>28215</v>
      </c>
      <c r="L13">
        <v>28215</v>
      </c>
      <c r="M13">
        <v>28215</v>
      </c>
      <c r="N13">
        <v>28215</v>
      </c>
      <c r="O13">
        <v>28215</v>
      </c>
      <c r="P13">
        <v>28215</v>
      </c>
      <c r="Q13">
        <v>28215</v>
      </c>
      <c r="R13">
        <v>28215</v>
      </c>
      <c r="S13">
        <v>28215</v>
      </c>
      <c r="T13">
        <v>28215</v>
      </c>
      <c r="U13">
        <v>28215</v>
      </c>
      <c r="V13">
        <v>28215</v>
      </c>
      <c r="W13">
        <v>28215</v>
      </c>
      <c r="X13">
        <v>28215</v>
      </c>
      <c r="Y13">
        <v>28215</v>
      </c>
      <c r="Z13">
        <v>28215</v>
      </c>
      <c r="AA13">
        <v>28215</v>
      </c>
      <c r="AB13">
        <v>28215</v>
      </c>
      <c r="AC13">
        <v>28215</v>
      </c>
      <c r="AD13">
        <v>28215</v>
      </c>
      <c r="AE13">
        <v>28215</v>
      </c>
      <c r="AF13">
        <v>28215</v>
      </c>
      <c r="AG13">
        <v>28215</v>
      </c>
      <c r="AH13">
        <v>28215</v>
      </c>
      <c r="AI13">
        <v>28215</v>
      </c>
      <c r="AJ13">
        <v>28215</v>
      </c>
      <c r="AK13">
        <v>28215</v>
      </c>
      <c r="AL13">
        <v>28215</v>
      </c>
      <c r="AM13">
        <v>28215</v>
      </c>
      <c r="AN13">
        <v>28215</v>
      </c>
      <c r="AO13">
        <v>28215</v>
      </c>
      <c r="AP13">
        <v>28215</v>
      </c>
      <c r="AQ13">
        <v>28215</v>
      </c>
      <c r="AR13">
        <v>28215</v>
      </c>
      <c r="AS13">
        <v>28215</v>
      </c>
      <c r="AT13">
        <v>28215</v>
      </c>
      <c r="AU13">
        <v>28215</v>
      </c>
      <c r="AV13">
        <v>28215</v>
      </c>
      <c r="AW13">
        <v>28215</v>
      </c>
      <c r="AX13">
        <v>28215</v>
      </c>
      <c r="AY13">
        <v>28215</v>
      </c>
      <c r="AZ13">
        <v>28215</v>
      </c>
      <c r="BA13">
        <v>28215</v>
      </c>
      <c r="BB13">
        <v>28215</v>
      </c>
      <c r="BC13">
        <v>28215</v>
      </c>
      <c r="BD13">
        <v>28215</v>
      </c>
      <c r="BE13">
        <v>28215</v>
      </c>
      <c r="BF13">
        <v>28215</v>
      </c>
      <c r="BG13">
        <v>28215</v>
      </c>
      <c r="BH13">
        <v>28215</v>
      </c>
      <c r="BI13">
        <v>28215</v>
      </c>
      <c r="BJ13">
        <v>28215</v>
      </c>
      <c r="BK13">
        <v>28215</v>
      </c>
      <c r="BL13">
        <v>28215</v>
      </c>
      <c r="BM13">
        <v>28215</v>
      </c>
      <c r="BN13">
        <v>28215</v>
      </c>
      <c r="BO13">
        <v>28215</v>
      </c>
      <c r="BP13">
        <v>28215</v>
      </c>
      <c r="BQ13">
        <v>28215</v>
      </c>
      <c r="BR13">
        <v>28215</v>
      </c>
      <c r="BS13">
        <v>28215</v>
      </c>
      <c r="BT13">
        <v>28215</v>
      </c>
      <c r="BU13">
        <v>28215</v>
      </c>
      <c r="BV13">
        <v>28215</v>
      </c>
      <c r="BW13">
        <v>28215</v>
      </c>
      <c r="BX13">
        <v>28215</v>
      </c>
      <c r="BY13">
        <v>28215</v>
      </c>
      <c r="BZ13">
        <v>28215</v>
      </c>
      <c r="CA13">
        <v>28215</v>
      </c>
      <c r="CB13">
        <v>28215</v>
      </c>
      <c r="CC13">
        <v>28215</v>
      </c>
      <c r="CD13">
        <v>28215</v>
      </c>
      <c r="CE13">
        <v>28215</v>
      </c>
      <c r="CF13">
        <v>28215</v>
      </c>
      <c r="CG13">
        <v>28215</v>
      </c>
      <c r="CH13">
        <v>28215</v>
      </c>
      <c r="CI13">
        <v>28215</v>
      </c>
      <c r="CJ13">
        <v>28215</v>
      </c>
      <c r="CK13">
        <v>28215</v>
      </c>
      <c r="CL13">
        <v>28215</v>
      </c>
      <c r="CM13">
        <v>28215</v>
      </c>
      <c r="CN13">
        <v>28215</v>
      </c>
      <c r="CO13">
        <v>28215</v>
      </c>
      <c r="CP13">
        <v>28215</v>
      </c>
      <c r="CQ13">
        <v>28215</v>
      </c>
      <c r="CR13">
        <v>28215</v>
      </c>
      <c r="CS13">
        <v>28215</v>
      </c>
    </row>
    <row r="14" spans="1:97">
      <c r="A14" s="9">
        <v>46247</v>
      </c>
      <c r="B14">
        <v>28215</v>
      </c>
      <c r="C14">
        <v>28215</v>
      </c>
      <c r="D14">
        <v>28215</v>
      </c>
      <c r="E14">
        <v>28215</v>
      </c>
      <c r="F14">
        <v>28215</v>
      </c>
      <c r="G14">
        <v>28215</v>
      </c>
      <c r="H14">
        <v>28215</v>
      </c>
      <c r="I14">
        <v>28215</v>
      </c>
      <c r="J14">
        <v>28215</v>
      </c>
      <c r="K14">
        <v>28215</v>
      </c>
      <c r="L14">
        <v>28215</v>
      </c>
      <c r="M14">
        <v>28215</v>
      </c>
      <c r="N14">
        <v>28215</v>
      </c>
      <c r="O14">
        <v>28215</v>
      </c>
      <c r="P14">
        <v>28215</v>
      </c>
      <c r="Q14">
        <v>28215</v>
      </c>
      <c r="R14">
        <v>28215</v>
      </c>
      <c r="S14">
        <v>28215</v>
      </c>
      <c r="T14">
        <v>28215</v>
      </c>
      <c r="U14">
        <v>28215</v>
      </c>
      <c r="V14">
        <v>28215</v>
      </c>
      <c r="W14">
        <v>28215</v>
      </c>
      <c r="X14">
        <v>28215</v>
      </c>
      <c r="Y14">
        <v>28215</v>
      </c>
      <c r="Z14">
        <v>28215</v>
      </c>
      <c r="AA14">
        <v>28215</v>
      </c>
      <c r="AB14">
        <v>28215</v>
      </c>
      <c r="AC14">
        <v>28215</v>
      </c>
      <c r="AD14">
        <v>28215</v>
      </c>
      <c r="AE14">
        <v>28215</v>
      </c>
      <c r="AF14">
        <v>28215</v>
      </c>
      <c r="AG14">
        <v>28215</v>
      </c>
      <c r="AH14">
        <v>28215</v>
      </c>
      <c r="AI14">
        <v>28215</v>
      </c>
      <c r="AJ14">
        <v>28215</v>
      </c>
      <c r="AK14">
        <v>28215</v>
      </c>
      <c r="AL14">
        <v>28215</v>
      </c>
      <c r="AM14">
        <v>28215</v>
      </c>
      <c r="AN14">
        <v>28215</v>
      </c>
      <c r="AO14">
        <v>28215</v>
      </c>
      <c r="AP14">
        <v>28215</v>
      </c>
      <c r="AQ14">
        <v>28215</v>
      </c>
      <c r="AR14">
        <v>28215</v>
      </c>
      <c r="AS14">
        <v>28215</v>
      </c>
      <c r="AT14">
        <v>28215</v>
      </c>
      <c r="AU14">
        <v>28215</v>
      </c>
      <c r="AV14">
        <v>28215</v>
      </c>
      <c r="AW14">
        <v>28215</v>
      </c>
      <c r="AX14">
        <v>28215</v>
      </c>
      <c r="AY14">
        <v>28215</v>
      </c>
      <c r="AZ14">
        <v>28215</v>
      </c>
      <c r="BA14">
        <v>28215</v>
      </c>
      <c r="BB14">
        <v>28215</v>
      </c>
      <c r="BC14">
        <v>28215</v>
      </c>
      <c r="BD14">
        <v>28215</v>
      </c>
      <c r="BE14">
        <v>28215</v>
      </c>
      <c r="BF14">
        <v>28215</v>
      </c>
      <c r="BG14">
        <v>28215</v>
      </c>
      <c r="BH14">
        <v>28215</v>
      </c>
      <c r="BI14">
        <v>28215</v>
      </c>
      <c r="BJ14">
        <v>28215</v>
      </c>
      <c r="BK14">
        <v>28215</v>
      </c>
      <c r="BL14">
        <v>28215</v>
      </c>
      <c r="BM14">
        <v>28215</v>
      </c>
      <c r="BN14">
        <v>28215</v>
      </c>
      <c r="BO14">
        <v>28215</v>
      </c>
      <c r="BP14">
        <v>28215</v>
      </c>
      <c r="BQ14">
        <v>28215</v>
      </c>
      <c r="BR14">
        <v>28215</v>
      </c>
      <c r="BS14">
        <v>28215</v>
      </c>
      <c r="BT14">
        <v>28215</v>
      </c>
      <c r="BU14">
        <v>28215</v>
      </c>
      <c r="BV14">
        <v>28215</v>
      </c>
      <c r="BW14">
        <v>28215</v>
      </c>
      <c r="BX14">
        <v>28215</v>
      </c>
      <c r="BY14">
        <v>28215</v>
      </c>
      <c r="BZ14">
        <v>28215</v>
      </c>
      <c r="CA14">
        <v>28215</v>
      </c>
      <c r="CB14">
        <v>28215</v>
      </c>
      <c r="CC14">
        <v>28215</v>
      </c>
      <c r="CD14">
        <v>28215</v>
      </c>
      <c r="CE14">
        <v>28215</v>
      </c>
      <c r="CF14">
        <v>28215</v>
      </c>
      <c r="CG14">
        <v>28215</v>
      </c>
      <c r="CH14">
        <v>28215</v>
      </c>
      <c r="CI14">
        <v>28215</v>
      </c>
      <c r="CJ14">
        <v>28215</v>
      </c>
      <c r="CK14">
        <v>28215</v>
      </c>
      <c r="CL14">
        <v>28215</v>
      </c>
      <c r="CM14">
        <v>28215</v>
      </c>
      <c r="CN14">
        <v>28215</v>
      </c>
      <c r="CO14">
        <v>28215</v>
      </c>
      <c r="CP14">
        <v>28215</v>
      </c>
      <c r="CQ14">
        <v>28215</v>
      </c>
      <c r="CR14">
        <v>28215</v>
      </c>
      <c r="CS14">
        <v>28215</v>
      </c>
    </row>
    <row r="15" spans="1:97">
      <c r="A15" s="9">
        <v>46248</v>
      </c>
      <c r="B15">
        <v>28215</v>
      </c>
      <c r="C15">
        <v>28215</v>
      </c>
      <c r="D15">
        <v>28215</v>
      </c>
      <c r="E15">
        <v>28215</v>
      </c>
      <c r="F15">
        <v>28215</v>
      </c>
      <c r="G15">
        <v>28215</v>
      </c>
      <c r="H15">
        <v>28215</v>
      </c>
      <c r="I15">
        <v>28215</v>
      </c>
      <c r="J15">
        <v>28215</v>
      </c>
      <c r="K15">
        <v>28215</v>
      </c>
      <c r="L15">
        <v>28215</v>
      </c>
      <c r="M15">
        <v>28215</v>
      </c>
      <c r="N15">
        <v>28215</v>
      </c>
      <c r="O15">
        <v>28215</v>
      </c>
      <c r="P15">
        <v>28215</v>
      </c>
      <c r="Q15">
        <v>28215</v>
      </c>
      <c r="R15">
        <v>28215</v>
      </c>
      <c r="S15">
        <v>28215</v>
      </c>
      <c r="T15">
        <v>28215</v>
      </c>
      <c r="U15">
        <v>28215</v>
      </c>
      <c r="V15">
        <v>28215</v>
      </c>
      <c r="W15">
        <v>28215</v>
      </c>
      <c r="X15">
        <v>28215</v>
      </c>
      <c r="Y15">
        <v>28215</v>
      </c>
      <c r="Z15">
        <v>28215</v>
      </c>
      <c r="AA15">
        <v>28215</v>
      </c>
      <c r="AB15">
        <v>28215</v>
      </c>
      <c r="AC15">
        <v>28215</v>
      </c>
      <c r="AD15">
        <v>28215</v>
      </c>
      <c r="AE15">
        <v>28215</v>
      </c>
      <c r="AF15">
        <v>28215</v>
      </c>
      <c r="AG15">
        <v>28215</v>
      </c>
      <c r="AH15">
        <v>28215</v>
      </c>
      <c r="AI15">
        <v>28215</v>
      </c>
      <c r="AJ15">
        <v>28215</v>
      </c>
      <c r="AK15">
        <v>28215</v>
      </c>
      <c r="AL15">
        <v>28215</v>
      </c>
      <c r="AM15">
        <v>28215</v>
      </c>
      <c r="AN15">
        <v>28215</v>
      </c>
      <c r="AO15">
        <v>28215</v>
      </c>
      <c r="AP15">
        <v>28215</v>
      </c>
      <c r="AQ15">
        <v>28215</v>
      </c>
      <c r="AR15">
        <v>28215</v>
      </c>
      <c r="AS15">
        <v>28215</v>
      </c>
      <c r="AT15">
        <v>28215</v>
      </c>
      <c r="AU15">
        <v>28215</v>
      </c>
      <c r="AV15">
        <v>28215</v>
      </c>
      <c r="AW15">
        <v>28215</v>
      </c>
      <c r="AX15">
        <v>28215</v>
      </c>
      <c r="AY15">
        <v>28215</v>
      </c>
      <c r="AZ15">
        <v>28215</v>
      </c>
      <c r="BA15">
        <v>28215</v>
      </c>
      <c r="BB15">
        <v>28215</v>
      </c>
      <c r="BC15">
        <v>28215</v>
      </c>
      <c r="BD15">
        <v>28215</v>
      </c>
      <c r="BE15">
        <v>28215</v>
      </c>
      <c r="BF15">
        <v>28215</v>
      </c>
      <c r="BG15">
        <v>28215</v>
      </c>
      <c r="BH15">
        <v>28215</v>
      </c>
      <c r="BI15">
        <v>28215</v>
      </c>
      <c r="BJ15">
        <v>28215</v>
      </c>
      <c r="BK15">
        <v>28215</v>
      </c>
      <c r="BL15">
        <v>28215</v>
      </c>
      <c r="BM15">
        <v>28215</v>
      </c>
      <c r="BN15">
        <v>28215</v>
      </c>
      <c r="BO15">
        <v>28215</v>
      </c>
      <c r="BP15">
        <v>28215</v>
      </c>
      <c r="BQ15">
        <v>28215</v>
      </c>
      <c r="BR15">
        <v>28215</v>
      </c>
      <c r="BS15">
        <v>28215</v>
      </c>
      <c r="BT15">
        <v>28215</v>
      </c>
      <c r="BU15">
        <v>28215</v>
      </c>
      <c r="BV15">
        <v>28215</v>
      </c>
      <c r="BW15">
        <v>28215</v>
      </c>
      <c r="BX15">
        <v>28215</v>
      </c>
      <c r="BY15">
        <v>28215</v>
      </c>
      <c r="BZ15">
        <v>28215</v>
      </c>
      <c r="CA15">
        <v>28215</v>
      </c>
      <c r="CB15">
        <v>28215</v>
      </c>
      <c r="CC15">
        <v>28215</v>
      </c>
      <c r="CD15">
        <v>28215</v>
      </c>
      <c r="CE15">
        <v>28215</v>
      </c>
      <c r="CF15">
        <v>28215</v>
      </c>
      <c r="CG15">
        <v>28215</v>
      </c>
      <c r="CH15">
        <v>28215</v>
      </c>
      <c r="CI15">
        <v>28215</v>
      </c>
      <c r="CJ15">
        <v>28215</v>
      </c>
      <c r="CK15">
        <v>28215</v>
      </c>
      <c r="CL15">
        <v>28215</v>
      </c>
      <c r="CM15">
        <v>28215</v>
      </c>
      <c r="CN15">
        <v>28215</v>
      </c>
      <c r="CO15">
        <v>28215</v>
      </c>
      <c r="CP15">
        <v>28215</v>
      </c>
      <c r="CQ15">
        <v>28215</v>
      </c>
      <c r="CR15">
        <v>28215</v>
      </c>
      <c r="CS15">
        <v>28215</v>
      </c>
    </row>
    <row r="16" spans="1:97">
      <c r="A16" s="9">
        <v>46249</v>
      </c>
      <c r="B16">
        <v>28215</v>
      </c>
      <c r="C16">
        <v>28215</v>
      </c>
      <c r="D16">
        <v>28215</v>
      </c>
      <c r="E16">
        <v>28215</v>
      </c>
      <c r="F16">
        <v>28215</v>
      </c>
      <c r="G16">
        <v>28215</v>
      </c>
      <c r="H16">
        <v>28215</v>
      </c>
      <c r="I16">
        <v>28215</v>
      </c>
      <c r="J16">
        <v>28215</v>
      </c>
      <c r="K16">
        <v>28215</v>
      </c>
      <c r="L16">
        <v>28215</v>
      </c>
      <c r="M16">
        <v>28215</v>
      </c>
      <c r="N16">
        <v>28215</v>
      </c>
      <c r="O16">
        <v>28215</v>
      </c>
      <c r="P16">
        <v>28215</v>
      </c>
      <c r="Q16">
        <v>28215</v>
      </c>
      <c r="R16">
        <v>28215</v>
      </c>
      <c r="S16">
        <v>28215</v>
      </c>
      <c r="T16">
        <v>28215</v>
      </c>
      <c r="U16">
        <v>28215</v>
      </c>
      <c r="V16">
        <v>28215</v>
      </c>
      <c r="W16">
        <v>28215</v>
      </c>
      <c r="X16">
        <v>28215</v>
      </c>
      <c r="Y16">
        <v>28215</v>
      </c>
      <c r="Z16">
        <v>28215</v>
      </c>
      <c r="AA16">
        <v>28215</v>
      </c>
      <c r="AB16">
        <v>28215</v>
      </c>
      <c r="AC16">
        <v>28215</v>
      </c>
      <c r="AD16">
        <v>28215</v>
      </c>
      <c r="AE16">
        <v>28215</v>
      </c>
      <c r="AF16">
        <v>28215</v>
      </c>
      <c r="AG16">
        <v>28215</v>
      </c>
      <c r="AH16">
        <v>28215</v>
      </c>
      <c r="AI16">
        <v>28215</v>
      </c>
      <c r="AJ16">
        <v>28215</v>
      </c>
      <c r="AK16">
        <v>28215</v>
      </c>
      <c r="AL16">
        <v>28215</v>
      </c>
      <c r="AM16">
        <v>28215</v>
      </c>
      <c r="AN16">
        <v>28215</v>
      </c>
      <c r="AO16">
        <v>28215</v>
      </c>
      <c r="AP16">
        <v>28215</v>
      </c>
      <c r="AQ16">
        <v>28215</v>
      </c>
      <c r="AR16">
        <v>28215</v>
      </c>
      <c r="AS16">
        <v>28215</v>
      </c>
      <c r="AT16">
        <v>28215</v>
      </c>
      <c r="AU16">
        <v>28215</v>
      </c>
      <c r="AV16">
        <v>28215</v>
      </c>
      <c r="AW16">
        <v>28215</v>
      </c>
      <c r="AX16">
        <v>28215</v>
      </c>
      <c r="AY16">
        <v>28215</v>
      </c>
      <c r="AZ16">
        <v>28215</v>
      </c>
      <c r="BA16">
        <v>28215</v>
      </c>
      <c r="BB16">
        <v>28215</v>
      </c>
      <c r="BC16">
        <v>28215</v>
      </c>
      <c r="BD16">
        <v>28215</v>
      </c>
      <c r="BE16">
        <v>28215</v>
      </c>
      <c r="BF16">
        <v>28215</v>
      </c>
      <c r="BG16">
        <v>28215</v>
      </c>
      <c r="BH16">
        <v>28215</v>
      </c>
      <c r="BI16">
        <v>28215</v>
      </c>
      <c r="BJ16">
        <v>28215</v>
      </c>
      <c r="BK16">
        <v>28215</v>
      </c>
      <c r="BL16">
        <v>28215</v>
      </c>
      <c r="BM16">
        <v>28215</v>
      </c>
      <c r="BN16">
        <v>28215</v>
      </c>
      <c r="BO16">
        <v>28215</v>
      </c>
      <c r="BP16">
        <v>28215</v>
      </c>
      <c r="BQ16">
        <v>28215</v>
      </c>
      <c r="BR16">
        <v>28215</v>
      </c>
      <c r="BS16">
        <v>28215</v>
      </c>
      <c r="BT16">
        <v>28215</v>
      </c>
      <c r="BU16">
        <v>28215</v>
      </c>
      <c r="BV16">
        <v>28215</v>
      </c>
      <c r="BW16">
        <v>28215</v>
      </c>
      <c r="BX16">
        <v>28215</v>
      </c>
      <c r="BY16">
        <v>28215</v>
      </c>
      <c r="BZ16">
        <v>28215</v>
      </c>
      <c r="CA16">
        <v>28215</v>
      </c>
      <c r="CB16">
        <v>28215</v>
      </c>
      <c r="CC16">
        <v>28215</v>
      </c>
      <c r="CD16">
        <v>28215</v>
      </c>
      <c r="CE16">
        <v>28215</v>
      </c>
      <c r="CF16">
        <v>28215</v>
      </c>
      <c r="CG16">
        <v>28215</v>
      </c>
      <c r="CH16">
        <v>28215</v>
      </c>
      <c r="CI16">
        <v>28215</v>
      </c>
      <c r="CJ16">
        <v>28215</v>
      </c>
      <c r="CK16">
        <v>28215</v>
      </c>
      <c r="CL16">
        <v>28215</v>
      </c>
      <c r="CM16">
        <v>28215</v>
      </c>
      <c r="CN16">
        <v>28215</v>
      </c>
      <c r="CO16">
        <v>28215</v>
      </c>
      <c r="CP16">
        <v>28215</v>
      </c>
      <c r="CQ16">
        <v>28215</v>
      </c>
      <c r="CR16">
        <v>28215</v>
      </c>
      <c r="CS16">
        <v>28215</v>
      </c>
    </row>
    <row r="17" spans="1:97">
      <c r="A17" s="9">
        <v>46250</v>
      </c>
      <c r="B17">
        <v>28215</v>
      </c>
      <c r="C17">
        <v>28215</v>
      </c>
      <c r="D17">
        <v>28215</v>
      </c>
      <c r="E17">
        <v>28215</v>
      </c>
      <c r="F17">
        <v>28215</v>
      </c>
      <c r="G17">
        <v>28215</v>
      </c>
      <c r="H17">
        <v>28215</v>
      </c>
      <c r="I17">
        <v>28215</v>
      </c>
      <c r="J17">
        <v>28215</v>
      </c>
      <c r="K17">
        <v>28215</v>
      </c>
      <c r="L17">
        <v>28215</v>
      </c>
      <c r="M17">
        <v>28215</v>
      </c>
      <c r="N17">
        <v>28215</v>
      </c>
      <c r="O17">
        <v>28215</v>
      </c>
      <c r="P17">
        <v>28215</v>
      </c>
      <c r="Q17">
        <v>28215</v>
      </c>
      <c r="R17">
        <v>28215</v>
      </c>
      <c r="S17">
        <v>28215</v>
      </c>
      <c r="T17">
        <v>28215</v>
      </c>
      <c r="U17">
        <v>28215</v>
      </c>
      <c r="V17">
        <v>28215</v>
      </c>
      <c r="W17">
        <v>28215</v>
      </c>
      <c r="X17">
        <v>28215</v>
      </c>
      <c r="Y17">
        <v>28215</v>
      </c>
      <c r="Z17">
        <v>28215</v>
      </c>
      <c r="AA17">
        <v>28215</v>
      </c>
      <c r="AB17">
        <v>28215</v>
      </c>
      <c r="AC17">
        <v>28215</v>
      </c>
      <c r="AD17">
        <v>28215</v>
      </c>
      <c r="AE17">
        <v>28215</v>
      </c>
      <c r="AF17">
        <v>28215</v>
      </c>
      <c r="AG17">
        <v>28215</v>
      </c>
      <c r="AH17">
        <v>28215</v>
      </c>
      <c r="AI17">
        <v>28215</v>
      </c>
      <c r="AJ17">
        <v>28215</v>
      </c>
      <c r="AK17">
        <v>28215</v>
      </c>
      <c r="AL17">
        <v>28215</v>
      </c>
      <c r="AM17">
        <v>28215</v>
      </c>
      <c r="AN17">
        <v>28215</v>
      </c>
      <c r="AO17">
        <v>28215</v>
      </c>
      <c r="AP17">
        <v>28215</v>
      </c>
      <c r="AQ17">
        <v>28215</v>
      </c>
      <c r="AR17">
        <v>28215</v>
      </c>
      <c r="AS17">
        <v>28215</v>
      </c>
      <c r="AT17">
        <v>28215</v>
      </c>
      <c r="AU17">
        <v>28215</v>
      </c>
      <c r="AV17">
        <v>28215</v>
      </c>
      <c r="AW17">
        <v>28215</v>
      </c>
      <c r="AX17">
        <v>28215</v>
      </c>
      <c r="AY17">
        <v>28215</v>
      </c>
      <c r="AZ17">
        <v>28215</v>
      </c>
      <c r="BA17">
        <v>28215</v>
      </c>
      <c r="BB17">
        <v>28215</v>
      </c>
      <c r="BC17">
        <v>28215</v>
      </c>
      <c r="BD17">
        <v>28215</v>
      </c>
      <c r="BE17">
        <v>28215</v>
      </c>
      <c r="BF17">
        <v>28215</v>
      </c>
      <c r="BG17">
        <v>28215</v>
      </c>
      <c r="BH17">
        <v>28215</v>
      </c>
      <c r="BI17">
        <v>28215</v>
      </c>
      <c r="BJ17">
        <v>28215</v>
      </c>
      <c r="BK17">
        <v>28215</v>
      </c>
      <c r="BL17">
        <v>28215</v>
      </c>
      <c r="BM17">
        <v>28215</v>
      </c>
      <c r="BN17">
        <v>28215</v>
      </c>
      <c r="BO17">
        <v>28215</v>
      </c>
      <c r="BP17">
        <v>28215</v>
      </c>
      <c r="BQ17">
        <v>28215</v>
      </c>
      <c r="BR17">
        <v>28215</v>
      </c>
      <c r="BS17">
        <v>28215</v>
      </c>
      <c r="BT17">
        <v>28215</v>
      </c>
      <c r="BU17">
        <v>28215</v>
      </c>
      <c r="BV17">
        <v>28215</v>
      </c>
      <c r="BW17">
        <v>28215</v>
      </c>
      <c r="BX17">
        <v>28215</v>
      </c>
      <c r="BY17">
        <v>28215</v>
      </c>
      <c r="BZ17">
        <v>28215</v>
      </c>
      <c r="CA17">
        <v>28215</v>
      </c>
      <c r="CB17">
        <v>28215</v>
      </c>
      <c r="CC17">
        <v>28215</v>
      </c>
      <c r="CD17">
        <v>28215</v>
      </c>
      <c r="CE17">
        <v>28215</v>
      </c>
      <c r="CF17">
        <v>28215</v>
      </c>
      <c r="CG17">
        <v>28215</v>
      </c>
      <c r="CH17">
        <v>28215</v>
      </c>
      <c r="CI17">
        <v>28215</v>
      </c>
      <c r="CJ17">
        <v>28215</v>
      </c>
      <c r="CK17">
        <v>28215</v>
      </c>
      <c r="CL17">
        <v>28215</v>
      </c>
      <c r="CM17">
        <v>28215</v>
      </c>
      <c r="CN17">
        <v>28215</v>
      </c>
      <c r="CO17">
        <v>28215</v>
      </c>
      <c r="CP17">
        <v>28215</v>
      </c>
      <c r="CQ17">
        <v>28215</v>
      </c>
      <c r="CR17">
        <v>28215</v>
      </c>
      <c r="CS17">
        <v>28215</v>
      </c>
    </row>
    <row r="18" spans="1:97">
      <c r="A18" s="9">
        <v>46251</v>
      </c>
      <c r="B18">
        <v>28215</v>
      </c>
      <c r="C18">
        <v>28215</v>
      </c>
      <c r="D18">
        <v>28215</v>
      </c>
      <c r="E18">
        <v>28215</v>
      </c>
      <c r="F18">
        <v>28215</v>
      </c>
      <c r="G18">
        <v>28215</v>
      </c>
      <c r="H18">
        <v>28215</v>
      </c>
      <c r="I18">
        <v>28215</v>
      </c>
      <c r="J18">
        <v>28215</v>
      </c>
      <c r="K18">
        <v>28215</v>
      </c>
      <c r="L18">
        <v>28215</v>
      </c>
      <c r="M18">
        <v>28215</v>
      </c>
      <c r="N18">
        <v>28215</v>
      </c>
      <c r="O18">
        <v>28215</v>
      </c>
      <c r="P18">
        <v>28215</v>
      </c>
      <c r="Q18">
        <v>28215</v>
      </c>
      <c r="R18">
        <v>28215</v>
      </c>
      <c r="S18">
        <v>28215</v>
      </c>
      <c r="T18">
        <v>28215</v>
      </c>
      <c r="U18">
        <v>28215</v>
      </c>
      <c r="V18">
        <v>28215</v>
      </c>
      <c r="W18">
        <v>28215</v>
      </c>
      <c r="X18">
        <v>28215</v>
      </c>
      <c r="Y18">
        <v>28215</v>
      </c>
      <c r="Z18">
        <v>28215</v>
      </c>
      <c r="AA18">
        <v>28215</v>
      </c>
      <c r="AB18">
        <v>28215</v>
      </c>
      <c r="AC18">
        <v>28215</v>
      </c>
      <c r="AD18">
        <v>28215</v>
      </c>
      <c r="AE18">
        <v>28215</v>
      </c>
      <c r="AF18">
        <v>28215</v>
      </c>
      <c r="AG18">
        <v>28215</v>
      </c>
      <c r="AH18">
        <v>28215</v>
      </c>
      <c r="AI18">
        <v>28215</v>
      </c>
      <c r="AJ18">
        <v>28215</v>
      </c>
      <c r="AK18">
        <v>28215</v>
      </c>
      <c r="AL18">
        <v>28215</v>
      </c>
      <c r="AM18">
        <v>28215</v>
      </c>
      <c r="AN18">
        <v>28215</v>
      </c>
      <c r="AO18">
        <v>28215</v>
      </c>
      <c r="AP18">
        <v>28215</v>
      </c>
      <c r="AQ18">
        <v>28215</v>
      </c>
      <c r="AR18">
        <v>28215</v>
      </c>
      <c r="AS18">
        <v>28215</v>
      </c>
      <c r="AT18">
        <v>28215</v>
      </c>
      <c r="AU18">
        <v>28215</v>
      </c>
      <c r="AV18">
        <v>28215</v>
      </c>
      <c r="AW18">
        <v>28215</v>
      </c>
      <c r="AX18">
        <v>28215</v>
      </c>
      <c r="AY18">
        <v>28215</v>
      </c>
      <c r="AZ18">
        <v>28215</v>
      </c>
      <c r="BA18">
        <v>28215</v>
      </c>
      <c r="BB18">
        <v>28215</v>
      </c>
      <c r="BC18">
        <v>28215</v>
      </c>
      <c r="BD18">
        <v>28215</v>
      </c>
      <c r="BE18">
        <v>28215</v>
      </c>
      <c r="BF18">
        <v>28215</v>
      </c>
      <c r="BG18">
        <v>28215</v>
      </c>
      <c r="BH18">
        <v>28215</v>
      </c>
      <c r="BI18">
        <v>28215</v>
      </c>
      <c r="BJ18">
        <v>28215</v>
      </c>
      <c r="BK18">
        <v>28215</v>
      </c>
      <c r="BL18">
        <v>28215</v>
      </c>
      <c r="BM18">
        <v>28215</v>
      </c>
      <c r="BN18">
        <v>28215</v>
      </c>
      <c r="BO18">
        <v>28215</v>
      </c>
      <c r="BP18">
        <v>28215</v>
      </c>
      <c r="BQ18">
        <v>28215</v>
      </c>
      <c r="BR18">
        <v>28215</v>
      </c>
      <c r="BS18">
        <v>28215</v>
      </c>
      <c r="BT18">
        <v>28215</v>
      </c>
      <c r="BU18">
        <v>28215</v>
      </c>
      <c r="BV18">
        <v>28215</v>
      </c>
      <c r="BW18">
        <v>28215</v>
      </c>
      <c r="BX18">
        <v>28215</v>
      </c>
      <c r="BY18">
        <v>28215</v>
      </c>
      <c r="BZ18">
        <v>28215</v>
      </c>
      <c r="CA18">
        <v>28215</v>
      </c>
      <c r="CB18">
        <v>28215</v>
      </c>
      <c r="CC18">
        <v>28215</v>
      </c>
      <c r="CD18">
        <v>28215</v>
      </c>
      <c r="CE18">
        <v>28215</v>
      </c>
      <c r="CF18">
        <v>28215</v>
      </c>
      <c r="CG18">
        <v>28215</v>
      </c>
      <c r="CH18">
        <v>28215</v>
      </c>
      <c r="CI18">
        <v>28215</v>
      </c>
      <c r="CJ18">
        <v>28215</v>
      </c>
      <c r="CK18">
        <v>28215</v>
      </c>
      <c r="CL18">
        <v>28215</v>
      </c>
      <c r="CM18">
        <v>28215</v>
      </c>
      <c r="CN18">
        <v>28215</v>
      </c>
      <c r="CO18">
        <v>28215</v>
      </c>
      <c r="CP18">
        <v>28215</v>
      </c>
      <c r="CQ18">
        <v>28215</v>
      </c>
      <c r="CR18">
        <v>28215</v>
      </c>
      <c r="CS18">
        <v>28215</v>
      </c>
    </row>
    <row r="19" spans="1:97">
      <c r="A19" s="9">
        <v>46252</v>
      </c>
      <c r="B19">
        <v>28215</v>
      </c>
      <c r="C19">
        <v>28215</v>
      </c>
      <c r="D19">
        <v>28215</v>
      </c>
      <c r="E19">
        <v>28215</v>
      </c>
      <c r="F19">
        <v>28215</v>
      </c>
      <c r="G19">
        <v>28215</v>
      </c>
      <c r="H19">
        <v>28215</v>
      </c>
      <c r="I19">
        <v>28215</v>
      </c>
      <c r="J19">
        <v>28215</v>
      </c>
      <c r="K19">
        <v>28215</v>
      </c>
      <c r="L19">
        <v>28215</v>
      </c>
      <c r="M19">
        <v>28215</v>
      </c>
      <c r="N19">
        <v>28215</v>
      </c>
      <c r="O19">
        <v>28215</v>
      </c>
      <c r="P19">
        <v>28215</v>
      </c>
      <c r="Q19">
        <v>28215</v>
      </c>
      <c r="R19">
        <v>28215</v>
      </c>
      <c r="S19">
        <v>28215</v>
      </c>
      <c r="T19">
        <v>28215</v>
      </c>
      <c r="U19">
        <v>28215</v>
      </c>
      <c r="V19">
        <v>28215</v>
      </c>
      <c r="W19">
        <v>28215</v>
      </c>
      <c r="X19">
        <v>28215</v>
      </c>
      <c r="Y19">
        <v>28215</v>
      </c>
      <c r="Z19">
        <v>28215</v>
      </c>
      <c r="AA19">
        <v>28215</v>
      </c>
      <c r="AB19">
        <v>28215</v>
      </c>
      <c r="AC19">
        <v>28215</v>
      </c>
      <c r="AD19">
        <v>28215</v>
      </c>
      <c r="AE19">
        <v>28215</v>
      </c>
      <c r="AF19">
        <v>28215</v>
      </c>
      <c r="AG19">
        <v>28215</v>
      </c>
      <c r="AH19">
        <v>28215</v>
      </c>
      <c r="AI19">
        <v>28215</v>
      </c>
      <c r="AJ19">
        <v>28215</v>
      </c>
      <c r="AK19">
        <v>28215</v>
      </c>
      <c r="AL19">
        <v>28215</v>
      </c>
      <c r="AM19">
        <v>28215</v>
      </c>
      <c r="AN19">
        <v>28215</v>
      </c>
      <c r="AO19">
        <v>28215</v>
      </c>
      <c r="AP19">
        <v>28215</v>
      </c>
      <c r="AQ19">
        <v>28215</v>
      </c>
      <c r="AR19">
        <v>28215</v>
      </c>
      <c r="AS19">
        <v>28215</v>
      </c>
      <c r="AT19">
        <v>28215</v>
      </c>
      <c r="AU19">
        <v>28215</v>
      </c>
      <c r="AV19">
        <v>28215</v>
      </c>
      <c r="AW19">
        <v>28215</v>
      </c>
      <c r="AX19">
        <v>28215</v>
      </c>
      <c r="AY19">
        <v>28215</v>
      </c>
      <c r="AZ19">
        <v>28215</v>
      </c>
      <c r="BA19">
        <v>28215</v>
      </c>
      <c r="BB19">
        <v>28215</v>
      </c>
      <c r="BC19">
        <v>28215</v>
      </c>
      <c r="BD19">
        <v>28215</v>
      </c>
      <c r="BE19">
        <v>28215</v>
      </c>
      <c r="BF19">
        <v>28215</v>
      </c>
      <c r="BG19">
        <v>28215</v>
      </c>
      <c r="BH19">
        <v>28215</v>
      </c>
      <c r="BI19">
        <v>28215</v>
      </c>
      <c r="BJ19">
        <v>28215</v>
      </c>
      <c r="BK19">
        <v>28215</v>
      </c>
      <c r="BL19">
        <v>28215</v>
      </c>
      <c r="BM19">
        <v>28215</v>
      </c>
      <c r="BN19">
        <v>28215</v>
      </c>
      <c r="BO19">
        <v>28215</v>
      </c>
      <c r="BP19">
        <v>28215</v>
      </c>
      <c r="BQ19">
        <v>28215</v>
      </c>
      <c r="BR19">
        <v>28215</v>
      </c>
      <c r="BS19">
        <v>28215</v>
      </c>
      <c r="BT19">
        <v>28215</v>
      </c>
      <c r="BU19">
        <v>28215</v>
      </c>
      <c r="BV19">
        <v>28215</v>
      </c>
      <c r="BW19">
        <v>28215</v>
      </c>
      <c r="BX19">
        <v>28215</v>
      </c>
      <c r="BY19">
        <v>28215</v>
      </c>
      <c r="BZ19">
        <v>28215</v>
      </c>
      <c r="CA19">
        <v>28215</v>
      </c>
      <c r="CB19">
        <v>28215</v>
      </c>
      <c r="CC19">
        <v>28215</v>
      </c>
      <c r="CD19">
        <v>28215</v>
      </c>
      <c r="CE19">
        <v>28215</v>
      </c>
      <c r="CF19">
        <v>28215</v>
      </c>
      <c r="CG19">
        <v>28215</v>
      </c>
      <c r="CH19">
        <v>28215</v>
      </c>
      <c r="CI19">
        <v>28215</v>
      </c>
      <c r="CJ19">
        <v>28215</v>
      </c>
      <c r="CK19">
        <v>28215</v>
      </c>
      <c r="CL19">
        <v>28215</v>
      </c>
      <c r="CM19">
        <v>28215</v>
      </c>
      <c r="CN19">
        <v>28215</v>
      </c>
      <c r="CO19">
        <v>28215</v>
      </c>
      <c r="CP19">
        <v>28215</v>
      </c>
      <c r="CQ19">
        <v>28215</v>
      </c>
      <c r="CR19">
        <v>28215</v>
      </c>
      <c r="CS19">
        <v>28215</v>
      </c>
    </row>
    <row r="20" spans="1:97">
      <c r="A20" s="9">
        <v>46253</v>
      </c>
      <c r="B20">
        <v>28215</v>
      </c>
      <c r="C20">
        <v>28215</v>
      </c>
      <c r="D20">
        <v>28215</v>
      </c>
      <c r="E20">
        <v>28215</v>
      </c>
      <c r="F20">
        <v>28215</v>
      </c>
      <c r="G20">
        <v>28215</v>
      </c>
      <c r="H20">
        <v>28215</v>
      </c>
      <c r="I20">
        <v>28215</v>
      </c>
      <c r="J20">
        <v>28215</v>
      </c>
      <c r="K20">
        <v>28215</v>
      </c>
      <c r="L20">
        <v>28215</v>
      </c>
      <c r="M20">
        <v>28215</v>
      </c>
      <c r="N20">
        <v>28215</v>
      </c>
      <c r="O20">
        <v>28215</v>
      </c>
      <c r="P20">
        <v>28215</v>
      </c>
      <c r="Q20">
        <v>28215</v>
      </c>
      <c r="R20">
        <v>28215</v>
      </c>
      <c r="S20">
        <v>28215</v>
      </c>
      <c r="T20">
        <v>28215</v>
      </c>
      <c r="U20">
        <v>28215</v>
      </c>
      <c r="V20">
        <v>28215</v>
      </c>
      <c r="W20">
        <v>28215</v>
      </c>
      <c r="X20">
        <v>28215</v>
      </c>
      <c r="Y20">
        <v>28215</v>
      </c>
      <c r="Z20">
        <v>28215</v>
      </c>
      <c r="AA20">
        <v>28215</v>
      </c>
      <c r="AB20">
        <v>28215</v>
      </c>
      <c r="AC20">
        <v>28215</v>
      </c>
      <c r="AD20">
        <v>28215</v>
      </c>
      <c r="AE20">
        <v>28215</v>
      </c>
      <c r="AF20">
        <v>28215</v>
      </c>
      <c r="AG20">
        <v>28215</v>
      </c>
      <c r="AH20">
        <v>28215</v>
      </c>
      <c r="AI20">
        <v>28215</v>
      </c>
      <c r="AJ20">
        <v>28215</v>
      </c>
      <c r="AK20">
        <v>28215</v>
      </c>
      <c r="AL20">
        <v>28215</v>
      </c>
      <c r="AM20">
        <v>28215</v>
      </c>
      <c r="AN20">
        <v>28215</v>
      </c>
      <c r="AO20">
        <v>28215</v>
      </c>
      <c r="AP20">
        <v>28215</v>
      </c>
      <c r="AQ20">
        <v>28215</v>
      </c>
      <c r="AR20">
        <v>28215</v>
      </c>
      <c r="AS20">
        <v>28215</v>
      </c>
      <c r="AT20">
        <v>28215</v>
      </c>
      <c r="AU20">
        <v>28215</v>
      </c>
      <c r="AV20">
        <v>28215</v>
      </c>
      <c r="AW20">
        <v>28215</v>
      </c>
      <c r="AX20">
        <v>28215</v>
      </c>
      <c r="AY20">
        <v>28215</v>
      </c>
      <c r="AZ20">
        <v>28215</v>
      </c>
      <c r="BA20">
        <v>28215</v>
      </c>
      <c r="BB20">
        <v>28215</v>
      </c>
      <c r="BC20">
        <v>28215</v>
      </c>
      <c r="BD20">
        <v>28215</v>
      </c>
      <c r="BE20">
        <v>28215</v>
      </c>
      <c r="BF20">
        <v>28215</v>
      </c>
      <c r="BG20">
        <v>28215</v>
      </c>
      <c r="BH20">
        <v>28215</v>
      </c>
      <c r="BI20">
        <v>28215</v>
      </c>
      <c r="BJ20">
        <v>28215</v>
      </c>
      <c r="BK20">
        <v>28215</v>
      </c>
      <c r="BL20">
        <v>28215</v>
      </c>
      <c r="BM20">
        <v>28215</v>
      </c>
      <c r="BN20">
        <v>28215</v>
      </c>
      <c r="BO20">
        <v>28215</v>
      </c>
      <c r="BP20">
        <v>28215</v>
      </c>
      <c r="BQ20">
        <v>28215</v>
      </c>
      <c r="BR20">
        <v>28215</v>
      </c>
      <c r="BS20">
        <v>28215</v>
      </c>
      <c r="BT20">
        <v>28215</v>
      </c>
      <c r="BU20">
        <v>28215</v>
      </c>
      <c r="BV20">
        <v>28215</v>
      </c>
      <c r="BW20">
        <v>28215</v>
      </c>
      <c r="BX20">
        <v>28215</v>
      </c>
      <c r="BY20">
        <v>28215</v>
      </c>
      <c r="BZ20">
        <v>28215</v>
      </c>
      <c r="CA20">
        <v>28215</v>
      </c>
      <c r="CB20">
        <v>28215</v>
      </c>
      <c r="CC20">
        <v>28215</v>
      </c>
      <c r="CD20">
        <v>28215</v>
      </c>
      <c r="CE20">
        <v>28215</v>
      </c>
      <c r="CF20">
        <v>28215</v>
      </c>
      <c r="CG20">
        <v>28215</v>
      </c>
      <c r="CH20">
        <v>28215</v>
      </c>
      <c r="CI20">
        <v>28215</v>
      </c>
      <c r="CJ20">
        <v>28215</v>
      </c>
      <c r="CK20">
        <v>28215</v>
      </c>
      <c r="CL20">
        <v>28215</v>
      </c>
      <c r="CM20">
        <v>28215</v>
      </c>
      <c r="CN20">
        <v>28215</v>
      </c>
      <c r="CO20">
        <v>28215</v>
      </c>
      <c r="CP20">
        <v>28215</v>
      </c>
      <c r="CQ20">
        <v>28215</v>
      </c>
      <c r="CR20">
        <v>28215</v>
      </c>
      <c r="CS20">
        <v>28215</v>
      </c>
    </row>
    <row r="21" spans="1:97">
      <c r="A21" s="9">
        <v>46254</v>
      </c>
      <c r="B21">
        <v>28215</v>
      </c>
      <c r="C21">
        <v>28215</v>
      </c>
      <c r="D21">
        <v>28215</v>
      </c>
      <c r="E21">
        <v>28215</v>
      </c>
      <c r="F21">
        <v>28215</v>
      </c>
      <c r="G21">
        <v>28215</v>
      </c>
      <c r="H21">
        <v>28215</v>
      </c>
      <c r="I21">
        <v>28215</v>
      </c>
      <c r="J21">
        <v>28215</v>
      </c>
      <c r="K21">
        <v>28215</v>
      </c>
      <c r="L21">
        <v>28215</v>
      </c>
      <c r="M21">
        <v>28215</v>
      </c>
      <c r="N21">
        <v>28215</v>
      </c>
      <c r="O21">
        <v>28215</v>
      </c>
      <c r="P21">
        <v>28215</v>
      </c>
      <c r="Q21">
        <v>28215</v>
      </c>
      <c r="R21">
        <v>28215</v>
      </c>
      <c r="S21">
        <v>28215</v>
      </c>
      <c r="T21">
        <v>28215</v>
      </c>
      <c r="U21">
        <v>28215</v>
      </c>
      <c r="V21">
        <v>28215</v>
      </c>
      <c r="W21">
        <v>28215</v>
      </c>
      <c r="X21">
        <v>28215</v>
      </c>
      <c r="Y21">
        <v>28215</v>
      </c>
      <c r="Z21">
        <v>28215</v>
      </c>
      <c r="AA21">
        <v>28215</v>
      </c>
      <c r="AB21">
        <v>28215</v>
      </c>
      <c r="AC21">
        <v>28215</v>
      </c>
      <c r="AD21">
        <v>28215</v>
      </c>
      <c r="AE21">
        <v>28215</v>
      </c>
      <c r="AF21">
        <v>28215</v>
      </c>
      <c r="AG21">
        <v>28215</v>
      </c>
      <c r="AH21">
        <v>28215</v>
      </c>
      <c r="AI21">
        <v>28215</v>
      </c>
      <c r="AJ21">
        <v>28215</v>
      </c>
      <c r="AK21">
        <v>28215</v>
      </c>
      <c r="AL21">
        <v>28215</v>
      </c>
      <c r="AM21">
        <v>28215</v>
      </c>
      <c r="AN21">
        <v>28215</v>
      </c>
      <c r="AO21">
        <v>28215</v>
      </c>
      <c r="AP21">
        <v>28215</v>
      </c>
      <c r="AQ21">
        <v>28215</v>
      </c>
      <c r="AR21">
        <v>28215</v>
      </c>
      <c r="AS21">
        <v>28215</v>
      </c>
      <c r="AT21">
        <v>28215</v>
      </c>
      <c r="AU21">
        <v>28215</v>
      </c>
      <c r="AV21">
        <v>28215</v>
      </c>
      <c r="AW21">
        <v>28215</v>
      </c>
      <c r="AX21">
        <v>28215</v>
      </c>
      <c r="AY21">
        <v>28215</v>
      </c>
      <c r="AZ21">
        <v>28215</v>
      </c>
      <c r="BA21">
        <v>28215</v>
      </c>
      <c r="BB21">
        <v>28215</v>
      </c>
      <c r="BC21">
        <v>28215</v>
      </c>
      <c r="BD21">
        <v>28215</v>
      </c>
      <c r="BE21">
        <v>28215</v>
      </c>
      <c r="BF21">
        <v>28215</v>
      </c>
      <c r="BG21">
        <v>28215</v>
      </c>
      <c r="BH21">
        <v>28215</v>
      </c>
      <c r="BI21">
        <v>28215</v>
      </c>
      <c r="BJ21">
        <v>28215</v>
      </c>
      <c r="BK21">
        <v>28215</v>
      </c>
      <c r="BL21">
        <v>28215</v>
      </c>
      <c r="BM21">
        <v>28215</v>
      </c>
      <c r="BN21">
        <v>28215</v>
      </c>
      <c r="BO21">
        <v>28215</v>
      </c>
      <c r="BP21">
        <v>28215</v>
      </c>
      <c r="BQ21">
        <v>28215</v>
      </c>
      <c r="BR21">
        <v>28215</v>
      </c>
      <c r="BS21">
        <v>28215</v>
      </c>
      <c r="BT21">
        <v>28215</v>
      </c>
      <c r="BU21">
        <v>28215</v>
      </c>
      <c r="BV21">
        <v>28215</v>
      </c>
      <c r="BW21">
        <v>28215</v>
      </c>
      <c r="BX21">
        <v>28215</v>
      </c>
      <c r="BY21">
        <v>28215</v>
      </c>
      <c r="BZ21">
        <v>28215</v>
      </c>
      <c r="CA21">
        <v>28215</v>
      </c>
      <c r="CB21">
        <v>28215</v>
      </c>
      <c r="CC21">
        <v>28215</v>
      </c>
      <c r="CD21">
        <v>28215</v>
      </c>
      <c r="CE21">
        <v>28215</v>
      </c>
      <c r="CF21">
        <v>28215</v>
      </c>
      <c r="CG21">
        <v>28215</v>
      </c>
      <c r="CH21">
        <v>28215</v>
      </c>
      <c r="CI21">
        <v>28215</v>
      </c>
      <c r="CJ21">
        <v>28215</v>
      </c>
      <c r="CK21">
        <v>28215</v>
      </c>
      <c r="CL21">
        <v>28215</v>
      </c>
      <c r="CM21">
        <v>28215</v>
      </c>
      <c r="CN21">
        <v>28215</v>
      </c>
      <c r="CO21">
        <v>28215</v>
      </c>
      <c r="CP21">
        <v>28215</v>
      </c>
      <c r="CQ21">
        <v>28215</v>
      </c>
      <c r="CR21">
        <v>28215</v>
      </c>
      <c r="CS21">
        <v>28215</v>
      </c>
    </row>
    <row r="22" spans="1:97">
      <c r="A22" s="9">
        <v>46255</v>
      </c>
      <c r="B22">
        <v>28215</v>
      </c>
      <c r="C22">
        <v>28215</v>
      </c>
      <c r="D22">
        <v>28215</v>
      </c>
      <c r="E22">
        <v>28215</v>
      </c>
      <c r="F22">
        <v>28215</v>
      </c>
      <c r="G22">
        <v>28215</v>
      </c>
      <c r="H22">
        <v>28215</v>
      </c>
      <c r="I22">
        <v>28215</v>
      </c>
      <c r="J22">
        <v>28215</v>
      </c>
      <c r="K22">
        <v>28215</v>
      </c>
      <c r="L22">
        <v>28215</v>
      </c>
      <c r="M22">
        <v>28215</v>
      </c>
      <c r="N22">
        <v>28215</v>
      </c>
      <c r="O22">
        <v>28215</v>
      </c>
      <c r="P22">
        <v>28215</v>
      </c>
      <c r="Q22">
        <v>28215</v>
      </c>
      <c r="R22">
        <v>28215</v>
      </c>
      <c r="S22">
        <v>28215</v>
      </c>
      <c r="T22">
        <v>28215</v>
      </c>
      <c r="U22">
        <v>28215</v>
      </c>
      <c r="V22">
        <v>28215</v>
      </c>
      <c r="W22">
        <v>28215</v>
      </c>
      <c r="X22">
        <v>28215</v>
      </c>
      <c r="Y22">
        <v>28215</v>
      </c>
      <c r="Z22">
        <v>28215</v>
      </c>
      <c r="AA22">
        <v>28215</v>
      </c>
      <c r="AB22">
        <v>28215</v>
      </c>
      <c r="AC22">
        <v>28215</v>
      </c>
      <c r="AD22">
        <v>28215</v>
      </c>
      <c r="AE22">
        <v>28215</v>
      </c>
      <c r="AF22">
        <v>28215</v>
      </c>
      <c r="AG22">
        <v>28215</v>
      </c>
      <c r="AH22">
        <v>28215</v>
      </c>
      <c r="AI22">
        <v>28215</v>
      </c>
      <c r="AJ22">
        <v>28215</v>
      </c>
      <c r="AK22">
        <v>28215</v>
      </c>
      <c r="AL22">
        <v>28215</v>
      </c>
      <c r="AM22">
        <v>28215</v>
      </c>
      <c r="AN22">
        <v>28215</v>
      </c>
      <c r="AO22">
        <v>28215</v>
      </c>
      <c r="AP22">
        <v>28215</v>
      </c>
      <c r="AQ22">
        <v>28215</v>
      </c>
      <c r="AR22">
        <v>28215</v>
      </c>
      <c r="AS22">
        <v>28215</v>
      </c>
      <c r="AT22">
        <v>28215</v>
      </c>
      <c r="AU22">
        <v>28215</v>
      </c>
      <c r="AV22">
        <v>28215</v>
      </c>
      <c r="AW22">
        <v>28215</v>
      </c>
      <c r="AX22">
        <v>28215</v>
      </c>
      <c r="AY22">
        <v>28215</v>
      </c>
      <c r="AZ22">
        <v>28215</v>
      </c>
      <c r="BA22">
        <v>28215</v>
      </c>
      <c r="BB22">
        <v>28215</v>
      </c>
      <c r="BC22">
        <v>28215</v>
      </c>
      <c r="BD22">
        <v>28215</v>
      </c>
      <c r="BE22">
        <v>28215</v>
      </c>
      <c r="BF22">
        <v>28215</v>
      </c>
      <c r="BG22">
        <v>28215</v>
      </c>
      <c r="BH22">
        <v>28215</v>
      </c>
      <c r="BI22">
        <v>28215</v>
      </c>
      <c r="BJ22">
        <v>28215</v>
      </c>
      <c r="BK22">
        <v>28215</v>
      </c>
      <c r="BL22">
        <v>28215</v>
      </c>
      <c r="BM22">
        <v>28215</v>
      </c>
      <c r="BN22">
        <v>28215</v>
      </c>
      <c r="BO22">
        <v>28215</v>
      </c>
      <c r="BP22">
        <v>28215</v>
      </c>
      <c r="BQ22">
        <v>28215</v>
      </c>
      <c r="BR22">
        <v>28215</v>
      </c>
      <c r="BS22">
        <v>28215</v>
      </c>
      <c r="BT22">
        <v>28215</v>
      </c>
      <c r="BU22">
        <v>28215</v>
      </c>
      <c r="BV22">
        <v>28215</v>
      </c>
      <c r="BW22">
        <v>28215</v>
      </c>
      <c r="BX22">
        <v>28215</v>
      </c>
      <c r="BY22">
        <v>28215</v>
      </c>
      <c r="BZ22">
        <v>28215</v>
      </c>
      <c r="CA22">
        <v>28215</v>
      </c>
      <c r="CB22">
        <v>28215</v>
      </c>
      <c r="CC22">
        <v>28215</v>
      </c>
      <c r="CD22">
        <v>28215</v>
      </c>
      <c r="CE22">
        <v>28215</v>
      </c>
      <c r="CF22">
        <v>28215</v>
      </c>
      <c r="CG22">
        <v>28215</v>
      </c>
      <c r="CH22">
        <v>28215</v>
      </c>
      <c r="CI22">
        <v>28215</v>
      </c>
      <c r="CJ22">
        <v>28215</v>
      </c>
      <c r="CK22">
        <v>28215</v>
      </c>
      <c r="CL22">
        <v>28215</v>
      </c>
      <c r="CM22">
        <v>28215</v>
      </c>
      <c r="CN22">
        <v>28215</v>
      </c>
      <c r="CO22">
        <v>28215</v>
      </c>
      <c r="CP22">
        <v>28215</v>
      </c>
      <c r="CQ22">
        <v>28215</v>
      </c>
      <c r="CR22">
        <v>28215</v>
      </c>
      <c r="CS22">
        <v>28215</v>
      </c>
    </row>
    <row r="23" spans="1:97">
      <c r="A23" s="9">
        <v>46256</v>
      </c>
      <c r="B23">
        <v>28215</v>
      </c>
      <c r="C23">
        <v>28215</v>
      </c>
      <c r="D23">
        <v>28215</v>
      </c>
      <c r="E23">
        <v>28215</v>
      </c>
      <c r="F23">
        <v>28215</v>
      </c>
      <c r="G23">
        <v>28215</v>
      </c>
      <c r="H23">
        <v>28215</v>
      </c>
      <c r="I23">
        <v>28215</v>
      </c>
      <c r="J23">
        <v>28215</v>
      </c>
      <c r="K23">
        <v>28215</v>
      </c>
      <c r="L23">
        <v>28215</v>
      </c>
      <c r="M23">
        <v>28215</v>
      </c>
      <c r="N23">
        <v>28215</v>
      </c>
      <c r="O23">
        <v>28215</v>
      </c>
      <c r="P23">
        <v>28215</v>
      </c>
      <c r="Q23">
        <v>28215</v>
      </c>
      <c r="R23">
        <v>28215</v>
      </c>
      <c r="S23">
        <v>28215</v>
      </c>
      <c r="T23">
        <v>28215</v>
      </c>
      <c r="U23">
        <v>28215</v>
      </c>
      <c r="V23">
        <v>28215</v>
      </c>
      <c r="W23">
        <v>28215</v>
      </c>
      <c r="X23">
        <v>28215</v>
      </c>
      <c r="Y23">
        <v>28215</v>
      </c>
      <c r="Z23">
        <v>28215</v>
      </c>
      <c r="AA23">
        <v>28215</v>
      </c>
      <c r="AB23">
        <v>28215</v>
      </c>
      <c r="AC23">
        <v>28215</v>
      </c>
      <c r="AD23">
        <v>28215</v>
      </c>
      <c r="AE23">
        <v>28215</v>
      </c>
      <c r="AF23">
        <v>28215</v>
      </c>
      <c r="AG23">
        <v>28215</v>
      </c>
      <c r="AH23">
        <v>28215</v>
      </c>
      <c r="AI23">
        <v>28215</v>
      </c>
      <c r="AJ23">
        <v>28215</v>
      </c>
      <c r="AK23">
        <v>28215</v>
      </c>
      <c r="AL23">
        <v>28215</v>
      </c>
      <c r="AM23">
        <v>28215</v>
      </c>
      <c r="AN23">
        <v>28215</v>
      </c>
      <c r="AO23">
        <v>28215</v>
      </c>
      <c r="AP23">
        <v>28215</v>
      </c>
      <c r="AQ23">
        <v>28215</v>
      </c>
      <c r="AR23">
        <v>28215</v>
      </c>
      <c r="AS23">
        <v>28215</v>
      </c>
      <c r="AT23">
        <v>28215</v>
      </c>
      <c r="AU23">
        <v>28215</v>
      </c>
      <c r="AV23">
        <v>28215</v>
      </c>
      <c r="AW23">
        <v>28215</v>
      </c>
      <c r="AX23">
        <v>28215</v>
      </c>
      <c r="AY23">
        <v>28215</v>
      </c>
      <c r="AZ23">
        <v>28215</v>
      </c>
      <c r="BA23">
        <v>28215</v>
      </c>
      <c r="BB23">
        <v>28215</v>
      </c>
      <c r="BC23">
        <v>28215</v>
      </c>
      <c r="BD23">
        <v>28215</v>
      </c>
      <c r="BE23">
        <v>28215</v>
      </c>
      <c r="BF23">
        <v>28215</v>
      </c>
      <c r="BG23">
        <v>28215</v>
      </c>
      <c r="BH23">
        <v>28215</v>
      </c>
      <c r="BI23">
        <v>28215</v>
      </c>
      <c r="BJ23">
        <v>28215</v>
      </c>
      <c r="BK23">
        <v>28215</v>
      </c>
      <c r="BL23">
        <v>28215</v>
      </c>
      <c r="BM23">
        <v>28215</v>
      </c>
      <c r="BN23">
        <v>28215</v>
      </c>
      <c r="BO23">
        <v>28215</v>
      </c>
      <c r="BP23">
        <v>28215</v>
      </c>
      <c r="BQ23">
        <v>28215</v>
      </c>
      <c r="BR23">
        <v>28215</v>
      </c>
      <c r="BS23">
        <v>28215</v>
      </c>
      <c r="BT23">
        <v>28215</v>
      </c>
      <c r="BU23">
        <v>28215</v>
      </c>
      <c r="BV23">
        <v>28215</v>
      </c>
      <c r="BW23">
        <v>28215</v>
      </c>
      <c r="BX23">
        <v>28215</v>
      </c>
      <c r="BY23">
        <v>28215</v>
      </c>
      <c r="BZ23">
        <v>28215</v>
      </c>
      <c r="CA23">
        <v>28215</v>
      </c>
      <c r="CB23">
        <v>28215</v>
      </c>
      <c r="CC23">
        <v>28215</v>
      </c>
      <c r="CD23">
        <v>28215</v>
      </c>
      <c r="CE23">
        <v>28215</v>
      </c>
      <c r="CF23">
        <v>28215</v>
      </c>
      <c r="CG23">
        <v>28215</v>
      </c>
      <c r="CH23">
        <v>28215</v>
      </c>
      <c r="CI23">
        <v>28215</v>
      </c>
      <c r="CJ23">
        <v>28215</v>
      </c>
      <c r="CK23">
        <v>28215</v>
      </c>
      <c r="CL23">
        <v>28215</v>
      </c>
      <c r="CM23">
        <v>28215</v>
      </c>
      <c r="CN23">
        <v>28215</v>
      </c>
      <c r="CO23">
        <v>28215</v>
      </c>
      <c r="CP23">
        <v>28215</v>
      </c>
      <c r="CQ23">
        <v>28215</v>
      </c>
      <c r="CR23">
        <v>28215</v>
      </c>
      <c r="CS23">
        <v>28215</v>
      </c>
    </row>
    <row r="24" spans="1:97">
      <c r="A24" s="9">
        <v>46257</v>
      </c>
      <c r="B24">
        <v>28215</v>
      </c>
      <c r="C24">
        <v>28215</v>
      </c>
      <c r="D24">
        <v>28215</v>
      </c>
      <c r="E24">
        <v>28215</v>
      </c>
      <c r="F24">
        <v>28215</v>
      </c>
      <c r="G24">
        <v>28215</v>
      </c>
      <c r="H24">
        <v>28215</v>
      </c>
      <c r="I24">
        <v>28215</v>
      </c>
      <c r="J24">
        <v>28215</v>
      </c>
      <c r="K24">
        <v>28215</v>
      </c>
      <c r="L24">
        <v>28215</v>
      </c>
      <c r="M24">
        <v>28215</v>
      </c>
      <c r="N24">
        <v>28215</v>
      </c>
      <c r="O24">
        <v>28215</v>
      </c>
      <c r="P24">
        <v>28215</v>
      </c>
      <c r="Q24">
        <v>28215</v>
      </c>
      <c r="R24">
        <v>28215</v>
      </c>
      <c r="S24">
        <v>28215</v>
      </c>
      <c r="T24">
        <v>28215</v>
      </c>
      <c r="U24">
        <v>28215</v>
      </c>
      <c r="V24">
        <v>28215</v>
      </c>
      <c r="W24">
        <v>28215</v>
      </c>
      <c r="X24">
        <v>28215</v>
      </c>
      <c r="Y24">
        <v>28215</v>
      </c>
      <c r="Z24">
        <v>28215</v>
      </c>
      <c r="AA24">
        <v>28215</v>
      </c>
      <c r="AB24">
        <v>28215</v>
      </c>
      <c r="AC24">
        <v>28215</v>
      </c>
      <c r="AD24">
        <v>28215</v>
      </c>
      <c r="AE24">
        <v>28215</v>
      </c>
      <c r="AF24">
        <v>28215</v>
      </c>
      <c r="AG24">
        <v>28215</v>
      </c>
      <c r="AH24">
        <v>28215</v>
      </c>
      <c r="AI24">
        <v>28215</v>
      </c>
      <c r="AJ24">
        <v>28215</v>
      </c>
      <c r="AK24">
        <v>28215</v>
      </c>
      <c r="AL24">
        <v>28215</v>
      </c>
      <c r="AM24">
        <v>28215</v>
      </c>
      <c r="AN24">
        <v>28215</v>
      </c>
      <c r="AO24">
        <v>28215</v>
      </c>
      <c r="AP24">
        <v>28215</v>
      </c>
      <c r="AQ24">
        <v>28215</v>
      </c>
      <c r="AR24">
        <v>28215</v>
      </c>
      <c r="AS24">
        <v>28215</v>
      </c>
      <c r="AT24">
        <v>28215</v>
      </c>
      <c r="AU24">
        <v>28215</v>
      </c>
      <c r="AV24">
        <v>28215</v>
      </c>
      <c r="AW24">
        <v>28215</v>
      </c>
      <c r="AX24">
        <v>28215</v>
      </c>
      <c r="AY24">
        <v>28215</v>
      </c>
      <c r="AZ24">
        <v>28215</v>
      </c>
      <c r="BA24">
        <v>28215</v>
      </c>
      <c r="BB24">
        <v>28215</v>
      </c>
      <c r="BC24">
        <v>28215</v>
      </c>
      <c r="BD24">
        <v>28215</v>
      </c>
      <c r="BE24">
        <v>28215</v>
      </c>
      <c r="BF24">
        <v>28215</v>
      </c>
      <c r="BG24">
        <v>28215</v>
      </c>
      <c r="BH24">
        <v>28215</v>
      </c>
      <c r="BI24">
        <v>28215</v>
      </c>
      <c r="BJ24">
        <v>28215</v>
      </c>
      <c r="BK24">
        <v>28215</v>
      </c>
      <c r="BL24">
        <v>28215</v>
      </c>
      <c r="BM24">
        <v>28215</v>
      </c>
      <c r="BN24">
        <v>28215</v>
      </c>
      <c r="BO24">
        <v>28215</v>
      </c>
      <c r="BP24">
        <v>28215</v>
      </c>
      <c r="BQ24">
        <v>28215</v>
      </c>
      <c r="BR24">
        <v>28215</v>
      </c>
      <c r="BS24">
        <v>28215</v>
      </c>
      <c r="BT24">
        <v>28215</v>
      </c>
      <c r="BU24">
        <v>28215</v>
      </c>
      <c r="BV24">
        <v>28215</v>
      </c>
      <c r="BW24">
        <v>28215</v>
      </c>
      <c r="BX24">
        <v>28215</v>
      </c>
      <c r="BY24">
        <v>28215</v>
      </c>
      <c r="BZ24">
        <v>28215</v>
      </c>
      <c r="CA24">
        <v>28215</v>
      </c>
      <c r="CB24">
        <v>28215</v>
      </c>
      <c r="CC24">
        <v>28215</v>
      </c>
      <c r="CD24">
        <v>28215</v>
      </c>
      <c r="CE24">
        <v>28215</v>
      </c>
      <c r="CF24">
        <v>28215</v>
      </c>
      <c r="CG24">
        <v>28215</v>
      </c>
      <c r="CH24">
        <v>28215</v>
      </c>
      <c r="CI24">
        <v>28215</v>
      </c>
      <c r="CJ24">
        <v>28215</v>
      </c>
      <c r="CK24">
        <v>28215</v>
      </c>
      <c r="CL24">
        <v>28215</v>
      </c>
      <c r="CM24">
        <v>28215</v>
      </c>
      <c r="CN24">
        <v>28215</v>
      </c>
      <c r="CO24">
        <v>28215</v>
      </c>
      <c r="CP24">
        <v>28215</v>
      </c>
      <c r="CQ24">
        <v>28215</v>
      </c>
      <c r="CR24">
        <v>28215</v>
      </c>
      <c r="CS24">
        <v>28215</v>
      </c>
    </row>
    <row r="25" spans="1:97">
      <c r="A25" s="9">
        <v>46258</v>
      </c>
      <c r="B25">
        <v>28215</v>
      </c>
      <c r="C25">
        <v>28215</v>
      </c>
      <c r="D25">
        <v>28215</v>
      </c>
      <c r="E25">
        <v>28215</v>
      </c>
      <c r="F25">
        <v>28215</v>
      </c>
      <c r="G25">
        <v>28215</v>
      </c>
      <c r="H25">
        <v>28215</v>
      </c>
      <c r="I25">
        <v>28215</v>
      </c>
      <c r="J25">
        <v>28215</v>
      </c>
      <c r="K25">
        <v>28215</v>
      </c>
      <c r="L25">
        <v>28215</v>
      </c>
      <c r="M25">
        <v>28215</v>
      </c>
      <c r="N25">
        <v>28215</v>
      </c>
      <c r="O25">
        <v>28215</v>
      </c>
      <c r="P25">
        <v>28215</v>
      </c>
      <c r="Q25">
        <v>28215</v>
      </c>
      <c r="R25">
        <v>28215</v>
      </c>
      <c r="S25">
        <v>28215</v>
      </c>
      <c r="T25">
        <v>28215</v>
      </c>
      <c r="U25">
        <v>28215</v>
      </c>
      <c r="V25">
        <v>28215</v>
      </c>
      <c r="W25">
        <v>28215</v>
      </c>
      <c r="X25">
        <v>28215</v>
      </c>
      <c r="Y25">
        <v>28215</v>
      </c>
      <c r="Z25">
        <v>28215</v>
      </c>
      <c r="AA25">
        <v>28215</v>
      </c>
      <c r="AB25">
        <v>28215</v>
      </c>
      <c r="AC25">
        <v>28215</v>
      </c>
      <c r="AD25">
        <v>28215</v>
      </c>
      <c r="AE25">
        <v>28215</v>
      </c>
      <c r="AF25">
        <v>28215</v>
      </c>
      <c r="AG25">
        <v>28215</v>
      </c>
      <c r="AH25">
        <v>28215</v>
      </c>
      <c r="AI25">
        <v>28215</v>
      </c>
      <c r="AJ25">
        <v>28215</v>
      </c>
      <c r="AK25">
        <v>28215</v>
      </c>
      <c r="AL25">
        <v>28215</v>
      </c>
      <c r="AM25">
        <v>28215</v>
      </c>
      <c r="AN25">
        <v>28215</v>
      </c>
      <c r="AO25">
        <v>28215</v>
      </c>
      <c r="AP25">
        <v>28215</v>
      </c>
      <c r="AQ25">
        <v>28215</v>
      </c>
      <c r="AR25">
        <v>28215</v>
      </c>
      <c r="AS25">
        <v>28215</v>
      </c>
      <c r="AT25">
        <v>28215</v>
      </c>
      <c r="AU25">
        <v>28215</v>
      </c>
      <c r="AV25">
        <v>28215</v>
      </c>
      <c r="AW25">
        <v>28215</v>
      </c>
      <c r="AX25">
        <v>28215</v>
      </c>
      <c r="AY25">
        <v>28215</v>
      </c>
      <c r="AZ25">
        <v>28215</v>
      </c>
      <c r="BA25">
        <v>28215</v>
      </c>
      <c r="BB25">
        <v>28215</v>
      </c>
      <c r="BC25">
        <v>28215</v>
      </c>
      <c r="BD25">
        <v>28215</v>
      </c>
      <c r="BE25">
        <v>28215</v>
      </c>
      <c r="BF25">
        <v>28215</v>
      </c>
      <c r="BG25">
        <v>28215</v>
      </c>
      <c r="BH25">
        <v>28215</v>
      </c>
      <c r="BI25">
        <v>28215</v>
      </c>
      <c r="BJ25">
        <v>28215</v>
      </c>
      <c r="BK25">
        <v>28215</v>
      </c>
      <c r="BL25">
        <v>28215</v>
      </c>
      <c r="BM25">
        <v>28215</v>
      </c>
      <c r="BN25">
        <v>28215</v>
      </c>
      <c r="BO25">
        <v>28215</v>
      </c>
      <c r="BP25">
        <v>28215</v>
      </c>
      <c r="BQ25">
        <v>28215</v>
      </c>
      <c r="BR25">
        <v>28215</v>
      </c>
      <c r="BS25">
        <v>28215</v>
      </c>
      <c r="BT25">
        <v>28215</v>
      </c>
      <c r="BU25">
        <v>28215</v>
      </c>
      <c r="BV25">
        <v>28215</v>
      </c>
      <c r="BW25">
        <v>28215</v>
      </c>
      <c r="BX25">
        <v>28215</v>
      </c>
      <c r="BY25">
        <v>28215</v>
      </c>
      <c r="BZ25">
        <v>28215</v>
      </c>
      <c r="CA25">
        <v>28215</v>
      </c>
      <c r="CB25">
        <v>28215</v>
      </c>
      <c r="CC25">
        <v>28215</v>
      </c>
      <c r="CD25">
        <v>28215</v>
      </c>
      <c r="CE25">
        <v>28215</v>
      </c>
      <c r="CF25">
        <v>28215</v>
      </c>
      <c r="CG25">
        <v>28215</v>
      </c>
      <c r="CH25">
        <v>28215</v>
      </c>
      <c r="CI25">
        <v>28215</v>
      </c>
      <c r="CJ25">
        <v>28215</v>
      </c>
      <c r="CK25">
        <v>28215</v>
      </c>
      <c r="CL25">
        <v>28215</v>
      </c>
      <c r="CM25">
        <v>28215</v>
      </c>
      <c r="CN25">
        <v>28215</v>
      </c>
      <c r="CO25">
        <v>28215</v>
      </c>
      <c r="CP25">
        <v>28215</v>
      </c>
      <c r="CQ25">
        <v>28215</v>
      </c>
      <c r="CR25">
        <v>28215</v>
      </c>
      <c r="CS25">
        <v>28215</v>
      </c>
    </row>
    <row r="26" spans="1:97">
      <c r="A26" s="9">
        <v>46259</v>
      </c>
      <c r="B26">
        <v>28215</v>
      </c>
      <c r="C26">
        <v>28215</v>
      </c>
      <c r="D26">
        <v>28215</v>
      </c>
      <c r="E26">
        <v>28215</v>
      </c>
      <c r="F26">
        <v>28215</v>
      </c>
      <c r="G26">
        <v>28215</v>
      </c>
      <c r="H26">
        <v>28215</v>
      </c>
      <c r="I26">
        <v>28215</v>
      </c>
      <c r="J26">
        <v>28215</v>
      </c>
      <c r="K26">
        <v>28215</v>
      </c>
      <c r="L26">
        <v>28215</v>
      </c>
      <c r="M26">
        <v>28215</v>
      </c>
      <c r="N26">
        <v>28215</v>
      </c>
      <c r="O26">
        <v>28215</v>
      </c>
      <c r="P26">
        <v>28215</v>
      </c>
      <c r="Q26">
        <v>28215</v>
      </c>
      <c r="R26">
        <v>28215</v>
      </c>
      <c r="S26">
        <v>28215</v>
      </c>
      <c r="T26">
        <v>28215</v>
      </c>
      <c r="U26">
        <v>28215</v>
      </c>
      <c r="V26">
        <v>28215</v>
      </c>
      <c r="W26">
        <v>28215</v>
      </c>
      <c r="X26">
        <v>28215</v>
      </c>
      <c r="Y26">
        <v>28215</v>
      </c>
      <c r="Z26">
        <v>28215</v>
      </c>
      <c r="AA26">
        <v>28215</v>
      </c>
      <c r="AB26">
        <v>28215</v>
      </c>
      <c r="AC26">
        <v>28215</v>
      </c>
      <c r="AD26">
        <v>28215</v>
      </c>
      <c r="AE26">
        <v>28215</v>
      </c>
      <c r="AF26">
        <v>28215</v>
      </c>
      <c r="AG26">
        <v>28215</v>
      </c>
      <c r="AH26">
        <v>28215</v>
      </c>
      <c r="AI26">
        <v>28215</v>
      </c>
      <c r="AJ26">
        <v>28215</v>
      </c>
      <c r="AK26">
        <v>28215</v>
      </c>
      <c r="AL26">
        <v>28215</v>
      </c>
      <c r="AM26">
        <v>28215</v>
      </c>
      <c r="AN26">
        <v>28215</v>
      </c>
      <c r="AO26">
        <v>28215</v>
      </c>
      <c r="AP26">
        <v>28215</v>
      </c>
      <c r="AQ26">
        <v>28215</v>
      </c>
      <c r="AR26">
        <v>28215</v>
      </c>
      <c r="AS26">
        <v>28215</v>
      </c>
      <c r="AT26">
        <v>28215</v>
      </c>
      <c r="AU26">
        <v>28215</v>
      </c>
      <c r="AV26">
        <v>28215</v>
      </c>
      <c r="AW26">
        <v>28215</v>
      </c>
      <c r="AX26">
        <v>28215</v>
      </c>
      <c r="AY26">
        <v>28215</v>
      </c>
      <c r="AZ26">
        <v>28215</v>
      </c>
      <c r="BA26">
        <v>28215</v>
      </c>
      <c r="BB26">
        <v>28215</v>
      </c>
      <c r="BC26">
        <v>28215</v>
      </c>
      <c r="BD26">
        <v>28215</v>
      </c>
      <c r="BE26">
        <v>28215</v>
      </c>
      <c r="BF26">
        <v>28215</v>
      </c>
      <c r="BG26">
        <v>28215</v>
      </c>
      <c r="BH26">
        <v>28215</v>
      </c>
      <c r="BI26">
        <v>28215</v>
      </c>
      <c r="BJ26">
        <v>28215</v>
      </c>
      <c r="BK26">
        <v>28215</v>
      </c>
      <c r="BL26">
        <v>28215</v>
      </c>
      <c r="BM26">
        <v>28215</v>
      </c>
      <c r="BN26">
        <v>28215</v>
      </c>
      <c r="BO26">
        <v>28215</v>
      </c>
      <c r="BP26">
        <v>28215</v>
      </c>
      <c r="BQ26">
        <v>28215</v>
      </c>
      <c r="BR26">
        <v>28215</v>
      </c>
      <c r="BS26">
        <v>28215</v>
      </c>
      <c r="BT26">
        <v>28215</v>
      </c>
      <c r="BU26">
        <v>28215</v>
      </c>
      <c r="BV26">
        <v>28215</v>
      </c>
      <c r="BW26">
        <v>28215</v>
      </c>
      <c r="BX26">
        <v>28215</v>
      </c>
      <c r="BY26">
        <v>28215</v>
      </c>
      <c r="BZ26">
        <v>28215</v>
      </c>
      <c r="CA26">
        <v>28215</v>
      </c>
      <c r="CB26">
        <v>28215</v>
      </c>
      <c r="CC26">
        <v>28215</v>
      </c>
      <c r="CD26">
        <v>28215</v>
      </c>
      <c r="CE26">
        <v>28215</v>
      </c>
      <c r="CF26">
        <v>28215</v>
      </c>
      <c r="CG26">
        <v>28215</v>
      </c>
      <c r="CH26">
        <v>28215</v>
      </c>
      <c r="CI26">
        <v>28215</v>
      </c>
      <c r="CJ26">
        <v>28215</v>
      </c>
      <c r="CK26">
        <v>28215</v>
      </c>
      <c r="CL26">
        <v>28215</v>
      </c>
      <c r="CM26">
        <v>28215</v>
      </c>
      <c r="CN26">
        <v>28215</v>
      </c>
      <c r="CO26">
        <v>28215</v>
      </c>
      <c r="CP26">
        <v>28215</v>
      </c>
      <c r="CQ26">
        <v>28215</v>
      </c>
      <c r="CR26">
        <v>28215</v>
      </c>
      <c r="CS26">
        <v>28215</v>
      </c>
    </row>
    <row r="27" spans="1:97">
      <c r="A27" s="9">
        <v>46260</v>
      </c>
      <c r="B27">
        <v>28215</v>
      </c>
      <c r="C27">
        <v>28215</v>
      </c>
      <c r="D27">
        <v>28215</v>
      </c>
      <c r="E27">
        <v>28215</v>
      </c>
      <c r="F27">
        <v>28215</v>
      </c>
      <c r="G27">
        <v>28215</v>
      </c>
      <c r="H27">
        <v>28215</v>
      </c>
      <c r="I27">
        <v>28215</v>
      </c>
      <c r="J27">
        <v>28215</v>
      </c>
      <c r="K27">
        <v>28215</v>
      </c>
      <c r="L27">
        <v>28215</v>
      </c>
      <c r="M27">
        <v>28215</v>
      </c>
      <c r="N27">
        <v>28215</v>
      </c>
      <c r="O27">
        <v>28215</v>
      </c>
      <c r="P27">
        <v>28215</v>
      </c>
      <c r="Q27">
        <v>28215</v>
      </c>
      <c r="R27">
        <v>28215</v>
      </c>
      <c r="S27">
        <v>28215</v>
      </c>
      <c r="T27">
        <v>28215</v>
      </c>
      <c r="U27">
        <v>28215</v>
      </c>
      <c r="V27">
        <v>28215</v>
      </c>
      <c r="W27">
        <v>28215</v>
      </c>
      <c r="X27">
        <v>28215</v>
      </c>
      <c r="Y27">
        <v>28215</v>
      </c>
      <c r="Z27">
        <v>28215</v>
      </c>
      <c r="AA27">
        <v>28215</v>
      </c>
      <c r="AB27">
        <v>28215</v>
      </c>
      <c r="AC27">
        <v>28215</v>
      </c>
      <c r="AD27">
        <v>28215</v>
      </c>
      <c r="AE27">
        <v>28215</v>
      </c>
      <c r="AF27">
        <v>28215</v>
      </c>
      <c r="AG27">
        <v>28215</v>
      </c>
      <c r="AH27">
        <v>28215</v>
      </c>
      <c r="AI27">
        <v>28215</v>
      </c>
      <c r="AJ27">
        <v>28215</v>
      </c>
      <c r="AK27">
        <v>28215</v>
      </c>
      <c r="AL27">
        <v>28215</v>
      </c>
      <c r="AM27">
        <v>28215</v>
      </c>
      <c r="AN27">
        <v>28215</v>
      </c>
      <c r="AO27">
        <v>28215</v>
      </c>
      <c r="AP27">
        <v>28215</v>
      </c>
      <c r="AQ27">
        <v>28215</v>
      </c>
      <c r="AR27">
        <v>28215</v>
      </c>
      <c r="AS27">
        <v>28215</v>
      </c>
      <c r="AT27">
        <v>28215</v>
      </c>
      <c r="AU27">
        <v>28215</v>
      </c>
      <c r="AV27">
        <v>28215</v>
      </c>
      <c r="AW27">
        <v>28215</v>
      </c>
      <c r="AX27">
        <v>28215</v>
      </c>
      <c r="AY27">
        <v>28215</v>
      </c>
      <c r="AZ27">
        <v>28215</v>
      </c>
      <c r="BA27">
        <v>28215</v>
      </c>
      <c r="BB27">
        <v>28215</v>
      </c>
      <c r="BC27">
        <v>28215</v>
      </c>
      <c r="BD27">
        <v>28215</v>
      </c>
      <c r="BE27">
        <v>28215</v>
      </c>
      <c r="BF27">
        <v>28215</v>
      </c>
      <c r="BG27">
        <v>28215</v>
      </c>
      <c r="BH27">
        <v>28215</v>
      </c>
      <c r="BI27">
        <v>28215</v>
      </c>
      <c r="BJ27">
        <v>28215</v>
      </c>
      <c r="BK27">
        <v>28215</v>
      </c>
      <c r="BL27">
        <v>28215</v>
      </c>
      <c r="BM27">
        <v>28215</v>
      </c>
      <c r="BN27">
        <v>28215</v>
      </c>
      <c r="BO27">
        <v>28215</v>
      </c>
      <c r="BP27">
        <v>28215</v>
      </c>
      <c r="BQ27">
        <v>28215</v>
      </c>
      <c r="BR27">
        <v>28215</v>
      </c>
      <c r="BS27">
        <v>28215</v>
      </c>
      <c r="BT27">
        <v>28215</v>
      </c>
      <c r="BU27">
        <v>28215</v>
      </c>
      <c r="BV27">
        <v>28215</v>
      </c>
      <c r="BW27">
        <v>28215</v>
      </c>
      <c r="BX27">
        <v>28215</v>
      </c>
      <c r="BY27">
        <v>28215</v>
      </c>
      <c r="BZ27">
        <v>28215</v>
      </c>
      <c r="CA27">
        <v>28215</v>
      </c>
      <c r="CB27">
        <v>28215</v>
      </c>
      <c r="CC27">
        <v>28215</v>
      </c>
      <c r="CD27">
        <v>28215</v>
      </c>
      <c r="CE27">
        <v>28215</v>
      </c>
      <c r="CF27">
        <v>28215</v>
      </c>
      <c r="CG27">
        <v>28215</v>
      </c>
      <c r="CH27">
        <v>28215</v>
      </c>
      <c r="CI27">
        <v>28215</v>
      </c>
      <c r="CJ27">
        <v>28215</v>
      </c>
      <c r="CK27">
        <v>28215</v>
      </c>
      <c r="CL27">
        <v>28215</v>
      </c>
      <c r="CM27">
        <v>28215</v>
      </c>
      <c r="CN27">
        <v>28215</v>
      </c>
      <c r="CO27">
        <v>28215</v>
      </c>
      <c r="CP27">
        <v>28215</v>
      </c>
      <c r="CQ27">
        <v>28215</v>
      </c>
      <c r="CR27">
        <v>28215</v>
      </c>
      <c r="CS27">
        <v>28215</v>
      </c>
    </row>
    <row r="28" spans="1:97">
      <c r="A28" s="9">
        <v>46261</v>
      </c>
      <c r="B28">
        <v>28215</v>
      </c>
      <c r="C28">
        <v>28215</v>
      </c>
      <c r="D28">
        <v>28215</v>
      </c>
      <c r="E28">
        <v>28215</v>
      </c>
      <c r="F28">
        <v>28215</v>
      </c>
      <c r="G28">
        <v>28215</v>
      </c>
      <c r="H28">
        <v>28215</v>
      </c>
      <c r="I28">
        <v>28215</v>
      </c>
      <c r="J28">
        <v>28215</v>
      </c>
      <c r="K28">
        <v>28215</v>
      </c>
      <c r="L28">
        <v>28215</v>
      </c>
      <c r="M28">
        <v>28215</v>
      </c>
      <c r="N28">
        <v>28215</v>
      </c>
      <c r="O28">
        <v>28215</v>
      </c>
      <c r="P28">
        <v>28215</v>
      </c>
      <c r="Q28">
        <v>28215</v>
      </c>
      <c r="R28">
        <v>28215</v>
      </c>
      <c r="S28">
        <v>28215</v>
      </c>
      <c r="T28">
        <v>28215</v>
      </c>
      <c r="U28">
        <v>28215</v>
      </c>
      <c r="V28">
        <v>28215</v>
      </c>
      <c r="W28">
        <v>28215</v>
      </c>
      <c r="X28">
        <v>28215</v>
      </c>
      <c r="Y28">
        <v>28215</v>
      </c>
      <c r="Z28">
        <v>28215</v>
      </c>
      <c r="AA28">
        <v>28215</v>
      </c>
      <c r="AB28">
        <v>28215</v>
      </c>
      <c r="AC28">
        <v>28215</v>
      </c>
      <c r="AD28">
        <v>28215</v>
      </c>
      <c r="AE28">
        <v>28215</v>
      </c>
      <c r="AF28">
        <v>28215</v>
      </c>
      <c r="AG28">
        <v>28215</v>
      </c>
      <c r="AH28">
        <v>28215</v>
      </c>
      <c r="AI28">
        <v>28215</v>
      </c>
      <c r="AJ28">
        <v>28215</v>
      </c>
      <c r="AK28">
        <v>28215</v>
      </c>
      <c r="AL28">
        <v>28215</v>
      </c>
      <c r="AM28">
        <v>28215</v>
      </c>
      <c r="AN28">
        <v>28215</v>
      </c>
      <c r="AO28">
        <v>28215</v>
      </c>
      <c r="AP28">
        <v>28215</v>
      </c>
      <c r="AQ28">
        <v>28215</v>
      </c>
      <c r="AR28">
        <v>28215</v>
      </c>
      <c r="AS28">
        <v>28215</v>
      </c>
      <c r="AT28">
        <v>28215</v>
      </c>
      <c r="AU28">
        <v>28215</v>
      </c>
      <c r="AV28">
        <v>28215</v>
      </c>
      <c r="AW28">
        <v>28215</v>
      </c>
      <c r="AX28">
        <v>28215</v>
      </c>
      <c r="AY28">
        <v>28215</v>
      </c>
      <c r="AZ28">
        <v>28215</v>
      </c>
      <c r="BA28">
        <v>28215</v>
      </c>
      <c r="BB28">
        <v>28215</v>
      </c>
      <c r="BC28">
        <v>28215</v>
      </c>
      <c r="BD28">
        <v>28215</v>
      </c>
      <c r="BE28">
        <v>28215</v>
      </c>
      <c r="BF28">
        <v>28215</v>
      </c>
      <c r="BG28">
        <v>28215</v>
      </c>
      <c r="BH28">
        <v>28215</v>
      </c>
      <c r="BI28">
        <v>28215</v>
      </c>
      <c r="BJ28">
        <v>28215</v>
      </c>
      <c r="BK28">
        <v>28215</v>
      </c>
      <c r="BL28">
        <v>28215</v>
      </c>
      <c r="BM28">
        <v>28215</v>
      </c>
      <c r="BN28">
        <v>28215</v>
      </c>
      <c r="BO28">
        <v>28215</v>
      </c>
      <c r="BP28">
        <v>28215</v>
      </c>
      <c r="BQ28">
        <v>28215</v>
      </c>
      <c r="BR28">
        <v>28215</v>
      </c>
      <c r="BS28">
        <v>28215</v>
      </c>
      <c r="BT28">
        <v>28215</v>
      </c>
      <c r="BU28">
        <v>28215</v>
      </c>
      <c r="BV28">
        <v>28215</v>
      </c>
      <c r="BW28">
        <v>28215</v>
      </c>
      <c r="BX28">
        <v>28215</v>
      </c>
      <c r="BY28">
        <v>28215</v>
      </c>
      <c r="BZ28">
        <v>28215</v>
      </c>
      <c r="CA28">
        <v>28215</v>
      </c>
      <c r="CB28">
        <v>28215</v>
      </c>
      <c r="CC28">
        <v>28215</v>
      </c>
      <c r="CD28">
        <v>28215</v>
      </c>
      <c r="CE28">
        <v>28215</v>
      </c>
      <c r="CF28">
        <v>28215</v>
      </c>
      <c r="CG28">
        <v>28215</v>
      </c>
      <c r="CH28">
        <v>28215</v>
      </c>
      <c r="CI28">
        <v>28215</v>
      </c>
      <c r="CJ28">
        <v>28215</v>
      </c>
      <c r="CK28">
        <v>28215</v>
      </c>
      <c r="CL28">
        <v>28215</v>
      </c>
      <c r="CM28">
        <v>28215</v>
      </c>
      <c r="CN28">
        <v>28215</v>
      </c>
      <c r="CO28">
        <v>28215</v>
      </c>
      <c r="CP28">
        <v>28215</v>
      </c>
      <c r="CQ28">
        <v>28215</v>
      </c>
      <c r="CR28">
        <v>28215</v>
      </c>
      <c r="CS28">
        <v>28215</v>
      </c>
    </row>
    <row r="29" spans="1:97">
      <c r="A29" s="9">
        <v>46262</v>
      </c>
      <c r="B29">
        <v>28215</v>
      </c>
      <c r="C29">
        <v>28215</v>
      </c>
      <c r="D29">
        <v>28215</v>
      </c>
      <c r="E29">
        <v>28215</v>
      </c>
      <c r="F29">
        <v>28215</v>
      </c>
      <c r="G29">
        <v>28215</v>
      </c>
      <c r="H29">
        <v>28215</v>
      </c>
      <c r="I29">
        <v>28215</v>
      </c>
      <c r="J29">
        <v>28215</v>
      </c>
      <c r="K29">
        <v>28215</v>
      </c>
      <c r="L29">
        <v>28215</v>
      </c>
      <c r="M29">
        <v>28215</v>
      </c>
      <c r="N29">
        <v>28215</v>
      </c>
      <c r="O29">
        <v>28215</v>
      </c>
      <c r="P29">
        <v>28215</v>
      </c>
      <c r="Q29">
        <v>28215</v>
      </c>
      <c r="R29">
        <v>28215</v>
      </c>
      <c r="S29">
        <v>28215</v>
      </c>
      <c r="T29">
        <v>28215</v>
      </c>
      <c r="U29">
        <v>28215</v>
      </c>
      <c r="V29">
        <v>28215</v>
      </c>
      <c r="W29">
        <v>28215</v>
      </c>
      <c r="X29">
        <v>28215</v>
      </c>
      <c r="Y29">
        <v>28215</v>
      </c>
      <c r="Z29">
        <v>28215</v>
      </c>
      <c r="AA29">
        <v>28215</v>
      </c>
      <c r="AB29">
        <v>28215</v>
      </c>
      <c r="AC29">
        <v>28215</v>
      </c>
      <c r="AD29">
        <v>28215</v>
      </c>
      <c r="AE29">
        <v>28215</v>
      </c>
      <c r="AF29">
        <v>28215</v>
      </c>
      <c r="AG29">
        <v>28215</v>
      </c>
      <c r="AH29">
        <v>28215</v>
      </c>
      <c r="AI29">
        <v>28215</v>
      </c>
      <c r="AJ29">
        <v>28215</v>
      </c>
      <c r="AK29">
        <v>28215</v>
      </c>
      <c r="AL29">
        <v>28215</v>
      </c>
      <c r="AM29">
        <v>28215</v>
      </c>
      <c r="AN29">
        <v>28215</v>
      </c>
      <c r="AO29">
        <v>28215</v>
      </c>
      <c r="AP29">
        <v>28215</v>
      </c>
      <c r="AQ29">
        <v>28215</v>
      </c>
      <c r="AR29">
        <v>28215</v>
      </c>
      <c r="AS29">
        <v>28215</v>
      </c>
      <c r="AT29">
        <v>28215</v>
      </c>
      <c r="AU29">
        <v>28215</v>
      </c>
      <c r="AV29">
        <v>28215</v>
      </c>
      <c r="AW29">
        <v>28215</v>
      </c>
      <c r="AX29">
        <v>28215</v>
      </c>
      <c r="AY29">
        <v>28215</v>
      </c>
      <c r="AZ29">
        <v>28215</v>
      </c>
      <c r="BA29">
        <v>28215</v>
      </c>
      <c r="BB29">
        <v>28215</v>
      </c>
      <c r="BC29">
        <v>28215</v>
      </c>
      <c r="BD29">
        <v>28215</v>
      </c>
      <c r="BE29">
        <v>28215</v>
      </c>
      <c r="BF29">
        <v>28215</v>
      </c>
      <c r="BG29">
        <v>28215</v>
      </c>
      <c r="BH29">
        <v>28215</v>
      </c>
      <c r="BI29">
        <v>28215</v>
      </c>
      <c r="BJ29">
        <v>28215</v>
      </c>
      <c r="BK29">
        <v>28215</v>
      </c>
      <c r="BL29">
        <v>28215</v>
      </c>
      <c r="BM29">
        <v>28215</v>
      </c>
      <c r="BN29">
        <v>28215</v>
      </c>
      <c r="BO29">
        <v>28215</v>
      </c>
      <c r="BP29">
        <v>28215</v>
      </c>
      <c r="BQ29">
        <v>28215</v>
      </c>
      <c r="BR29">
        <v>28215</v>
      </c>
      <c r="BS29">
        <v>28215</v>
      </c>
      <c r="BT29">
        <v>28215</v>
      </c>
      <c r="BU29">
        <v>28215</v>
      </c>
      <c r="BV29">
        <v>28215</v>
      </c>
      <c r="BW29">
        <v>28215</v>
      </c>
      <c r="BX29">
        <v>28215</v>
      </c>
      <c r="BY29">
        <v>28215</v>
      </c>
      <c r="BZ29">
        <v>28215</v>
      </c>
      <c r="CA29">
        <v>28215</v>
      </c>
      <c r="CB29">
        <v>28215</v>
      </c>
      <c r="CC29">
        <v>28215</v>
      </c>
      <c r="CD29">
        <v>28215</v>
      </c>
      <c r="CE29">
        <v>28215</v>
      </c>
      <c r="CF29">
        <v>28215</v>
      </c>
      <c r="CG29">
        <v>28215</v>
      </c>
      <c r="CH29">
        <v>28215</v>
      </c>
      <c r="CI29">
        <v>28215</v>
      </c>
      <c r="CJ29">
        <v>28215</v>
      </c>
      <c r="CK29">
        <v>28215</v>
      </c>
      <c r="CL29">
        <v>28215</v>
      </c>
      <c r="CM29">
        <v>28215</v>
      </c>
      <c r="CN29">
        <v>28215</v>
      </c>
      <c r="CO29">
        <v>28215</v>
      </c>
      <c r="CP29">
        <v>28215</v>
      </c>
      <c r="CQ29">
        <v>28215</v>
      </c>
      <c r="CR29">
        <v>28215</v>
      </c>
      <c r="CS29">
        <v>28215</v>
      </c>
    </row>
    <row r="30" spans="1:97">
      <c r="A30" s="9">
        <v>46263</v>
      </c>
      <c r="B30">
        <v>28215</v>
      </c>
      <c r="C30">
        <v>28215</v>
      </c>
      <c r="D30">
        <v>28215</v>
      </c>
      <c r="E30">
        <v>28215</v>
      </c>
      <c r="F30">
        <v>28215</v>
      </c>
      <c r="G30">
        <v>28215</v>
      </c>
      <c r="H30">
        <v>28215</v>
      </c>
      <c r="I30">
        <v>28215</v>
      </c>
      <c r="J30">
        <v>28215</v>
      </c>
      <c r="K30">
        <v>28215</v>
      </c>
      <c r="L30">
        <v>28215</v>
      </c>
      <c r="M30">
        <v>28215</v>
      </c>
      <c r="N30">
        <v>28215</v>
      </c>
      <c r="O30">
        <v>28215</v>
      </c>
      <c r="P30">
        <v>28215</v>
      </c>
      <c r="Q30">
        <v>28215</v>
      </c>
      <c r="R30">
        <v>28215</v>
      </c>
      <c r="S30">
        <v>28215</v>
      </c>
      <c r="T30">
        <v>28215</v>
      </c>
      <c r="U30">
        <v>28215</v>
      </c>
      <c r="V30">
        <v>28215</v>
      </c>
      <c r="W30">
        <v>28215</v>
      </c>
      <c r="X30">
        <v>28215</v>
      </c>
      <c r="Y30">
        <v>28215</v>
      </c>
      <c r="Z30">
        <v>28215</v>
      </c>
      <c r="AA30">
        <v>28215</v>
      </c>
      <c r="AB30">
        <v>28215</v>
      </c>
      <c r="AC30">
        <v>28215</v>
      </c>
      <c r="AD30">
        <v>28215</v>
      </c>
      <c r="AE30">
        <v>28215</v>
      </c>
      <c r="AF30">
        <v>28215</v>
      </c>
      <c r="AG30">
        <v>28215</v>
      </c>
      <c r="AH30">
        <v>28215</v>
      </c>
      <c r="AI30">
        <v>28215</v>
      </c>
      <c r="AJ30">
        <v>28215</v>
      </c>
      <c r="AK30">
        <v>28215</v>
      </c>
      <c r="AL30">
        <v>28215</v>
      </c>
      <c r="AM30">
        <v>28215</v>
      </c>
      <c r="AN30">
        <v>28215</v>
      </c>
      <c r="AO30">
        <v>28215</v>
      </c>
      <c r="AP30">
        <v>28215</v>
      </c>
      <c r="AQ30">
        <v>28215</v>
      </c>
      <c r="AR30">
        <v>28215</v>
      </c>
      <c r="AS30">
        <v>28215</v>
      </c>
      <c r="AT30">
        <v>28215</v>
      </c>
      <c r="AU30">
        <v>28215</v>
      </c>
      <c r="AV30">
        <v>28215</v>
      </c>
      <c r="AW30">
        <v>28215</v>
      </c>
      <c r="AX30">
        <v>28215</v>
      </c>
      <c r="AY30">
        <v>28215</v>
      </c>
      <c r="AZ30">
        <v>28215</v>
      </c>
      <c r="BA30">
        <v>28215</v>
      </c>
      <c r="BB30">
        <v>28215</v>
      </c>
      <c r="BC30">
        <v>28215</v>
      </c>
      <c r="BD30">
        <v>28215</v>
      </c>
      <c r="BE30">
        <v>28215</v>
      </c>
      <c r="BF30">
        <v>28215</v>
      </c>
      <c r="BG30">
        <v>28215</v>
      </c>
      <c r="BH30">
        <v>28215</v>
      </c>
      <c r="BI30">
        <v>28215</v>
      </c>
      <c r="BJ30">
        <v>28215</v>
      </c>
      <c r="BK30">
        <v>28215</v>
      </c>
      <c r="BL30">
        <v>28215</v>
      </c>
      <c r="BM30">
        <v>28215</v>
      </c>
      <c r="BN30">
        <v>28215</v>
      </c>
      <c r="BO30">
        <v>28215</v>
      </c>
      <c r="BP30">
        <v>28215</v>
      </c>
      <c r="BQ30">
        <v>28215</v>
      </c>
      <c r="BR30">
        <v>28215</v>
      </c>
      <c r="BS30">
        <v>28215</v>
      </c>
      <c r="BT30">
        <v>28215</v>
      </c>
      <c r="BU30">
        <v>28215</v>
      </c>
      <c r="BV30">
        <v>28215</v>
      </c>
      <c r="BW30">
        <v>28215</v>
      </c>
      <c r="BX30">
        <v>28215</v>
      </c>
      <c r="BY30">
        <v>28215</v>
      </c>
      <c r="BZ30">
        <v>28215</v>
      </c>
      <c r="CA30">
        <v>28215</v>
      </c>
      <c r="CB30">
        <v>28215</v>
      </c>
      <c r="CC30">
        <v>28215</v>
      </c>
      <c r="CD30">
        <v>28215</v>
      </c>
      <c r="CE30">
        <v>28215</v>
      </c>
      <c r="CF30">
        <v>28215</v>
      </c>
      <c r="CG30">
        <v>28215</v>
      </c>
      <c r="CH30">
        <v>28215</v>
      </c>
      <c r="CI30">
        <v>28215</v>
      </c>
      <c r="CJ30">
        <v>28215</v>
      </c>
      <c r="CK30">
        <v>28215</v>
      </c>
      <c r="CL30">
        <v>28215</v>
      </c>
      <c r="CM30">
        <v>28215</v>
      </c>
      <c r="CN30">
        <v>28215</v>
      </c>
      <c r="CO30">
        <v>28215</v>
      </c>
      <c r="CP30">
        <v>28215</v>
      </c>
      <c r="CQ30">
        <v>28215</v>
      </c>
      <c r="CR30">
        <v>28215</v>
      </c>
      <c r="CS30">
        <v>28215</v>
      </c>
    </row>
    <row r="31" spans="1:97">
      <c r="A31" s="9">
        <v>46264</v>
      </c>
      <c r="B31">
        <v>28215</v>
      </c>
      <c r="C31">
        <v>28215</v>
      </c>
      <c r="D31">
        <v>28215</v>
      </c>
      <c r="E31">
        <v>28215</v>
      </c>
      <c r="F31">
        <v>28215</v>
      </c>
      <c r="G31">
        <v>28215</v>
      </c>
      <c r="H31">
        <v>28215</v>
      </c>
      <c r="I31">
        <v>28215</v>
      </c>
      <c r="J31">
        <v>28215</v>
      </c>
      <c r="K31">
        <v>28215</v>
      </c>
      <c r="L31">
        <v>28215</v>
      </c>
      <c r="M31">
        <v>28215</v>
      </c>
      <c r="N31">
        <v>28215</v>
      </c>
      <c r="O31">
        <v>28215</v>
      </c>
      <c r="P31">
        <v>28215</v>
      </c>
      <c r="Q31">
        <v>28215</v>
      </c>
      <c r="R31">
        <v>28215</v>
      </c>
      <c r="S31">
        <v>28215</v>
      </c>
      <c r="T31">
        <v>28215</v>
      </c>
      <c r="U31">
        <v>28215</v>
      </c>
      <c r="V31">
        <v>28215</v>
      </c>
      <c r="W31">
        <v>28215</v>
      </c>
      <c r="X31">
        <v>28215</v>
      </c>
      <c r="Y31">
        <v>28215</v>
      </c>
      <c r="Z31">
        <v>28215</v>
      </c>
      <c r="AA31">
        <v>28215</v>
      </c>
      <c r="AB31">
        <v>28215</v>
      </c>
      <c r="AC31">
        <v>28215</v>
      </c>
      <c r="AD31">
        <v>28215</v>
      </c>
      <c r="AE31">
        <v>28215</v>
      </c>
      <c r="AF31">
        <v>28215</v>
      </c>
      <c r="AG31">
        <v>28215</v>
      </c>
      <c r="AH31">
        <v>28215</v>
      </c>
      <c r="AI31">
        <v>28215</v>
      </c>
      <c r="AJ31">
        <v>28215</v>
      </c>
      <c r="AK31">
        <v>28215</v>
      </c>
      <c r="AL31">
        <v>28215</v>
      </c>
      <c r="AM31">
        <v>28215</v>
      </c>
      <c r="AN31">
        <v>28215</v>
      </c>
      <c r="AO31">
        <v>28215</v>
      </c>
      <c r="AP31">
        <v>28215</v>
      </c>
      <c r="AQ31">
        <v>28215</v>
      </c>
      <c r="AR31">
        <v>28215</v>
      </c>
      <c r="AS31">
        <v>28215</v>
      </c>
      <c r="AT31">
        <v>28215</v>
      </c>
      <c r="AU31">
        <v>28215</v>
      </c>
      <c r="AV31">
        <v>28215</v>
      </c>
      <c r="AW31">
        <v>28215</v>
      </c>
      <c r="AX31">
        <v>28215</v>
      </c>
      <c r="AY31">
        <v>28215</v>
      </c>
      <c r="AZ31">
        <v>28215</v>
      </c>
      <c r="BA31">
        <v>28215</v>
      </c>
      <c r="BB31">
        <v>28215</v>
      </c>
      <c r="BC31">
        <v>28215</v>
      </c>
      <c r="BD31">
        <v>28215</v>
      </c>
      <c r="BE31">
        <v>28215</v>
      </c>
      <c r="BF31">
        <v>28215</v>
      </c>
      <c r="BG31">
        <v>28215</v>
      </c>
      <c r="BH31">
        <v>28215</v>
      </c>
      <c r="BI31">
        <v>28215</v>
      </c>
      <c r="BJ31">
        <v>28215</v>
      </c>
      <c r="BK31">
        <v>28215</v>
      </c>
      <c r="BL31">
        <v>28215</v>
      </c>
      <c r="BM31">
        <v>28215</v>
      </c>
      <c r="BN31">
        <v>28215</v>
      </c>
      <c r="BO31">
        <v>28215</v>
      </c>
      <c r="BP31">
        <v>28215</v>
      </c>
      <c r="BQ31">
        <v>28215</v>
      </c>
      <c r="BR31">
        <v>28215</v>
      </c>
      <c r="BS31">
        <v>28215</v>
      </c>
      <c r="BT31">
        <v>28215</v>
      </c>
      <c r="BU31">
        <v>28215</v>
      </c>
      <c r="BV31">
        <v>28215</v>
      </c>
      <c r="BW31">
        <v>28215</v>
      </c>
      <c r="BX31">
        <v>28215</v>
      </c>
      <c r="BY31">
        <v>28215</v>
      </c>
      <c r="BZ31">
        <v>28215</v>
      </c>
      <c r="CA31">
        <v>28215</v>
      </c>
      <c r="CB31">
        <v>28215</v>
      </c>
      <c r="CC31">
        <v>28215</v>
      </c>
      <c r="CD31">
        <v>28215</v>
      </c>
      <c r="CE31">
        <v>28215</v>
      </c>
      <c r="CF31">
        <v>28215</v>
      </c>
      <c r="CG31">
        <v>28215</v>
      </c>
      <c r="CH31">
        <v>28215</v>
      </c>
      <c r="CI31">
        <v>28215</v>
      </c>
      <c r="CJ31">
        <v>28215</v>
      </c>
      <c r="CK31">
        <v>28215</v>
      </c>
      <c r="CL31">
        <v>28215</v>
      </c>
      <c r="CM31">
        <v>28215</v>
      </c>
      <c r="CN31">
        <v>28215</v>
      </c>
      <c r="CO31">
        <v>28215</v>
      </c>
      <c r="CP31">
        <v>28215</v>
      </c>
      <c r="CQ31">
        <v>28215</v>
      </c>
      <c r="CR31">
        <v>28215</v>
      </c>
      <c r="CS31">
        <v>28215</v>
      </c>
    </row>
    <row r="32" spans="1:97">
      <c r="A32" s="9">
        <v>46265</v>
      </c>
      <c r="B32">
        <v>28215</v>
      </c>
      <c r="C32">
        <v>28215</v>
      </c>
      <c r="D32">
        <v>28215</v>
      </c>
      <c r="E32">
        <v>28215</v>
      </c>
      <c r="F32">
        <v>28215</v>
      </c>
      <c r="G32">
        <v>28215</v>
      </c>
      <c r="H32">
        <v>28215</v>
      </c>
      <c r="I32">
        <v>28215</v>
      </c>
      <c r="J32">
        <v>28215</v>
      </c>
      <c r="K32">
        <v>28215</v>
      </c>
      <c r="L32">
        <v>28215</v>
      </c>
      <c r="M32">
        <v>28215</v>
      </c>
      <c r="N32">
        <v>28215</v>
      </c>
      <c r="O32">
        <v>28215</v>
      </c>
      <c r="P32">
        <v>28215</v>
      </c>
      <c r="Q32">
        <v>28215</v>
      </c>
      <c r="R32">
        <v>28215</v>
      </c>
      <c r="S32">
        <v>28215</v>
      </c>
      <c r="T32">
        <v>28215</v>
      </c>
      <c r="U32">
        <v>28215</v>
      </c>
      <c r="V32">
        <v>28215</v>
      </c>
      <c r="W32">
        <v>28215</v>
      </c>
      <c r="X32">
        <v>28215</v>
      </c>
      <c r="Y32">
        <v>28215</v>
      </c>
      <c r="Z32">
        <v>28215</v>
      </c>
      <c r="AA32">
        <v>28215</v>
      </c>
      <c r="AB32">
        <v>28215</v>
      </c>
      <c r="AC32">
        <v>28215</v>
      </c>
      <c r="AD32">
        <v>28215</v>
      </c>
      <c r="AE32">
        <v>28215</v>
      </c>
      <c r="AF32">
        <v>28215</v>
      </c>
      <c r="AG32">
        <v>28215</v>
      </c>
      <c r="AH32">
        <v>28215</v>
      </c>
      <c r="AI32">
        <v>28215</v>
      </c>
      <c r="AJ32">
        <v>28215</v>
      </c>
      <c r="AK32">
        <v>28215</v>
      </c>
      <c r="AL32">
        <v>28215</v>
      </c>
      <c r="AM32">
        <v>28215</v>
      </c>
      <c r="AN32">
        <v>28215</v>
      </c>
      <c r="AO32">
        <v>28215</v>
      </c>
      <c r="AP32">
        <v>28215</v>
      </c>
      <c r="AQ32">
        <v>28215</v>
      </c>
      <c r="AR32">
        <v>28215</v>
      </c>
      <c r="AS32">
        <v>28215</v>
      </c>
      <c r="AT32">
        <v>28215</v>
      </c>
      <c r="AU32">
        <v>28215</v>
      </c>
      <c r="AV32">
        <v>28215</v>
      </c>
      <c r="AW32">
        <v>28215</v>
      </c>
      <c r="AX32">
        <v>28215</v>
      </c>
      <c r="AY32">
        <v>28215</v>
      </c>
      <c r="AZ32">
        <v>28215</v>
      </c>
      <c r="BA32">
        <v>28215</v>
      </c>
      <c r="BB32">
        <v>28215</v>
      </c>
      <c r="BC32">
        <v>28215</v>
      </c>
      <c r="BD32">
        <v>28215</v>
      </c>
      <c r="BE32">
        <v>28215</v>
      </c>
      <c r="BF32">
        <v>28215</v>
      </c>
      <c r="BG32">
        <v>28215</v>
      </c>
      <c r="BH32">
        <v>28215</v>
      </c>
      <c r="BI32">
        <v>28215</v>
      </c>
      <c r="BJ32">
        <v>28215</v>
      </c>
      <c r="BK32">
        <v>28215</v>
      </c>
      <c r="BL32">
        <v>28215</v>
      </c>
      <c r="BM32">
        <v>28215</v>
      </c>
      <c r="BN32">
        <v>28215</v>
      </c>
      <c r="BO32">
        <v>28215</v>
      </c>
      <c r="BP32">
        <v>28215</v>
      </c>
      <c r="BQ32">
        <v>28215</v>
      </c>
      <c r="BR32">
        <v>28215</v>
      </c>
      <c r="BS32">
        <v>28215</v>
      </c>
      <c r="BT32">
        <v>28215</v>
      </c>
      <c r="BU32">
        <v>28215</v>
      </c>
      <c r="BV32">
        <v>28215</v>
      </c>
      <c r="BW32">
        <v>28215</v>
      </c>
      <c r="BX32">
        <v>28215</v>
      </c>
      <c r="BY32">
        <v>28215</v>
      </c>
      <c r="BZ32">
        <v>28215</v>
      </c>
      <c r="CA32">
        <v>28215</v>
      </c>
      <c r="CB32">
        <v>28215</v>
      </c>
      <c r="CC32">
        <v>28215</v>
      </c>
      <c r="CD32">
        <v>28215</v>
      </c>
      <c r="CE32">
        <v>28215</v>
      </c>
      <c r="CF32">
        <v>28215</v>
      </c>
      <c r="CG32">
        <v>28215</v>
      </c>
      <c r="CH32">
        <v>28215</v>
      </c>
      <c r="CI32">
        <v>28215</v>
      </c>
      <c r="CJ32">
        <v>28215</v>
      </c>
      <c r="CK32">
        <v>28215</v>
      </c>
      <c r="CL32">
        <v>28215</v>
      </c>
      <c r="CM32">
        <v>28215</v>
      </c>
      <c r="CN32">
        <v>28215</v>
      </c>
      <c r="CO32">
        <v>28215</v>
      </c>
      <c r="CP32">
        <v>28215</v>
      </c>
      <c r="CQ32">
        <v>28215</v>
      </c>
      <c r="CR32">
        <v>28215</v>
      </c>
      <c r="CS32">
        <v>28215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  <col min="2" max="97" width="9.66666666666667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f>负荷!B2-水电!B2-核电!B2-地方燃煤!B2-风电!B2-光伏!B2-联络线!B2-非市场化!B2</f>
        <v>5853.04</v>
      </c>
      <c r="C2">
        <f>负荷!C2-水电!C2-核电!C2-地方燃煤!C2-风电!C2-光伏!C2-联络线!C2-非市场化!C2</f>
        <v>5731.12</v>
      </c>
      <c r="D2">
        <f>负荷!D2-水电!D2-核电!D2-地方燃煤!D2-风电!D2-光伏!D2-联络线!D2-非市场化!D2</f>
        <v>5991.46</v>
      </c>
      <c r="E2">
        <f>负荷!E2-水电!E2-核电!E2-地方燃煤!E2-风电!E2-光伏!E2-联络线!E2-非市场化!E2</f>
        <v>6095.1</v>
      </c>
      <c r="F2">
        <f>负荷!F2-水电!F2-核电!F2-地方燃煤!F2-风电!F2-光伏!F2-联络线!F2-非市场化!F2</f>
        <v>6180.52</v>
      </c>
      <c r="G2">
        <f>负荷!G2-水电!G2-核电!G2-地方燃煤!G2-风电!G2-光伏!G2-联络线!G2-非市场化!G2</f>
        <v>5947.41</v>
      </c>
      <c r="H2">
        <f>负荷!H2-水电!H2-核电!H2-地方燃煤!H2-风电!H2-光伏!H2-联络线!H2-非市场化!H2</f>
        <v>5774.57</v>
      </c>
      <c r="I2">
        <f>负荷!I2-水电!I2-核电!I2-地方燃煤!I2-风电!I2-光伏!I2-联络线!I2-非市场化!I2</f>
        <v>5699.61</v>
      </c>
      <c r="J2">
        <f>负荷!J2-水电!J2-核电!J2-地方燃煤!J2-风电!J2-光伏!J2-联络线!J2-非市场化!J2</f>
        <v>5784.63</v>
      </c>
      <c r="K2">
        <f>负荷!K2-水电!K2-核电!K2-地方燃煤!K2-风电!K2-光伏!K2-联络线!K2-非市场化!K2</f>
        <v>5536.29</v>
      </c>
      <c r="L2">
        <f>负荷!L2-水电!L2-核电!L2-地方燃煤!L2-风电!L2-光伏!L2-联络线!L2-非市场化!L2</f>
        <v>5521.26</v>
      </c>
      <c r="M2">
        <f>负荷!M2-水电!M2-核电!M2-地方燃煤!M2-风电!M2-光伏!M2-联络线!M2-非市场化!M2</f>
        <v>5297.76999999999</v>
      </c>
      <c r="N2">
        <f>负荷!N2-水电!N2-核电!N2-地方燃煤!N2-风电!N2-光伏!N2-联络线!N2-非市场化!N2</f>
        <v>5209.36</v>
      </c>
      <c r="O2">
        <f>负荷!O2-水电!O2-核电!O2-地方燃煤!O2-风电!O2-光伏!O2-联络线!O2-非市场化!O2</f>
        <v>5294.94</v>
      </c>
      <c r="P2">
        <f>负荷!P2-水电!P2-核电!P2-地方燃煤!P2-风电!P2-光伏!P2-联络线!P2-非市场化!P2</f>
        <v>5411.76</v>
      </c>
      <c r="Q2">
        <f>负荷!Q2-水电!Q2-核电!Q2-地方燃煤!Q2-风电!Q2-光伏!Q2-联络线!Q2-非市场化!Q2</f>
        <v>5344.68</v>
      </c>
      <c r="R2">
        <f>负荷!R2-水电!R2-核电!R2-地方燃煤!R2-风电!R2-光伏!R2-联络线!R2-非市场化!R2</f>
        <v>5456.99</v>
      </c>
      <c r="S2">
        <f>负荷!S2-水电!S2-核电!S2-地方燃煤!S2-风电!S2-光伏!S2-联络线!S2-非市场化!S2</f>
        <v>5505.94</v>
      </c>
      <c r="T2">
        <f>负荷!T2-水电!T2-核电!T2-地方燃煤!T2-风电!T2-光伏!T2-联络线!T2-非市场化!T2</f>
        <v>5576.07</v>
      </c>
      <c r="U2">
        <f>负荷!U2-水电!U2-核电!U2-地方燃煤!U2-风电!U2-光伏!U2-联络线!U2-非市场化!U2</f>
        <v>6194.03</v>
      </c>
      <c r="V2">
        <f>负荷!V2-水电!V2-核电!V2-地方燃煤!V2-风电!V2-光伏!V2-联络线!V2-非市场化!V2</f>
        <v>6531.08</v>
      </c>
      <c r="W2">
        <f>负荷!W2-水电!W2-核电!W2-地方燃煤!W2-风电!W2-光伏!W2-联络线!W2-非市场化!W2</f>
        <v>6725.34</v>
      </c>
      <c r="X2">
        <f>负荷!X2-水电!X2-核电!X2-地方燃煤!X2-风电!X2-光伏!X2-联络线!X2-非市场化!X2</f>
        <v>6958.43</v>
      </c>
      <c r="Y2">
        <f>负荷!Y2-水电!Y2-核电!Y2-地方燃煤!Y2-风电!Y2-光伏!Y2-联络线!Y2-非市场化!Y2</f>
        <v>6987.28</v>
      </c>
      <c r="Z2">
        <f>负荷!Z2-水电!Z2-核电!Z2-地方燃煤!Z2-风电!Z2-光伏!Z2-联络线!Z2-非市场化!Z2</f>
        <v>7158.77</v>
      </c>
      <c r="AA2">
        <f>负荷!AA2-水电!AA2-核电!AA2-地方燃煤!AA2-风电!AA2-光伏!AA2-联络线!AA2-非市场化!AA2</f>
        <v>6679.36</v>
      </c>
      <c r="AB2">
        <f>负荷!AB2-水电!AB2-核电!AB2-地方燃煤!AB2-风电!AB2-光伏!AB2-联络线!AB2-非市场化!AB2</f>
        <v>6097.42000000001</v>
      </c>
      <c r="AC2">
        <f>负荷!AC2-水电!AC2-核电!AC2-地方燃煤!AC2-风电!AC2-光伏!AC2-联络线!AC2-非市场化!AC2</f>
        <v>5673.06999999999</v>
      </c>
      <c r="AD2">
        <f>负荷!AD2-水电!AD2-核电!AD2-地方燃煤!AD2-风电!AD2-光伏!AD2-联络线!AD2-非市场化!AD2</f>
        <v>5769.22</v>
      </c>
      <c r="AE2">
        <f>负荷!AE2-水电!AE2-核电!AE2-地方燃煤!AE2-风电!AE2-光伏!AE2-联络线!AE2-非市场化!AE2</f>
        <v>5739.5</v>
      </c>
      <c r="AF2">
        <f>负荷!AF2-水电!AF2-核电!AF2-地方燃煤!AF2-风电!AF2-光伏!AF2-联络线!AF2-非市场化!AF2</f>
        <v>5846.74</v>
      </c>
      <c r="AG2">
        <f>负荷!AG2-水电!AG2-核电!AG2-地方燃煤!AG2-风电!AG2-光伏!AG2-联络线!AG2-非市场化!AG2</f>
        <v>5989.37999999999</v>
      </c>
      <c r="AH2">
        <f>负荷!AH2-水电!AH2-核电!AH2-地方燃煤!AH2-风电!AH2-光伏!AH2-联络线!AH2-非市场化!AH2</f>
        <v>6473.51</v>
      </c>
      <c r="AI2">
        <f>负荷!AI2-水电!AI2-核电!AI2-地方燃煤!AI2-风电!AI2-光伏!AI2-联络线!AI2-非市场化!AI2</f>
        <v>6637.38</v>
      </c>
      <c r="AJ2">
        <f>负荷!AJ2-水电!AJ2-核电!AJ2-地方燃煤!AJ2-风电!AJ2-光伏!AJ2-联络线!AJ2-非市场化!AJ2</f>
        <v>6655.37</v>
      </c>
      <c r="AK2">
        <f>负荷!AK2-水电!AK2-核电!AK2-地方燃煤!AK2-风电!AK2-光伏!AK2-联络线!AK2-非市场化!AK2</f>
        <v>6550.99</v>
      </c>
      <c r="AL2">
        <f>负荷!AL2-水电!AL2-核电!AL2-地方燃煤!AL2-风电!AL2-光伏!AL2-联络线!AL2-非市场化!AL2</f>
        <v>6216.13</v>
      </c>
      <c r="AM2">
        <f>负荷!AM2-水电!AM2-核电!AM2-地方燃煤!AM2-风电!AM2-光伏!AM2-联络线!AM2-非市场化!AM2</f>
        <v>6619.95</v>
      </c>
      <c r="AN2">
        <f>负荷!AN2-水电!AN2-核电!AN2-地方燃煤!AN2-风电!AN2-光伏!AN2-联络线!AN2-非市场化!AN2</f>
        <v>6601.04</v>
      </c>
      <c r="AO2">
        <f>负荷!AO2-水电!AO2-核电!AO2-地方燃煤!AO2-风电!AO2-光伏!AO2-联络线!AO2-非市场化!AO2</f>
        <v>6731.41000000001</v>
      </c>
      <c r="AP2">
        <f>负荷!AP2-水电!AP2-核电!AP2-地方燃煤!AP2-风电!AP2-光伏!AP2-联络线!AP2-非市场化!AP2</f>
        <v>6742.17000000001</v>
      </c>
      <c r="AQ2">
        <f>负荷!AQ2-水电!AQ2-核电!AQ2-地方燃煤!AQ2-风电!AQ2-光伏!AQ2-联络线!AQ2-非市场化!AQ2</f>
        <v>7284.33</v>
      </c>
      <c r="AR2">
        <f>负荷!AR2-水电!AR2-核电!AR2-地方燃煤!AR2-风电!AR2-光伏!AR2-联络线!AR2-非市场化!AR2</f>
        <v>7282.7</v>
      </c>
      <c r="AS2">
        <f>负荷!AS2-水电!AS2-核电!AS2-地方燃煤!AS2-风电!AS2-光伏!AS2-联络线!AS2-非市场化!AS2</f>
        <v>7418.73</v>
      </c>
      <c r="AT2">
        <f>负荷!AT2-水电!AT2-核电!AT2-地方燃煤!AT2-风电!AT2-光伏!AT2-联络线!AT2-非市场化!AT2</f>
        <v>7493.38</v>
      </c>
      <c r="AU2">
        <f>负荷!AU2-水电!AU2-核电!AU2-地方燃煤!AU2-风电!AU2-光伏!AU2-联络线!AU2-非市场化!AU2</f>
        <v>7307.61000000001</v>
      </c>
      <c r="AV2">
        <f>负荷!AV2-水电!AV2-核电!AV2-地方燃煤!AV2-风电!AV2-光伏!AV2-联络线!AV2-非市场化!AV2</f>
        <v>7706.73</v>
      </c>
      <c r="AW2">
        <f>负荷!AW2-水电!AW2-核电!AW2-地方燃煤!AW2-风电!AW2-光伏!AW2-联络线!AW2-非市场化!AW2</f>
        <v>8147.43</v>
      </c>
      <c r="AX2">
        <f>负荷!AX2-水电!AX2-核电!AX2-地方燃煤!AX2-风电!AX2-光伏!AX2-联络线!AX2-非市场化!AX2</f>
        <v>8732.33</v>
      </c>
      <c r="AY2">
        <f>负荷!AY2-水电!AY2-核电!AY2-地方燃煤!AY2-风电!AY2-光伏!AY2-联络线!AY2-非市场化!AY2</f>
        <v>8819.53</v>
      </c>
      <c r="AZ2">
        <f>负荷!AZ2-水电!AZ2-核电!AZ2-地方燃煤!AZ2-风电!AZ2-光伏!AZ2-联络线!AZ2-非市场化!AZ2</f>
        <v>8920.04999999999</v>
      </c>
      <c r="BA2">
        <f>负荷!BA2-水电!BA2-核电!BA2-地方燃煤!BA2-风电!BA2-光伏!BA2-联络线!BA2-非市场化!BA2</f>
        <v>9346.14</v>
      </c>
      <c r="BB2">
        <f>负荷!BB2-水电!BB2-核电!BB2-地方燃煤!BB2-风电!BB2-光伏!BB2-联络线!BB2-非市场化!BB2</f>
        <v>9766.19</v>
      </c>
      <c r="BC2">
        <f>负荷!BC2-水电!BC2-核电!BC2-地方燃煤!BC2-风电!BC2-光伏!BC2-联络线!BC2-非市场化!BC2</f>
        <v>9837.33</v>
      </c>
      <c r="BD2">
        <f>负荷!BD2-水电!BD2-核电!BD2-地方燃煤!BD2-风电!BD2-光伏!BD2-联络线!BD2-非市场化!BD2</f>
        <v>10292.51</v>
      </c>
      <c r="BE2">
        <f>负荷!BE2-水电!BE2-核电!BE2-地方燃煤!BE2-风电!BE2-光伏!BE2-联络线!BE2-非市场化!BE2</f>
        <v>10532.41</v>
      </c>
      <c r="BF2">
        <f>负荷!BF2-水电!BF2-核电!BF2-地方燃煤!BF2-风电!BF2-光伏!BF2-联络线!BF2-非市场化!BF2</f>
        <v>11033.28</v>
      </c>
      <c r="BG2">
        <f>负荷!BG2-水电!BG2-核电!BG2-地方燃煤!BG2-风电!BG2-光伏!BG2-联络线!BG2-非市场化!BG2</f>
        <v>11426.09</v>
      </c>
      <c r="BH2">
        <f>负荷!BH2-水电!BH2-核电!BH2-地方燃煤!BH2-风电!BH2-光伏!BH2-联络线!BH2-非市场化!BH2</f>
        <v>11949.35</v>
      </c>
      <c r="BI2">
        <f>负荷!BI2-水电!BI2-核电!BI2-地方燃煤!BI2-风电!BI2-光伏!BI2-联络线!BI2-非市场化!BI2</f>
        <v>12583.05</v>
      </c>
      <c r="BJ2">
        <f>负荷!BJ2-水电!BJ2-核电!BJ2-地方燃煤!BJ2-风电!BJ2-光伏!BJ2-联络线!BJ2-非市场化!BJ2</f>
        <v>13811.71</v>
      </c>
      <c r="BK2">
        <f>负荷!BK2-水电!BK2-核电!BK2-地方燃煤!BK2-风电!BK2-光伏!BK2-联络线!BK2-非市场化!BK2</f>
        <v>14266.18</v>
      </c>
      <c r="BL2">
        <f>负荷!BL2-水电!BL2-核电!BL2-地方燃煤!BL2-风电!BL2-光伏!BL2-联络线!BL2-非市场化!BL2</f>
        <v>14599.76</v>
      </c>
      <c r="BM2">
        <f>负荷!BM2-水电!BM2-核电!BM2-地方燃煤!BM2-风电!BM2-光伏!BM2-联络线!BM2-非市场化!BM2</f>
        <v>15306.49</v>
      </c>
      <c r="BN2">
        <f>负荷!BN2-水电!BN2-核电!BN2-地方燃煤!BN2-风电!BN2-光伏!BN2-联络线!BN2-非市场化!BN2</f>
        <v>16369.9</v>
      </c>
      <c r="BO2">
        <f>负荷!BO2-水电!BO2-核电!BO2-地方燃煤!BO2-风电!BO2-光伏!BO2-联络线!BO2-非市场化!BO2</f>
        <v>17027.64</v>
      </c>
      <c r="BP2">
        <f>负荷!BP2-水电!BP2-核电!BP2-地方燃煤!BP2-风电!BP2-光伏!BP2-联络线!BP2-非市场化!BP2</f>
        <v>17030.23</v>
      </c>
      <c r="BQ2">
        <f>负荷!BQ2-水电!BQ2-核电!BQ2-地方燃煤!BQ2-风电!BQ2-光伏!BQ2-联络线!BQ2-非市场化!BQ2</f>
        <v>16443.45</v>
      </c>
      <c r="BR2">
        <f>负荷!BR2-水电!BR2-核电!BR2-地方燃煤!BR2-风电!BR2-光伏!BR2-联络线!BR2-非市场化!BR2</f>
        <v>16687.55</v>
      </c>
      <c r="BS2">
        <f>负荷!BS2-水电!BS2-核电!BS2-地方燃煤!BS2-风电!BS2-光伏!BS2-联络线!BS2-非市场化!BS2</f>
        <v>17231.11</v>
      </c>
      <c r="BT2">
        <f>负荷!BT2-水电!BT2-核电!BT2-地方燃煤!BT2-风电!BT2-光伏!BT2-联络线!BT2-非市场化!BT2</f>
        <v>17581.2</v>
      </c>
      <c r="BU2">
        <f>负荷!BU2-水电!BU2-核电!BU2-地方燃煤!BU2-风电!BU2-光伏!BU2-联络线!BU2-非市场化!BU2</f>
        <v>17890.76</v>
      </c>
      <c r="BV2">
        <f>负荷!BV2-水电!BV2-核电!BV2-地方燃煤!BV2-风电!BV2-光伏!BV2-联络线!BV2-非市场化!BV2</f>
        <v>18015.24</v>
      </c>
      <c r="BW2">
        <f>负荷!BW2-水电!BW2-核电!BW2-地方燃煤!BW2-风电!BW2-光伏!BW2-联络线!BW2-非市场化!BW2</f>
        <v>18571.04</v>
      </c>
      <c r="BX2">
        <f>负荷!BX2-水电!BX2-核电!BX2-地方燃煤!BX2-风电!BX2-光伏!BX2-联络线!BX2-非市场化!BX2</f>
        <v>18724.34</v>
      </c>
      <c r="BY2">
        <f>负荷!BY2-水电!BY2-核电!BY2-地方燃煤!BY2-风电!BY2-光伏!BY2-联络线!BY2-非市场化!BY2</f>
        <v>19052.19</v>
      </c>
      <c r="BZ2">
        <f>负荷!BZ2-水电!BZ2-核电!BZ2-地方燃煤!BZ2-风电!BZ2-光伏!BZ2-联络线!BZ2-非市场化!BZ2</f>
        <v>19549</v>
      </c>
      <c r="CA2">
        <f>负荷!CA2-水电!CA2-核电!CA2-地方燃煤!CA2-风电!CA2-光伏!CA2-联络线!CA2-非市场化!CA2</f>
        <v>19830.58</v>
      </c>
      <c r="CB2">
        <f>负荷!CB2-水电!CB2-核电!CB2-地方燃煤!CB2-风电!CB2-光伏!CB2-联络线!CB2-非市场化!CB2</f>
        <v>20226.49</v>
      </c>
      <c r="CC2">
        <f>负荷!CC2-水电!CC2-核电!CC2-地方燃煤!CC2-风电!CC2-光伏!CC2-联络线!CC2-非市场化!CC2</f>
        <v>20229.76</v>
      </c>
      <c r="CD2">
        <f>负荷!CD2-水电!CD2-核电!CD2-地方燃煤!CD2-风电!CD2-光伏!CD2-联络线!CD2-非市场化!CD2</f>
        <v>20084.36</v>
      </c>
      <c r="CE2">
        <f>负荷!CE2-水电!CE2-核电!CE2-地方燃煤!CE2-风电!CE2-光伏!CE2-联络线!CE2-非市场化!CE2</f>
        <v>20219.2</v>
      </c>
      <c r="CF2">
        <f>负荷!CF2-水电!CF2-核电!CF2-地方燃煤!CF2-风电!CF2-光伏!CF2-联络线!CF2-非市场化!CF2</f>
        <v>20193.44</v>
      </c>
      <c r="CG2">
        <f>负荷!CG2-水电!CG2-核电!CG2-地方燃煤!CG2-风电!CG2-光伏!CG2-联络线!CG2-非市场化!CG2</f>
        <v>19967.23</v>
      </c>
      <c r="CH2">
        <f>负荷!CH2-水电!CH2-核电!CH2-地方燃煤!CH2-风电!CH2-光伏!CH2-联络线!CH2-非市场化!CH2</f>
        <v>20152.83</v>
      </c>
      <c r="CI2">
        <f>负荷!CI2-水电!CI2-核电!CI2-地方燃煤!CI2-风电!CI2-光伏!CI2-联络线!CI2-非市场化!CI2</f>
        <v>19402.51</v>
      </c>
      <c r="CJ2">
        <f>负荷!CJ2-水电!CJ2-核电!CJ2-地方燃煤!CJ2-风电!CJ2-光伏!CJ2-联络线!CJ2-非市场化!CJ2</f>
        <v>18845.43</v>
      </c>
      <c r="CK2">
        <f>负荷!CK2-水电!CK2-核电!CK2-地方燃煤!CK2-风电!CK2-光伏!CK2-联络线!CK2-非市场化!CK2</f>
        <v>17960.3</v>
      </c>
      <c r="CL2">
        <f>负荷!CL2-水电!CL2-核电!CL2-地方燃煤!CL2-风电!CL2-光伏!CL2-联络线!CL2-非市场化!CL2</f>
        <v>17796.74</v>
      </c>
      <c r="CM2">
        <f>负荷!CM2-水电!CM2-核电!CM2-地方燃煤!CM2-风电!CM2-光伏!CM2-联络线!CM2-非市场化!CM2</f>
        <v>17556.34</v>
      </c>
      <c r="CN2">
        <f>负荷!CN2-水电!CN2-核电!CN2-地方燃煤!CN2-风电!CN2-光伏!CN2-联络线!CN2-非市场化!CN2</f>
        <v>17398.48</v>
      </c>
      <c r="CO2">
        <f>负荷!CO2-水电!CO2-核电!CO2-地方燃煤!CO2-风电!CO2-光伏!CO2-联络线!CO2-非市场化!CO2</f>
        <v>17126.48</v>
      </c>
      <c r="CP2">
        <f>负荷!CP2-水电!CP2-核电!CP2-地方燃煤!CP2-风电!CP2-光伏!CP2-联络线!CP2-非市场化!CP2</f>
        <v>16808.3</v>
      </c>
      <c r="CQ2">
        <f>负荷!CQ2-水电!CQ2-核电!CQ2-地方燃煤!CQ2-风电!CQ2-光伏!CQ2-联络线!CQ2-非市场化!CQ2</f>
        <v>16290.14</v>
      </c>
      <c r="CR2">
        <f>负荷!CR2-水电!CR2-核电!CR2-地方燃煤!CR2-风电!CR2-光伏!CR2-联络线!CR2-非市场化!CR2</f>
        <v>15537.65</v>
      </c>
      <c r="CS2">
        <f>负荷!CS2-水电!CS2-核电!CS2-地方燃煤!CS2-风电!CS2-光伏!CS2-联络线!CS2-非市场化!CS2</f>
        <v>15382.03</v>
      </c>
    </row>
    <row r="3" spans="1:97">
      <c r="A3" s="9">
        <v>46236</v>
      </c>
      <c r="B3">
        <f>负荷!B3-水电!B3-核电!B3-地方燃煤!B3-风电!B3-光伏!B3-联络线!B3-非市场化!B3</f>
        <v>15713.22</v>
      </c>
      <c r="C3">
        <f>负荷!C3-水电!C3-核电!C3-地方燃煤!C3-风电!C3-光伏!C3-联络线!C3-非市场化!C3</f>
        <v>15611.3</v>
      </c>
      <c r="D3">
        <f>负荷!D3-水电!D3-核电!D3-地方燃煤!D3-风电!D3-光伏!D3-联络线!D3-非市场化!D3</f>
        <v>15690.94</v>
      </c>
      <c r="E3">
        <f>负荷!E3-水电!E3-核电!E3-地方燃煤!E3-风电!E3-光伏!E3-联络线!E3-非市场化!E3</f>
        <v>15926</v>
      </c>
      <c r="F3">
        <f>负荷!F3-水电!F3-核电!F3-地方燃煤!F3-风电!F3-光伏!F3-联络线!F3-非市场化!F3</f>
        <v>16096.58</v>
      </c>
      <c r="G3">
        <f>负荷!G3-水电!G3-核电!G3-地方燃煤!G3-风电!G3-光伏!G3-联络线!G3-非市场化!G3</f>
        <v>16338.54</v>
      </c>
      <c r="H3">
        <f>负荷!H3-水电!H3-核电!H3-地方燃煤!H3-风电!H3-光伏!H3-联络线!H3-非市场化!H3</f>
        <v>16177.18</v>
      </c>
      <c r="I3">
        <f>负荷!I3-水电!I3-核电!I3-地方燃煤!I3-风电!I3-光伏!I3-联络线!I3-非市场化!I3</f>
        <v>16002.1</v>
      </c>
      <c r="J3">
        <f>负荷!J3-水电!J3-核电!J3-地方燃煤!J3-风电!J3-光伏!J3-联络线!J3-非市场化!J3</f>
        <v>15937.68</v>
      </c>
      <c r="K3">
        <f>负荷!K3-水电!K3-核电!K3-地方燃煤!K3-风电!K3-光伏!K3-联络线!K3-非市场化!K3</f>
        <v>15756.54</v>
      </c>
      <c r="L3">
        <f>负荷!L3-水电!L3-核电!L3-地方燃煤!L3-风电!L3-光伏!L3-联络线!L3-非市场化!L3</f>
        <v>15707.28</v>
      </c>
      <c r="M3">
        <f>负荷!M3-水电!M3-核电!M3-地方燃煤!M3-风电!M3-光伏!M3-联络线!M3-非市场化!M3</f>
        <v>15409.48</v>
      </c>
      <c r="N3">
        <f>负荷!N3-水电!N3-核电!N3-地方燃煤!N3-风电!N3-光伏!N3-联络线!N3-非市场化!N3</f>
        <v>15341.49</v>
      </c>
      <c r="O3">
        <f>负荷!O3-水电!O3-核电!O3-地方燃煤!O3-风电!O3-光伏!O3-联络线!O3-非市场化!O3</f>
        <v>15413.79</v>
      </c>
      <c r="P3">
        <f>负荷!P3-水电!P3-核电!P3-地方燃煤!P3-风电!P3-光伏!P3-联络线!P3-非市场化!P3</f>
        <v>15484.69</v>
      </c>
      <c r="Q3">
        <f>负荷!Q3-水电!Q3-核电!Q3-地方燃煤!Q3-风电!Q3-光伏!Q3-联络线!Q3-非市场化!Q3</f>
        <v>15454.47</v>
      </c>
      <c r="R3">
        <f>负荷!R3-水电!R3-核电!R3-地方燃煤!R3-风电!R3-光伏!R3-联络线!R3-非市场化!R3</f>
        <v>15525.77</v>
      </c>
      <c r="S3">
        <f>负荷!S3-水电!S3-核电!S3-地方燃煤!S3-风电!S3-光伏!S3-联络线!S3-非市场化!S3</f>
        <v>15624.66</v>
      </c>
      <c r="T3">
        <f>负荷!T3-水电!T3-核电!T3-地方燃煤!T3-风电!T3-光伏!T3-联络线!T3-非市场化!T3</f>
        <v>15661.09</v>
      </c>
      <c r="U3">
        <f>负荷!U3-水电!U3-核电!U3-地方燃煤!U3-风电!U3-光伏!U3-联络线!U3-非市场化!U3</f>
        <v>16083.46</v>
      </c>
      <c r="V3">
        <f>负荷!V3-水电!V3-核电!V3-地方燃煤!V3-风电!V3-光伏!V3-联络线!V3-非市场化!V3</f>
        <v>16067.02</v>
      </c>
      <c r="W3">
        <f>负荷!W3-水电!W3-核电!W3-地方燃煤!W3-风电!W3-光伏!W3-联络线!W3-非市场化!W3</f>
        <v>15872.28</v>
      </c>
      <c r="X3">
        <f>负荷!X3-水电!X3-核电!X3-地方燃煤!X3-风电!X3-光伏!X3-联络线!X3-非市场化!X3</f>
        <v>16071.55</v>
      </c>
      <c r="Y3">
        <f>负荷!Y3-水电!Y3-核电!Y3-地方燃煤!Y3-风电!Y3-光伏!Y3-联络线!Y3-非市场化!Y3</f>
        <v>15883.67</v>
      </c>
      <c r="Z3">
        <f>负荷!Z3-水电!Z3-核电!Z3-地方燃煤!Z3-风电!Z3-光伏!Z3-联络线!Z3-非市场化!Z3</f>
        <v>16147.11</v>
      </c>
      <c r="AA3">
        <f>负荷!AA3-水电!AA3-核电!AA3-地方燃煤!AA3-风电!AA3-光伏!AA3-联络线!AA3-非市场化!AA3</f>
        <v>15759.12</v>
      </c>
      <c r="AB3">
        <f>负荷!AB3-水电!AB3-核电!AB3-地方燃煤!AB3-风电!AB3-光伏!AB3-联络线!AB3-非市场化!AB3</f>
        <v>15640.79</v>
      </c>
      <c r="AC3">
        <f>负荷!AC3-水电!AC3-核电!AC3-地方燃煤!AC3-风电!AC3-光伏!AC3-联络线!AC3-非市场化!AC3</f>
        <v>15470.61</v>
      </c>
      <c r="AD3">
        <f>负荷!AD3-水电!AD3-核电!AD3-地方燃煤!AD3-风电!AD3-光伏!AD3-联络线!AD3-非市场化!AD3</f>
        <v>15580.32</v>
      </c>
      <c r="AE3">
        <f>负荷!AE3-水电!AE3-核电!AE3-地方燃煤!AE3-风电!AE3-光伏!AE3-联络线!AE3-非市场化!AE3</f>
        <v>15557.75</v>
      </c>
      <c r="AF3">
        <f>负荷!AF3-水电!AF3-核电!AF3-地方燃煤!AF3-风电!AF3-光伏!AF3-联络线!AF3-非市场化!AF3</f>
        <v>15680.67</v>
      </c>
      <c r="AG3">
        <f>负荷!AG3-水电!AG3-核电!AG3-地方燃煤!AG3-风电!AG3-光伏!AG3-联络线!AG3-非市场化!AG3</f>
        <v>15776.55</v>
      </c>
      <c r="AH3">
        <f>负荷!AH3-水电!AH3-核电!AH3-地方燃煤!AH3-风电!AH3-光伏!AH3-联络线!AH3-非市场化!AH3</f>
        <v>16183.04</v>
      </c>
      <c r="AI3">
        <f>负荷!AI3-水电!AI3-核电!AI3-地方燃煤!AI3-风电!AI3-光伏!AI3-联络线!AI3-非市场化!AI3</f>
        <v>16132.57</v>
      </c>
      <c r="AJ3">
        <f>负荷!AJ3-水电!AJ3-核电!AJ3-地方燃煤!AJ3-风电!AJ3-光伏!AJ3-联络线!AJ3-非市场化!AJ3</f>
        <v>15993.72</v>
      </c>
      <c r="AK3">
        <f>负荷!AK3-水电!AK3-核电!AK3-地方燃煤!AK3-风电!AK3-光伏!AK3-联络线!AK3-非市场化!AK3</f>
        <v>15750.29</v>
      </c>
      <c r="AL3">
        <f>负荷!AL3-水电!AL3-核电!AL3-地方燃煤!AL3-风电!AL3-光伏!AL3-联络线!AL3-非市场化!AL3</f>
        <v>15241.82</v>
      </c>
      <c r="AM3">
        <f>负荷!AM3-水电!AM3-核电!AM3-地方燃煤!AM3-风电!AM3-光伏!AM3-联络线!AM3-非市场化!AM3</f>
        <v>15397.07</v>
      </c>
      <c r="AN3">
        <f>负荷!AN3-水电!AN3-核电!AN3-地方燃煤!AN3-风电!AN3-光伏!AN3-联络线!AN3-非市场化!AN3</f>
        <v>15205.16</v>
      </c>
      <c r="AO3">
        <f>负荷!AO3-水电!AO3-核电!AO3-地方燃煤!AO3-风电!AO3-光伏!AO3-联络线!AO3-非市场化!AO3</f>
        <v>15116.77</v>
      </c>
      <c r="AP3">
        <f>负荷!AP3-水电!AP3-核电!AP3-地方燃煤!AP3-风电!AP3-光伏!AP3-联络线!AP3-非市场化!AP3</f>
        <v>14861.71</v>
      </c>
      <c r="AQ3">
        <f>负荷!AQ3-水电!AQ3-核电!AQ3-地方燃煤!AQ3-风电!AQ3-光伏!AQ3-联络线!AQ3-非市场化!AQ3</f>
        <v>15125.44</v>
      </c>
      <c r="AR3">
        <f>负荷!AR3-水电!AR3-核电!AR3-地方燃煤!AR3-风电!AR3-光伏!AR3-联络线!AR3-非市场化!AR3</f>
        <v>14906.22</v>
      </c>
      <c r="AS3">
        <f>负荷!AS3-水电!AS3-核电!AS3-地方燃煤!AS3-风电!AS3-光伏!AS3-联络线!AS3-非市场化!AS3</f>
        <v>14802.21</v>
      </c>
      <c r="AT3">
        <f>负荷!AT3-水电!AT3-核电!AT3-地方燃煤!AT3-风电!AT3-光伏!AT3-联络线!AT3-非市场化!AT3</f>
        <v>14632.77</v>
      </c>
      <c r="AU3">
        <f>负荷!AU3-水电!AU3-核电!AU3-地方燃煤!AU3-风电!AU3-光伏!AU3-联络线!AU3-非市场化!AU3</f>
        <v>14281.9</v>
      </c>
      <c r="AV3">
        <f>负荷!AV3-水电!AV3-核电!AV3-地方燃煤!AV3-风电!AV3-光伏!AV3-联络线!AV3-非市场化!AV3</f>
        <v>14443.33</v>
      </c>
      <c r="AW3">
        <f>负荷!AW3-水电!AW3-核电!AW3-地方燃煤!AW3-风电!AW3-光伏!AW3-联络线!AW3-非市场化!AW3</f>
        <v>14665.02</v>
      </c>
      <c r="AX3">
        <f>负荷!AX3-水电!AX3-核电!AX3-地方燃煤!AX3-风电!AX3-光伏!AX3-联络线!AX3-非市场化!AX3</f>
        <v>14977.88</v>
      </c>
      <c r="AY3">
        <f>负荷!AY3-水电!AY3-核电!AY3-地方燃煤!AY3-风电!AY3-光伏!AY3-联络线!AY3-非市场化!AY3</f>
        <v>14861.71</v>
      </c>
      <c r="AZ3">
        <f>负荷!AZ3-水电!AZ3-核电!AZ3-地方燃煤!AZ3-风电!AZ3-光伏!AZ3-联络线!AZ3-非市场化!AZ3</f>
        <v>14760.5</v>
      </c>
      <c r="BA3">
        <f>负荷!BA3-水电!BA3-核电!BA3-地方燃煤!BA3-风电!BA3-光伏!BA3-联络线!BA3-非市场化!BA3</f>
        <v>14917.91</v>
      </c>
      <c r="BB3">
        <f>负荷!BB3-水电!BB3-核电!BB3-地方燃煤!BB3-风电!BB3-光伏!BB3-联络线!BB3-非市场化!BB3</f>
        <v>14951.64</v>
      </c>
      <c r="BC3">
        <f>负荷!BC3-水电!BC3-核电!BC3-地方燃煤!BC3-风电!BC3-光伏!BC3-联络线!BC3-非市场化!BC3</f>
        <v>14828.95</v>
      </c>
      <c r="BD3">
        <f>负荷!BD3-水电!BD3-核电!BD3-地方燃煤!BD3-风电!BD3-光伏!BD3-联络线!BD3-非市场化!BD3</f>
        <v>15065.06</v>
      </c>
      <c r="BE3">
        <f>负荷!BE3-水电!BE3-核电!BE3-地方燃煤!BE3-风电!BE3-光伏!BE3-联络线!BE3-非市场化!BE3</f>
        <v>15050.88</v>
      </c>
      <c r="BF3">
        <f>负荷!BF3-水电!BF3-核电!BF3-地方燃煤!BF3-风电!BF3-光伏!BF3-联络线!BF3-非市场化!BF3</f>
        <v>15342.05</v>
      </c>
      <c r="BG3">
        <f>负荷!BG3-水电!BG3-核电!BG3-地方燃煤!BG3-风电!BG3-光伏!BG3-联络线!BG3-非市场化!BG3</f>
        <v>15490.39</v>
      </c>
      <c r="BH3">
        <f>负荷!BH3-水电!BH3-核电!BH3-地方燃煤!BH3-风电!BH3-光伏!BH3-联络线!BH3-非市场化!BH3</f>
        <v>15747.95</v>
      </c>
      <c r="BI3">
        <f>负荷!BI3-水电!BI3-核电!BI3-地方燃煤!BI3-风电!BI3-光伏!BI3-联络线!BI3-非市场化!BI3</f>
        <v>16159.34</v>
      </c>
      <c r="BJ3">
        <f>负荷!BJ3-水电!BJ3-核电!BJ3-地方燃煤!BJ3-风电!BJ3-光伏!BJ3-联络线!BJ3-非市场化!BJ3</f>
        <v>17072.15</v>
      </c>
      <c r="BK3">
        <f>负荷!BK3-水电!BK3-核电!BK3-地方燃煤!BK3-风电!BK3-光伏!BK3-联络线!BK3-非市场化!BK3</f>
        <v>17366.82</v>
      </c>
      <c r="BL3">
        <f>负荷!BL3-水电!BL3-核电!BL3-地方燃煤!BL3-风电!BL3-光伏!BL3-联络线!BL3-非市场化!BL3</f>
        <v>17514.62</v>
      </c>
      <c r="BM3">
        <f>负荷!BM3-水电!BM3-核电!BM3-地方燃煤!BM3-风电!BM3-光伏!BM3-联络线!BM3-非市场化!BM3</f>
        <v>18023.62</v>
      </c>
      <c r="BN3">
        <f>负荷!BN3-水电!BN3-核电!BN3-地方燃煤!BN3-风电!BN3-光伏!BN3-联络线!BN3-非市场化!BN3</f>
        <v>18954.29</v>
      </c>
      <c r="BO3">
        <f>负荷!BO3-水电!BO3-核电!BO3-地方燃煤!BO3-风电!BO3-光伏!BO3-联络线!BO3-非市场化!BO3</f>
        <v>19476.78</v>
      </c>
      <c r="BP3">
        <f>负荷!BP3-水电!BP3-核电!BP3-地方燃煤!BP3-风电!BP3-光伏!BP3-联络线!BP3-非市场化!BP3</f>
        <v>19335.79</v>
      </c>
      <c r="BQ3">
        <f>负荷!BQ3-水电!BQ3-核电!BQ3-地方燃煤!BQ3-风电!BQ3-光伏!BQ3-联络线!BQ3-非市场化!BQ3</f>
        <v>18665.65</v>
      </c>
      <c r="BR3">
        <f>负荷!BR3-水电!BR3-核电!BR3-地方燃煤!BR3-风电!BR3-光伏!BR3-联络线!BR3-非市场化!BR3</f>
        <v>18821.46</v>
      </c>
      <c r="BS3">
        <f>负荷!BS3-水电!BS3-核电!BS3-地方燃煤!BS3-风电!BS3-光伏!BS3-联络线!BS3-非市场化!BS3</f>
        <v>19169.36</v>
      </c>
      <c r="BT3">
        <f>负荷!BT3-水电!BT3-核电!BT3-地方燃煤!BT3-风电!BT3-光伏!BT3-联络线!BT3-非市场化!BT3</f>
        <v>19388.26</v>
      </c>
      <c r="BU3">
        <f>负荷!BU3-水电!BU3-核电!BU3-地方燃煤!BU3-风电!BU3-光伏!BU3-联络线!BU3-非市场化!BU3</f>
        <v>19569.34</v>
      </c>
      <c r="BV3">
        <f>负荷!BV3-水电!BV3-核电!BV3-地方燃煤!BV3-风电!BV3-光伏!BV3-联络线!BV3-非市场化!BV3</f>
        <v>19613.02</v>
      </c>
      <c r="BW3">
        <f>负荷!BW3-水电!BW3-核电!BW3-地方燃煤!BW3-风电!BW3-光伏!BW3-联络线!BW3-非市场化!BW3</f>
        <v>19924.17</v>
      </c>
      <c r="BX3">
        <f>负荷!BX3-水电!BX3-核电!BX3-地方燃煤!BX3-风电!BX3-光伏!BX3-联络线!BX3-非市场化!BX3</f>
        <v>19919.41</v>
      </c>
      <c r="BY3">
        <f>负荷!BY3-水电!BY3-核电!BY3-地方燃煤!BY3-风电!BY3-光伏!BY3-联络线!BY3-非市场化!BY3</f>
        <v>20036.02</v>
      </c>
      <c r="BZ3">
        <f>负荷!BZ3-水电!BZ3-核电!BZ3-地方燃煤!BZ3-风电!BZ3-光伏!BZ3-联络线!BZ3-非市场化!BZ3</f>
        <v>20381.48</v>
      </c>
      <c r="CA3">
        <f>负荷!CA3-水电!CA3-核电!CA3-地方燃煤!CA3-风电!CA3-光伏!CA3-联络线!CA3-非市场化!CA3</f>
        <v>20476.5</v>
      </c>
      <c r="CB3">
        <f>负荷!CB3-水电!CB3-核电!CB3-地方燃煤!CB3-风电!CB3-光伏!CB3-联络线!CB3-非市场化!CB3</f>
        <v>20686.75</v>
      </c>
      <c r="CC3">
        <f>负荷!CC3-水电!CC3-核电!CC3-地方燃煤!CC3-风电!CC3-光伏!CC3-联络线!CC3-非市场化!CC3</f>
        <v>20542.59</v>
      </c>
      <c r="CD3">
        <f>负荷!CD3-水电!CD3-核电!CD3-地方燃煤!CD3-风电!CD3-光伏!CD3-联络线!CD3-非市场化!CD3</f>
        <v>20258.08</v>
      </c>
      <c r="CE3">
        <f>负荷!CE3-水电!CE3-核电!CE3-地方燃煤!CE3-风电!CE3-光伏!CE3-联络线!CE3-非市场化!CE3</f>
        <v>20299.12</v>
      </c>
      <c r="CF3">
        <f>负荷!CF3-水电!CF3-核电!CF3-地方燃煤!CF3-风电!CF3-光伏!CF3-联络线!CF3-非市场化!CF3</f>
        <v>20187.6</v>
      </c>
      <c r="CG3">
        <f>负荷!CG3-水电!CG3-核电!CG3-地方燃煤!CG3-风电!CG3-光伏!CG3-联络线!CG3-非市场化!CG3</f>
        <v>19869.69</v>
      </c>
      <c r="CH3">
        <f>负荷!CH3-水电!CH3-核电!CH3-地方燃煤!CH3-风电!CH3-光伏!CH3-联络线!CH3-非市场化!CH3</f>
        <v>19905.2</v>
      </c>
      <c r="CI3">
        <f>负荷!CI3-水电!CI3-核电!CI3-地方燃煤!CI3-风电!CI3-光伏!CI3-联络线!CI3-非市场化!CI3</f>
        <v>19051.58</v>
      </c>
      <c r="CJ3">
        <f>负荷!CJ3-水电!CJ3-核电!CJ3-地方燃煤!CJ3-风电!CJ3-光伏!CJ3-联络线!CJ3-非市场化!CJ3</f>
        <v>18359.9</v>
      </c>
      <c r="CK3">
        <f>负荷!CK3-水电!CK3-核电!CK3-地方燃煤!CK3-风电!CK3-光伏!CK3-联络线!CK3-非市场化!CK3</f>
        <v>17365.72</v>
      </c>
      <c r="CL3">
        <f>负荷!CL3-水电!CL3-核电!CL3-地方燃煤!CL3-风电!CL3-光伏!CL3-联络线!CL3-非市场化!CL3</f>
        <v>17080.53</v>
      </c>
      <c r="CM3">
        <f>负荷!CM3-水电!CM3-核电!CM3-地方燃煤!CM3-风电!CM3-光伏!CM3-联络线!CM3-非市场化!CM3</f>
        <v>16735.95</v>
      </c>
      <c r="CN3">
        <f>负荷!CN3-水电!CN3-核电!CN3-地方燃煤!CN3-风电!CN3-光伏!CN3-联络线!CN3-非市场化!CN3</f>
        <v>16480.08</v>
      </c>
      <c r="CO3">
        <f>负荷!CO3-水电!CO3-核电!CO3-地方燃煤!CO3-风电!CO3-光伏!CO3-联络线!CO3-非市场化!CO3</f>
        <v>16148.84</v>
      </c>
      <c r="CP3">
        <f>负荷!CP3-水电!CP3-核电!CP3-地方燃煤!CP3-风电!CP3-光伏!CP3-联络线!CP3-非市场化!CP3</f>
        <v>15710.36</v>
      </c>
      <c r="CQ3">
        <f>负荷!CQ3-水电!CQ3-核电!CQ3-地方燃煤!CQ3-风电!CQ3-光伏!CQ3-联络线!CQ3-非市场化!CQ3</f>
        <v>15104</v>
      </c>
      <c r="CR3">
        <f>负荷!CR3-水电!CR3-核电!CR3-地方燃煤!CR3-风电!CR3-光伏!CR3-联络线!CR3-非市场化!CR3</f>
        <v>14299.65</v>
      </c>
      <c r="CS3">
        <f>负荷!CS3-水电!CS3-核电!CS3-地方燃煤!CS3-风电!CS3-光伏!CS3-联络线!CS3-非市场化!CS3</f>
        <v>14078.28</v>
      </c>
    </row>
    <row r="4" spans="1:97">
      <c r="A4" s="9">
        <v>46237</v>
      </c>
      <c r="B4">
        <f>负荷!B4-水电!B4-核电!B4-地方燃煤!B4-风电!B4-光伏!B4-联络线!B4-非市场化!B4</f>
        <v>14446.18</v>
      </c>
      <c r="C4">
        <f>负荷!C4-水电!C4-核电!C4-地方燃煤!C4-风电!C4-光伏!C4-联络线!C4-非市场化!C4</f>
        <v>14321.31</v>
      </c>
      <c r="D4">
        <f>负荷!D4-水电!D4-核电!D4-地方燃煤!D4-风电!D4-光伏!D4-联络线!D4-非市场化!D4</f>
        <v>14402.58</v>
      </c>
      <c r="E4">
        <f>负荷!E4-水电!E4-核电!E4-地方燃煤!E4-风电!E4-光伏!E4-联络线!E4-非市场化!E4</f>
        <v>14267.11</v>
      </c>
      <c r="F4">
        <f>负荷!F4-水电!F4-核电!F4-地方燃煤!F4-风电!F4-光伏!F4-联络线!F4-非市场化!F4</f>
        <v>14211.52</v>
      </c>
      <c r="G4">
        <f>负荷!G4-水电!G4-核电!G4-地方燃煤!G4-风电!G4-光伏!G4-联络线!G4-非市场化!G4</f>
        <v>14096.74</v>
      </c>
      <c r="H4">
        <f>负荷!H4-水电!H4-核电!H4-地方燃煤!H4-风电!H4-光伏!H4-联络线!H4-非市场化!H4</f>
        <v>13827.91</v>
      </c>
      <c r="I4">
        <f>负荷!I4-水电!I4-核电!I4-地方燃煤!I4-风电!I4-光伏!I4-联络线!I4-非市场化!I4</f>
        <v>13576.92</v>
      </c>
      <c r="J4">
        <f>负荷!J4-水电!J4-核电!J4-地方燃煤!J4-风电!J4-光伏!J4-联络线!J4-非市场化!J4</f>
        <v>13432.45</v>
      </c>
      <c r="K4">
        <f>负荷!K4-水电!K4-核电!K4-地方燃煤!K4-风电!K4-光伏!K4-联络线!K4-非市场化!K4</f>
        <v>13083.6</v>
      </c>
      <c r="L4">
        <f>负荷!L4-水电!L4-核电!L4-地方燃煤!L4-风电!L4-光伏!L4-联络线!L4-非市场化!L4</f>
        <v>12891.52</v>
      </c>
      <c r="M4">
        <f>负荷!M4-水电!M4-核电!M4-地方燃煤!M4-风电!M4-光伏!M4-联络线!M4-非市场化!M4</f>
        <v>12676.56</v>
      </c>
      <c r="N4">
        <f>负荷!N4-水电!N4-核电!N4-地方燃煤!N4-风电!N4-光伏!N4-联络线!N4-非市场化!N4</f>
        <v>12433.53</v>
      </c>
      <c r="O4">
        <f>负荷!O4-水电!O4-核电!O4-地方燃煤!O4-风电!O4-光伏!O4-联络线!O4-非市场化!O4</f>
        <v>12384.01</v>
      </c>
      <c r="P4">
        <f>负荷!P4-水电!P4-核电!P4-地方燃煤!P4-风电!P4-光伏!P4-联络线!P4-非市场化!P4</f>
        <v>12354.05</v>
      </c>
      <c r="Q4">
        <f>负荷!Q4-水电!Q4-核电!Q4-地方燃煤!Q4-风电!Q4-光伏!Q4-联络线!Q4-非市场化!Q4</f>
        <v>12168.5</v>
      </c>
      <c r="R4">
        <f>负荷!R4-水电!R4-核电!R4-地方燃煤!R4-风电!R4-光伏!R4-联络线!R4-非市场化!R4</f>
        <v>12272.54</v>
      </c>
      <c r="S4">
        <f>负荷!S4-水电!S4-核电!S4-地方燃煤!S4-风电!S4-光伏!S4-联络线!S4-非市场化!S4</f>
        <v>12220.71</v>
      </c>
      <c r="T4">
        <f>负荷!T4-水电!T4-核电!T4-地方燃煤!T4-风电!T4-光伏!T4-联络线!T4-非市场化!T4</f>
        <v>12291.85</v>
      </c>
      <c r="U4">
        <f>负荷!U4-水电!U4-核电!U4-地方燃煤!U4-风电!U4-光伏!U4-联络线!U4-非市场化!U4</f>
        <v>12626.02</v>
      </c>
      <c r="V4">
        <f>负荷!V4-水电!V4-核电!V4-地方燃煤!V4-风电!V4-光伏!V4-联络线!V4-非市场化!V4</f>
        <v>12792.33</v>
      </c>
      <c r="W4">
        <f>负荷!W4-水电!W4-核电!W4-地方燃煤!W4-风电!W4-光伏!W4-联络线!W4-非市场化!W4</f>
        <v>12583.01</v>
      </c>
      <c r="X4">
        <f>负荷!X4-水电!X4-核电!X4-地方燃煤!X4-风电!X4-光伏!X4-联络线!X4-非市场化!X4</f>
        <v>12436.78</v>
      </c>
      <c r="Y4">
        <f>负荷!Y4-水电!Y4-核电!Y4-地方燃煤!Y4-风电!Y4-光伏!Y4-联络线!Y4-非市场化!Y4</f>
        <v>12098.56</v>
      </c>
      <c r="Z4">
        <f>负荷!Z4-水电!Z4-核电!Z4-地方燃煤!Z4-风电!Z4-光伏!Z4-联络线!Z4-非市场化!Z4</f>
        <v>12313.46</v>
      </c>
      <c r="AA4">
        <f>负荷!AA4-水电!AA4-核电!AA4-地方燃煤!AA4-风电!AA4-光伏!AA4-联络线!AA4-非市场化!AA4</f>
        <v>12127.98</v>
      </c>
      <c r="AB4">
        <f>负荷!AB4-水电!AB4-核电!AB4-地方燃煤!AB4-风电!AB4-光伏!AB4-联络线!AB4-非市场化!AB4</f>
        <v>11972.44</v>
      </c>
      <c r="AC4">
        <f>负荷!AC4-水电!AC4-核电!AC4-地方燃煤!AC4-风电!AC4-光伏!AC4-联络线!AC4-非市场化!AC4</f>
        <v>11682.16</v>
      </c>
      <c r="AD4">
        <f>负荷!AD4-水电!AD4-核电!AD4-地方燃煤!AD4-风电!AD4-光伏!AD4-联络线!AD4-非市场化!AD4</f>
        <v>11659</v>
      </c>
      <c r="AE4">
        <f>负荷!AE4-水电!AE4-核电!AE4-地方燃煤!AE4-风电!AE4-光伏!AE4-联络线!AE4-非市场化!AE4</f>
        <v>11518.25</v>
      </c>
      <c r="AF4">
        <f>负荷!AF4-水电!AF4-核电!AF4-地方燃煤!AF4-风电!AF4-光伏!AF4-联络线!AF4-非市场化!AF4</f>
        <v>11469.98</v>
      </c>
      <c r="AG4">
        <f>负荷!AG4-水电!AG4-核电!AG4-地方燃煤!AG4-风电!AG4-光伏!AG4-联络线!AG4-非市场化!AG4</f>
        <v>11490.04</v>
      </c>
      <c r="AH4">
        <f>负荷!AH4-水电!AH4-核电!AH4-地方燃煤!AH4-风电!AH4-光伏!AH4-联络线!AH4-非市场化!AH4</f>
        <v>11914.43</v>
      </c>
      <c r="AI4">
        <f>负荷!AI4-水电!AI4-核电!AI4-地方燃煤!AI4-风电!AI4-光伏!AI4-联络线!AI4-非市场化!AI4</f>
        <v>11626.04</v>
      </c>
      <c r="AJ4">
        <f>负荷!AJ4-水电!AJ4-核电!AJ4-地方燃煤!AJ4-风电!AJ4-光伏!AJ4-联络线!AJ4-非市场化!AJ4</f>
        <v>11296.43</v>
      </c>
      <c r="AK4">
        <f>负荷!AK4-水电!AK4-核电!AK4-地方燃煤!AK4-风电!AK4-光伏!AK4-联络线!AK4-非市场化!AK4</f>
        <v>10758.5</v>
      </c>
      <c r="AL4">
        <f>负荷!AL4-水电!AL4-核电!AL4-地方燃煤!AL4-风电!AL4-光伏!AL4-联络线!AL4-非市场化!AL4</f>
        <v>10028.02</v>
      </c>
      <c r="AM4">
        <f>负荷!AM4-水电!AM4-核电!AM4-地方燃煤!AM4-风电!AM4-光伏!AM4-联络线!AM4-非市场化!AM4</f>
        <v>10042.86</v>
      </c>
      <c r="AN4">
        <f>负荷!AN4-水电!AN4-核电!AN4-地方燃煤!AN4-风电!AN4-光伏!AN4-联络线!AN4-非市场化!AN4</f>
        <v>9560.47</v>
      </c>
      <c r="AO4">
        <f>负荷!AO4-水电!AO4-核电!AO4-地方燃煤!AO4-风电!AO4-光伏!AO4-联络线!AO4-非市场化!AO4</f>
        <v>9113.64000000001</v>
      </c>
      <c r="AP4">
        <f>负荷!AP4-水电!AP4-核电!AP4-地方燃煤!AP4-风电!AP4-光伏!AP4-联络线!AP4-非市场化!AP4</f>
        <v>8758.42</v>
      </c>
      <c r="AQ4">
        <f>负荷!AQ4-水电!AQ4-核电!AQ4-地方燃煤!AQ4-风电!AQ4-光伏!AQ4-联络线!AQ4-非市场化!AQ4</f>
        <v>8736.41000000001</v>
      </c>
      <c r="AR4">
        <f>负荷!AR4-水电!AR4-核电!AR4-地方燃煤!AR4-风电!AR4-光伏!AR4-联络线!AR4-非市场化!AR4</f>
        <v>8444.43</v>
      </c>
      <c r="AS4">
        <f>负荷!AS4-水电!AS4-核电!AS4-地方燃煤!AS4-风电!AS4-光伏!AS4-联络线!AS4-非市场化!AS4</f>
        <v>7976.96</v>
      </c>
      <c r="AT4">
        <f>负荷!AT4-水电!AT4-核电!AT4-地方燃煤!AT4-风电!AT4-光伏!AT4-联络线!AT4-非市场化!AT4</f>
        <v>7538.01</v>
      </c>
      <c r="AU4">
        <f>负荷!AU4-水电!AU4-核电!AU4-地方燃煤!AU4-风电!AU4-光伏!AU4-联络线!AU4-非市场化!AU4</f>
        <v>7406.28999999999</v>
      </c>
      <c r="AV4">
        <f>负荷!AV4-水电!AV4-核电!AV4-地方燃煤!AV4-风电!AV4-光伏!AV4-联络线!AV4-非市场化!AV4</f>
        <v>7109.57</v>
      </c>
      <c r="AW4">
        <f>负荷!AW4-水电!AW4-核电!AW4-地方燃煤!AW4-风电!AW4-光伏!AW4-联络线!AW4-非市场化!AW4</f>
        <v>7425.99999999999</v>
      </c>
      <c r="AX4">
        <f>负荷!AX4-水电!AX4-核电!AX4-地方燃煤!AX4-风电!AX4-光伏!AX4-联络线!AX4-非市场化!AX4</f>
        <v>7424.58</v>
      </c>
      <c r="AY4">
        <f>负荷!AY4-水电!AY4-核电!AY4-地方燃煤!AY4-风电!AY4-光伏!AY4-联络线!AY4-非市场化!AY4</f>
        <v>7249.17</v>
      </c>
      <c r="AZ4">
        <f>负荷!AZ4-水电!AZ4-核电!AZ4-地方燃煤!AZ4-风电!AZ4-光伏!AZ4-联络线!AZ4-非市场化!AZ4</f>
        <v>7169.4</v>
      </c>
      <c r="BA4">
        <f>负荷!BA4-水电!BA4-核电!BA4-地方燃煤!BA4-风电!BA4-光伏!BA4-联络线!BA4-非市场化!BA4</f>
        <v>6896.36</v>
      </c>
      <c r="BB4">
        <f>负荷!BB4-水电!BB4-核电!BB4-地方燃煤!BB4-风电!BB4-光伏!BB4-联络线!BB4-非市场化!BB4</f>
        <v>6856.87</v>
      </c>
      <c r="BC4">
        <f>负荷!BC4-水电!BC4-核电!BC4-地方燃煤!BC4-风电!BC4-光伏!BC4-联络线!BC4-非市场化!BC4</f>
        <v>6802.34</v>
      </c>
      <c r="BD4">
        <f>负荷!BD4-水电!BD4-核电!BD4-地方燃煤!BD4-风电!BD4-光伏!BD4-联络线!BD4-非市场化!BD4</f>
        <v>6858.94</v>
      </c>
      <c r="BE4">
        <f>负荷!BE4-水电!BE4-核电!BE4-地方燃煤!BE4-风电!BE4-光伏!BE4-联络线!BE4-非市场化!BE4</f>
        <v>6778.69</v>
      </c>
      <c r="BF4">
        <f>负荷!BF4-水电!BF4-核电!BF4-地方燃煤!BF4-风电!BF4-光伏!BF4-联络线!BF4-非市场化!BF4</f>
        <v>7111.66</v>
      </c>
      <c r="BG4">
        <f>负荷!BG4-水电!BG4-核电!BG4-地方燃煤!BG4-风电!BG4-光伏!BG4-联络线!BG4-非市场化!BG4</f>
        <v>7360.94</v>
      </c>
      <c r="BH4">
        <f>负荷!BH4-水电!BH4-核电!BH4-地方燃煤!BH4-风电!BH4-光伏!BH4-联络线!BH4-非市场化!BH4</f>
        <v>7682.5</v>
      </c>
      <c r="BI4">
        <f>负荷!BI4-水电!BI4-核电!BI4-地方燃煤!BI4-风电!BI4-光伏!BI4-联络线!BI4-非市场化!BI4</f>
        <v>7908.98</v>
      </c>
      <c r="BJ4">
        <f>负荷!BJ4-水电!BJ4-核电!BJ4-地方燃煤!BJ4-风电!BJ4-光伏!BJ4-联络线!BJ4-非市场化!BJ4</f>
        <v>8805.53</v>
      </c>
      <c r="BK4">
        <f>负荷!BK4-水电!BK4-核电!BK4-地方燃煤!BK4-风电!BK4-光伏!BK4-联络线!BK4-非市场化!BK4</f>
        <v>9313.03</v>
      </c>
      <c r="BL4">
        <f>负荷!BL4-水电!BL4-核电!BL4-地方燃煤!BL4-风电!BL4-光伏!BL4-联络线!BL4-非市场化!BL4</f>
        <v>9816.01999999999</v>
      </c>
      <c r="BM4">
        <f>负荷!BM4-水电!BM4-核电!BM4-地方燃煤!BM4-风电!BM4-光伏!BM4-联络线!BM4-非市场化!BM4</f>
        <v>10337.41</v>
      </c>
      <c r="BN4">
        <f>负荷!BN4-水电!BN4-核电!BN4-地方燃煤!BN4-风电!BN4-光伏!BN4-联络线!BN4-非市场化!BN4</f>
        <v>11406.64</v>
      </c>
      <c r="BO4">
        <f>负荷!BO4-水电!BO4-核电!BO4-地方燃煤!BO4-风电!BO4-光伏!BO4-联络线!BO4-非市场化!BO4</f>
        <v>11947.75</v>
      </c>
      <c r="BP4">
        <f>负荷!BP4-水电!BP4-核电!BP4-地方燃煤!BP4-风电!BP4-光伏!BP4-联络线!BP4-非市场化!BP4</f>
        <v>11911.58</v>
      </c>
      <c r="BQ4">
        <f>负荷!BQ4-水电!BQ4-核电!BQ4-地方燃煤!BQ4-风电!BQ4-光伏!BQ4-联络线!BQ4-非市场化!BQ4</f>
        <v>11439.82</v>
      </c>
      <c r="BR4">
        <f>负荷!BR4-水电!BR4-核电!BR4-地方燃煤!BR4-风电!BR4-光伏!BR4-联络线!BR4-非市场化!BR4</f>
        <v>11785.22</v>
      </c>
      <c r="BS4">
        <f>负荷!BS4-水电!BS4-核电!BS4-地方燃煤!BS4-风电!BS4-光伏!BS4-联络线!BS4-非市场化!BS4</f>
        <v>12325.58</v>
      </c>
      <c r="BT4">
        <f>负荷!BT4-水电!BT4-核电!BT4-地方燃煤!BT4-风电!BT4-光伏!BT4-联络线!BT4-非市场化!BT4</f>
        <v>12535.46</v>
      </c>
      <c r="BU4">
        <f>负荷!BU4-水电!BU4-核电!BU4-地方燃煤!BU4-风电!BU4-光伏!BU4-联络线!BU4-非市场化!BU4</f>
        <v>12924.8</v>
      </c>
      <c r="BV4">
        <f>负荷!BV4-水电!BV4-核电!BV4-地方燃煤!BV4-风电!BV4-光伏!BV4-联络线!BV4-非市场化!BV4</f>
        <v>13023.67</v>
      </c>
      <c r="BW4">
        <f>负荷!BW4-水电!BW4-核电!BW4-地方燃煤!BW4-风电!BW4-光伏!BW4-联络线!BW4-非市场化!BW4</f>
        <v>13251.64</v>
      </c>
      <c r="BX4">
        <f>负荷!BX4-水电!BX4-核电!BX4-地方燃煤!BX4-风电!BX4-光伏!BX4-联络线!BX4-非市场化!BX4</f>
        <v>13455.07</v>
      </c>
      <c r="BY4">
        <f>负荷!BY4-水电!BY4-核电!BY4-地方燃煤!BY4-风电!BY4-光伏!BY4-联络线!BY4-非市场化!BY4</f>
        <v>13482.78</v>
      </c>
      <c r="BZ4">
        <f>负荷!BZ4-水电!BZ4-核电!BZ4-地方燃煤!BZ4-风电!BZ4-光伏!BZ4-联络线!BZ4-非市场化!BZ4</f>
        <v>13838.71</v>
      </c>
      <c r="CA4">
        <f>负荷!CA4-水电!CA4-核电!CA4-地方燃煤!CA4-风电!CA4-光伏!CA4-联络线!CA4-非市场化!CA4</f>
        <v>13932.01</v>
      </c>
      <c r="CB4">
        <f>负荷!CB4-水电!CB4-核电!CB4-地方燃煤!CB4-风电!CB4-光伏!CB4-联络线!CB4-非市场化!CB4</f>
        <v>14256.07</v>
      </c>
      <c r="CC4">
        <f>负荷!CC4-水电!CC4-核电!CC4-地方燃煤!CC4-风电!CC4-光伏!CC4-联络线!CC4-非市场化!CC4</f>
        <v>14087.55</v>
      </c>
      <c r="CD4">
        <f>负荷!CD4-水电!CD4-核电!CD4-地方燃煤!CD4-风电!CD4-光伏!CD4-联络线!CD4-非市场化!CD4</f>
        <v>13822.04</v>
      </c>
      <c r="CE4">
        <f>负荷!CE4-水电!CE4-核电!CE4-地方燃煤!CE4-风电!CE4-光伏!CE4-联络线!CE4-非市场化!CE4</f>
        <v>13974.48</v>
      </c>
      <c r="CF4">
        <f>负荷!CF4-水电!CF4-核电!CF4-地方燃煤!CF4-风电!CF4-光伏!CF4-联络线!CF4-非市场化!CF4</f>
        <v>13822.07</v>
      </c>
      <c r="CG4">
        <f>负荷!CG4-水电!CG4-核电!CG4-地方燃煤!CG4-风电!CG4-光伏!CG4-联络线!CG4-非市场化!CG4</f>
        <v>13665.01</v>
      </c>
      <c r="CH4">
        <f>负荷!CH4-水电!CH4-核电!CH4-地方燃煤!CH4-风电!CH4-光伏!CH4-联络线!CH4-非市场化!CH4</f>
        <v>13690.14</v>
      </c>
      <c r="CI4">
        <f>负荷!CI4-水电!CI4-核电!CI4-地方燃煤!CI4-风电!CI4-光伏!CI4-联络线!CI4-非市场化!CI4</f>
        <v>13199.08</v>
      </c>
      <c r="CJ4">
        <f>负荷!CJ4-水电!CJ4-核电!CJ4-地方燃煤!CJ4-风电!CJ4-光伏!CJ4-联络线!CJ4-非市场化!CJ4</f>
        <v>12889.89</v>
      </c>
      <c r="CK4">
        <f>负荷!CK4-水电!CK4-核电!CK4-地方燃煤!CK4-风电!CK4-光伏!CK4-联络线!CK4-非市场化!CK4</f>
        <v>12447.93</v>
      </c>
      <c r="CL4">
        <f>负荷!CL4-水电!CL4-核电!CL4-地方燃煤!CL4-风电!CL4-光伏!CL4-联络线!CL4-非市场化!CL4</f>
        <v>12595.52</v>
      </c>
      <c r="CM4">
        <f>负荷!CM4-水电!CM4-核电!CM4-地方燃煤!CM4-风电!CM4-光伏!CM4-联络线!CM4-非市场化!CM4</f>
        <v>12452.15</v>
      </c>
      <c r="CN4">
        <f>负荷!CN4-水电!CN4-核电!CN4-地方燃煤!CN4-风电!CN4-光伏!CN4-联络线!CN4-非市场化!CN4</f>
        <v>12377.75</v>
      </c>
      <c r="CO4">
        <f>负荷!CO4-水电!CO4-核电!CO4-地方燃煤!CO4-风电!CO4-光伏!CO4-联络线!CO4-非市场化!CO4</f>
        <v>12276.02</v>
      </c>
      <c r="CP4">
        <f>负荷!CP4-水电!CP4-核电!CP4-地方燃煤!CP4-风电!CP4-光伏!CP4-联络线!CP4-非市场化!CP4</f>
        <v>11997.13</v>
      </c>
      <c r="CQ4">
        <f>负荷!CQ4-水电!CQ4-核电!CQ4-地方燃煤!CQ4-风电!CQ4-光伏!CQ4-联络线!CQ4-非市场化!CQ4</f>
        <v>11506.06</v>
      </c>
      <c r="CR4">
        <f>负荷!CR4-水电!CR4-核电!CR4-地方燃煤!CR4-风电!CR4-光伏!CR4-联络线!CR4-非市场化!CR4</f>
        <v>10991.37</v>
      </c>
      <c r="CS4">
        <f>负荷!CS4-水电!CS4-核电!CS4-地方燃煤!CS4-风电!CS4-光伏!CS4-联络线!CS4-非市场化!CS4</f>
        <v>10866.94</v>
      </c>
    </row>
    <row r="5" spans="1:97">
      <c r="A5" s="9">
        <v>46238</v>
      </c>
      <c r="B5">
        <f>负荷!B5-水电!B5-核电!B5-地方燃煤!B5-风电!B5-光伏!B5-联络线!B5-非市场化!B5</f>
        <v>11247.55</v>
      </c>
      <c r="C5">
        <f>负荷!C5-水电!C5-核电!C5-地方燃煤!C5-风电!C5-光伏!C5-联络线!C5-非市场化!C5</f>
        <v>11101.24</v>
      </c>
      <c r="D5">
        <f>负荷!D5-水电!D5-核电!D5-地方燃煤!D5-风电!D5-光伏!D5-联络线!D5-非市场化!D5</f>
        <v>10975.64</v>
      </c>
      <c r="E5">
        <f>负荷!E5-水电!E5-核电!E5-地方燃煤!E5-风电!E5-光伏!E5-联络线!E5-非市场化!E5</f>
        <v>10737.1</v>
      </c>
      <c r="F5">
        <f>负荷!F5-水电!F5-核电!F5-地方燃煤!F5-风电!F5-光伏!F5-联络线!F5-非市场化!F5</f>
        <v>11192.64</v>
      </c>
      <c r="G5">
        <f>负荷!G5-水电!G5-核电!G5-地方燃煤!G5-风电!G5-光伏!G5-联络线!G5-非市场化!G5</f>
        <v>11406.19</v>
      </c>
      <c r="H5">
        <f>负荷!H5-水电!H5-核电!H5-地方燃煤!H5-风电!H5-光伏!H5-联络线!H5-非市场化!H5</f>
        <v>11525.43</v>
      </c>
      <c r="I5">
        <f>负荷!I5-水电!I5-核电!I5-地方燃煤!I5-风电!I5-光伏!I5-联络线!I5-非市场化!I5</f>
        <v>11493.17</v>
      </c>
      <c r="J5">
        <f>负荷!J5-水电!J5-核电!J5-地方燃煤!J5-风电!J5-光伏!J5-联络线!J5-非市场化!J5</f>
        <v>11527.06</v>
      </c>
      <c r="K5">
        <f>负荷!K5-水电!K5-核电!K5-地方燃煤!K5-风电!K5-光伏!K5-联络线!K5-非市场化!K5</f>
        <v>11328.8</v>
      </c>
      <c r="L5">
        <f>负荷!L5-水电!L5-核电!L5-地方燃煤!L5-风电!L5-光伏!L5-联络线!L5-非市场化!L5</f>
        <v>11180.28</v>
      </c>
      <c r="M5">
        <f>负荷!M5-水电!M5-核电!M5-地方燃煤!M5-风电!M5-光伏!M5-联络线!M5-非市场化!M5</f>
        <v>11333.15</v>
      </c>
      <c r="N5">
        <f>负荷!N5-水电!N5-核电!N5-地方燃煤!N5-风电!N5-光伏!N5-联络线!N5-非市场化!N5</f>
        <v>11243.7</v>
      </c>
      <c r="O5">
        <f>负荷!O5-水电!O5-核电!O5-地方燃煤!O5-风电!O5-光伏!O5-联络线!O5-非市场化!O5</f>
        <v>11378.41</v>
      </c>
      <c r="P5">
        <f>负荷!P5-水电!P5-核电!P5-地方燃煤!P5-风电!P5-光伏!P5-联络线!P5-非市场化!P5</f>
        <v>11461.71</v>
      </c>
      <c r="Q5">
        <f>负荷!Q5-水电!Q5-核电!Q5-地方燃煤!Q5-风电!Q5-光伏!Q5-联络线!Q5-非市场化!Q5</f>
        <v>11420.41</v>
      </c>
      <c r="R5">
        <f>负荷!R5-水电!R5-核电!R5-地方燃煤!R5-风电!R5-光伏!R5-联络线!R5-非市场化!R5</f>
        <v>11702.54</v>
      </c>
      <c r="S5">
        <f>负荷!S5-水电!S5-核电!S5-地方燃煤!S5-风电!S5-光伏!S5-联络线!S5-非市场化!S5</f>
        <v>11719.89</v>
      </c>
      <c r="T5">
        <f>负荷!T5-水电!T5-核电!T5-地方燃煤!T5-风电!T5-光伏!T5-联络线!T5-非市场化!T5</f>
        <v>11862.31</v>
      </c>
      <c r="U5">
        <f>负荷!U5-水电!U5-核电!U5-地方燃煤!U5-风电!U5-光伏!U5-联络线!U5-非市场化!U5</f>
        <v>12158.24</v>
      </c>
      <c r="V5">
        <f>负荷!V5-水电!V5-核电!V5-地方燃煤!V5-风电!V5-光伏!V5-联络线!V5-非市场化!V5</f>
        <v>12706.81</v>
      </c>
      <c r="W5">
        <f>负荷!W5-水电!W5-核电!W5-地方燃煤!W5-风电!W5-光伏!W5-联络线!W5-非市场化!W5</f>
        <v>12289.01</v>
      </c>
      <c r="X5">
        <f>负荷!X5-水电!X5-核电!X5-地方燃煤!X5-风电!X5-光伏!X5-联络线!X5-非市场化!X5</f>
        <v>12027.95</v>
      </c>
      <c r="Y5">
        <f>负荷!Y5-水电!Y5-核电!Y5-地方燃煤!Y5-风电!Y5-光伏!Y5-联络线!Y5-非市场化!Y5</f>
        <v>12462.67</v>
      </c>
      <c r="Z5">
        <f>负荷!Z5-水电!Z5-核电!Z5-地方燃煤!Z5-风电!Z5-光伏!Z5-联络线!Z5-非市场化!Z5</f>
        <v>13096.04</v>
      </c>
      <c r="AA5">
        <f>负荷!AA5-水电!AA5-核电!AA5-地方燃煤!AA5-风电!AA5-光伏!AA5-联络线!AA5-非市场化!AA5</f>
        <v>13177.46</v>
      </c>
      <c r="AB5">
        <f>负荷!AB5-水电!AB5-核电!AB5-地方燃煤!AB5-风电!AB5-光伏!AB5-联络线!AB5-非市场化!AB5</f>
        <v>13015.82</v>
      </c>
      <c r="AC5">
        <f>负荷!AC5-水电!AC5-核电!AC5-地方燃煤!AC5-风电!AC5-光伏!AC5-联络线!AC5-非市场化!AC5</f>
        <v>12744.01</v>
      </c>
      <c r="AD5">
        <f>负荷!AD5-水电!AD5-核电!AD5-地方燃煤!AD5-风电!AD5-光伏!AD5-联络线!AD5-非市场化!AD5</f>
        <v>12511.32</v>
      </c>
      <c r="AE5">
        <f>负荷!AE5-水电!AE5-核电!AE5-地方燃煤!AE5-风电!AE5-光伏!AE5-联络线!AE5-非市场化!AE5</f>
        <v>12527.96</v>
      </c>
      <c r="AF5">
        <f>负荷!AF5-水电!AF5-核电!AF5-地方燃煤!AF5-风电!AF5-光伏!AF5-联络线!AF5-非市场化!AF5</f>
        <v>12584.61</v>
      </c>
      <c r="AG5">
        <f>负荷!AG5-水电!AG5-核电!AG5-地方燃煤!AG5-风电!AG5-光伏!AG5-联络线!AG5-非市场化!AG5</f>
        <v>12762.57</v>
      </c>
      <c r="AH5">
        <f>负荷!AH5-水电!AH5-核电!AH5-地方燃煤!AH5-风电!AH5-光伏!AH5-联络线!AH5-非市场化!AH5</f>
        <v>13507.33</v>
      </c>
      <c r="AI5">
        <f>负荷!AI5-水电!AI5-核电!AI5-地方燃煤!AI5-风电!AI5-光伏!AI5-联络线!AI5-非市场化!AI5</f>
        <v>13214.49</v>
      </c>
      <c r="AJ5">
        <f>负荷!AJ5-水电!AJ5-核电!AJ5-地方燃煤!AJ5-风电!AJ5-光伏!AJ5-联络线!AJ5-非市场化!AJ5</f>
        <v>13119.05</v>
      </c>
      <c r="AK5">
        <f>负荷!AK5-水电!AK5-核电!AK5-地方燃煤!AK5-风电!AK5-光伏!AK5-联络线!AK5-非市场化!AK5</f>
        <v>13023.84</v>
      </c>
      <c r="AL5">
        <f>负荷!AL5-水电!AL5-核电!AL5-地方燃煤!AL5-风电!AL5-光伏!AL5-联络线!AL5-非市场化!AL5</f>
        <v>12355.1</v>
      </c>
      <c r="AM5">
        <f>负荷!AM5-水电!AM5-核电!AM5-地方燃煤!AM5-风电!AM5-光伏!AM5-联络线!AM5-非市场化!AM5</f>
        <v>12508.66</v>
      </c>
      <c r="AN5">
        <f>负荷!AN5-水电!AN5-核电!AN5-地方燃煤!AN5-风电!AN5-光伏!AN5-联络线!AN5-非市场化!AN5</f>
        <v>12070.01</v>
      </c>
      <c r="AO5">
        <f>负荷!AO5-水电!AO5-核电!AO5-地方燃煤!AO5-风电!AO5-光伏!AO5-联络线!AO5-非市场化!AO5</f>
        <v>11696.58</v>
      </c>
      <c r="AP5">
        <f>负荷!AP5-水电!AP5-核电!AP5-地方燃煤!AP5-风电!AP5-光伏!AP5-联络线!AP5-非市场化!AP5</f>
        <v>11489.05</v>
      </c>
      <c r="AQ5">
        <f>负荷!AQ5-水电!AQ5-核电!AQ5-地方燃煤!AQ5-风电!AQ5-光伏!AQ5-联络线!AQ5-非市场化!AQ5</f>
        <v>11242.09</v>
      </c>
      <c r="AR5">
        <f>负荷!AR5-水电!AR5-核电!AR5-地方燃煤!AR5-风电!AR5-光伏!AR5-联络线!AR5-非市场化!AR5</f>
        <v>11028.48</v>
      </c>
      <c r="AS5">
        <f>负荷!AS5-水电!AS5-核电!AS5-地方燃煤!AS5-风电!AS5-光伏!AS5-联络线!AS5-非市场化!AS5</f>
        <v>10511.92</v>
      </c>
      <c r="AT5">
        <f>负荷!AT5-水电!AT5-核电!AT5-地方燃煤!AT5-风电!AT5-光伏!AT5-联络线!AT5-非市场化!AT5</f>
        <v>10279.73</v>
      </c>
      <c r="AU5">
        <f>负荷!AU5-水电!AU5-核电!AU5-地方燃煤!AU5-风电!AU5-光伏!AU5-联络线!AU5-非市场化!AU5</f>
        <v>10259.9</v>
      </c>
      <c r="AV5">
        <f>负荷!AV5-水电!AV5-核电!AV5-地方燃煤!AV5-风电!AV5-光伏!AV5-联络线!AV5-非市场化!AV5</f>
        <v>9922.05</v>
      </c>
      <c r="AW5">
        <f>负荷!AW5-水电!AW5-核电!AW5-地方燃煤!AW5-风电!AW5-光伏!AW5-联络线!AW5-非市场化!AW5</f>
        <v>10346.82</v>
      </c>
      <c r="AX5">
        <f>负荷!AX5-水电!AX5-核电!AX5-地方燃煤!AX5-风电!AX5-光伏!AX5-联络线!AX5-非市场化!AX5</f>
        <v>10389.76</v>
      </c>
      <c r="AY5">
        <f>负荷!AY5-水电!AY5-核电!AY5-地方燃煤!AY5-风电!AY5-光伏!AY5-联络线!AY5-非市场化!AY5</f>
        <v>10560.77</v>
      </c>
      <c r="AZ5">
        <f>负荷!AZ5-水电!AZ5-核电!AZ5-地方燃煤!AZ5-风电!AZ5-光伏!AZ5-联络线!AZ5-非市场化!AZ5</f>
        <v>10601.47</v>
      </c>
      <c r="BA5">
        <f>负荷!BA5-水电!BA5-核电!BA5-地方燃煤!BA5-风电!BA5-光伏!BA5-联络线!BA5-非市场化!BA5</f>
        <v>10266.64</v>
      </c>
      <c r="BB5">
        <f>负荷!BB5-水电!BB5-核电!BB5-地方燃煤!BB5-风电!BB5-光伏!BB5-联络线!BB5-非市场化!BB5</f>
        <v>10104.42</v>
      </c>
      <c r="BC5">
        <f>负荷!BC5-水电!BC5-核电!BC5-地方燃煤!BC5-风电!BC5-光伏!BC5-联络线!BC5-非市场化!BC5</f>
        <v>10541.35</v>
      </c>
      <c r="BD5">
        <f>负荷!BD5-水电!BD5-核电!BD5-地方燃煤!BD5-风电!BD5-光伏!BD5-联络线!BD5-非市场化!BD5</f>
        <v>10085.32</v>
      </c>
      <c r="BE5">
        <f>负荷!BE5-水电!BE5-核电!BE5-地方燃煤!BE5-风电!BE5-光伏!BE5-联络线!BE5-非市场化!BE5</f>
        <v>9597.06999999999</v>
      </c>
      <c r="BF5">
        <f>负荷!BF5-水电!BF5-核电!BF5-地方燃煤!BF5-风电!BF5-光伏!BF5-联络线!BF5-非市场化!BF5</f>
        <v>10676.33</v>
      </c>
      <c r="BG5">
        <f>负荷!BG5-水电!BG5-核电!BG5-地方燃煤!BG5-风电!BG5-光伏!BG5-联络线!BG5-非市场化!BG5</f>
        <v>10916.95</v>
      </c>
      <c r="BH5">
        <f>负荷!BH5-水电!BH5-核电!BH5-地方燃煤!BH5-风电!BH5-光伏!BH5-联络线!BH5-非市场化!BH5</f>
        <v>11442.84</v>
      </c>
      <c r="BI5">
        <f>负荷!BI5-水电!BI5-核电!BI5-地方燃煤!BI5-风电!BI5-光伏!BI5-联络线!BI5-非市场化!BI5</f>
        <v>11489.97</v>
      </c>
      <c r="BJ5">
        <f>负荷!BJ5-水电!BJ5-核电!BJ5-地方燃煤!BJ5-风电!BJ5-光伏!BJ5-联络线!BJ5-非市场化!BJ5</f>
        <v>11638.38</v>
      </c>
      <c r="BK5">
        <f>负荷!BK5-水电!BK5-核电!BK5-地方燃煤!BK5-风电!BK5-光伏!BK5-联络线!BK5-非市场化!BK5</f>
        <v>12283.58</v>
      </c>
      <c r="BL5">
        <f>负荷!BL5-水电!BL5-核电!BL5-地方燃煤!BL5-风电!BL5-光伏!BL5-联络线!BL5-非市场化!BL5</f>
        <v>12745.55</v>
      </c>
      <c r="BM5">
        <f>负荷!BM5-水电!BM5-核电!BM5-地方燃煤!BM5-风电!BM5-光伏!BM5-联络线!BM5-非市场化!BM5</f>
        <v>13337.55</v>
      </c>
      <c r="BN5">
        <f>负荷!BN5-水电!BN5-核电!BN5-地方燃煤!BN5-风电!BN5-光伏!BN5-联络线!BN5-非市场化!BN5</f>
        <v>14411.02</v>
      </c>
      <c r="BO5">
        <f>负荷!BO5-水电!BO5-核电!BO5-地方燃煤!BO5-风电!BO5-光伏!BO5-联络线!BO5-非市场化!BO5</f>
        <v>14453.59</v>
      </c>
      <c r="BP5">
        <f>负荷!BP5-水电!BP5-核电!BP5-地方燃煤!BP5-风电!BP5-光伏!BP5-联络线!BP5-非市场化!BP5</f>
        <v>14322.24</v>
      </c>
      <c r="BQ5">
        <f>负荷!BQ5-水电!BQ5-核电!BQ5-地方燃煤!BQ5-风电!BQ5-光伏!BQ5-联络线!BQ5-非市场化!BQ5</f>
        <v>14475.1</v>
      </c>
      <c r="BR5">
        <f>负荷!BR5-水电!BR5-核电!BR5-地方燃煤!BR5-风电!BR5-光伏!BR5-联络线!BR5-非市场化!BR5</f>
        <v>14975.09</v>
      </c>
      <c r="BS5">
        <f>负荷!BS5-水电!BS5-核电!BS5-地方燃煤!BS5-风电!BS5-光伏!BS5-联络线!BS5-非市场化!BS5</f>
        <v>15595.8</v>
      </c>
      <c r="BT5">
        <f>负荷!BT5-水电!BT5-核电!BT5-地方燃煤!BT5-风电!BT5-光伏!BT5-联络线!BT5-非市场化!BT5</f>
        <v>15842.83</v>
      </c>
      <c r="BU5">
        <f>负荷!BU5-水电!BU5-核电!BU5-地方燃煤!BU5-风电!BU5-光伏!BU5-联络线!BU5-非市场化!BU5</f>
        <v>16322.21</v>
      </c>
      <c r="BV5">
        <f>负荷!BV5-水电!BV5-核电!BV5-地方燃煤!BV5-风电!BV5-光伏!BV5-联络线!BV5-非市场化!BV5</f>
        <v>16490.94</v>
      </c>
      <c r="BW5">
        <f>负荷!BW5-水电!BW5-核电!BW5-地方燃煤!BW5-风电!BW5-光伏!BW5-联络线!BW5-非市场化!BW5</f>
        <v>16770.77</v>
      </c>
      <c r="BX5">
        <f>负荷!BX5-水电!BX5-核电!BX5-地方燃煤!BX5-风电!BX5-光伏!BX5-联络线!BX5-非市场化!BX5</f>
        <v>17080.12</v>
      </c>
      <c r="BY5">
        <f>负荷!BY5-水电!BY5-核电!BY5-地方燃煤!BY5-风电!BY5-光伏!BY5-联络线!BY5-非市场化!BY5</f>
        <v>17045.43</v>
      </c>
      <c r="BZ5">
        <f>负荷!BZ5-水电!BZ5-核电!BZ5-地方燃煤!BZ5-风电!BZ5-光伏!BZ5-联络线!BZ5-非市场化!BZ5</f>
        <v>17493.83</v>
      </c>
      <c r="CA5">
        <f>负荷!CA5-水电!CA5-核电!CA5-地方燃煤!CA5-风电!CA5-光伏!CA5-联络线!CA5-非市场化!CA5</f>
        <v>17627.22</v>
      </c>
      <c r="CB5">
        <f>负荷!CB5-水电!CB5-核电!CB5-地方燃煤!CB5-风电!CB5-光伏!CB5-联络线!CB5-非市场化!CB5</f>
        <v>18136.91</v>
      </c>
      <c r="CC5">
        <f>负荷!CC5-水电!CC5-核电!CC5-地方燃煤!CC5-风电!CC5-光伏!CC5-联络线!CC5-非市场化!CC5</f>
        <v>17991.1</v>
      </c>
      <c r="CD5">
        <f>负荷!CD5-水电!CD5-核电!CD5-地方燃煤!CD5-风电!CD5-光伏!CD5-联络线!CD5-非市场化!CD5</f>
        <v>17791.96</v>
      </c>
      <c r="CE5">
        <f>负荷!CE5-水电!CE5-核电!CE5-地方燃煤!CE5-风电!CE5-光伏!CE5-联络线!CE5-非市场化!CE5</f>
        <v>18053.78</v>
      </c>
      <c r="CF5">
        <f>负荷!CF5-水电!CF5-核电!CF5-地方燃煤!CF5-风电!CF5-光伏!CF5-联络线!CF5-非市场化!CF5</f>
        <v>17933.94</v>
      </c>
      <c r="CG5">
        <f>负荷!CG5-水电!CG5-核电!CG5-地方燃煤!CG5-风电!CG5-光伏!CG5-联络线!CG5-非市场化!CG5</f>
        <v>18008.42</v>
      </c>
      <c r="CH5">
        <f>负荷!CH5-水电!CH5-核电!CH5-地方燃煤!CH5-风电!CH5-光伏!CH5-联络线!CH5-非市场化!CH5</f>
        <v>17837.73</v>
      </c>
      <c r="CI5">
        <f>负荷!CI5-水电!CI5-核电!CI5-地方燃煤!CI5-风电!CI5-光伏!CI5-联络线!CI5-非市场化!CI5</f>
        <v>17697.95</v>
      </c>
      <c r="CJ5">
        <f>负荷!CJ5-水电!CJ5-核电!CJ5-地方燃煤!CJ5-风电!CJ5-光伏!CJ5-联络线!CJ5-非市场化!CJ5</f>
        <v>17905.72</v>
      </c>
      <c r="CK5">
        <f>负荷!CK5-水电!CK5-核电!CK5-地方燃煤!CK5-风电!CK5-光伏!CK5-联络线!CK5-非市场化!CK5</f>
        <v>17577.34</v>
      </c>
      <c r="CL5">
        <f>负荷!CL5-水电!CL5-核电!CL5-地方燃煤!CL5-风电!CL5-光伏!CL5-联络线!CL5-非市场化!CL5</f>
        <v>17657.8</v>
      </c>
      <c r="CM5">
        <f>负荷!CM5-水电!CM5-核电!CM5-地方燃煤!CM5-风电!CM5-光伏!CM5-联络线!CM5-非市场化!CM5</f>
        <v>17645.75</v>
      </c>
      <c r="CN5">
        <f>负荷!CN5-水电!CN5-核电!CN5-地方燃煤!CN5-风电!CN5-光伏!CN5-联络线!CN5-非市场化!CN5</f>
        <v>17729.68</v>
      </c>
      <c r="CO5">
        <f>负荷!CO5-水电!CO5-核电!CO5-地方燃煤!CO5-风电!CO5-光伏!CO5-联络线!CO5-非市场化!CO5</f>
        <v>17713.01</v>
      </c>
      <c r="CP5">
        <f>负荷!CP5-水电!CP5-核电!CP5-地方燃煤!CP5-风电!CP5-光伏!CP5-联络线!CP5-非市场化!CP5</f>
        <v>17271.36</v>
      </c>
      <c r="CQ5">
        <f>负荷!CQ5-水电!CQ5-核电!CQ5-地方燃煤!CQ5-风电!CQ5-光伏!CQ5-联络线!CQ5-非市场化!CQ5</f>
        <v>16727.69</v>
      </c>
      <c r="CR5">
        <f>负荷!CR5-水电!CR5-核电!CR5-地方燃煤!CR5-风电!CR5-光伏!CR5-联络线!CR5-非市场化!CR5</f>
        <v>16298.15</v>
      </c>
      <c r="CS5">
        <f>负荷!CS5-水电!CS5-核电!CS5-地方燃煤!CS5-风电!CS5-光伏!CS5-联络线!CS5-非市场化!CS5</f>
        <v>15678.87</v>
      </c>
    </row>
    <row r="6" spans="1:97">
      <c r="A6" s="9">
        <v>46239</v>
      </c>
      <c r="B6">
        <f>负荷!B6-水电!B6-核电!B6-地方燃煤!B6-风电!B6-光伏!B6-联络线!B6-非市场化!B6</f>
        <v>14626.89</v>
      </c>
      <c r="C6">
        <f>负荷!C6-水电!C6-核电!C6-地方燃煤!C6-风电!C6-光伏!C6-联络线!C6-非市场化!C6</f>
        <v>14683.38</v>
      </c>
      <c r="D6">
        <f>负荷!D6-水电!D6-核电!D6-地方燃煤!D6-风电!D6-光伏!D6-联络线!D6-非市场化!D6</f>
        <v>14943.03</v>
      </c>
      <c r="E6">
        <f>负荷!E6-水电!E6-核电!E6-地方燃煤!E6-风电!E6-光伏!E6-联络线!E6-非市场化!E6</f>
        <v>14913.43</v>
      </c>
      <c r="F6">
        <f>负荷!F6-水电!F6-核电!F6-地方燃煤!F6-风电!F6-光伏!F6-联络线!F6-非市场化!F6</f>
        <v>15576.64</v>
      </c>
      <c r="G6">
        <f>负荷!G6-水电!G6-核电!G6-地方燃煤!G6-风电!G6-光伏!G6-联络线!G6-非市场化!G6</f>
        <v>15544.35</v>
      </c>
      <c r="H6">
        <f>负荷!H6-水电!H6-核电!H6-地方燃煤!H6-风电!H6-光伏!H6-联络线!H6-非市场化!H6</f>
        <v>15620.16</v>
      </c>
      <c r="I6">
        <f>负荷!I6-水电!I6-核电!I6-地方燃煤!I6-风电!I6-光伏!I6-联络线!I6-非市场化!I6</f>
        <v>15535.15</v>
      </c>
      <c r="J6">
        <f>负荷!J6-水电!J6-核电!J6-地方燃煤!J6-风电!J6-光伏!J6-联络线!J6-非市场化!J6</f>
        <v>15414</v>
      </c>
      <c r="K6">
        <f>负荷!K6-水电!K6-核电!K6-地方燃煤!K6-风电!K6-光伏!K6-联络线!K6-非市场化!K6</f>
        <v>15180.74</v>
      </c>
      <c r="L6">
        <f>负荷!L6-水电!L6-核电!L6-地方燃煤!L6-风电!L6-光伏!L6-联络线!L6-非市场化!L6</f>
        <v>14987.88</v>
      </c>
      <c r="M6">
        <f>负荷!M6-水电!M6-核电!M6-地方燃煤!M6-风电!M6-光伏!M6-联络线!M6-非市场化!M6</f>
        <v>15133.31</v>
      </c>
      <c r="N6">
        <f>负荷!N6-水电!N6-核电!N6-地方燃煤!N6-风电!N6-光伏!N6-联络线!N6-非市场化!N6</f>
        <v>15182.22</v>
      </c>
      <c r="O6">
        <f>负荷!O6-水电!O6-核电!O6-地方燃煤!O6-风电!O6-光伏!O6-联络线!O6-非市场化!O6</f>
        <v>15339.3</v>
      </c>
      <c r="P6">
        <f>负荷!P6-水电!P6-核电!P6-地方燃煤!P6-风电!P6-光伏!P6-联络线!P6-非市场化!P6</f>
        <v>15431.88</v>
      </c>
      <c r="Q6">
        <f>负荷!Q6-水电!Q6-核电!Q6-地方燃煤!Q6-风电!Q6-光伏!Q6-联络线!Q6-非市场化!Q6</f>
        <v>15393.22</v>
      </c>
      <c r="R6">
        <f>负荷!R6-水电!R6-核电!R6-地方燃煤!R6-风电!R6-光伏!R6-联络线!R6-非市场化!R6</f>
        <v>15413.29</v>
      </c>
      <c r="S6">
        <f>负荷!S6-水电!S6-核电!S6-地方燃煤!S6-风电!S6-光伏!S6-联络线!S6-非市场化!S6</f>
        <v>15123.56</v>
      </c>
      <c r="T6">
        <f>负荷!T6-水电!T6-核电!T6-地方燃煤!T6-风电!T6-光伏!T6-联络线!T6-非市场化!T6</f>
        <v>15005.2</v>
      </c>
      <c r="U6">
        <f>负荷!U6-水电!U6-核电!U6-地方燃煤!U6-风电!U6-光伏!U6-联络线!U6-非市场化!U6</f>
        <v>14885.07</v>
      </c>
      <c r="V6">
        <f>负荷!V6-水电!V6-核电!V6-地方燃煤!V6-风电!V6-光伏!V6-联络线!V6-非市场化!V6</f>
        <v>14864.38</v>
      </c>
      <c r="W6">
        <f>负荷!W6-水电!W6-核电!W6-地方燃煤!W6-风电!W6-光伏!W6-联络线!W6-非市场化!W6</f>
        <v>14665.93</v>
      </c>
      <c r="X6">
        <f>负荷!X6-水电!X6-核电!X6-地方燃煤!X6-风电!X6-光伏!X6-联络线!X6-非市场化!X6</f>
        <v>14701.02</v>
      </c>
      <c r="Y6">
        <f>负荷!Y6-水电!Y6-核电!Y6-地方燃煤!Y6-风电!Y6-光伏!Y6-联络线!Y6-非市场化!Y6</f>
        <v>14800.09</v>
      </c>
      <c r="Z6">
        <f>负荷!Z6-水电!Z6-核电!Z6-地方燃煤!Z6-风电!Z6-光伏!Z6-联络线!Z6-非市场化!Z6</f>
        <v>15113.63</v>
      </c>
      <c r="AA6">
        <f>负荷!AA6-水电!AA6-核电!AA6-地方燃煤!AA6-风电!AA6-光伏!AA6-联络线!AA6-非市场化!AA6</f>
        <v>15307.8</v>
      </c>
      <c r="AB6">
        <f>负荷!AB6-水电!AB6-核电!AB6-地方燃煤!AB6-风电!AB6-光伏!AB6-联络线!AB6-非市场化!AB6</f>
        <v>15306.33</v>
      </c>
      <c r="AC6">
        <f>负荷!AC6-水电!AC6-核电!AC6-地方燃煤!AC6-风电!AC6-光伏!AC6-联络线!AC6-非市场化!AC6</f>
        <v>15148.94</v>
      </c>
      <c r="AD6">
        <f>负荷!AD6-水电!AD6-核电!AD6-地方燃煤!AD6-风电!AD6-光伏!AD6-联络线!AD6-非市场化!AD6</f>
        <v>15142.37</v>
      </c>
      <c r="AE6">
        <f>负荷!AE6-水电!AE6-核电!AE6-地方燃煤!AE6-风电!AE6-光伏!AE6-联络线!AE6-非市场化!AE6</f>
        <v>15242.95</v>
      </c>
      <c r="AF6">
        <f>负荷!AF6-水电!AF6-核电!AF6-地方燃煤!AF6-风电!AF6-光伏!AF6-联络线!AF6-非市场化!AF6</f>
        <v>15482.28</v>
      </c>
      <c r="AG6">
        <f>负荷!AG6-水电!AG6-核电!AG6-地方燃煤!AG6-风电!AG6-光伏!AG6-联络线!AG6-非市场化!AG6</f>
        <v>15864.45</v>
      </c>
      <c r="AH6">
        <f>负荷!AH6-水电!AH6-核电!AH6-地方燃煤!AH6-风电!AH6-光伏!AH6-联络线!AH6-非市场化!AH6</f>
        <v>16824.99</v>
      </c>
      <c r="AI6">
        <f>负荷!AI6-水电!AI6-核电!AI6-地方燃煤!AI6-风电!AI6-光伏!AI6-联络线!AI6-非市场化!AI6</f>
        <v>16876.4</v>
      </c>
      <c r="AJ6">
        <f>负荷!AJ6-水电!AJ6-核电!AJ6-地方燃煤!AJ6-风电!AJ6-光伏!AJ6-联络线!AJ6-非市场化!AJ6</f>
        <v>17063.82</v>
      </c>
      <c r="AK6">
        <f>负荷!AK6-水电!AK6-核电!AK6-地方燃煤!AK6-风电!AK6-光伏!AK6-联络线!AK6-非市场化!AK6</f>
        <v>17036.29</v>
      </c>
      <c r="AL6">
        <f>负荷!AL6-水电!AL6-核电!AL6-地方燃煤!AL6-风电!AL6-光伏!AL6-联络线!AL6-非市场化!AL6</f>
        <v>16651.74</v>
      </c>
      <c r="AM6">
        <f>负荷!AM6-水电!AM6-核电!AM6-地方燃煤!AM6-风电!AM6-光伏!AM6-联络线!AM6-非市场化!AM6</f>
        <v>17417.2</v>
      </c>
      <c r="AN6">
        <f>负荷!AN6-水电!AN6-核电!AN6-地方燃煤!AN6-风电!AN6-光伏!AN6-联络线!AN6-非市场化!AN6</f>
        <v>17393.43</v>
      </c>
      <c r="AO6">
        <f>负荷!AO6-水电!AO6-核电!AO6-地方燃煤!AO6-风电!AO6-光伏!AO6-联络线!AO6-非市场化!AO6</f>
        <v>17751.38</v>
      </c>
      <c r="AP6">
        <f>负荷!AP6-水电!AP6-核电!AP6-地方燃煤!AP6-风电!AP6-光伏!AP6-联络线!AP6-非市场化!AP6</f>
        <v>18181.5</v>
      </c>
      <c r="AQ6">
        <f>负荷!AQ6-水电!AQ6-核电!AQ6-地方燃煤!AQ6-风电!AQ6-光伏!AQ6-联络线!AQ6-非市场化!AQ6</f>
        <v>18436.1</v>
      </c>
      <c r="AR6">
        <f>负荷!AR6-水电!AR6-核电!AR6-地方燃煤!AR6-风电!AR6-光伏!AR6-联络线!AR6-非市场化!AR6</f>
        <v>18436.01</v>
      </c>
      <c r="AS6">
        <f>负荷!AS6-水电!AS6-核电!AS6-地方燃煤!AS6-风电!AS6-光伏!AS6-联络线!AS6-非市场化!AS6</f>
        <v>18101.2</v>
      </c>
      <c r="AT6">
        <f>负荷!AT6-水电!AT6-核电!AT6-地方燃煤!AT6-风电!AT6-光伏!AT6-联络线!AT6-非市场化!AT6</f>
        <v>18027.43</v>
      </c>
      <c r="AU6">
        <f>负荷!AU6-水电!AU6-核电!AU6-地方燃煤!AU6-风电!AU6-光伏!AU6-联络线!AU6-非市场化!AU6</f>
        <v>18114.23</v>
      </c>
      <c r="AV6">
        <f>负荷!AV6-水电!AV6-核电!AV6-地方燃煤!AV6-风电!AV6-光伏!AV6-联络线!AV6-非市场化!AV6</f>
        <v>17782.84</v>
      </c>
      <c r="AW6">
        <f>负荷!AW6-水电!AW6-核电!AW6-地方燃煤!AW6-风电!AW6-光伏!AW6-联络线!AW6-非市场化!AW6</f>
        <v>18357.8</v>
      </c>
      <c r="AX6">
        <f>负荷!AX6-水电!AX6-核电!AX6-地方燃煤!AX6-风电!AX6-光伏!AX6-联络线!AX6-非市场化!AX6</f>
        <v>18566.54</v>
      </c>
      <c r="AY6">
        <f>负荷!AY6-水电!AY6-核电!AY6-地方燃煤!AY6-风电!AY6-光伏!AY6-联络线!AY6-非市场化!AY6</f>
        <v>18890.02</v>
      </c>
      <c r="AZ6">
        <f>负荷!AZ6-水电!AZ6-核电!AZ6-地方燃煤!AZ6-风电!AZ6-光伏!AZ6-联络线!AZ6-非市场化!AZ6</f>
        <v>18971.18</v>
      </c>
      <c r="BA6">
        <f>负荷!BA6-水电!BA6-核电!BA6-地方燃煤!BA6-风电!BA6-光伏!BA6-联络线!BA6-非市场化!BA6</f>
        <v>18441.06</v>
      </c>
      <c r="BB6">
        <f>负荷!BB6-水电!BB6-核电!BB6-地方燃煤!BB6-风电!BB6-光伏!BB6-联络线!BB6-非市场化!BB6</f>
        <v>18091.43</v>
      </c>
      <c r="BC6">
        <f>负荷!BC6-水电!BC6-核电!BC6-地方燃煤!BC6-风电!BC6-光伏!BC6-联络线!BC6-非市场化!BC6</f>
        <v>18624.05</v>
      </c>
      <c r="BD6">
        <f>负荷!BD6-水电!BD6-核电!BD6-地方燃煤!BD6-风电!BD6-光伏!BD6-联络线!BD6-非市场化!BD6</f>
        <v>18728.03</v>
      </c>
      <c r="BE6">
        <f>负荷!BE6-水电!BE6-核电!BE6-地方燃煤!BE6-风电!BE6-光伏!BE6-联络线!BE6-非市场化!BE6</f>
        <v>18773.8</v>
      </c>
      <c r="BF6">
        <f>负荷!BF6-水电!BF6-核电!BF6-地方燃煤!BF6-风电!BF6-光伏!BF6-联络线!BF6-非市场化!BF6</f>
        <v>19369.48</v>
      </c>
      <c r="BG6">
        <f>负荷!BG6-水电!BG6-核电!BG6-地方燃煤!BG6-风电!BG6-光伏!BG6-联络线!BG6-非市场化!BG6</f>
        <v>19094.55</v>
      </c>
      <c r="BH6">
        <f>负荷!BH6-水电!BH6-核电!BH6-地方燃煤!BH6-风电!BH6-光伏!BH6-联络线!BH6-非市场化!BH6</f>
        <v>19242.29</v>
      </c>
      <c r="BI6">
        <f>负荷!BI6-水电!BI6-核电!BI6-地方燃煤!BI6-风电!BI6-光伏!BI6-联络线!BI6-非市场化!BI6</f>
        <v>18843.11</v>
      </c>
      <c r="BJ6">
        <f>负荷!BJ6-水电!BJ6-核电!BJ6-地方燃煤!BJ6-风电!BJ6-光伏!BJ6-联络线!BJ6-非市场化!BJ6</f>
        <v>19773.24</v>
      </c>
      <c r="BK6">
        <f>负荷!BK6-水电!BK6-核电!BK6-地方燃煤!BK6-风电!BK6-光伏!BK6-联络线!BK6-非市场化!BK6</f>
        <v>20245.12</v>
      </c>
      <c r="BL6">
        <f>负荷!BL6-水电!BL6-核电!BL6-地方燃煤!BL6-风电!BL6-光伏!BL6-联络线!BL6-非市场化!BL6</f>
        <v>20098.63</v>
      </c>
      <c r="BM6">
        <f>负荷!BM6-水电!BM6-核电!BM6-地方燃煤!BM6-风电!BM6-光伏!BM6-联络线!BM6-非市场化!BM6</f>
        <v>19916.57</v>
      </c>
      <c r="BN6">
        <f>负荷!BN6-水电!BN6-核电!BN6-地方燃煤!BN6-风电!BN6-光伏!BN6-联络线!BN6-非市场化!BN6</f>
        <v>20794.48</v>
      </c>
      <c r="BO6">
        <f>负荷!BO6-水电!BO6-核电!BO6-地方燃煤!BO6-风电!BO6-光伏!BO6-联络线!BO6-非市场化!BO6</f>
        <v>21116.45</v>
      </c>
      <c r="BP6">
        <f>负荷!BP6-水电!BP6-核电!BP6-地方燃煤!BP6-风电!BP6-光伏!BP6-联络线!BP6-非市场化!BP6</f>
        <v>21070.61</v>
      </c>
      <c r="BQ6">
        <f>负荷!BQ6-水电!BQ6-核电!BQ6-地方燃煤!BQ6-风电!BQ6-光伏!BQ6-联络线!BQ6-非市场化!BQ6</f>
        <v>21109.33</v>
      </c>
      <c r="BR6">
        <f>负荷!BR6-水电!BR6-核电!BR6-地方燃煤!BR6-风电!BR6-光伏!BR6-联络线!BR6-非市场化!BR6</f>
        <v>21417.6</v>
      </c>
      <c r="BS6">
        <f>负荷!BS6-水电!BS6-核电!BS6-地方燃煤!BS6-风电!BS6-光伏!BS6-联络线!BS6-非市场化!BS6</f>
        <v>21888.06</v>
      </c>
      <c r="BT6">
        <f>负荷!BT6-水电!BT6-核电!BT6-地方燃煤!BT6-风电!BT6-光伏!BT6-联络线!BT6-非市场化!BT6</f>
        <v>22013.48</v>
      </c>
      <c r="BU6">
        <f>负荷!BU6-水电!BU6-核电!BU6-地方燃煤!BU6-风电!BU6-光伏!BU6-联络线!BU6-非市场化!BU6</f>
        <v>22357.52</v>
      </c>
      <c r="BV6">
        <f>负荷!BV6-水电!BV6-核电!BV6-地方燃煤!BV6-风电!BV6-光伏!BV6-联络线!BV6-非市场化!BV6</f>
        <v>22406.78</v>
      </c>
      <c r="BW6">
        <f>负荷!BW6-水电!BW6-核电!BW6-地方燃煤!BW6-风电!BW6-光伏!BW6-联络线!BW6-非市场化!BW6</f>
        <v>22594.92</v>
      </c>
      <c r="BX6">
        <f>负荷!BX6-水电!BX6-核电!BX6-地方燃煤!BX6-风电!BX6-光伏!BX6-联络线!BX6-非市场化!BX6</f>
        <v>22790.65</v>
      </c>
      <c r="BY6">
        <f>负荷!BY6-水电!BY6-核电!BY6-地方燃煤!BY6-风电!BY6-光伏!BY6-联络线!BY6-非市场化!BY6</f>
        <v>22638.55</v>
      </c>
      <c r="BZ6">
        <f>负荷!BZ6-水电!BZ6-核电!BZ6-地方燃煤!BZ6-风电!BZ6-光伏!BZ6-联络线!BZ6-非市场化!BZ6</f>
        <v>22966.31</v>
      </c>
      <c r="CA6">
        <f>负荷!CA6-水电!CA6-核电!CA6-地方燃煤!CA6-风电!CA6-光伏!CA6-联络线!CA6-非市场化!CA6</f>
        <v>23035.06</v>
      </c>
      <c r="CB6">
        <f>负荷!CB6-水电!CB6-核电!CB6-地方燃煤!CB6-风电!CB6-光伏!CB6-联络线!CB6-非市场化!CB6</f>
        <v>23473.75</v>
      </c>
      <c r="CC6">
        <f>负荷!CC6-水电!CC6-核电!CC6-地方燃煤!CC6-风电!CC6-光伏!CC6-联络线!CC6-非市场化!CC6</f>
        <v>23267.5</v>
      </c>
      <c r="CD6">
        <f>负荷!CD6-水电!CD6-核电!CD6-地方燃煤!CD6-风电!CD6-光伏!CD6-联络线!CD6-非市场化!CD6</f>
        <v>23021</v>
      </c>
      <c r="CE6">
        <f>负荷!CE6-水电!CE6-核电!CE6-地方燃煤!CE6-风电!CE6-光伏!CE6-联络线!CE6-非市场化!CE6</f>
        <v>23243.92</v>
      </c>
      <c r="CF6">
        <f>负荷!CF6-水电!CF6-核电!CF6-地方燃煤!CF6-风电!CF6-光伏!CF6-联络线!CF6-非市场化!CF6</f>
        <v>23087.82</v>
      </c>
      <c r="CG6">
        <f>负荷!CG6-水电!CG6-核电!CG6-地方燃煤!CG6-风电!CG6-光伏!CG6-联络线!CG6-非市场化!CG6</f>
        <v>23072.31</v>
      </c>
      <c r="CH6">
        <f>负荷!CH6-水电!CH6-核电!CH6-地方燃煤!CH6-风电!CH6-光伏!CH6-联络线!CH6-非市场化!CH6</f>
        <v>22873.59</v>
      </c>
      <c r="CI6">
        <f>负荷!CI6-水电!CI6-核电!CI6-地方燃煤!CI6-风电!CI6-光伏!CI6-联络线!CI6-非市场化!CI6</f>
        <v>22211.25</v>
      </c>
      <c r="CJ6">
        <f>负荷!CJ6-水电!CJ6-核电!CJ6-地方燃煤!CJ6-风电!CJ6-光伏!CJ6-联络线!CJ6-非市场化!CJ6</f>
        <v>21895.69</v>
      </c>
      <c r="CK6">
        <f>负荷!CK6-水电!CK6-核电!CK6-地方燃煤!CK6-风电!CK6-光伏!CK6-联络线!CK6-非市场化!CK6</f>
        <v>21549.82</v>
      </c>
      <c r="CL6">
        <f>负荷!CL6-水电!CL6-核电!CL6-地方燃煤!CL6-风电!CL6-光伏!CL6-联络线!CL6-非市场化!CL6</f>
        <v>21609.66</v>
      </c>
      <c r="CM6">
        <f>负荷!CM6-水电!CM6-核电!CM6-地方燃煤!CM6-风电!CM6-光伏!CM6-联络线!CM6-非市场化!CM6</f>
        <v>21630.15</v>
      </c>
      <c r="CN6">
        <f>负荷!CN6-水电!CN6-核电!CN6-地方燃煤!CN6-风电!CN6-光伏!CN6-联络线!CN6-非市场化!CN6</f>
        <v>21697.02</v>
      </c>
      <c r="CO6">
        <f>负荷!CO6-水电!CO6-核电!CO6-地方燃煤!CO6-风电!CO6-光伏!CO6-联络线!CO6-非市场化!CO6</f>
        <v>21664.82</v>
      </c>
      <c r="CP6">
        <f>负荷!CP6-水电!CP6-核电!CP6-地方燃煤!CP6-风电!CP6-光伏!CP6-联络线!CP6-非市场化!CP6</f>
        <v>21205.86</v>
      </c>
      <c r="CQ6">
        <f>负荷!CQ6-水电!CQ6-核电!CQ6-地方燃煤!CQ6-风电!CQ6-光伏!CQ6-联络线!CQ6-非市场化!CQ6</f>
        <v>21153.87</v>
      </c>
      <c r="CR6">
        <f>负荷!CR6-水电!CR6-核电!CR6-地方燃煤!CR6-风电!CR6-光伏!CR6-联络线!CR6-非市场化!CR6</f>
        <v>21205.13</v>
      </c>
      <c r="CS6">
        <f>负荷!CS6-水电!CS6-核电!CS6-地方燃煤!CS6-风电!CS6-光伏!CS6-联络线!CS6-非市场化!CS6</f>
        <v>20573.01</v>
      </c>
    </row>
    <row r="7" spans="1:97">
      <c r="A7" s="9">
        <v>46240</v>
      </c>
      <c r="B7">
        <f>负荷!B7-水电!B7-核电!B7-地方燃煤!B7-风电!B7-光伏!B7-联络线!B7-非市场化!B7</f>
        <v>19313.77</v>
      </c>
      <c r="C7">
        <f>负荷!C7-水电!C7-核电!C7-地方燃煤!C7-风电!C7-光伏!C7-联络线!C7-非市场化!C7</f>
        <v>19372.76</v>
      </c>
      <c r="D7">
        <f>负荷!D7-水电!D7-核电!D7-地方燃煤!D7-风电!D7-光伏!D7-联络线!D7-非市场化!D7</f>
        <v>19507.51</v>
      </c>
      <c r="E7">
        <f>负荷!E7-水电!E7-核电!E7-地方燃煤!E7-风电!E7-光伏!E7-联络线!E7-非市场化!E7</f>
        <v>19604.62</v>
      </c>
      <c r="F7">
        <f>负荷!F7-水电!F7-核电!F7-地方燃煤!F7-风电!F7-光伏!F7-联络线!F7-非市场化!F7</f>
        <v>19853.42</v>
      </c>
      <c r="G7">
        <f>负荷!G7-水电!G7-核电!G7-地方燃煤!G7-风电!G7-光伏!G7-联络线!G7-非市场化!G7</f>
        <v>19865.16</v>
      </c>
      <c r="H7">
        <f>负荷!H7-水电!H7-核电!H7-地方燃煤!H7-风电!H7-光伏!H7-联络线!H7-非市场化!H7</f>
        <v>20046.02</v>
      </c>
      <c r="I7">
        <f>负荷!I7-水电!I7-核电!I7-地方燃煤!I7-风电!I7-光伏!I7-联络线!I7-非市场化!I7</f>
        <v>20087.45</v>
      </c>
      <c r="J7">
        <f>负荷!J7-水电!J7-核电!J7-地方燃煤!J7-风电!J7-光伏!J7-联络线!J7-非市场化!J7</f>
        <v>19742.27</v>
      </c>
      <c r="K7">
        <f>负荷!K7-水电!K7-核电!K7-地方燃煤!K7-风电!K7-光伏!K7-联络线!K7-非市场化!K7</f>
        <v>19555.72</v>
      </c>
      <c r="L7">
        <f>负荷!L7-水电!L7-核电!L7-地方燃煤!L7-风电!L7-光伏!L7-联络线!L7-非市场化!L7</f>
        <v>19418.62</v>
      </c>
      <c r="M7">
        <f>负荷!M7-水电!M7-核电!M7-地方燃煤!M7-风电!M7-光伏!M7-联络线!M7-非市场化!M7</f>
        <v>19250.77</v>
      </c>
      <c r="N7">
        <f>负荷!N7-水电!N7-核电!N7-地方燃煤!N7-风电!N7-光伏!N7-联络线!N7-非市场化!N7</f>
        <v>18982.77</v>
      </c>
      <c r="O7">
        <f>负荷!O7-水电!O7-核电!O7-地方燃煤!O7-风电!O7-光伏!O7-联络线!O7-非市场化!O7</f>
        <v>18897.11</v>
      </c>
      <c r="P7">
        <f>负荷!P7-水电!P7-核电!P7-地方燃煤!P7-风电!P7-光伏!P7-联络线!P7-非市场化!P7</f>
        <v>18837.19</v>
      </c>
      <c r="Q7">
        <f>负荷!Q7-水电!Q7-核电!Q7-地方燃煤!Q7-风电!Q7-光伏!Q7-联络线!Q7-非市场化!Q7</f>
        <v>18702.93</v>
      </c>
      <c r="R7">
        <f>负荷!R7-水电!R7-核电!R7-地方燃煤!R7-风电!R7-光伏!R7-联络线!R7-非市场化!R7</f>
        <v>18907.57</v>
      </c>
      <c r="S7">
        <f>负荷!S7-水电!S7-核电!S7-地方燃煤!S7-风电!S7-光伏!S7-联络线!S7-非市场化!S7</f>
        <v>18831.92</v>
      </c>
      <c r="T7">
        <f>负荷!T7-水电!T7-核电!T7-地方燃煤!T7-风电!T7-光伏!T7-联络线!T7-非市场化!T7</f>
        <v>18840.03</v>
      </c>
      <c r="U7">
        <f>负荷!U7-水电!U7-核电!U7-地方燃煤!U7-风电!U7-光伏!U7-联络线!U7-非市场化!U7</f>
        <v>19133.77</v>
      </c>
      <c r="V7">
        <f>负荷!V7-水电!V7-核电!V7-地方燃煤!V7-风电!V7-光伏!V7-联络线!V7-非市场化!V7</f>
        <v>19582.51</v>
      </c>
      <c r="W7">
        <f>负荷!W7-水电!W7-核电!W7-地方燃煤!W7-风电!W7-光伏!W7-联络线!W7-非市场化!W7</f>
        <v>19655.66</v>
      </c>
      <c r="X7">
        <f>负荷!X7-水电!X7-核电!X7-地方燃煤!X7-风电!X7-光伏!X7-联络线!X7-非市场化!X7</f>
        <v>19731.94</v>
      </c>
      <c r="Y7">
        <f>负荷!Y7-水电!Y7-核电!Y7-地方燃煤!Y7-风电!Y7-光伏!Y7-联络线!Y7-非市场化!Y7</f>
        <v>19988.34</v>
      </c>
      <c r="Z7">
        <f>负荷!Z7-水电!Z7-核电!Z7-地方燃煤!Z7-风电!Z7-光伏!Z7-联络线!Z7-非市场化!Z7</f>
        <v>20820.25</v>
      </c>
      <c r="AA7">
        <f>负荷!AA7-水电!AA7-核电!AA7-地方燃煤!AA7-风电!AA7-光伏!AA7-联络线!AA7-非市场化!AA7</f>
        <v>20854.69</v>
      </c>
      <c r="AB7">
        <f>负荷!AB7-水电!AB7-核电!AB7-地方燃煤!AB7-风电!AB7-光伏!AB7-联络线!AB7-非市场化!AB7</f>
        <v>20802.89</v>
      </c>
      <c r="AC7">
        <f>负荷!AC7-水电!AC7-核电!AC7-地方燃煤!AC7-风电!AC7-光伏!AC7-联络线!AC7-非市场化!AC7</f>
        <v>20631.52</v>
      </c>
      <c r="AD7">
        <f>负荷!AD7-水电!AD7-核电!AD7-地方燃煤!AD7-风电!AD7-光伏!AD7-联络线!AD7-非市场化!AD7</f>
        <v>20679.32</v>
      </c>
      <c r="AE7">
        <f>负荷!AE7-水电!AE7-核电!AE7-地方燃煤!AE7-风电!AE7-光伏!AE7-联络线!AE7-非市场化!AE7</f>
        <v>20708.33</v>
      </c>
      <c r="AF7">
        <f>负荷!AF7-水电!AF7-核电!AF7-地方燃煤!AF7-风电!AF7-光伏!AF7-联络线!AF7-非市场化!AF7</f>
        <v>20477.76</v>
      </c>
      <c r="AG7">
        <f>负荷!AG7-水电!AG7-核电!AG7-地方燃煤!AG7-风电!AG7-光伏!AG7-联络线!AG7-非市场化!AG7</f>
        <v>20294.56</v>
      </c>
      <c r="AH7">
        <f>负荷!AH7-水电!AH7-核电!AH7-地方燃煤!AH7-风电!AH7-光伏!AH7-联络线!AH7-非市场化!AH7</f>
        <v>20583.39</v>
      </c>
      <c r="AI7">
        <f>负荷!AI7-水电!AI7-核电!AI7-地方燃煤!AI7-风电!AI7-光伏!AI7-联络线!AI7-非市场化!AI7</f>
        <v>20081.89</v>
      </c>
      <c r="AJ7">
        <f>负荷!AJ7-水电!AJ7-核电!AJ7-地方燃煤!AJ7-风电!AJ7-光伏!AJ7-联络线!AJ7-非市场化!AJ7</f>
        <v>19656.43</v>
      </c>
      <c r="AK7">
        <f>负荷!AK7-水电!AK7-核电!AK7-地方燃煤!AK7-风电!AK7-光伏!AK7-联络线!AK7-非市场化!AK7</f>
        <v>19356.23</v>
      </c>
      <c r="AL7">
        <f>负荷!AL7-水电!AL7-核电!AL7-地方燃煤!AL7-风电!AL7-光伏!AL7-联络线!AL7-非市场化!AL7</f>
        <v>18930.47</v>
      </c>
      <c r="AM7">
        <f>负荷!AM7-水电!AM7-核电!AM7-地方燃煤!AM7-风电!AM7-光伏!AM7-联络线!AM7-非市场化!AM7</f>
        <v>19142.48</v>
      </c>
      <c r="AN7">
        <f>负荷!AN7-水电!AN7-核电!AN7-地方燃煤!AN7-风电!AN7-光伏!AN7-联络线!AN7-非市场化!AN7</f>
        <v>19061.03</v>
      </c>
      <c r="AO7">
        <f>负荷!AO7-水电!AO7-核电!AO7-地方燃煤!AO7-风电!AO7-光伏!AO7-联络线!AO7-非市场化!AO7</f>
        <v>18950.79</v>
      </c>
      <c r="AP7">
        <f>负荷!AP7-水电!AP7-核电!AP7-地方燃煤!AP7-风电!AP7-光伏!AP7-联络线!AP7-非市场化!AP7</f>
        <v>18686.51</v>
      </c>
      <c r="AQ7">
        <f>负荷!AQ7-水电!AQ7-核电!AQ7-地方燃煤!AQ7-风电!AQ7-光伏!AQ7-联络线!AQ7-非市场化!AQ7</f>
        <v>18809.64</v>
      </c>
      <c r="AR7">
        <f>负荷!AR7-水电!AR7-核电!AR7-地方燃煤!AR7-风电!AR7-光伏!AR7-联络线!AR7-非市场化!AR7</f>
        <v>18615.99</v>
      </c>
      <c r="AS7">
        <f>负荷!AS7-水电!AS7-核电!AS7-地方燃煤!AS7-风电!AS7-光伏!AS7-联络线!AS7-非市场化!AS7</f>
        <v>18341.49</v>
      </c>
      <c r="AT7">
        <f>负荷!AT7-水电!AT7-核电!AT7-地方燃煤!AT7-风电!AT7-光伏!AT7-联络线!AT7-非市场化!AT7</f>
        <v>18129.44</v>
      </c>
      <c r="AU7">
        <f>负荷!AU7-水电!AU7-核电!AU7-地方燃煤!AU7-风电!AU7-光伏!AU7-联络线!AU7-非市场化!AU7</f>
        <v>18144.34</v>
      </c>
      <c r="AV7">
        <f>负荷!AV7-水电!AV7-核电!AV7-地方燃煤!AV7-风电!AV7-光伏!AV7-联络线!AV7-非市场化!AV7</f>
        <v>18124.33</v>
      </c>
      <c r="AW7">
        <f>负荷!AW7-水电!AW7-核电!AW7-地方燃煤!AW7-风电!AW7-光伏!AW7-联络线!AW7-非市场化!AW7</f>
        <v>18340.15</v>
      </c>
      <c r="AX7">
        <f>负荷!AX7-水电!AX7-核电!AX7-地方燃煤!AX7-风电!AX7-光伏!AX7-联络线!AX7-非市场化!AX7</f>
        <v>18414.59</v>
      </c>
      <c r="AY7">
        <f>负荷!AY7-水电!AY7-核电!AY7-地方燃煤!AY7-风电!AY7-光伏!AY7-联络线!AY7-非市场化!AY7</f>
        <v>18567.04</v>
      </c>
      <c r="AZ7">
        <f>负荷!AZ7-水电!AZ7-核电!AZ7-地方燃煤!AZ7-风电!AZ7-光伏!AZ7-联络线!AZ7-非市场化!AZ7</f>
        <v>18516.13</v>
      </c>
      <c r="BA7">
        <f>负荷!BA7-水电!BA7-核电!BA7-地方燃煤!BA7-风电!BA7-光伏!BA7-联络线!BA7-非市场化!BA7</f>
        <v>18381.67</v>
      </c>
      <c r="BB7">
        <f>负荷!BB7-水电!BB7-核电!BB7-地方燃煤!BB7-风电!BB7-光伏!BB7-联络线!BB7-非市场化!BB7</f>
        <v>18480.27</v>
      </c>
      <c r="BC7">
        <f>负荷!BC7-水电!BC7-核电!BC7-地方燃煤!BC7-风电!BC7-光伏!BC7-联络线!BC7-非市场化!BC7</f>
        <v>18442.72</v>
      </c>
      <c r="BD7">
        <f>负荷!BD7-水电!BD7-核电!BD7-地方燃煤!BD7-风电!BD7-光伏!BD7-联络线!BD7-非市场化!BD7</f>
        <v>18671.61</v>
      </c>
      <c r="BE7">
        <f>负荷!BE7-水电!BE7-核电!BE7-地方燃煤!BE7-风电!BE7-光伏!BE7-联络线!BE7-非市场化!BE7</f>
        <v>18686.61</v>
      </c>
      <c r="BF7">
        <f>负荷!BF7-水电!BF7-核电!BF7-地方燃煤!BF7-风电!BF7-光伏!BF7-联络线!BF7-非市场化!BF7</f>
        <v>19150.11</v>
      </c>
      <c r="BG7">
        <f>负荷!BG7-水电!BG7-核电!BG7-地方燃煤!BG7-风电!BG7-光伏!BG7-联络线!BG7-非市场化!BG7</f>
        <v>19361.23</v>
      </c>
      <c r="BH7">
        <f>负荷!BH7-水电!BH7-核电!BH7-地方燃煤!BH7-风电!BH7-光伏!BH7-联络线!BH7-非市场化!BH7</f>
        <v>19613.65</v>
      </c>
      <c r="BI7">
        <f>负荷!BI7-水电!BI7-核电!BI7-地方燃煤!BI7-风电!BI7-光伏!BI7-联络线!BI7-非市场化!BI7</f>
        <v>19769.37</v>
      </c>
      <c r="BJ7">
        <f>负荷!BJ7-水电!BJ7-核电!BJ7-地方燃煤!BJ7-风电!BJ7-光伏!BJ7-联络线!BJ7-非市场化!BJ7</f>
        <v>20679.74</v>
      </c>
      <c r="BK7">
        <f>负荷!BK7-水电!BK7-核电!BK7-地方燃煤!BK7-风电!BK7-光伏!BK7-联络线!BK7-非市场化!BK7</f>
        <v>21158.29</v>
      </c>
      <c r="BL7">
        <f>负荷!BL7-水电!BL7-核电!BL7-地方燃煤!BL7-风电!BL7-光伏!BL7-联络线!BL7-非市场化!BL7</f>
        <v>21550.36</v>
      </c>
      <c r="BM7">
        <f>负荷!BM7-水电!BM7-核电!BM7-地方燃煤!BM7-风电!BM7-光伏!BM7-联络线!BM7-非市场化!BM7</f>
        <v>21285.34</v>
      </c>
      <c r="BN7">
        <f>负荷!BN7-水电!BN7-核电!BN7-地方燃煤!BN7-风电!BN7-光伏!BN7-联络线!BN7-非市场化!BN7</f>
        <v>22029.06</v>
      </c>
      <c r="BO7">
        <f>负荷!BO7-水电!BO7-核电!BO7-地方燃煤!BO7-风电!BO7-光伏!BO7-联络线!BO7-非市场化!BO7</f>
        <v>22095.08</v>
      </c>
      <c r="BP7">
        <f>负荷!BP7-水电!BP7-核电!BP7-地方燃煤!BP7-风电!BP7-光伏!BP7-联络线!BP7-非市场化!BP7</f>
        <v>22487.32</v>
      </c>
      <c r="BQ7">
        <f>负荷!BQ7-水电!BQ7-核电!BQ7-地方燃煤!BQ7-风电!BQ7-光伏!BQ7-联络线!BQ7-非市场化!BQ7</f>
        <v>22286.35</v>
      </c>
      <c r="BR7">
        <f>负荷!BR7-水电!BR7-核电!BR7-地方燃煤!BR7-风电!BR7-光伏!BR7-联络线!BR7-非市场化!BR7</f>
        <v>22442</v>
      </c>
      <c r="BS7">
        <f>负荷!BS7-水电!BS7-核电!BS7-地方燃煤!BS7-风电!BS7-光伏!BS7-联络线!BS7-非市场化!BS7</f>
        <v>22870.56</v>
      </c>
      <c r="BT7">
        <f>负荷!BT7-水电!BT7-核电!BT7-地方燃煤!BT7-风电!BT7-光伏!BT7-联络线!BT7-非市场化!BT7</f>
        <v>22897.32</v>
      </c>
      <c r="BU7">
        <f>负荷!BU7-水电!BU7-核电!BU7-地方燃煤!BU7-风电!BU7-光伏!BU7-联络线!BU7-非市场化!BU7</f>
        <v>23249.46</v>
      </c>
      <c r="BV7">
        <f>负荷!BV7-水电!BV7-核电!BV7-地方燃煤!BV7-风电!BV7-光伏!BV7-联络线!BV7-非市场化!BV7</f>
        <v>23101.85</v>
      </c>
      <c r="BW7">
        <f>负荷!BW7-水电!BW7-核电!BW7-地方燃煤!BW7-风电!BW7-光伏!BW7-联络线!BW7-非市场化!BW7</f>
        <v>23178.79</v>
      </c>
      <c r="BX7">
        <f>负荷!BX7-水电!BX7-核电!BX7-地方燃煤!BX7-风电!BX7-光伏!BX7-联络线!BX7-非市场化!BX7</f>
        <v>23240.81</v>
      </c>
      <c r="BY7">
        <f>负荷!BY7-水电!BY7-核电!BY7-地方燃煤!BY7-风电!BY7-光伏!BY7-联络线!BY7-非市场化!BY7</f>
        <v>23084.8</v>
      </c>
      <c r="BZ7">
        <f>负荷!BZ7-水电!BZ7-核电!BZ7-地方燃煤!BZ7-风电!BZ7-光伏!BZ7-联络线!BZ7-非市场化!BZ7</f>
        <v>23432.13</v>
      </c>
      <c r="CA7">
        <f>负荷!CA7-水电!CA7-核电!CA7-地方燃煤!CA7-风电!CA7-光伏!CA7-联络线!CA7-非市场化!CA7</f>
        <v>23514.55</v>
      </c>
      <c r="CB7">
        <f>负荷!CB7-水电!CB7-核电!CB7-地方燃煤!CB7-风电!CB7-光伏!CB7-联络线!CB7-非市场化!CB7</f>
        <v>23446.67</v>
      </c>
      <c r="CC7">
        <f>负荷!CC7-水电!CC7-核电!CC7-地方燃煤!CC7-风电!CC7-光伏!CC7-联络线!CC7-非市场化!CC7</f>
        <v>23206.02</v>
      </c>
      <c r="CD7">
        <f>负荷!CD7-水电!CD7-核电!CD7-地方燃煤!CD7-风电!CD7-光伏!CD7-联络线!CD7-非市场化!CD7</f>
        <v>22914.69</v>
      </c>
      <c r="CE7">
        <f>负荷!CE7-水电!CE7-核电!CE7-地方燃煤!CE7-风电!CE7-光伏!CE7-联络线!CE7-非市场化!CE7</f>
        <v>22958.71</v>
      </c>
      <c r="CF7">
        <f>负荷!CF7-水电!CF7-核电!CF7-地方燃煤!CF7-风电!CF7-光伏!CF7-联络线!CF7-非市场化!CF7</f>
        <v>22600.07</v>
      </c>
      <c r="CG7">
        <f>负荷!CG7-水电!CG7-核电!CG7-地方燃煤!CG7-风电!CG7-光伏!CG7-联络线!CG7-非市场化!CG7</f>
        <v>22463.32</v>
      </c>
      <c r="CH7">
        <f>负荷!CH7-水电!CH7-核电!CH7-地方燃煤!CH7-风电!CH7-光伏!CH7-联络线!CH7-非市场化!CH7</f>
        <v>22247.1</v>
      </c>
      <c r="CI7">
        <f>负荷!CI7-水电!CI7-核电!CI7-地方燃煤!CI7-风电!CI7-光伏!CI7-联络线!CI7-非市场化!CI7</f>
        <v>21530.65</v>
      </c>
      <c r="CJ7">
        <f>负荷!CJ7-水电!CJ7-核电!CJ7-地方燃煤!CJ7-风电!CJ7-光伏!CJ7-联络线!CJ7-非市场化!CJ7</f>
        <v>20995.9</v>
      </c>
      <c r="CK7">
        <f>负荷!CK7-水电!CK7-核电!CK7-地方燃煤!CK7-风电!CK7-光伏!CK7-联络线!CK7-非市场化!CK7</f>
        <v>20217.33</v>
      </c>
      <c r="CL7">
        <f>负荷!CL7-水电!CL7-核电!CL7-地方燃煤!CL7-风电!CL7-光伏!CL7-联络线!CL7-非市场化!CL7</f>
        <v>19724.5</v>
      </c>
      <c r="CM7">
        <f>负荷!CM7-水电!CM7-核电!CM7-地方燃煤!CM7-风电!CM7-光伏!CM7-联络线!CM7-非市场化!CM7</f>
        <v>19418.13</v>
      </c>
      <c r="CN7">
        <f>负荷!CN7-水电!CN7-核电!CN7-地方燃煤!CN7-风电!CN7-光伏!CN7-联络线!CN7-非市场化!CN7</f>
        <v>19696.57</v>
      </c>
      <c r="CO7">
        <f>负荷!CO7-水电!CO7-核电!CO7-地方燃煤!CO7-风电!CO7-光伏!CO7-联络线!CO7-非市场化!CO7</f>
        <v>19960.65</v>
      </c>
      <c r="CP7">
        <f>负荷!CP7-水电!CP7-核电!CP7-地方燃煤!CP7-风电!CP7-光伏!CP7-联络线!CP7-非市场化!CP7</f>
        <v>19280.26</v>
      </c>
      <c r="CQ7">
        <f>负荷!CQ7-水电!CQ7-核电!CQ7-地方燃煤!CQ7-风电!CQ7-光伏!CQ7-联络线!CQ7-非市场化!CQ7</f>
        <v>18609.48</v>
      </c>
      <c r="CR7">
        <f>负荷!CR7-水电!CR7-核电!CR7-地方燃煤!CR7-风电!CR7-光伏!CR7-联络线!CR7-非市场化!CR7</f>
        <v>17845.38</v>
      </c>
      <c r="CS7">
        <f>负荷!CS7-水电!CS7-核电!CS7-地方燃煤!CS7-风电!CS7-光伏!CS7-联络线!CS7-非市场化!CS7</f>
        <v>16968.11</v>
      </c>
    </row>
    <row r="8" spans="1:97">
      <c r="A8" s="9">
        <v>46241</v>
      </c>
      <c r="B8">
        <f>负荷!B8-水电!B8-核电!B8-地方燃煤!B8-风电!B8-光伏!B8-联络线!B8-非市场化!B8</f>
        <v>16514.57</v>
      </c>
      <c r="C8">
        <f>负荷!C8-水电!C8-核电!C8-地方燃煤!C8-风电!C8-光伏!C8-联络线!C8-非市场化!C8</f>
        <v>15941.1</v>
      </c>
      <c r="D8">
        <f>负荷!D8-水电!D8-核电!D8-地方燃煤!D8-风电!D8-光伏!D8-联络线!D8-非市场化!D8</f>
        <v>15508.1</v>
      </c>
      <c r="E8">
        <f>负荷!E8-水电!E8-核电!E8-地方燃煤!E8-风电!E8-光伏!E8-联络线!E8-非市场化!E8</f>
        <v>15353.84</v>
      </c>
      <c r="F8">
        <f>负荷!F8-水电!F8-核电!F8-地方燃煤!F8-风电!F8-光伏!F8-联络线!F8-非市场化!F8</f>
        <v>15364.79</v>
      </c>
      <c r="G8">
        <f>负荷!G8-水电!G8-核电!G8-地方燃煤!G8-风电!G8-光伏!G8-联络线!G8-非市场化!G8</f>
        <v>14701.56</v>
      </c>
      <c r="H8">
        <f>负荷!H8-水电!H8-核电!H8-地方燃煤!H8-风电!H8-光伏!H8-联络线!H8-非市场化!H8</f>
        <v>14104.12</v>
      </c>
      <c r="I8">
        <f>负荷!I8-水电!I8-核电!I8-地方燃煤!I8-风电!I8-光伏!I8-联络线!I8-非市场化!I8</f>
        <v>13635.71</v>
      </c>
      <c r="J8">
        <f>负荷!J8-水电!J8-核电!J8-地方燃煤!J8-风电!J8-光伏!J8-联络线!J8-非市场化!J8</f>
        <v>13479.05</v>
      </c>
      <c r="K8">
        <f>负荷!K8-水电!K8-核电!K8-地方燃煤!K8-风电!K8-光伏!K8-联络线!K8-非市场化!K8</f>
        <v>12859.62</v>
      </c>
      <c r="L8">
        <f>负荷!L8-水电!L8-核电!L8-地方燃煤!L8-风电!L8-光伏!L8-联络线!L8-非市场化!L8</f>
        <v>12322.2</v>
      </c>
      <c r="M8">
        <f>负荷!M8-水电!M8-核电!M8-地方燃煤!M8-风电!M8-光伏!M8-联络线!M8-非市场化!M8</f>
        <v>11703.87</v>
      </c>
      <c r="N8">
        <f>负荷!N8-水电!N8-核电!N8-地方燃煤!N8-风电!N8-光伏!N8-联络线!N8-非市场化!N8</f>
        <v>11738.2</v>
      </c>
      <c r="O8">
        <f>负荷!O8-水电!O8-核电!O8-地方燃煤!O8-风电!O8-光伏!O8-联络线!O8-非市场化!O8</f>
        <v>11285.69</v>
      </c>
      <c r="P8">
        <f>负荷!P8-水电!P8-核电!P8-地方燃煤!P8-风电!P8-光伏!P8-联络线!P8-非市场化!P8</f>
        <v>10797.85</v>
      </c>
      <c r="Q8">
        <f>负荷!Q8-水电!Q8-核电!Q8-地方燃煤!Q8-风电!Q8-光伏!Q8-联络线!Q8-非市场化!Q8</f>
        <v>10235.83</v>
      </c>
      <c r="R8">
        <f>负荷!R8-水电!R8-核电!R8-地方燃煤!R8-风电!R8-光伏!R8-联络线!R8-非市场化!R8</f>
        <v>10136.8</v>
      </c>
      <c r="S8">
        <f>负荷!S8-水电!S8-核电!S8-地方燃煤!S8-风电!S8-光伏!S8-联络线!S8-非市场化!S8</f>
        <v>9603.94</v>
      </c>
      <c r="T8">
        <f>负荷!T8-水电!T8-核电!T8-地方燃煤!T8-风电!T8-光伏!T8-联络线!T8-非市场化!T8</f>
        <v>9176.08</v>
      </c>
      <c r="U8">
        <f>负荷!U8-水电!U8-核电!U8-地方燃煤!U8-风电!U8-光伏!U8-联络线!U8-非市场化!U8</f>
        <v>9035.44</v>
      </c>
      <c r="V8">
        <f>负荷!V8-水电!V8-核电!V8-地方燃煤!V8-风电!V8-光伏!V8-联络线!V8-非市场化!V8</f>
        <v>8979.08</v>
      </c>
      <c r="W8">
        <f>负荷!W8-水电!W8-核电!W8-地方燃煤!W8-风电!W8-光伏!W8-联络线!W8-非市场化!W8</f>
        <v>8794.92</v>
      </c>
      <c r="X8">
        <f>负荷!X8-水电!X8-核电!X8-地方燃煤!X8-风电!X8-光伏!X8-联络线!X8-非市场化!X8</f>
        <v>8568.68</v>
      </c>
      <c r="Y8">
        <f>负荷!Y8-水电!Y8-核电!Y8-地方燃煤!Y8-风电!Y8-光伏!Y8-联络线!Y8-非市场化!Y8</f>
        <v>8417.05</v>
      </c>
      <c r="Z8">
        <f>负荷!Z8-水电!Z8-核电!Z8-地方燃煤!Z8-风电!Z8-光伏!Z8-联络线!Z8-非市场化!Z8</f>
        <v>8731.69</v>
      </c>
      <c r="AA8">
        <f>负荷!AA8-水电!AA8-核电!AA8-地方燃煤!AA8-风电!AA8-光伏!AA8-联络线!AA8-非市场化!AA8</f>
        <v>8744.5</v>
      </c>
      <c r="AB8">
        <f>负荷!AB8-水电!AB8-核电!AB8-地方燃煤!AB8-风电!AB8-光伏!AB8-联络线!AB8-非市场化!AB8</f>
        <v>8572.81000000001</v>
      </c>
      <c r="AC8">
        <f>负荷!AC8-水电!AC8-核电!AC8-地方燃煤!AC8-风电!AC8-光伏!AC8-联络线!AC8-非市场化!AC8</f>
        <v>8286.7</v>
      </c>
      <c r="AD8">
        <f>负荷!AD8-水电!AD8-核电!AD8-地方燃煤!AD8-风电!AD8-光伏!AD8-联络线!AD8-非市场化!AD8</f>
        <v>8441.79</v>
      </c>
      <c r="AE8">
        <f>负荷!AE8-水电!AE8-核电!AE8-地方燃煤!AE8-风电!AE8-光伏!AE8-联络线!AE8-非市场化!AE8</f>
        <v>8654.91</v>
      </c>
      <c r="AF8">
        <f>负荷!AF8-水电!AF8-核电!AF8-地方燃煤!AF8-风电!AF8-光伏!AF8-联络线!AF8-非市场化!AF8</f>
        <v>8692.88</v>
      </c>
      <c r="AG8">
        <f>负荷!AG8-水电!AG8-核电!AG8-地方燃煤!AG8-风电!AG8-光伏!AG8-联络线!AG8-非市场化!AG8</f>
        <v>8882.32</v>
      </c>
      <c r="AH8">
        <f>负荷!AH8-水电!AH8-核电!AH8-地方燃煤!AH8-风电!AH8-光伏!AH8-联络线!AH8-非市场化!AH8</f>
        <v>9626.95000000001</v>
      </c>
      <c r="AI8">
        <f>负荷!AI8-水电!AI8-核电!AI8-地方燃煤!AI8-风电!AI8-光伏!AI8-联络线!AI8-非市场化!AI8</f>
        <v>9555.47</v>
      </c>
      <c r="AJ8">
        <f>负荷!AJ8-水电!AJ8-核电!AJ8-地方燃煤!AJ8-风电!AJ8-光伏!AJ8-联络线!AJ8-非市场化!AJ8</f>
        <v>9281.37</v>
      </c>
      <c r="AK8">
        <f>负荷!AK8-水电!AK8-核电!AK8-地方燃煤!AK8-风电!AK8-光伏!AK8-联络线!AK8-非市场化!AK8</f>
        <v>9117.24</v>
      </c>
      <c r="AL8">
        <f>负荷!AL8-水电!AL8-核电!AL8-地方燃煤!AL8-风电!AL8-光伏!AL8-联络线!AL8-非市场化!AL8</f>
        <v>8673.77</v>
      </c>
      <c r="AM8">
        <f>负荷!AM8-水电!AM8-核电!AM8-地方燃煤!AM8-风电!AM8-光伏!AM8-联络线!AM8-非市场化!AM8</f>
        <v>8644.82</v>
      </c>
      <c r="AN8">
        <f>负荷!AN8-水电!AN8-核电!AN8-地方燃煤!AN8-风电!AN8-光伏!AN8-联络线!AN8-非市场化!AN8</f>
        <v>8366.57</v>
      </c>
      <c r="AO8">
        <f>负荷!AO8-水电!AO8-核电!AO8-地方燃煤!AO8-风电!AO8-光伏!AO8-联络线!AO8-非市场化!AO8</f>
        <v>7862.02</v>
      </c>
      <c r="AP8">
        <f>负荷!AP8-水电!AP8-核电!AP8-地方燃煤!AP8-风电!AP8-光伏!AP8-联络线!AP8-非市场化!AP8</f>
        <v>7631.78</v>
      </c>
      <c r="AQ8">
        <f>负荷!AQ8-水电!AQ8-核电!AQ8-地方燃煤!AQ8-风电!AQ8-光伏!AQ8-联络线!AQ8-非市场化!AQ8</f>
        <v>7628.64</v>
      </c>
      <c r="AR8">
        <f>负荷!AR8-水电!AR8-核电!AR8-地方燃煤!AR8-风电!AR8-光伏!AR8-联络线!AR8-非市场化!AR8</f>
        <v>7610.53</v>
      </c>
      <c r="AS8">
        <f>负荷!AS8-水电!AS8-核电!AS8-地方燃煤!AS8-风电!AS8-光伏!AS8-联络线!AS8-非市场化!AS8</f>
        <v>7955.44</v>
      </c>
      <c r="AT8">
        <f>负荷!AT8-水电!AT8-核电!AT8-地方燃煤!AT8-风电!AT8-光伏!AT8-联络线!AT8-非市场化!AT8</f>
        <v>7762.95</v>
      </c>
      <c r="AU8">
        <f>负荷!AU8-水电!AU8-核电!AU8-地方燃煤!AU8-风电!AU8-光伏!AU8-联络线!AU8-非市场化!AU8</f>
        <v>7854.78</v>
      </c>
      <c r="AV8">
        <f>负荷!AV8-水电!AV8-核电!AV8-地方燃煤!AV8-风电!AV8-光伏!AV8-联络线!AV8-非市场化!AV8</f>
        <v>7834.93</v>
      </c>
      <c r="AW8">
        <f>负荷!AW8-水电!AW8-核电!AW8-地方燃煤!AW8-风电!AW8-光伏!AW8-联络线!AW8-非市场化!AW8</f>
        <v>7993.79999999999</v>
      </c>
      <c r="AX8">
        <f>负荷!AX8-水电!AX8-核电!AX8-地方燃煤!AX8-风电!AX8-光伏!AX8-联络线!AX8-非市场化!AX8</f>
        <v>8472.88</v>
      </c>
      <c r="AY8">
        <f>负荷!AY8-水电!AY8-核电!AY8-地方燃煤!AY8-风电!AY8-光伏!AY8-联络线!AY8-非市场化!AY8</f>
        <v>8312.06</v>
      </c>
      <c r="AZ8">
        <f>负荷!AZ8-水电!AZ8-核电!AZ8-地方燃煤!AZ8-风电!AZ8-光伏!AZ8-联络线!AZ8-非市场化!AZ8</f>
        <v>8340.4</v>
      </c>
      <c r="BA8">
        <f>负荷!BA8-水电!BA8-核电!BA8-地方燃煤!BA8-风电!BA8-光伏!BA8-联络线!BA8-非市场化!BA8</f>
        <v>8038.76</v>
      </c>
      <c r="BB8">
        <f>负荷!BB8-水电!BB8-核电!BB8-地方燃煤!BB8-风电!BB8-光伏!BB8-联络线!BB8-非市场化!BB8</f>
        <v>7424.87000000001</v>
      </c>
      <c r="BC8">
        <f>负荷!BC8-水电!BC8-核电!BC8-地方燃煤!BC8-风电!BC8-光伏!BC8-联络线!BC8-非市场化!BC8</f>
        <v>7091.60000000001</v>
      </c>
      <c r="BD8">
        <f>负荷!BD8-水电!BD8-核电!BD8-地方燃煤!BD8-风电!BD8-光伏!BD8-联络线!BD8-非市场化!BD8</f>
        <v>6938.11</v>
      </c>
      <c r="BE8">
        <f>负荷!BE8-水电!BE8-核电!BE8-地方燃煤!BE8-风电!BE8-光伏!BE8-联络线!BE8-非市场化!BE8</f>
        <v>5954.13</v>
      </c>
      <c r="BF8">
        <f>负荷!BF8-水电!BF8-核电!BF8-地方燃煤!BF8-风电!BF8-光伏!BF8-联络线!BF8-非市场化!BF8</f>
        <v>5881.4</v>
      </c>
      <c r="BG8">
        <f>负荷!BG8-水电!BG8-核电!BG8-地方燃煤!BG8-风电!BG8-光伏!BG8-联络线!BG8-非市场化!BG8</f>
        <v>5804.94</v>
      </c>
      <c r="BH8">
        <f>负荷!BH8-水电!BH8-核电!BH8-地方燃煤!BH8-风电!BH8-光伏!BH8-联络线!BH8-非市场化!BH8</f>
        <v>5600.11</v>
      </c>
      <c r="BI8">
        <f>负荷!BI8-水电!BI8-核电!BI8-地方燃煤!BI8-风电!BI8-光伏!BI8-联络线!BI8-非市场化!BI8</f>
        <v>5466.33</v>
      </c>
      <c r="BJ8">
        <f>负荷!BJ8-水电!BJ8-核电!BJ8-地方燃煤!BJ8-风电!BJ8-光伏!BJ8-联络线!BJ8-非市场化!BJ8</f>
        <v>6120.80000000001</v>
      </c>
      <c r="BK8">
        <f>负荷!BK8-水电!BK8-核电!BK8-地方燃煤!BK8-风电!BK8-光伏!BK8-联络线!BK8-非市场化!BK8</f>
        <v>6387.48000000001</v>
      </c>
      <c r="BL8">
        <f>负荷!BL8-水电!BL8-核电!BL8-地方燃煤!BL8-风电!BL8-光伏!BL8-联络线!BL8-非市场化!BL8</f>
        <v>6738.67</v>
      </c>
      <c r="BM8">
        <f>负荷!BM8-水电!BM8-核电!BM8-地方燃煤!BM8-风电!BM8-光伏!BM8-联络线!BM8-非市场化!BM8</f>
        <v>7053.97999999999</v>
      </c>
      <c r="BN8">
        <f>负荷!BN8-水电!BN8-核电!BN8-地方燃煤!BN8-风电!BN8-光伏!BN8-联络线!BN8-非市场化!BN8</f>
        <v>7869.48</v>
      </c>
      <c r="BO8">
        <f>负荷!BO8-水电!BO8-核电!BO8-地方燃煤!BO8-风电!BO8-光伏!BO8-联络线!BO8-非市场化!BO8</f>
        <v>7892.42</v>
      </c>
      <c r="BP8">
        <f>负荷!BP8-水电!BP8-核电!BP8-地方燃煤!BP8-风电!BP8-光伏!BP8-联络线!BP8-非市场化!BP8</f>
        <v>8180.85</v>
      </c>
      <c r="BQ8">
        <f>负荷!BQ8-水电!BQ8-核电!BQ8-地方燃煤!BQ8-风电!BQ8-光伏!BQ8-联络线!BQ8-非市场化!BQ8</f>
        <v>7865.86</v>
      </c>
      <c r="BR8">
        <f>负荷!BR8-水电!BR8-核电!BR8-地方燃煤!BR8-风电!BR8-光伏!BR8-联络线!BR8-非市场化!BR8</f>
        <v>8237.32</v>
      </c>
      <c r="BS8">
        <f>负荷!BS8-水电!BS8-核电!BS8-地方燃煤!BS8-风电!BS8-光伏!BS8-联络线!BS8-非市场化!BS8</f>
        <v>8056.4</v>
      </c>
      <c r="BT8">
        <f>负荷!BT8-水电!BT8-核电!BT8-地方燃煤!BT8-风电!BT8-光伏!BT8-联络线!BT8-非市场化!BT8</f>
        <v>7922.21000000001</v>
      </c>
      <c r="BU8">
        <f>负荷!BU8-水电!BU8-核电!BU8-地方燃煤!BU8-风电!BU8-光伏!BU8-联络线!BU8-非市场化!BU8</f>
        <v>7997.62</v>
      </c>
      <c r="BV8">
        <f>负荷!BV8-水电!BV8-核电!BV8-地方燃煤!BV8-风电!BV8-光伏!BV8-联络线!BV8-非市场化!BV8</f>
        <v>8245.49999999999</v>
      </c>
      <c r="BW8">
        <f>负荷!BW8-水电!BW8-核电!BW8-地方燃煤!BW8-风电!BW8-光伏!BW8-联络线!BW8-非市场化!BW8</f>
        <v>8560</v>
      </c>
      <c r="BX8">
        <f>负荷!BX8-水电!BX8-核电!BX8-地方燃煤!BX8-风电!BX8-光伏!BX8-联络线!BX8-非市场化!BX8</f>
        <v>8743.24</v>
      </c>
      <c r="BY8">
        <f>负荷!BY8-水电!BY8-核电!BY8-地方燃煤!BY8-风电!BY8-光伏!BY8-联络线!BY8-非市场化!BY8</f>
        <v>8816.22</v>
      </c>
      <c r="BZ8">
        <f>负荷!BZ8-水电!BZ8-核电!BZ8-地方燃煤!BZ8-风电!BZ8-光伏!BZ8-联络线!BZ8-非市场化!BZ8</f>
        <v>9597.91000000001</v>
      </c>
      <c r="CA8">
        <f>负荷!CA8-水电!CA8-核电!CA8-地方燃煤!CA8-风电!CA8-光伏!CA8-联络线!CA8-非市场化!CA8</f>
        <v>9562.66</v>
      </c>
      <c r="CB8">
        <f>负荷!CB8-水电!CB8-核电!CB8-地方燃煤!CB8-风电!CB8-光伏!CB8-联络线!CB8-非市场化!CB8</f>
        <v>9625.11999999999</v>
      </c>
      <c r="CC8">
        <f>负荷!CC8-水电!CC8-核电!CC8-地方燃煤!CC8-风电!CC8-光伏!CC8-联络线!CC8-非市场化!CC8</f>
        <v>9332.62</v>
      </c>
      <c r="CD8">
        <f>负荷!CD8-水电!CD8-核电!CD8-地方燃煤!CD8-风电!CD8-光伏!CD8-联络线!CD8-非市场化!CD8</f>
        <v>8855.24</v>
      </c>
      <c r="CE8">
        <f>负荷!CE8-水电!CE8-核电!CE8-地方燃煤!CE8-风电!CE8-光伏!CE8-联络线!CE8-非市场化!CE8</f>
        <v>8865.67</v>
      </c>
      <c r="CF8">
        <f>负荷!CF8-水电!CF8-核电!CF8-地方燃煤!CF8-风电!CF8-光伏!CF8-联络线!CF8-非市场化!CF8</f>
        <v>8572.87</v>
      </c>
      <c r="CG8">
        <f>负荷!CG8-水电!CG8-核电!CG8-地方燃煤!CG8-风电!CG8-光伏!CG8-联络线!CG8-非市场化!CG8</f>
        <v>8213.32</v>
      </c>
      <c r="CH8">
        <f>负荷!CH8-水电!CH8-核电!CH8-地方燃煤!CH8-风电!CH8-光伏!CH8-联络线!CH8-非市场化!CH8</f>
        <v>7588.39</v>
      </c>
      <c r="CI8">
        <f>负荷!CI8-水电!CI8-核电!CI8-地方燃煤!CI8-风电!CI8-光伏!CI8-联络线!CI8-非市场化!CI8</f>
        <v>7543.88000000001</v>
      </c>
      <c r="CJ8">
        <f>负荷!CJ8-水电!CJ8-核电!CJ8-地方燃煤!CJ8-风电!CJ8-光伏!CJ8-联络线!CJ8-非市场化!CJ8</f>
        <v>7230.93</v>
      </c>
      <c r="CK8">
        <f>负荷!CK8-水电!CK8-核电!CK8-地方燃煤!CK8-风电!CK8-光伏!CK8-联络线!CK8-非市场化!CK8</f>
        <v>6886.65</v>
      </c>
      <c r="CL8">
        <f>负荷!CL8-水电!CL8-核电!CL8-地方燃煤!CL8-风电!CL8-光伏!CL8-联络线!CL8-非市场化!CL8</f>
        <v>7195.13</v>
      </c>
      <c r="CM8">
        <f>负荷!CM8-水电!CM8-核电!CM8-地方燃煤!CM8-风电!CM8-光伏!CM8-联络线!CM8-非市场化!CM8</f>
        <v>7197.18</v>
      </c>
      <c r="CN8">
        <f>负荷!CN8-水电!CN8-核电!CN8-地方燃煤!CN8-风电!CN8-光伏!CN8-联络线!CN8-非市场化!CN8</f>
        <v>7122.4</v>
      </c>
      <c r="CO8">
        <f>负荷!CO8-水电!CO8-核电!CO8-地方燃煤!CO8-风电!CO8-光伏!CO8-联络线!CO8-非市场化!CO8</f>
        <v>7003.62</v>
      </c>
      <c r="CP8">
        <f>负荷!CP8-水电!CP8-核电!CP8-地方燃煤!CP8-风电!CP8-光伏!CP8-联络线!CP8-非市场化!CP8</f>
        <v>6533.37</v>
      </c>
      <c r="CQ8">
        <f>负荷!CQ8-水电!CQ8-核电!CQ8-地方燃煤!CQ8-风电!CQ8-光伏!CQ8-联络线!CQ8-非市场化!CQ8</f>
        <v>6005.3</v>
      </c>
      <c r="CR8">
        <f>负荷!CR8-水电!CR8-核电!CR8-地方燃煤!CR8-风电!CR8-光伏!CR8-联络线!CR8-非市场化!CR8</f>
        <v>5545.67</v>
      </c>
      <c r="CS8">
        <f>负荷!CS8-水电!CS8-核电!CS8-地方燃煤!CS8-风电!CS8-光伏!CS8-联络线!CS8-非市场化!CS8</f>
        <v>4874.11</v>
      </c>
    </row>
    <row r="9" spans="1:97">
      <c r="A9" s="9">
        <v>46242</v>
      </c>
      <c r="B9">
        <f>负荷!B9-水电!B9-核电!B9-地方燃煤!B9-风电!B9-光伏!B9-联络线!B9-非市场化!B9</f>
        <v>7060.88</v>
      </c>
      <c r="C9">
        <f>负荷!C9-水电!C9-核电!C9-地方燃煤!C9-风电!C9-光伏!C9-联络线!C9-非市场化!C9</f>
        <v>7161.7</v>
      </c>
      <c r="D9">
        <f>负荷!D9-水电!D9-核电!D9-地方燃煤!D9-风电!D9-光伏!D9-联络线!D9-非市场化!D9</f>
        <v>7304.9</v>
      </c>
      <c r="E9">
        <f>负荷!E9-水电!E9-核电!E9-地方燃煤!E9-风电!E9-光伏!E9-联络线!E9-非市场化!E9</f>
        <v>7287.86</v>
      </c>
      <c r="F9">
        <f>负荷!F9-水电!F9-核电!F9-地方燃煤!F9-风电!F9-光伏!F9-联络线!F9-非市场化!F9</f>
        <v>6946.43</v>
      </c>
      <c r="G9">
        <f>负荷!G9-水电!G9-核电!G9-地方燃煤!G9-风电!G9-光伏!G9-联络线!G9-非市场化!G9</f>
        <v>6474.3</v>
      </c>
      <c r="H9">
        <f>负荷!H9-水电!H9-核电!H9-地方燃煤!H9-风电!H9-光伏!H9-联络线!H9-非市场化!H9</f>
        <v>6294.53</v>
      </c>
      <c r="I9">
        <f>负荷!I9-水电!I9-核电!I9-地方燃煤!I9-风电!I9-光伏!I9-联络线!I9-非市场化!I9</f>
        <v>6169</v>
      </c>
      <c r="J9">
        <f>负荷!J9-水电!J9-核电!J9-地方燃煤!J9-风电!J9-光伏!J9-联络线!J9-非市场化!J9</f>
        <v>6196.96</v>
      </c>
      <c r="K9">
        <f>负荷!K9-水电!K9-核电!K9-地方燃煤!K9-风电!K9-光伏!K9-联络线!K9-非市场化!K9</f>
        <v>5978.02</v>
      </c>
      <c r="L9">
        <f>负荷!L9-水电!L9-核电!L9-地方燃煤!L9-风电!L9-光伏!L9-联络线!L9-非市场化!L9</f>
        <v>5889.86</v>
      </c>
      <c r="M9">
        <f>负荷!M9-水电!M9-核电!M9-地方燃煤!M9-风电!M9-光伏!M9-联络线!M9-非市场化!M9</f>
        <v>5660.46</v>
      </c>
      <c r="N9">
        <f>负荷!N9-水电!N9-核电!N9-地方燃煤!N9-风电!N9-光伏!N9-联络线!N9-非市场化!N9</f>
        <v>5288.26</v>
      </c>
      <c r="O9">
        <f>负荷!O9-水电!O9-核电!O9-地方燃煤!O9-风电!O9-光伏!O9-联络线!O9-非市场化!O9</f>
        <v>5141.62000000001</v>
      </c>
      <c r="P9">
        <f>负荷!P9-水电!P9-核电!P9-地方燃煤!P9-风电!P9-光伏!P9-联络线!P9-非市场化!P9</f>
        <v>5129.1</v>
      </c>
      <c r="Q9">
        <f>负荷!Q9-水电!Q9-核电!Q9-地方燃煤!Q9-风电!Q9-光伏!Q9-联络线!Q9-非市场化!Q9</f>
        <v>5133.87</v>
      </c>
      <c r="R9">
        <f>负荷!R9-水电!R9-核电!R9-地方燃煤!R9-风电!R9-光伏!R9-联络线!R9-非市场化!R9</f>
        <v>4716.67</v>
      </c>
      <c r="S9">
        <f>负荷!S9-水电!S9-核电!S9-地方燃煤!S9-风电!S9-光伏!S9-联络线!S9-非市场化!S9</f>
        <v>4550.31</v>
      </c>
      <c r="T9">
        <f>负荷!T9-水电!T9-核电!T9-地方燃煤!T9-风电!T9-光伏!T9-联络线!T9-非市场化!T9</f>
        <v>4421.23</v>
      </c>
      <c r="U9">
        <f>负荷!U9-水电!U9-核电!U9-地方燃煤!U9-风电!U9-光伏!U9-联络线!U9-非市场化!U9</f>
        <v>4455.55</v>
      </c>
      <c r="V9">
        <f>负荷!V9-水电!V9-核电!V9-地方燃煤!V9-风电!V9-光伏!V9-联络线!V9-非市场化!V9</f>
        <v>4739.28</v>
      </c>
      <c r="W9">
        <f>负荷!W9-水电!W9-核电!W9-地方燃煤!W9-风电!W9-光伏!W9-联络线!W9-非市场化!W9</f>
        <v>4902.85</v>
      </c>
      <c r="X9">
        <f>负荷!X9-水电!X9-核电!X9-地方燃煤!X9-风电!X9-光伏!X9-联络线!X9-非市场化!X9</f>
        <v>5032.32</v>
      </c>
      <c r="Y9">
        <f>负荷!Y9-水电!Y9-核电!Y9-地方燃煤!Y9-风电!Y9-光伏!Y9-联络线!Y9-非市场化!Y9</f>
        <v>5337.05</v>
      </c>
      <c r="Z9">
        <f>负荷!Z9-水电!Z9-核电!Z9-地方燃煤!Z9-风电!Z9-光伏!Z9-联络线!Z9-非市场化!Z9</f>
        <v>5747.4</v>
      </c>
      <c r="AA9">
        <f>负荷!AA9-水电!AA9-核电!AA9-地方燃煤!AA9-风电!AA9-光伏!AA9-联络线!AA9-非市场化!AA9</f>
        <v>5801.5</v>
      </c>
      <c r="AB9">
        <f>负荷!AB9-水电!AB9-核电!AB9-地方燃煤!AB9-风电!AB9-光伏!AB9-联络线!AB9-非市场化!AB9</f>
        <v>5857.83</v>
      </c>
      <c r="AC9">
        <f>负荷!AC9-水电!AC9-核电!AC9-地方燃煤!AC9-风电!AC9-光伏!AC9-联络线!AC9-非市场化!AC9</f>
        <v>5495.67</v>
      </c>
      <c r="AD9">
        <f>负荷!AD9-水电!AD9-核电!AD9-地方燃煤!AD9-风电!AD9-光伏!AD9-联络线!AD9-非市场化!AD9</f>
        <v>5030.07</v>
      </c>
      <c r="AE9">
        <f>负荷!AE9-水电!AE9-核电!AE9-地方燃煤!AE9-风电!AE9-光伏!AE9-联络线!AE9-非市场化!AE9</f>
        <v>4878.02</v>
      </c>
      <c r="AF9">
        <f>负荷!AF9-水电!AF9-核电!AF9-地方燃煤!AF9-风电!AF9-光伏!AF9-联络线!AF9-非市场化!AF9</f>
        <v>4871.39</v>
      </c>
      <c r="AG9">
        <f>负荷!AG9-水电!AG9-核电!AG9-地方燃煤!AG9-风电!AG9-光伏!AG9-联络线!AG9-非市场化!AG9</f>
        <v>4884.45999999999</v>
      </c>
      <c r="AH9">
        <f>负荷!AH9-水电!AH9-核电!AH9-地方燃煤!AH9-风电!AH9-光伏!AH9-联络线!AH9-非市场化!AH9</f>
        <v>5550.07</v>
      </c>
      <c r="AI9">
        <f>负荷!AI9-水电!AI9-核电!AI9-地方燃煤!AI9-风电!AI9-光伏!AI9-联络线!AI9-非市场化!AI9</f>
        <v>5278.31</v>
      </c>
      <c r="AJ9">
        <f>负荷!AJ9-水电!AJ9-核电!AJ9-地方燃煤!AJ9-风电!AJ9-光伏!AJ9-联络线!AJ9-非市场化!AJ9</f>
        <v>5065.34</v>
      </c>
      <c r="AK9">
        <f>负荷!AK9-水电!AK9-核电!AK9-地方燃煤!AK9-风电!AK9-光伏!AK9-联络线!AK9-非市场化!AK9</f>
        <v>4755.3</v>
      </c>
      <c r="AL9">
        <f>负荷!AL9-水电!AL9-核电!AL9-地方燃煤!AL9-风电!AL9-光伏!AL9-联络线!AL9-非市场化!AL9</f>
        <v>4789.77</v>
      </c>
      <c r="AM9">
        <f>负荷!AM9-水电!AM9-核电!AM9-地方燃煤!AM9-风电!AM9-光伏!AM9-联络线!AM9-非市场化!AM9</f>
        <v>5042.1</v>
      </c>
      <c r="AN9">
        <f>负荷!AN9-水电!AN9-核电!AN9-地方燃煤!AN9-风电!AN9-光伏!AN9-联络线!AN9-非市场化!AN9</f>
        <v>4970.96</v>
      </c>
      <c r="AO9">
        <f>负荷!AO9-水电!AO9-核电!AO9-地方燃煤!AO9-风电!AO9-光伏!AO9-联络线!AO9-非市场化!AO9</f>
        <v>4847.48000000001</v>
      </c>
      <c r="AP9">
        <f>负荷!AP9-水电!AP9-核电!AP9-地方燃煤!AP9-风电!AP9-光伏!AP9-联络线!AP9-非市场化!AP9</f>
        <v>4500.02000000001</v>
      </c>
      <c r="AQ9">
        <f>负荷!AQ9-水电!AQ9-核电!AQ9-地方燃煤!AQ9-风电!AQ9-光伏!AQ9-联络线!AQ9-非市场化!AQ9</f>
        <v>4693.94</v>
      </c>
      <c r="AR9">
        <f>负荷!AR9-水电!AR9-核电!AR9-地方燃煤!AR9-风电!AR9-光伏!AR9-联络线!AR9-非市场化!AR9</f>
        <v>4799.27</v>
      </c>
      <c r="AS9">
        <f>负荷!AS9-水电!AS9-核电!AS9-地方燃煤!AS9-风电!AS9-光伏!AS9-联络线!AS9-非市场化!AS9</f>
        <v>4173.16</v>
      </c>
      <c r="AT9">
        <f>负荷!AT9-水电!AT9-核电!AT9-地方燃煤!AT9-风电!AT9-光伏!AT9-联络线!AT9-非市场化!AT9</f>
        <v>3756.98</v>
      </c>
      <c r="AU9">
        <f>负荷!AU9-水电!AU9-核电!AU9-地方燃煤!AU9-风电!AU9-光伏!AU9-联络线!AU9-非市场化!AU9</f>
        <v>3808.28</v>
      </c>
      <c r="AV9">
        <f>负荷!AV9-水电!AV9-核电!AV9-地方燃煤!AV9-风电!AV9-光伏!AV9-联络线!AV9-非市场化!AV9</f>
        <v>3795.65</v>
      </c>
      <c r="AW9">
        <f>负荷!AW9-水电!AW9-核电!AW9-地方燃煤!AW9-风电!AW9-光伏!AW9-联络线!AW9-非市场化!AW9</f>
        <v>4033.69</v>
      </c>
      <c r="AX9">
        <f>负荷!AX9-水电!AX9-核电!AX9-地方燃煤!AX9-风电!AX9-光伏!AX9-联络线!AX9-非市场化!AX9</f>
        <v>4304.94999999999</v>
      </c>
      <c r="AY9">
        <f>负荷!AY9-水电!AY9-核电!AY9-地方燃煤!AY9-风电!AY9-光伏!AY9-联络线!AY9-非市场化!AY9</f>
        <v>4411.88</v>
      </c>
      <c r="AZ9">
        <f>负荷!AZ9-水电!AZ9-核电!AZ9-地方燃煤!AZ9-风电!AZ9-光伏!AZ9-联络线!AZ9-非市场化!AZ9</f>
        <v>4740.96999999999</v>
      </c>
      <c r="BA9">
        <f>负荷!BA9-水电!BA9-核电!BA9-地方燃煤!BA9-风电!BA9-光伏!BA9-联络线!BA9-非市场化!BA9</f>
        <v>4511.77</v>
      </c>
      <c r="BB9">
        <f>负荷!BB9-水电!BB9-核电!BB9-地方燃煤!BB9-风电!BB9-光伏!BB9-联络线!BB9-非市场化!BB9</f>
        <v>5009.08000000001</v>
      </c>
      <c r="BC9">
        <f>负荷!BC9-水电!BC9-核电!BC9-地方燃煤!BC9-风电!BC9-光伏!BC9-联络线!BC9-非市场化!BC9</f>
        <v>4904.25</v>
      </c>
      <c r="BD9">
        <f>负荷!BD9-水电!BD9-核电!BD9-地方燃煤!BD9-风电!BD9-光伏!BD9-联络线!BD9-非市场化!BD9</f>
        <v>5286.88</v>
      </c>
      <c r="BE9">
        <f>负荷!BE9-水电!BE9-核电!BE9-地方燃煤!BE9-风电!BE9-光伏!BE9-联络线!BE9-非市场化!BE9</f>
        <v>5267.86</v>
      </c>
      <c r="BF9">
        <f>负荷!BF9-水电!BF9-核电!BF9-地方燃煤!BF9-风电!BF9-光伏!BF9-联络线!BF9-非市场化!BF9</f>
        <v>5437.71</v>
      </c>
      <c r="BG9">
        <f>负荷!BG9-水电!BG9-核电!BG9-地方燃煤!BG9-风电!BG9-光伏!BG9-联络线!BG9-非市场化!BG9</f>
        <v>5913.13</v>
      </c>
      <c r="BH9">
        <f>负荷!BH9-水电!BH9-核电!BH9-地方燃煤!BH9-风电!BH9-光伏!BH9-联络线!BH9-非市场化!BH9</f>
        <v>6188.02</v>
      </c>
      <c r="BI9">
        <f>负荷!BI9-水电!BI9-核电!BI9-地方燃煤!BI9-风电!BI9-光伏!BI9-联络线!BI9-非市场化!BI9</f>
        <v>6643.72</v>
      </c>
      <c r="BJ9">
        <f>负荷!BJ9-水电!BJ9-核电!BJ9-地方燃煤!BJ9-风电!BJ9-光伏!BJ9-联络线!BJ9-非市场化!BJ9</f>
        <v>7797.15</v>
      </c>
      <c r="BK9">
        <f>负荷!BK9-水电!BK9-核电!BK9-地方燃煤!BK9-风电!BK9-光伏!BK9-联络线!BK9-非市场化!BK9</f>
        <v>8582.33000000001</v>
      </c>
      <c r="BL9">
        <f>负荷!BL9-水电!BL9-核电!BL9-地方燃煤!BL9-风电!BL9-光伏!BL9-联络线!BL9-非市场化!BL9</f>
        <v>9426.66</v>
      </c>
      <c r="BM9">
        <f>负荷!BM9-水电!BM9-核电!BM9-地方燃煤!BM9-风电!BM9-光伏!BM9-联络线!BM9-非市场化!BM9</f>
        <v>9686.83</v>
      </c>
      <c r="BN9">
        <f>负荷!BN9-水电!BN9-核电!BN9-地方燃煤!BN9-风电!BN9-光伏!BN9-联络线!BN9-非市场化!BN9</f>
        <v>11799.41</v>
      </c>
      <c r="BO9">
        <f>负荷!BO9-水电!BO9-核电!BO9-地方燃煤!BO9-风电!BO9-光伏!BO9-联络线!BO9-非市场化!BO9</f>
        <v>12113.34</v>
      </c>
      <c r="BP9">
        <f>负荷!BP9-水电!BP9-核电!BP9-地方燃煤!BP9-风电!BP9-光伏!BP9-联络线!BP9-非市场化!BP9</f>
        <v>12536.28</v>
      </c>
      <c r="BQ9">
        <f>负荷!BQ9-水电!BQ9-核电!BQ9-地方燃煤!BQ9-风电!BQ9-光伏!BQ9-联络线!BQ9-非市场化!BQ9</f>
        <v>11981.4</v>
      </c>
      <c r="BR9">
        <f>负荷!BR9-水电!BR9-核电!BR9-地方燃煤!BR9-风电!BR9-光伏!BR9-联络线!BR9-非市场化!BR9</f>
        <v>10877.38</v>
      </c>
      <c r="BS9">
        <f>负荷!BS9-水电!BS9-核电!BS9-地方燃煤!BS9-风电!BS9-光伏!BS9-联络线!BS9-非市场化!BS9</f>
        <v>11282.23</v>
      </c>
      <c r="BT9">
        <f>负荷!BT9-水电!BT9-核电!BT9-地方燃煤!BT9-风电!BT9-光伏!BT9-联络线!BT9-非市场化!BT9</f>
        <v>11599.33</v>
      </c>
      <c r="BU9">
        <f>负荷!BU9-水电!BU9-核电!BU9-地方燃煤!BU9-风电!BU9-光伏!BU9-联络线!BU9-非市场化!BU9</f>
        <v>12108.07</v>
      </c>
      <c r="BV9">
        <f>负荷!BV9-水电!BV9-核电!BV9-地方燃煤!BV9-风电!BV9-光伏!BV9-联络线!BV9-非市场化!BV9</f>
        <v>11636.56</v>
      </c>
      <c r="BW9">
        <f>负荷!BW9-水电!BW9-核电!BW9-地方燃煤!BW9-风电!BW9-光伏!BW9-联络线!BW9-非市场化!BW9</f>
        <v>11553.68</v>
      </c>
      <c r="BX9">
        <f>负荷!BX9-水电!BX9-核电!BX9-地方燃煤!BX9-风电!BX9-光伏!BX9-联络线!BX9-非市场化!BX9</f>
        <v>12208.29</v>
      </c>
      <c r="BY9">
        <f>负荷!BY9-水电!BY9-核电!BY9-地方燃煤!BY9-风电!BY9-光伏!BY9-联络线!BY9-非市场化!BY9</f>
        <v>12342.28</v>
      </c>
      <c r="BZ9">
        <f>负荷!BZ9-水电!BZ9-核电!BZ9-地方燃煤!BZ9-风电!BZ9-光伏!BZ9-联络线!BZ9-非市场化!BZ9</f>
        <v>11900.31</v>
      </c>
      <c r="CA9">
        <f>负荷!CA9-水电!CA9-核电!CA9-地方燃煤!CA9-风电!CA9-光伏!CA9-联络线!CA9-非市场化!CA9</f>
        <v>11997.31</v>
      </c>
      <c r="CB9">
        <f>负荷!CB9-水电!CB9-核电!CB9-地方燃煤!CB9-风电!CB9-光伏!CB9-联络线!CB9-非市场化!CB9</f>
        <v>12078.01</v>
      </c>
      <c r="CC9">
        <f>负荷!CC9-水电!CC9-核电!CC9-地方燃煤!CC9-风电!CC9-光伏!CC9-联络线!CC9-非市场化!CC9</f>
        <v>11797.45</v>
      </c>
      <c r="CD9">
        <f>负荷!CD9-水电!CD9-核电!CD9-地方燃煤!CD9-风电!CD9-光伏!CD9-联络线!CD9-非市场化!CD9</f>
        <v>10907.16</v>
      </c>
      <c r="CE9">
        <f>负荷!CE9-水电!CE9-核电!CE9-地方燃煤!CE9-风电!CE9-光伏!CE9-联络线!CE9-非市场化!CE9</f>
        <v>11055.54</v>
      </c>
      <c r="CF9">
        <f>负荷!CF9-水电!CF9-核电!CF9-地方燃煤!CF9-风电!CF9-光伏!CF9-联络线!CF9-非市场化!CF9</f>
        <v>10675.13</v>
      </c>
      <c r="CG9">
        <f>负荷!CG9-水电!CG9-核电!CG9-地方燃煤!CG9-风电!CG9-光伏!CG9-联络线!CG9-非市场化!CG9</f>
        <v>10384.08</v>
      </c>
      <c r="CH9">
        <f>负荷!CH9-水电!CH9-核电!CH9-地方燃煤!CH9-风电!CH9-光伏!CH9-联络线!CH9-非市场化!CH9</f>
        <v>10319.18</v>
      </c>
      <c r="CI9">
        <f>负荷!CI9-水电!CI9-核电!CI9-地方燃煤!CI9-风电!CI9-光伏!CI9-联络线!CI9-非市场化!CI9</f>
        <v>10077.65</v>
      </c>
      <c r="CJ9">
        <f>负荷!CJ9-水电!CJ9-核电!CJ9-地方燃煤!CJ9-风电!CJ9-光伏!CJ9-联络线!CJ9-非市场化!CJ9</f>
        <v>10030.52</v>
      </c>
      <c r="CK9">
        <f>负荷!CK9-水电!CK9-核电!CK9-地方燃煤!CK9-风电!CK9-光伏!CK9-联络线!CK9-非市场化!CK9</f>
        <v>9849.28000000001</v>
      </c>
      <c r="CL9">
        <f>负荷!CL9-水电!CL9-核电!CL9-地方燃煤!CL9-风电!CL9-光伏!CL9-联络线!CL9-非市场化!CL9</f>
        <v>10850.24</v>
      </c>
      <c r="CM9">
        <f>负荷!CM9-水电!CM9-核电!CM9-地方燃煤!CM9-风电!CM9-光伏!CM9-联络线!CM9-非市场化!CM9</f>
        <v>10991.65</v>
      </c>
      <c r="CN9">
        <f>负荷!CN9-水电!CN9-核电!CN9-地方燃煤!CN9-风电!CN9-光伏!CN9-联络线!CN9-非市场化!CN9</f>
        <v>11220.34</v>
      </c>
      <c r="CO9">
        <f>负荷!CO9-水电!CO9-核电!CO9-地方燃煤!CO9-风电!CO9-光伏!CO9-联络线!CO9-非市场化!CO9</f>
        <v>11214.36</v>
      </c>
      <c r="CP9">
        <f>负荷!CP9-水电!CP9-核电!CP9-地方燃煤!CP9-风电!CP9-光伏!CP9-联络线!CP9-非市场化!CP9</f>
        <v>10782.75</v>
      </c>
      <c r="CQ9">
        <f>负荷!CQ9-水电!CQ9-核电!CQ9-地方燃煤!CQ9-风电!CQ9-光伏!CQ9-联络线!CQ9-非市场化!CQ9</f>
        <v>10247.34</v>
      </c>
      <c r="CR9">
        <f>负荷!CR9-水电!CR9-核电!CR9-地方燃煤!CR9-风电!CR9-光伏!CR9-联络线!CR9-非市场化!CR9</f>
        <v>9702.61</v>
      </c>
      <c r="CS9">
        <f>负荷!CS9-水电!CS9-核电!CS9-地方燃煤!CS9-风电!CS9-光伏!CS9-联络线!CS9-非市场化!CS9</f>
        <v>9050.78</v>
      </c>
    </row>
    <row r="10" spans="1:97">
      <c r="A10" s="9">
        <v>46243</v>
      </c>
      <c r="B10">
        <f>负荷!B10-水电!B10-核电!B10-地方燃煤!B10-风电!B10-光伏!B10-联络线!B10-非市场化!B10</f>
        <v>9425.02</v>
      </c>
      <c r="C10">
        <f>负荷!C10-水电!C10-核电!C10-地方燃煤!C10-风电!C10-光伏!C10-联络线!C10-非市场化!C10</f>
        <v>9092.08</v>
      </c>
      <c r="D10">
        <f>负荷!D10-水电!D10-核电!D10-地方燃煤!D10-风电!D10-光伏!D10-联络线!D10-非市场化!D10</f>
        <v>8991.75</v>
      </c>
      <c r="E10">
        <f>负荷!E10-水电!E10-核电!E10-地方燃煤!E10-风电!E10-光伏!E10-联络线!E10-非市场化!E10</f>
        <v>8965.47</v>
      </c>
      <c r="F10">
        <f>负荷!F10-水电!F10-核电!F10-地方燃煤!F10-风电!F10-光伏!F10-联络线!F10-非市场化!F10</f>
        <v>8803.23</v>
      </c>
      <c r="G10">
        <f>负荷!G10-水电!G10-核电!G10-地方燃煤!G10-风电!G10-光伏!G10-联络线!G10-非市场化!G10</f>
        <v>8909.89</v>
      </c>
      <c r="H10">
        <f>负荷!H10-水电!H10-核电!H10-地方燃煤!H10-风电!H10-光伏!H10-联络线!H10-非市场化!H10</f>
        <v>9263.49</v>
      </c>
      <c r="I10">
        <f>负荷!I10-水电!I10-核电!I10-地方燃煤!I10-风电!I10-光伏!I10-联络线!I10-非市场化!I10</f>
        <v>9228.18</v>
      </c>
      <c r="J10">
        <f>负荷!J10-水电!J10-核电!J10-地方燃煤!J10-风电!J10-光伏!J10-联络线!J10-非市场化!J10</f>
        <v>8871.4</v>
      </c>
      <c r="K10">
        <f>负荷!K10-水电!K10-核电!K10-地方燃煤!K10-风电!K10-光伏!K10-联络线!K10-非市场化!K10</f>
        <v>8833.38</v>
      </c>
      <c r="L10">
        <f>负荷!L10-水电!L10-核电!L10-地方燃煤!L10-风电!L10-光伏!L10-联络线!L10-非市场化!L10</f>
        <v>8636.22</v>
      </c>
      <c r="M10">
        <f>负荷!M10-水电!M10-核电!M10-地方燃煤!M10-风电!M10-光伏!M10-联络线!M10-非市场化!M10</f>
        <v>8557.29</v>
      </c>
      <c r="N10">
        <f>负荷!N10-水电!N10-核电!N10-地方燃煤!N10-风电!N10-光伏!N10-联络线!N10-非市场化!N10</f>
        <v>9043.13</v>
      </c>
      <c r="O10">
        <f>负荷!O10-水电!O10-核电!O10-地方燃煤!O10-风电!O10-光伏!O10-联络线!O10-非市场化!O10</f>
        <v>8812.15</v>
      </c>
      <c r="P10">
        <f>负荷!P10-水电!P10-核电!P10-地方燃煤!P10-风电!P10-光伏!P10-联络线!P10-非市场化!P10</f>
        <v>8859.14</v>
      </c>
      <c r="Q10">
        <f>负荷!Q10-水电!Q10-核电!Q10-地方燃煤!Q10-风电!Q10-光伏!Q10-联络线!Q10-非市场化!Q10</f>
        <v>8862.33</v>
      </c>
      <c r="R10">
        <f>负荷!R10-水电!R10-核电!R10-地方燃煤!R10-风电!R10-光伏!R10-联络线!R10-非市场化!R10</f>
        <v>9009.99</v>
      </c>
      <c r="S10">
        <f>负荷!S10-水电!S10-核电!S10-地方燃煤!S10-风电!S10-光伏!S10-联络线!S10-非市场化!S10</f>
        <v>9031.22</v>
      </c>
      <c r="T10">
        <f>负荷!T10-水电!T10-核电!T10-地方燃煤!T10-风电!T10-光伏!T10-联络线!T10-非市场化!T10</f>
        <v>9278.09</v>
      </c>
      <c r="U10">
        <f>负荷!U10-水电!U10-核电!U10-地方燃煤!U10-风电!U10-光伏!U10-联络线!U10-非市场化!U10</f>
        <v>9823.14</v>
      </c>
      <c r="V10">
        <f>负荷!V10-水电!V10-核电!V10-地方燃煤!V10-风电!V10-光伏!V10-联络线!V10-非市场化!V10</f>
        <v>10040.45</v>
      </c>
      <c r="W10">
        <f>负荷!W10-水电!W10-核电!W10-地方燃煤!W10-风电!W10-光伏!W10-联络线!W10-非市场化!W10</f>
        <v>10146.72</v>
      </c>
      <c r="X10">
        <f>负荷!X10-水电!X10-核电!X10-地方燃煤!X10-风电!X10-光伏!X10-联络线!X10-非市场化!X10</f>
        <v>10443.91</v>
      </c>
      <c r="Y10">
        <f>负荷!Y10-水电!Y10-核电!Y10-地方燃煤!Y10-风电!Y10-光伏!Y10-联络线!Y10-非市场化!Y10</f>
        <v>10447.17</v>
      </c>
      <c r="Z10">
        <f>负荷!Z10-水电!Z10-核电!Z10-地方燃煤!Z10-风电!Z10-光伏!Z10-联络线!Z10-非市场化!Z10</f>
        <v>11404.09</v>
      </c>
      <c r="AA10">
        <f>负荷!AA10-水电!AA10-核电!AA10-地方燃煤!AA10-风电!AA10-光伏!AA10-联络线!AA10-非市场化!AA10</f>
        <v>11489.66</v>
      </c>
      <c r="AB10">
        <f>负荷!AB10-水电!AB10-核电!AB10-地方燃煤!AB10-风电!AB10-光伏!AB10-联络线!AB10-非市场化!AB10</f>
        <v>11130</v>
      </c>
      <c r="AC10">
        <f>负荷!AC10-水电!AC10-核电!AC10-地方燃煤!AC10-风电!AC10-光伏!AC10-联络线!AC10-非市场化!AC10</f>
        <v>10792.45</v>
      </c>
      <c r="AD10">
        <f>负荷!AD10-水电!AD10-核电!AD10-地方燃煤!AD10-风电!AD10-光伏!AD10-联络线!AD10-非市场化!AD10</f>
        <v>10130.87</v>
      </c>
      <c r="AE10">
        <f>负荷!AE10-水电!AE10-核电!AE10-地方燃煤!AE10-风电!AE10-光伏!AE10-联络线!AE10-非市场化!AE10</f>
        <v>9996.62</v>
      </c>
      <c r="AF10">
        <f>负荷!AF10-水电!AF10-核电!AF10-地方燃煤!AF10-风电!AF10-光伏!AF10-联络线!AF10-非市场化!AF10</f>
        <v>9961.44</v>
      </c>
      <c r="AG10">
        <f>负荷!AG10-水电!AG10-核电!AG10-地方燃煤!AG10-风电!AG10-光伏!AG10-联络线!AG10-非市场化!AG10</f>
        <v>9869.95</v>
      </c>
      <c r="AH10">
        <f>负荷!AH10-水电!AH10-核电!AH10-地方燃煤!AH10-风电!AH10-光伏!AH10-联络线!AH10-非市场化!AH10</f>
        <v>10329.4</v>
      </c>
      <c r="AI10">
        <f>负荷!AI10-水电!AI10-核电!AI10-地方燃煤!AI10-风电!AI10-光伏!AI10-联络线!AI10-非市场化!AI10</f>
        <v>9953.11</v>
      </c>
      <c r="AJ10">
        <f>负荷!AJ10-水电!AJ10-核电!AJ10-地方燃煤!AJ10-风电!AJ10-光伏!AJ10-联络线!AJ10-非市场化!AJ10</f>
        <v>9890.35</v>
      </c>
      <c r="AK10">
        <f>负荷!AK10-水电!AK10-核电!AK10-地方燃煤!AK10-风电!AK10-光伏!AK10-联络线!AK10-非市场化!AK10</f>
        <v>9490.22</v>
      </c>
      <c r="AL10">
        <f>负荷!AL10-水电!AL10-核电!AL10-地方燃煤!AL10-风电!AL10-光伏!AL10-联络线!AL10-非市场化!AL10</f>
        <v>9141.13</v>
      </c>
      <c r="AM10">
        <f>负荷!AM10-水电!AM10-核电!AM10-地方燃煤!AM10-风电!AM10-光伏!AM10-联络线!AM10-非市场化!AM10</f>
        <v>9027.09</v>
      </c>
      <c r="AN10">
        <f>负荷!AN10-水电!AN10-核电!AN10-地方燃煤!AN10-风电!AN10-光伏!AN10-联络线!AN10-非市场化!AN10</f>
        <v>8834.59999999999</v>
      </c>
      <c r="AO10">
        <f>负荷!AO10-水电!AO10-核电!AO10-地方燃煤!AO10-风电!AO10-光伏!AO10-联络线!AO10-非市场化!AO10</f>
        <v>8846.54</v>
      </c>
      <c r="AP10">
        <f>负荷!AP10-水电!AP10-核电!AP10-地方燃煤!AP10-风电!AP10-光伏!AP10-联络线!AP10-非市场化!AP10</f>
        <v>8287.17</v>
      </c>
      <c r="AQ10">
        <f>负荷!AQ10-水电!AQ10-核电!AQ10-地方燃煤!AQ10-风电!AQ10-光伏!AQ10-联络线!AQ10-非市场化!AQ10</f>
        <v>8847.61</v>
      </c>
      <c r="AR10">
        <f>负荷!AR10-水电!AR10-核电!AR10-地方燃煤!AR10-风电!AR10-光伏!AR10-联络线!AR10-非市场化!AR10</f>
        <v>9023.96</v>
      </c>
      <c r="AS10">
        <f>负荷!AS10-水电!AS10-核电!AS10-地方燃煤!AS10-风电!AS10-光伏!AS10-联络线!AS10-非市场化!AS10</f>
        <v>8776.05</v>
      </c>
      <c r="AT10">
        <f>负荷!AT10-水电!AT10-核电!AT10-地方燃煤!AT10-风电!AT10-光伏!AT10-联络线!AT10-非市场化!AT10</f>
        <v>9000.17</v>
      </c>
      <c r="AU10">
        <f>负荷!AU10-水电!AU10-核电!AU10-地方燃煤!AU10-风电!AU10-光伏!AU10-联络线!AU10-非市场化!AU10</f>
        <v>8649.58</v>
      </c>
      <c r="AV10">
        <f>负荷!AV10-水电!AV10-核电!AV10-地方燃煤!AV10-风电!AV10-光伏!AV10-联络线!AV10-非市场化!AV10</f>
        <v>8927.98</v>
      </c>
      <c r="AW10">
        <f>负荷!AW10-水电!AW10-核电!AW10-地方燃煤!AW10-风电!AW10-光伏!AW10-联络线!AW10-非市场化!AW10</f>
        <v>9230.59999999999</v>
      </c>
      <c r="AX10">
        <f>负荷!AX10-水电!AX10-核电!AX10-地方燃煤!AX10-风电!AX10-光伏!AX10-联络线!AX10-非市场化!AX10</f>
        <v>9396.04</v>
      </c>
      <c r="AY10">
        <f>负荷!AY10-水电!AY10-核电!AY10-地方燃煤!AY10-风电!AY10-光伏!AY10-联络线!AY10-非市场化!AY10</f>
        <v>9486.56</v>
      </c>
      <c r="AZ10">
        <f>负荷!AZ10-水电!AZ10-核电!AZ10-地方燃煤!AZ10-风电!AZ10-光伏!AZ10-联络线!AZ10-非市场化!AZ10</f>
        <v>9482.44</v>
      </c>
      <c r="BA10">
        <f>负荷!BA10-水电!BA10-核电!BA10-地方燃煤!BA10-风电!BA10-光伏!BA10-联络线!BA10-非市场化!BA10</f>
        <v>9626.33</v>
      </c>
      <c r="BB10">
        <f>负荷!BB10-水电!BB10-核电!BB10-地方燃煤!BB10-风电!BB10-光伏!BB10-联络线!BB10-非市场化!BB10</f>
        <v>9788.44</v>
      </c>
      <c r="BC10">
        <f>负荷!BC10-水电!BC10-核电!BC10-地方燃煤!BC10-风电!BC10-光伏!BC10-联络线!BC10-非市场化!BC10</f>
        <v>10333.69</v>
      </c>
      <c r="BD10">
        <f>负荷!BD10-水电!BD10-核电!BD10-地方燃煤!BD10-风电!BD10-光伏!BD10-联络线!BD10-非市场化!BD10</f>
        <v>10490.56</v>
      </c>
      <c r="BE10">
        <f>负荷!BE10-水电!BE10-核电!BE10-地方燃煤!BE10-风电!BE10-光伏!BE10-联络线!BE10-非市场化!BE10</f>
        <v>10837.78</v>
      </c>
      <c r="BF10">
        <f>负荷!BF10-水电!BF10-核电!BF10-地方燃煤!BF10-风电!BF10-光伏!BF10-联络线!BF10-非市场化!BF10</f>
        <v>11240.27</v>
      </c>
      <c r="BG10">
        <f>负荷!BG10-水电!BG10-核电!BG10-地方燃煤!BG10-风电!BG10-光伏!BG10-联络线!BG10-非市场化!BG10</f>
        <v>11417.11</v>
      </c>
      <c r="BH10">
        <f>负荷!BH10-水电!BH10-核电!BH10-地方燃煤!BH10-风电!BH10-光伏!BH10-联络线!BH10-非市场化!BH10</f>
        <v>11422.6</v>
      </c>
      <c r="BI10">
        <f>负荷!BI10-水电!BI10-核电!BI10-地方燃煤!BI10-风电!BI10-光伏!BI10-联络线!BI10-非市场化!BI10</f>
        <v>11458.74</v>
      </c>
      <c r="BJ10">
        <f>负荷!BJ10-水电!BJ10-核电!BJ10-地方燃煤!BJ10-风电!BJ10-光伏!BJ10-联络线!BJ10-非市场化!BJ10</f>
        <v>11690.84</v>
      </c>
      <c r="BK10">
        <f>负荷!BK10-水电!BK10-核电!BK10-地方燃煤!BK10-风电!BK10-光伏!BK10-联络线!BK10-非市场化!BK10</f>
        <v>11799.04</v>
      </c>
      <c r="BL10">
        <f>负荷!BL10-水电!BL10-核电!BL10-地方燃煤!BL10-风电!BL10-光伏!BL10-联络线!BL10-非市场化!BL10</f>
        <v>11976.03</v>
      </c>
      <c r="BM10">
        <f>负荷!BM10-水电!BM10-核电!BM10-地方燃煤!BM10-风电!BM10-光伏!BM10-联络线!BM10-非市场化!BM10</f>
        <v>12144.16</v>
      </c>
      <c r="BN10">
        <f>负荷!BN10-水电!BN10-核电!BN10-地方燃煤!BN10-风电!BN10-光伏!BN10-联络线!BN10-非市场化!BN10</f>
        <v>12358.5</v>
      </c>
      <c r="BO10">
        <f>负荷!BO10-水电!BO10-核电!BO10-地方燃煤!BO10-风电!BO10-光伏!BO10-联络线!BO10-非市场化!BO10</f>
        <v>12733.19</v>
      </c>
      <c r="BP10">
        <f>负荷!BP10-水电!BP10-核电!BP10-地方燃煤!BP10-风电!BP10-光伏!BP10-联络线!BP10-非市场化!BP10</f>
        <v>13362.9</v>
      </c>
      <c r="BQ10">
        <f>负荷!BQ10-水电!BQ10-核电!BQ10-地方燃煤!BQ10-风电!BQ10-光伏!BQ10-联络线!BQ10-非市场化!BQ10</f>
        <v>13331.85</v>
      </c>
      <c r="BR10">
        <f>负荷!BR10-水电!BR10-核电!BR10-地方燃煤!BR10-风电!BR10-光伏!BR10-联络线!BR10-非市场化!BR10</f>
        <v>13825.47</v>
      </c>
      <c r="BS10">
        <f>负荷!BS10-水电!BS10-核电!BS10-地方燃煤!BS10-风电!BS10-光伏!BS10-联络线!BS10-非市场化!BS10</f>
        <v>14119.39</v>
      </c>
      <c r="BT10">
        <f>负荷!BT10-水电!BT10-核电!BT10-地方燃煤!BT10-风电!BT10-光伏!BT10-联络线!BT10-非市场化!BT10</f>
        <v>14294.86</v>
      </c>
      <c r="BU10">
        <f>负荷!BU10-水电!BU10-核电!BU10-地方燃煤!BU10-风电!BU10-光伏!BU10-联络线!BU10-非市场化!BU10</f>
        <v>14599.75</v>
      </c>
      <c r="BV10">
        <f>负荷!BV10-水电!BV10-核电!BV10-地方燃煤!BV10-风电!BV10-光伏!BV10-联络线!BV10-非市场化!BV10</f>
        <v>14753.63</v>
      </c>
      <c r="BW10">
        <f>负荷!BW10-水电!BW10-核电!BW10-地方燃煤!BW10-风电!BW10-光伏!BW10-联络线!BW10-非市场化!BW10</f>
        <v>14913.18</v>
      </c>
      <c r="BX10">
        <f>负荷!BX10-水电!BX10-核电!BX10-地方燃煤!BX10-风电!BX10-光伏!BX10-联络线!BX10-非市场化!BX10</f>
        <v>14985.47</v>
      </c>
      <c r="BY10">
        <f>负荷!BY10-水电!BY10-核电!BY10-地方燃煤!BY10-风电!BY10-光伏!BY10-联络线!BY10-非市场化!BY10</f>
        <v>14665.73</v>
      </c>
      <c r="BZ10">
        <f>负荷!BZ10-水电!BZ10-核电!BZ10-地方燃煤!BZ10-风电!BZ10-光伏!BZ10-联络线!BZ10-非市场化!BZ10</f>
        <v>15167.99</v>
      </c>
      <c r="CA10">
        <f>负荷!CA10-水电!CA10-核电!CA10-地方燃煤!CA10-风电!CA10-光伏!CA10-联络线!CA10-非市场化!CA10</f>
        <v>15156.93</v>
      </c>
      <c r="CB10">
        <f>负荷!CB10-水电!CB10-核电!CB10-地方燃煤!CB10-风电!CB10-光伏!CB10-联络线!CB10-非市场化!CB10</f>
        <v>15319.38</v>
      </c>
      <c r="CC10">
        <f>负荷!CC10-水电!CC10-核电!CC10-地方燃煤!CC10-风电!CC10-光伏!CC10-联络线!CC10-非市场化!CC10</f>
        <v>15374.88</v>
      </c>
      <c r="CD10">
        <f>负荷!CD10-水电!CD10-核电!CD10-地方燃煤!CD10-风电!CD10-光伏!CD10-联络线!CD10-非市场化!CD10</f>
        <v>15293.39</v>
      </c>
      <c r="CE10">
        <f>负荷!CE10-水电!CE10-核电!CE10-地方燃煤!CE10-风电!CE10-光伏!CE10-联络线!CE10-非市场化!CE10</f>
        <v>15318.66</v>
      </c>
      <c r="CF10">
        <f>负荷!CF10-水电!CF10-核电!CF10-地方燃煤!CF10-风电!CF10-光伏!CF10-联络线!CF10-非市场化!CF10</f>
        <v>15165.34</v>
      </c>
      <c r="CG10">
        <f>负荷!CG10-水电!CG10-核电!CG10-地方燃煤!CG10-风电!CG10-光伏!CG10-联络线!CG10-非市场化!CG10</f>
        <v>14801.71</v>
      </c>
      <c r="CH10">
        <f>负荷!CH10-水电!CH10-核电!CH10-地方燃煤!CH10-风电!CH10-光伏!CH10-联络线!CH10-非市场化!CH10</f>
        <v>14620.96</v>
      </c>
      <c r="CI10">
        <f>负荷!CI10-水电!CI10-核电!CI10-地方燃煤!CI10-风电!CI10-光伏!CI10-联络线!CI10-非市场化!CI10</f>
        <v>14051.66</v>
      </c>
      <c r="CJ10">
        <f>负荷!CJ10-水电!CJ10-核电!CJ10-地方燃煤!CJ10-风电!CJ10-光伏!CJ10-联络线!CJ10-非市场化!CJ10</f>
        <v>13826.55</v>
      </c>
      <c r="CK10">
        <f>负荷!CK10-水电!CK10-核电!CK10-地方燃煤!CK10-风电!CK10-光伏!CK10-联络线!CK10-非市场化!CK10</f>
        <v>13752.04</v>
      </c>
      <c r="CL10">
        <f>负荷!CL10-水电!CL10-核电!CL10-地方燃煤!CL10-风电!CL10-光伏!CL10-联络线!CL10-非市场化!CL10</f>
        <v>13660.27</v>
      </c>
      <c r="CM10">
        <f>负荷!CM10-水电!CM10-核电!CM10-地方燃煤!CM10-风电!CM10-光伏!CM10-联络线!CM10-非市场化!CM10</f>
        <v>13865.59</v>
      </c>
      <c r="CN10">
        <f>负荷!CN10-水电!CN10-核电!CN10-地方燃煤!CN10-风电!CN10-光伏!CN10-联络线!CN10-非市场化!CN10</f>
        <v>13924.49</v>
      </c>
      <c r="CO10">
        <f>负荷!CO10-水电!CO10-核电!CO10-地方燃煤!CO10-风电!CO10-光伏!CO10-联络线!CO10-非市场化!CO10</f>
        <v>14154.96</v>
      </c>
      <c r="CP10">
        <f>负荷!CP10-水电!CP10-核电!CP10-地方燃煤!CP10-风电!CP10-光伏!CP10-联络线!CP10-非市场化!CP10</f>
        <v>13792.61</v>
      </c>
      <c r="CQ10">
        <f>负荷!CQ10-水电!CQ10-核电!CQ10-地方燃煤!CQ10-风电!CQ10-光伏!CQ10-联络线!CQ10-非市场化!CQ10</f>
        <v>13229.35</v>
      </c>
      <c r="CR10">
        <f>负荷!CR10-水电!CR10-核电!CR10-地方燃煤!CR10-风电!CR10-光伏!CR10-联络线!CR10-非市场化!CR10</f>
        <v>12589.99</v>
      </c>
      <c r="CS10">
        <f>负荷!CS10-水电!CS10-核电!CS10-地方燃煤!CS10-风电!CS10-光伏!CS10-联络线!CS10-非市场化!CS10</f>
        <v>12127.88</v>
      </c>
    </row>
    <row r="11" spans="1:97">
      <c r="A11" s="9">
        <v>46244</v>
      </c>
      <c r="B11">
        <f>负荷!B11-水电!B11-核电!B11-地方燃煤!B11-风电!B11-光伏!B11-联络线!B11-非市场化!B11</f>
        <v>11436.57</v>
      </c>
      <c r="C11">
        <f>负荷!C11-水电!C11-核电!C11-地方燃煤!C11-风电!C11-光伏!C11-联络线!C11-非市场化!C11</f>
        <v>11089.06</v>
      </c>
      <c r="D11">
        <f>负荷!D11-水电!D11-核电!D11-地方燃煤!D11-风电!D11-光伏!D11-联络线!D11-非市场化!D11</f>
        <v>10838.46</v>
      </c>
      <c r="E11">
        <f>负荷!E11-水电!E11-核电!E11-地方燃煤!E11-风电!E11-光伏!E11-联络线!E11-非市场化!E11</f>
        <v>10649.2</v>
      </c>
      <c r="F11">
        <f>负荷!F11-水电!F11-核电!F11-地方燃煤!F11-风电!F11-光伏!F11-联络线!F11-非市场化!F11</f>
        <v>11065.19</v>
      </c>
      <c r="G11">
        <f>负荷!G11-水电!G11-核电!G11-地方燃煤!G11-风电!G11-光伏!G11-联络线!G11-非市场化!G11</f>
        <v>11213.56</v>
      </c>
      <c r="H11">
        <f>负荷!H11-水电!H11-核电!H11-地方燃煤!H11-风电!H11-光伏!H11-联络线!H11-非市场化!H11</f>
        <v>11058.77</v>
      </c>
      <c r="I11">
        <f>负荷!I11-水电!I11-核电!I11-地方燃煤!I11-风电!I11-光伏!I11-联络线!I11-非市场化!I11</f>
        <v>10740.94</v>
      </c>
      <c r="J11">
        <f>负荷!J11-水电!J11-核电!J11-地方燃煤!J11-风电!J11-光伏!J11-联络线!J11-非市场化!J11</f>
        <v>10588.09</v>
      </c>
      <c r="K11">
        <f>负荷!K11-水电!K11-核电!K11-地方燃煤!K11-风电!K11-光伏!K11-联络线!K11-非市场化!K11</f>
        <v>10369.19</v>
      </c>
      <c r="L11">
        <f>负荷!L11-水电!L11-核电!L11-地方燃煤!L11-风电!L11-光伏!L11-联络线!L11-非市场化!L11</f>
        <v>10219.21</v>
      </c>
      <c r="M11">
        <f>负荷!M11-水电!M11-核电!M11-地方燃煤!M11-风电!M11-光伏!M11-联络线!M11-非市场化!M11</f>
        <v>9931.72</v>
      </c>
      <c r="N11">
        <f>负荷!N11-水电!N11-核电!N11-地方燃煤!N11-风电!N11-光伏!N11-联络线!N11-非市场化!N11</f>
        <v>10204.52</v>
      </c>
      <c r="O11">
        <f>负荷!O11-水电!O11-核电!O11-地方燃煤!O11-风电!O11-光伏!O11-联络线!O11-非市场化!O11</f>
        <v>9955.83</v>
      </c>
      <c r="P11">
        <f>负荷!P11-水电!P11-核电!P11-地方燃煤!P11-风电!P11-光伏!P11-联络线!P11-非市场化!P11</f>
        <v>9910.62</v>
      </c>
      <c r="Q11">
        <f>负荷!Q11-水电!Q11-核电!Q11-地方燃煤!Q11-风电!Q11-光伏!Q11-联络线!Q11-非市场化!Q11</f>
        <v>9919.15</v>
      </c>
      <c r="R11">
        <f>负荷!R11-水电!R11-核电!R11-地方燃煤!R11-风电!R11-光伏!R11-联络线!R11-非市场化!R11</f>
        <v>10340.42</v>
      </c>
      <c r="S11">
        <f>负荷!S11-水电!S11-核电!S11-地方燃煤!S11-风电!S11-光伏!S11-联络线!S11-非市场化!S11</f>
        <v>10302.58</v>
      </c>
      <c r="T11">
        <f>负荷!T11-水电!T11-核电!T11-地方燃煤!T11-风电!T11-光伏!T11-联络线!T11-非市场化!T11</f>
        <v>10343.87</v>
      </c>
      <c r="U11">
        <f>负荷!U11-水电!U11-核电!U11-地方燃煤!U11-风电!U11-光伏!U11-联络线!U11-非市场化!U11</f>
        <v>10592.62</v>
      </c>
      <c r="V11">
        <f>负荷!V11-水电!V11-核电!V11-地方燃煤!V11-风电!V11-光伏!V11-联络线!V11-非市场化!V11</f>
        <v>11020.24</v>
      </c>
      <c r="W11">
        <f>负荷!W11-水电!W11-核电!W11-地方燃煤!W11-风电!W11-光伏!W11-联络线!W11-非市场化!W11</f>
        <v>11113.6</v>
      </c>
      <c r="X11">
        <f>负荷!X11-水电!X11-核电!X11-地方燃煤!X11-风电!X11-光伏!X11-联络线!X11-非市场化!X11</f>
        <v>11536.61</v>
      </c>
      <c r="Y11">
        <f>负荷!Y11-水电!Y11-核电!Y11-地方燃煤!Y11-风电!Y11-光伏!Y11-联络线!Y11-非市场化!Y11</f>
        <v>11428.54</v>
      </c>
      <c r="Z11">
        <f>负荷!Z11-水电!Z11-核电!Z11-地方燃煤!Z11-风电!Z11-光伏!Z11-联络线!Z11-非市场化!Z11</f>
        <v>12534.22</v>
      </c>
      <c r="AA11">
        <f>负荷!AA11-水电!AA11-核电!AA11-地方燃煤!AA11-风电!AA11-光伏!AA11-联络线!AA11-非市场化!AA11</f>
        <v>12313.74</v>
      </c>
      <c r="AB11">
        <f>负荷!AB11-水电!AB11-核电!AB11-地方燃煤!AB11-风电!AB11-光伏!AB11-联络线!AB11-非市场化!AB11</f>
        <v>12282.07</v>
      </c>
      <c r="AC11">
        <f>负荷!AC11-水电!AC11-核电!AC11-地方燃煤!AC11-风电!AC11-光伏!AC11-联络线!AC11-非市场化!AC11</f>
        <v>11910.25</v>
      </c>
      <c r="AD11">
        <f>负荷!AD11-水电!AD11-核电!AD11-地方燃煤!AD11-风电!AD11-光伏!AD11-联络线!AD11-非市场化!AD11</f>
        <v>11795.83</v>
      </c>
      <c r="AE11">
        <f>负荷!AE11-水电!AE11-核电!AE11-地方燃煤!AE11-风电!AE11-光伏!AE11-联络线!AE11-非市场化!AE11</f>
        <v>11727.07</v>
      </c>
      <c r="AF11">
        <f>负荷!AF11-水电!AF11-核电!AF11-地方燃煤!AF11-风电!AF11-光伏!AF11-联络线!AF11-非市场化!AF11</f>
        <v>11731.97</v>
      </c>
      <c r="AG11">
        <f>负荷!AG11-水电!AG11-核电!AG11-地方燃煤!AG11-风电!AG11-光伏!AG11-联络线!AG11-非市场化!AG11</f>
        <v>11761.87</v>
      </c>
      <c r="AH11">
        <f>负荷!AH11-水电!AH11-核电!AH11-地方燃煤!AH11-风电!AH11-光伏!AH11-联络线!AH11-非市场化!AH11</f>
        <v>12470.39</v>
      </c>
      <c r="AI11">
        <f>负荷!AI11-水电!AI11-核电!AI11-地方燃煤!AI11-风电!AI11-光伏!AI11-联络线!AI11-非市场化!AI11</f>
        <v>12363.31</v>
      </c>
      <c r="AJ11">
        <f>负荷!AJ11-水电!AJ11-核电!AJ11-地方燃煤!AJ11-风电!AJ11-光伏!AJ11-联络线!AJ11-非市场化!AJ11</f>
        <v>11901.64</v>
      </c>
      <c r="AK11">
        <f>负荷!AK11-水电!AK11-核电!AK11-地方燃煤!AK11-风电!AK11-光伏!AK11-联络线!AK11-非市场化!AK11</f>
        <v>11404.32</v>
      </c>
      <c r="AL11">
        <f>负荷!AL11-水电!AL11-核电!AL11-地方燃煤!AL11-风电!AL11-光伏!AL11-联络线!AL11-非市场化!AL11</f>
        <v>10919.79</v>
      </c>
      <c r="AM11">
        <f>负荷!AM11-水电!AM11-核电!AM11-地方燃煤!AM11-风电!AM11-光伏!AM11-联络线!AM11-非市场化!AM11</f>
        <v>10630.32</v>
      </c>
      <c r="AN11">
        <f>负荷!AN11-水电!AN11-核电!AN11-地方燃煤!AN11-风电!AN11-光伏!AN11-联络线!AN11-非市场化!AN11</f>
        <v>10358.18</v>
      </c>
      <c r="AO11">
        <f>负荷!AO11-水电!AO11-核电!AO11-地方燃煤!AO11-风电!AO11-光伏!AO11-联络线!AO11-非市场化!AO11</f>
        <v>10043.1</v>
      </c>
      <c r="AP11">
        <f>负荷!AP11-水电!AP11-核电!AP11-地方燃煤!AP11-风电!AP11-光伏!AP11-联络线!AP11-非市场化!AP11</f>
        <v>9627.14</v>
      </c>
      <c r="AQ11">
        <f>负荷!AQ11-水电!AQ11-核电!AQ11-地方燃煤!AQ11-风电!AQ11-光伏!AQ11-联络线!AQ11-非市场化!AQ11</f>
        <v>9956.8</v>
      </c>
      <c r="AR11">
        <f>负荷!AR11-水电!AR11-核电!AR11-地方燃煤!AR11-风电!AR11-光伏!AR11-联络线!AR11-非市场化!AR11</f>
        <v>10051.12</v>
      </c>
      <c r="AS11">
        <f>负荷!AS11-水电!AS11-核电!AS11-地方燃煤!AS11-风电!AS11-光伏!AS11-联络线!AS11-非市场化!AS11</f>
        <v>9828.71</v>
      </c>
      <c r="AT11">
        <f>负荷!AT11-水电!AT11-核电!AT11-地方燃煤!AT11-风电!AT11-光伏!AT11-联络线!AT11-非市场化!AT11</f>
        <v>9471.54</v>
      </c>
      <c r="AU11">
        <f>负荷!AU11-水电!AU11-核电!AU11-地方燃煤!AU11-风电!AU11-光伏!AU11-联络线!AU11-非市场化!AU11</f>
        <v>8935.37</v>
      </c>
      <c r="AV11">
        <f>负荷!AV11-水电!AV11-核电!AV11-地方燃煤!AV11-风电!AV11-光伏!AV11-联络线!AV11-非市场化!AV11</f>
        <v>8910.69</v>
      </c>
      <c r="AW11">
        <f>负荷!AW11-水电!AW11-核电!AW11-地方燃煤!AW11-风电!AW11-光伏!AW11-联络线!AW11-非市场化!AW11</f>
        <v>8793.98</v>
      </c>
      <c r="AX11">
        <f>负荷!AX11-水电!AX11-核电!AX11-地方燃煤!AX11-风电!AX11-光伏!AX11-联络线!AX11-非市场化!AX11</f>
        <v>9006.71</v>
      </c>
      <c r="AY11">
        <f>负荷!AY11-水电!AY11-核电!AY11-地方燃煤!AY11-风电!AY11-光伏!AY11-联络线!AY11-非市场化!AY11</f>
        <v>8578.69999999999</v>
      </c>
      <c r="AZ11">
        <f>负荷!AZ11-水电!AZ11-核电!AZ11-地方燃煤!AZ11-风电!AZ11-光伏!AZ11-联络线!AZ11-非市场化!AZ11</f>
        <v>8106.23</v>
      </c>
      <c r="BA11">
        <f>负荷!BA11-水电!BA11-核电!BA11-地方燃煤!BA11-风电!BA11-光伏!BA11-联络线!BA11-非市场化!BA11</f>
        <v>7611.64</v>
      </c>
      <c r="BB11">
        <f>负荷!BB11-水电!BB11-核电!BB11-地方燃煤!BB11-风电!BB11-光伏!BB11-联络线!BB11-非市场化!BB11</f>
        <v>7565.71</v>
      </c>
      <c r="BC11">
        <f>负荷!BC11-水电!BC11-核电!BC11-地方燃煤!BC11-风电!BC11-光伏!BC11-联络线!BC11-非市场化!BC11</f>
        <v>6883.60000000001</v>
      </c>
      <c r="BD11">
        <f>负荷!BD11-水电!BD11-核电!BD11-地方燃煤!BD11-风电!BD11-光伏!BD11-联络线!BD11-非市场化!BD11</f>
        <v>6847.5</v>
      </c>
      <c r="BE11">
        <f>负荷!BE11-水电!BE11-核电!BE11-地方燃煤!BE11-风电!BE11-光伏!BE11-联络线!BE11-非市场化!BE11</f>
        <v>6367.49</v>
      </c>
      <c r="BF11">
        <f>负荷!BF11-水电!BF11-核电!BF11-地方燃煤!BF11-风电!BF11-光伏!BF11-联络线!BF11-非市场化!BF11</f>
        <v>5966.39</v>
      </c>
      <c r="BG11">
        <f>负荷!BG11-水电!BG11-核电!BG11-地方燃煤!BG11-风电!BG11-光伏!BG11-联络线!BG11-非市场化!BG11</f>
        <v>6200.33</v>
      </c>
      <c r="BH11">
        <f>负荷!BH11-水电!BH11-核电!BH11-地方燃煤!BH11-风电!BH11-光伏!BH11-联络线!BH11-非市场化!BH11</f>
        <v>6660.25</v>
      </c>
      <c r="BI11">
        <f>负荷!BI11-水电!BI11-核电!BI11-地方燃煤!BI11-风电!BI11-光伏!BI11-联络线!BI11-非市场化!BI11</f>
        <v>6393</v>
      </c>
      <c r="BJ11">
        <f>负荷!BJ11-水电!BJ11-核电!BJ11-地方燃煤!BJ11-风电!BJ11-光伏!BJ11-联络线!BJ11-非市场化!BJ11</f>
        <v>6978.59</v>
      </c>
      <c r="BK11">
        <f>负荷!BK11-水电!BK11-核电!BK11-地方燃煤!BK11-风电!BK11-光伏!BK11-联络线!BK11-非市场化!BK11</f>
        <v>7014.37</v>
      </c>
      <c r="BL11">
        <f>负荷!BL11-水电!BL11-核电!BL11-地方燃煤!BL11-风电!BL11-光伏!BL11-联络线!BL11-非市场化!BL11</f>
        <v>7189.49000000001</v>
      </c>
      <c r="BM11">
        <f>负荷!BM11-水电!BM11-核电!BM11-地方燃煤!BM11-风电!BM11-光伏!BM11-联络线!BM11-非市场化!BM11</f>
        <v>7257.54</v>
      </c>
      <c r="BN11">
        <f>负荷!BN11-水电!BN11-核电!BN11-地方燃煤!BN11-风电!BN11-光伏!BN11-联络线!BN11-非市场化!BN11</f>
        <v>7956.48999999999</v>
      </c>
      <c r="BO11">
        <f>负荷!BO11-水电!BO11-核电!BO11-地方燃煤!BO11-风电!BO11-光伏!BO11-联络线!BO11-非市场化!BO11</f>
        <v>8412.24999999999</v>
      </c>
      <c r="BP11">
        <f>负荷!BP11-水电!BP11-核电!BP11-地方燃煤!BP11-风电!BP11-光伏!BP11-联络线!BP11-非市场化!BP11</f>
        <v>8911.35999999999</v>
      </c>
      <c r="BQ11">
        <f>负荷!BQ11-水电!BQ11-核电!BQ11-地方燃煤!BQ11-风电!BQ11-光伏!BQ11-联络线!BQ11-非市场化!BQ11</f>
        <v>8595.3</v>
      </c>
      <c r="BR11">
        <f>负荷!BR11-水电!BR11-核电!BR11-地方燃煤!BR11-风电!BR11-光伏!BR11-联络线!BR11-非市场化!BR11</f>
        <v>9171.27</v>
      </c>
      <c r="BS11">
        <f>负荷!BS11-水电!BS11-核电!BS11-地方燃煤!BS11-风电!BS11-光伏!BS11-联络线!BS11-非市场化!BS11</f>
        <v>9477.68</v>
      </c>
      <c r="BT11">
        <f>负荷!BT11-水电!BT11-核电!BT11-地方燃煤!BT11-风电!BT11-光伏!BT11-联络线!BT11-非市场化!BT11</f>
        <v>9906.93</v>
      </c>
      <c r="BU11">
        <f>负荷!BU11-水电!BU11-核电!BU11-地方燃煤!BU11-风电!BU11-光伏!BU11-联络线!BU11-非市场化!BU11</f>
        <v>10211.81</v>
      </c>
      <c r="BV11">
        <f>负荷!BV11-水电!BV11-核电!BV11-地方燃煤!BV11-风电!BV11-光伏!BV11-联络线!BV11-非市场化!BV11</f>
        <v>10199.56</v>
      </c>
      <c r="BW11">
        <f>负荷!BW11-水电!BW11-核电!BW11-地方燃煤!BW11-风电!BW11-光伏!BW11-联络线!BW11-非市场化!BW11</f>
        <v>10371.79</v>
      </c>
      <c r="BX11">
        <f>负荷!BX11-水电!BX11-核电!BX11-地方燃煤!BX11-风电!BX11-光伏!BX11-联络线!BX11-非市场化!BX11</f>
        <v>10567.41</v>
      </c>
      <c r="BY11">
        <f>负荷!BY11-水电!BY11-核电!BY11-地方燃煤!BY11-风电!BY11-光伏!BY11-联络线!BY11-非市场化!BY11</f>
        <v>10520.56</v>
      </c>
      <c r="BZ11">
        <f>负荷!BZ11-水电!BZ11-核电!BZ11-地方燃煤!BZ11-风电!BZ11-光伏!BZ11-联络线!BZ11-非市场化!BZ11</f>
        <v>10585.41</v>
      </c>
      <c r="CA11">
        <f>负荷!CA11-水电!CA11-核电!CA11-地方燃煤!CA11-风电!CA11-光伏!CA11-联络线!CA11-非市场化!CA11</f>
        <v>10696.44</v>
      </c>
      <c r="CB11">
        <f>负荷!CB11-水电!CB11-核电!CB11-地方燃煤!CB11-风电!CB11-光伏!CB11-联络线!CB11-非市场化!CB11</f>
        <v>10862.05</v>
      </c>
      <c r="CC11">
        <f>负荷!CC11-水电!CC11-核电!CC11-地方燃煤!CC11-风电!CC11-光伏!CC11-联络线!CC11-非市场化!CC11</f>
        <v>10662.86</v>
      </c>
      <c r="CD11">
        <f>负荷!CD11-水电!CD11-核电!CD11-地方燃煤!CD11-风电!CD11-光伏!CD11-联络线!CD11-非市场化!CD11</f>
        <v>9964.96999999999</v>
      </c>
      <c r="CE11">
        <f>负荷!CE11-水电!CE11-核电!CE11-地方燃煤!CE11-风电!CE11-光伏!CE11-联络线!CE11-非市场化!CE11</f>
        <v>9884.64</v>
      </c>
      <c r="CF11">
        <f>负荷!CF11-水电!CF11-核电!CF11-地方燃煤!CF11-风电!CF11-光伏!CF11-联络线!CF11-非市场化!CF11</f>
        <v>9578.55</v>
      </c>
      <c r="CG11">
        <f>负荷!CG11-水电!CG11-核电!CG11-地方燃煤!CG11-风电!CG11-光伏!CG11-联络线!CG11-非市场化!CG11</f>
        <v>9279.86</v>
      </c>
      <c r="CH11">
        <f>负荷!CH11-水电!CH11-核电!CH11-地方燃煤!CH11-风电!CH11-光伏!CH11-联络线!CH11-非市场化!CH11</f>
        <v>9106.39</v>
      </c>
      <c r="CI11">
        <f>负荷!CI11-水电!CI11-核电!CI11-地方燃煤!CI11-风电!CI11-光伏!CI11-联络线!CI11-非市场化!CI11</f>
        <v>8505.12999999999</v>
      </c>
      <c r="CJ11">
        <f>负荷!CJ11-水电!CJ11-核电!CJ11-地方燃煤!CJ11-风电!CJ11-光伏!CJ11-联络线!CJ11-非市场化!CJ11</f>
        <v>8454.47</v>
      </c>
      <c r="CK11">
        <f>负荷!CK11-水电!CK11-核电!CK11-地方燃煤!CK11-风电!CK11-光伏!CK11-联络线!CK11-非市场化!CK11</f>
        <v>8077.58</v>
      </c>
      <c r="CL11">
        <f>负荷!CL11-水电!CL11-核电!CL11-地方燃煤!CL11-风电!CL11-光伏!CL11-联络线!CL11-非市场化!CL11</f>
        <v>9278.32</v>
      </c>
      <c r="CM11">
        <f>负荷!CM11-水电!CM11-核电!CM11-地方燃煤!CM11-风电!CM11-光伏!CM11-联络线!CM11-非市场化!CM11</f>
        <v>9233.85999999999</v>
      </c>
      <c r="CN11">
        <f>负荷!CN11-水电!CN11-核电!CN11-地方燃煤!CN11-风电!CN11-光伏!CN11-联络线!CN11-非市场化!CN11</f>
        <v>9376.63</v>
      </c>
      <c r="CO11">
        <f>负荷!CO11-水电!CO11-核电!CO11-地方燃煤!CO11-风电!CO11-光伏!CO11-联络线!CO11-非市场化!CO11</f>
        <v>9113.05</v>
      </c>
      <c r="CP11">
        <f>负荷!CP11-水电!CP11-核电!CP11-地方燃煤!CP11-风电!CP11-光伏!CP11-联络线!CP11-非市场化!CP11</f>
        <v>8791.49</v>
      </c>
      <c r="CQ11">
        <f>负荷!CQ11-水电!CQ11-核电!CQ11-地方燃煤!CQ11-风电!CQ11-光伏!CQ11-联络线!CQ11-非市场化!CQ11</f>
        <v>8152.1</v>
      </c>
      <c r="CR11">
        <f>负荷!CR11-水电!CR11-核电!CR11-地方燃煤!CR11-风电!CR11-光伏!CR11-联络线!CR11-非市场化!CR11</f>
        <v>7715.23</v>
      </c>
      <c r="CS11">
        <f>负荷!CS11-水电!CS11-核电!CS11-地方燃煤!CS11-风电!CS11-光伏!CS11-联络线!CS11-非市场化!CS11</f>
        <v>7121.74</v>
      </c>
    </row>
    <row r="12" spans="1:97">
      <c r="A12" s="9">
        <v>46245</v>
      </c>
      <c r="B12">
        <f>负荷!B12-水电!B12-核电!B12-地方燃煤!B12-风电!B12-光伏!B12-联络线!B12-非市场化!B12</f>
        <v>7550.43</v>
      </c>
      <c r="C12">
        <f>负荷!C12-水电!C12-核电!C12-地方燃煤!C12-风电!C12-光伏!C12-联络线!C12-非市场化!C12</f>
        <v>7521.11</v>
      </c>
      <c r="D12">
        <f>负荷!D12-水电!D12-核电!D12-地方燃煤!D12-风电!D12-光伏!D12-联络线!D12-非市场化!D12</f>
        <v>7672.04</v>
      </c>
      <c r="E12">
        <f>负荷!E12-水电!E12-核电!E12-地方燃煤!E12-风电!E12-光伏!E12-联络线!E12-非市场化!E12</f>
        <v>7662.92</v>
      </c>
      <c r="F12">
        <f>负荷!F12-水电!F12-核电!F12-地方燃煤!F12-风电!F12-光伏!F12-联络线!F12-非市场化!F12</f>
        <v>8050.99</v>
      </c>
      <c r="G12">
        <f>负荷!G12-水电!G12-核电!G12-地方燃煤!G12-风电!G12-光伏!G12-联络线!G12-非市场化!G12</f>
        <v>8076.79</v>
      </c>
      <c r="H12">
        <f>负荷!H12-水电!H12-核电!H12-地方燃煤!H12-风电!H12-光伏!H12-联络线!H12-非市场化!H12</f>
        <v>8334.33</v>
      </c>
      <c r="I12">
        <f>负荷!I12-水电!I12-核电!I12-地方燃煤!I12-风电!I12-光伏!I12-联络线!I12-非市场化!I12</f>
        <v>8509.99</v>
      </c>
      <c r="J12">
        <f>负荷!J12-水电!J12-核电!J12-地方燃煤!J12-风电!J12-光伏!J12-联络线!J12-非市场化!J12</f>
        <v>8704.15</v>
      </c>
      <c r="K12">
        <f>负荷!K12-水电!K12-核电!K12-地方燃煤!K12-风电!K12-光伏!K12-联络线!K12-非市场化!K12</f>
        <v>8928.53</v>
      </c>
      <c r="L12">
        <f>负荷!L12-水电!L12-核电!L12-地方燃煤!L12-风电!L12-光伏!L12-联络线!L12-非市场化!L12</f>
        <v>8797.64</v>
      </c>
      <c r="M12">
        <f>负荷!M12-水电!M12-核电!M12-地方燃煤!M12-风电!M12-光伏!M12-联络线!M12-非市场化!M12</f>
        <v>8673.85</v>
      </c>
      <c r="N12">
        <f>负荷!N12-水电!N12-核电!N12-地方燃煤!N12-风电!N12-光伏!N12-联络线!N12-非市场化!N12</f>
        <v>9015.23</v>
      </c>
      <c r="O12">
        <f>负荷!O12-水电!O12-核电!O12-地方燃煤!O12-风电!O12-光伏!O12-联络线!O12-非市场化!O12</f>
        <v>8729.91</v>
      </c>
      <c r="P12">
        <f>负荷!P12-水电!P12-核电!P12-地方燃煤!P12-风电!P12-光伏!P12-联络线!P12-非市场化!P12</f>
        <v>8822.26</v>
      </c>
      <c r="Q12">
        <f>负荷!Q12-水电!Q12-核电!Q12-地方燃煤!Q12-风电!Q12-光伏!Q12-联络线!Q12-非市场化!Q12</f>
        <v>8844.48</v>
      </c>
      <c r="R12">
        <f>负荷!R12-水电!R12-核电!R12-地方燃煤!R12-风电!R12-光伏!R12-联络线!R12-非市场化!R12</f>
        <v>9128.52</v>
      </c>
      <c r="S12">
        <f>负荷!S12-水电!S12-核电!S12-地方燃煤!S12-风电!S12-光伏!S12-联络线!S12-非市场化!S12</f>
        <v>9248.13</v>
      </c>
      <c r="T12">
        <f>负荷!T12-水电!T12-核电!T12-地方燃煤!T12-风电!T12-光伏!T12-联络线!T12-非市场化!T12</f>
        <v>9235.21</v>
      </c>
      <c r="U12">
        <f>负荷!U12-水电!U12-核电!U12-地方燃煤!U12-风电!U12-光伏!U12-联络线!U12-非市场化!U12</f>
        <v>9375.93</v>
      </c>
      <c r="V12">
        <f>负荷!V12-水电!V12-核电!V12-地方燃煤!V12-风电!V12-光伏!V12-联络线!V12-非市场化!V12</f>
        <v>9561.81</v>
      </c>
      <c r="W12">
        <f>负荷!W12-水电!W12-核电!W12-地方燃煤!W12-风电!W12-光伏!W12-联络线!W12-非市场化!W12</f>
        <v>9293.46</v>
      </c>
      <c r="X12">
        <f>负荷!X12-水电!X12-核电!X12-地方燃煤!X12-风电!X12-光伏!X12-联络线!X12-非市场化!X12</f>
        <v>9598.17</v>
      </c>
      <c r="Y12">
        <f>负荷!Y12-水电!Y12-核电!Y12-地方燃煤!Y12-风电!Y12-光伏!Y12-联络线!Y12-非市场化!Y12</f>
        <v>9027.23</v>
      </c>
      <c r="Z12">
        <f>负荷!Z12-水电!Z12-核电!Z12-地方燃煤!Z12-风电!Z12-光伏!Z12-联络线!Z12-非市场化!Z12</f>
        <v>9761.69</v>
      </c>
      <c r="AA12">
        <f>负荷!AA12-水电!AA12-核电!AA12-地方燃煤!AA12-风电!AA12-光伏!AA12-联络线!AA12-非市场化!AA12</f>
        <v>9197.95</v>
      </c>
      <c r="AB12">
        <f>负荷!AB12-水电!AB12-核电!AB12-地方燃煤!AB12-风电!AB12-光伏!AB12-联络线!AB12-非市场化!AB12</f>
        <v>9101.06</v>
      </c>
      <c r="AC12">
        <f>负荷!AC12-水电!AC12-核电!AC12-地方燃煤!AC12-风电!AC12-光伏!AC12-联络线!AC12-非市场化!AC12</f>
        <v>8694.17000000001</v>
      </c>
      <c r="AD12">
        <f>负荷!AD12-水电!AD12-核电!AD12-地方燃煤!AD12-风电!AD12-光伏!AD12-联络线!AD12-非市场化!AD12</f>
        <v>8833.43</v>
      </c>
      <c r="AE12">
        <f>负荷!AE12-水电!AE12-核电!AE12-地方燃煤!AE12-风电!AE12-光伏!AE12-联络线!AE12-非市场化!AE12</f>
        <v>9018.98</v>
      </c>
      <c r="AF12">
        <f>负荷!AF12-水电!AF12-核电!AF12-地方燃煤!AF12-风电!AF12-光伏!AF12-联络线!AF12-非市场化!AF12</f>
        <v>9025.36</v>
      </c>
      <c r="AG12">
        <f>负荷!AG12-水电!AG12-核电!AG12-地方燃煤!AG12-风电!AG12-光伏!AG12-联络线!AG12-非市场化!AG12</f>
        <v>9098.45</v>
      </c>
      <c r="AH12">
        <f>负荷!AH12-水电!AH12-核电!AH12-地方燃煤!AH12-风电!AH12-光伏!AH12-联络线!AH12-非市场化!AH12</f>
        <v>9649.94</v>
      </c>
      <c r="AI12">
        <f>负荷!AI12-水电!AI12-核电!AI12-地方燃煤!AI12-风电!AI12-光伏!AI12-联络线!AI12-非市场化!AI12</f>
        <v>9649.69</v>
      </c>
      <c r="AJ12">
        <f>负荷!AJ12-水电!AJ12-核电!AJ12-地方燃煤!AJ12-风电!AJ12-光伏!AJ12-联络线!AJ12-非市场化!AJ12</f>
        <v>9210.56</v>
      </c>
      <c r="AK12">
        <f>负荷!AK12-水电!AK12-核电!AK12-地方燃煤!AK12-风电!AK12-光伏!AK12-联络线!AK12-非市场化!AK12</f>
        <v>8770.83999999999</v>
      </c>
      <c r="AL12">
        <f>负荷!AL12-水电!AL12-核电!AL12-地方燃煤!AL12-风电!AL12-光伏!AL12-联络线!AL12-非市场化!AL12</f>
        <v>8109.39999999999</v>
      </c>
      <c r="AM12">
        <f>负荷!AM12-水电!AM12-核电!AM12-地方燃煤!AM12-风电!AM12-光伏!AM12-联络线!AM12-非市场化!AM12</f>
        <v>8293.94</v>
      </c>
      <c r="AN12">
        <f>负荷!AN12-水电!AN12-核电!AN12-地方燃煤!AN12-风电!AN12-光伏!AN12-联络线!AN12-非市场化!AN12</f>
        <v>8304.58999999999</v>
      </c>
      <c r="AO12">
        <f>负荷!AO12-水电!AO12-核电!AO12-地方燃煤!AO12-风电!AO12-光伏!AO12-联络线!AO12-非市场化!AO12</f>
        <v>8046.21</v>
      </c>
      <c r="AP12">
        <f>负荷!AP12-水电!AP12-核电!AP12-地方燃煤!AP12-风电!AP12-光伏!AP12-联络线!AP12-非市场化!AP12</f>
        <v>7695.14</v>
      </c>
      <c r="AQ12">
        <f>负荷!AQ12-水电!AQ12-核电!AQ12-地方燃煤!AQ12-风电!AQ12-光伏!AQ12-联络线!AQ12-非市场化!AQ12</f>
        <v>8120.25999999999</v>
      </c>
      <c r="AR12">
        <f>负荷!AR12-水电!AR12-核电!AR12-地方燃煤!AR12-风电!AR12-光伏!AR12-联络线!AR12-非市场化!AR12</f>
        <v>8068.06999999999</v>
      </c>
      <c r="AS12">
        <f>负荷!AS12-水电!AS12-核电!AS12-地方燃煤!AS12-风电!AS12-光伏!AS12-联络线!AS12-非市场化!AS12</f>
        <v>7920.14</v>
      </c>
      <c r="AT12">
        <f>负荷!AT12-水电!AT12-核电!AT12-地方燃煤!AT12-风电!AT12-光伏!AT12-联络线!AT12-非市场化!AT12</f>
        <v>8205.55</v>
      </c>
      <c r="AU12">
        <f>负荷!AU12-水电!AU12-核电!AU12-地方燃煤!AU12-风电!AU12-光伏!AU12-联络线!AU12-非市场化!AU12</f>
        <v>7711.2</v>
      </c>
      <c r="AV12">
        <f>负荷!AV12-水电!AV12-核电!AV12-地方燃煤!AV12-风电!AV12-光伏!AV12-联络线!AV12-非市场化!AV12</f>
        <v>7637.41</v>
      </c>
      <c r="AW12">
        <f>负荷!AW12-水电!AW12-核电!AW12-地方燃煤!AW12-风电!AW12-光伏!AW12-联络线!AW12-非市场化!AW12</f>
        <v>8028.21</v>
      </c>
      <c r="AX12">
        <f>负荷!AX12-水电!AX12-核电!AX12-地方燃煤!AX12-风电!AX12-光伏!AX12-联络线!AX12-非市场化!AX12</f>
        <v>8422.52</v>
      </c>
      <c r="AY12">
        <f>负荷!AY12-水电!AY12-核电!AY12-地方燃煤!AY12-风电!AY12-光伏!AY12-联络线!AY12-非市场化!AY12</f>
        <v>8059.08000000001</v>
      </c>
      <c r="AZ12">
        <f>负荷!AZ12-水电!AZ12-核电!AZ12-地方燃煤!AZ12-风电!AZ12-光伏!AZ12-联络线!AZ12-非市场化!AZ12</f>
        <v>8264.26</v>
      </c>
      <c r="BA12">
        <f>负荷!BA12-水电!BA12-核电!BA12-地方燃煤!BA12-风电!BA12-光伏!BA12-联络线!BA12-非市场化!BA12</f>
        <v>8216.02</v>
      </c>
      <c r="BB12">
        <f>负荷!BB12-水电!BB12-核电!BB12-地方燃煤!BB12-风电!BB12-光伏!BB12-联络线!BB12-非市场化!BB12</f>
        <v>8691.06</v>
      </c>
      <c r="BC12">
        <f>负荷!BC12-水电!BC12-核电!BC12-地方燃煤!BC12-风电!BC12-光伏!BC12-联络线!BC12-非市场化!BC12</f>
        <v>8762.01</v>
      </c>
      <c r="BD12">
        <f>负荷!BD12-水电!BD12-核电!BD12-地方燃煤!BD12-风电!BD12-光伏!BD12-联络线!BD12-非市场化!BD12</f>
        <v>9534.07</v>
      </c>
      <c r="BE12">
        <f>负荷!BE12-水电!BE12-核电!BE12-地方燃煤!BE12-风电!BE12-光伏!BE12-联络线!BE12-非市场化!BE12</f>
        <v>9737.12</v>
      </c>
      <c r="BF12">
        <f>负荷!BF12-水电!BF12-核电!BF12-地方燃煤!BF12-风电!BF12-光伏!BF12-联络线!BF12-非市场化!BF12</f>
        <v>9454.24000000001</v>
      </c>
      <c r="BG12">
        <f>负荷!BG12-水电!BG12-核电!BG12-地方燃煤!BG12-风电!BG12-光伏!BG12-联络线!BG12-非市场化!BG12</f>
        <v>10216.06</v>
      </c>
      <c r="BH12">
        <f>负荷!BH12-水电!BH12-核电!BH12-地方燃煤!BH12-风电!BH12-光伏!BH12-联络线!BH12-非市场化!BH12</f>
        <v>10907.25</v>
      </c>
      <c r="BI12">
        <f>负荷!BI12-水电!BI12-核电!BI12-地方燃煤!BI12-风电!BI12-光伏!BI12-联络线!BI12-非市场化!BI12</f>
        <v>10808.85</v>
      </c>
      <c r="BJ12">
        <f>负荷!BJ12-水电!BJ12-核电!BJ12-地方燃煤!BJ12-风电!BJ12-光伏!BJ12-联络线!BJ12-非市场化!BJ12</f>
        <v>11998.41</v>
      </c>
      <c r="BK12">
        <f>负荷!BK12-水电!BK12-核电!BK12-地方燃煤!BK12-风电!BK12-光伏!BK12-联络线!BK12-非市场化!BK12</f>
        <v>12552.08</v>
      </c>
      <c r="BL12">
        <f>负荷!BL12-水电!BL12-核电!BL12-地方燃煤!BL12-风电!BL12-光伏!BL12-联络线!BL12-非市场化!BL12</f>
        <v>12842.21</v>
      </c>
      <c r="BM12">
        <f>负荷!BM12-水电!BM12-核电!BM12-地方燃煤!BM12-风电!BM12-光伏!BM12-联络线!BM12-非市场化!BM12</f>
        <v>13012.85</v>
      </c>
      <c r="BN12">
        <f>负荷!BN12-水电!BN12-核电!BN12-地方燃煤!BN12-风电!BN12-光伏!BN12-联络线!BN12-非市场化!BN12</f>
        <v>13128.88</v>
      </c>
      <c r="BO12">
        <f>负荷!BO12-水电!BO12-核电!BO12-地方燃煤!BO12-风电!BO12-光伏!BO12-联络线!BO12-非市场化!BO12</f>
        <v>13451.68</v>
      </c>
      <c r="BP12">
        <f>负荷!BP12-水电!BP12-核电!BP12-地方燃煤!BP12-风电!BP12-光伏!BP12-联络线!BP12-非市场化!BP12</f>
        <v>13458.13</v>
      </c>
      <c r="BQ12">
        <f>负荷!BQ12-水电!BQ12-核电!BQ12-地方燃煤!BQ12-风电!BQ12-光伏!BQ12-联络线!BQ12-非市场化!BQ12</f>
        <v>12951.27</v>
      </c>
      <c r="BR12">
        <f>负荷!BR12-水电!BR12-核电!BR12-地方燃煤!BR12-风电!BR12-光伏!BR12-联络线!BR12-非市场化!BR12</f>
        <v>13406.63</v>
      </c>
      <c r="BS12">
        <f>负荷!BS12-水电!BS12-核电!BS12-地方燃煤!BS12-风电!BS12-光伏!BS12-联络线!BS12-非市场化!BS12</f>
        <v>13769.04</v>
      </c>
      <c r="BT12">
        <f>负荷!BT12-水电!BT12-核电!BT12-地方燃煤!BT12-风电!BT12-光伏!BT12-联络线!BT12-非市场化!BT12</f>
        <v>14280.73</v>
      </c>
      <c r="BU12">
        <f>负荷!BU12-水电!BU12-核电!BU12-地方燃煤!BU12-风电!BU12-光伏!BU12-联络线!BU12-非市场化!BU12</f>
        <v>14498.39</v>
      </c>
      <c r="BV12">
        <f>负荷!BV12-水电!BV12-核电!BV12-地方燃煤!BV12-风电!BV12-光伏!BV12-联络线!BV12-非市场化!BV12</f>
        <v>14802.53</v>
      </c>
      <c r="BW12">
        <f>负荷!BW12-水电!BW12-核电!BW12-地方燃煤!BW12-风电!BW12-光伏!BW12-联络线!BW12-非市场化!BW12</f>
        <v>14988.15</v>
      </c>
      <c r="BX12">
        <f>负荷!BX12-水电!BX12-核电!BX12-地方燃煤!BX12-风电!BX12-光伏!BX12-联络线!BX12-非市场化!BX12</f>
        <v>14955.26</v>
      </c>
      <c r="BY12">
        <f>负荷!BY12-水电!BY12-核电!BY12-地方燃煤!BY12-风电!BY12-光伏!BY12-联络线!BY12-非市场化!BY12</f>
        <v>14854.99</v>
      </c>
      <c r="BZ12">
        <f>负荷!BZ12-水电!BZ12-核电!BZ12-地方燃煤!BZ12-风电!BZ12-光伏!BZ12-联络线!BZ12-非市场化!BZ12</f>
        <v>15068</v>
      </c>
      <c r="CA12">
        <f>负荷!CA12-水电!CA12-核电!CA12-地方燃煤!CA12-风电!CA12-光伏!CA12-联络线!CA12-非市场化!CA12</f>
        <v>15304.95</v>
      </c>
      <c r="CB12">
        <f>负荷!CB12-水电!CB12-核电!CB12-地方燃煤!CB12-风电!CB12-光伏!CB12-联络线!CB12-非市场化!CB12</f>
        <v>15640.29</v>
      </c>
      <c r="CC12">
        <f>负荷!CC12-水电!CC12-核电!CC12-地方燃煤!CC12-风电!CC12-光伏!CC12-联络线!CC12-非市场化!CC12</f>
        <v>15648.5</v>
      </c>
      <c r="CD12">
        <f>负荷!CD12-水电!CD12-核电!CD12-地方燃煤!CD12-风电!CD12-光伏!CD12-联络线!CD12-非市场化!CD12</f>
        <v>15160.67</v>
      </c>
      <c r="CE12">
        <f>负荷!CE12-水电!CE12-核电!CE12-地方燃煤!CE12-风电!CE12-光伏!CE12-联络线!CE12-非市场化!CE12</f>
        <v>15337.75</v>
      </c>
      <c r="CF12">
        <f>负荷!CF12-水电!CF12-核电!CF12-地方燃煤!CF12-风电!CF12-光伏!CF12-联络线!CF12-非市场化!CF12</f>
        <v>15149.72</v>
      </c>
      <c r="CG12">
        <f>负荷!CG12-水电!CG12-核电!CG12-地方燃煤!CG12-风电!CG12-光伏!CG12-联络线!CG12-非市场化!CG12</f>
        <v>15064.47</v>
      </c>
      <c r="CH12">
        <f>负荷!CH12-水电!CH12-核电!CH12-地方燃煤!CH12-风电!CH12-光伏!CH12-联络线!CH12-非市场化!CH12</f>
        <v>14623.56</v>
      </c>
      <c r="CI12">
        <f>负荷!CI12-水电!CI12-核电!CI12-地方燃煤!CI12-风电!CI12-光伏!CI12-联络线!CI12-非市场化!CI12</f>
        <v>14068.57</v>
      </c>
      <c r="CJ12">
        <f>负荷!CJ12-水电!CJ12-核电!CJ12-地方燃煤!CJ12-风电!CJ12-光伏!CJ12-联络线!CJ12-非市场化!CJ12</f>
        <v>13866.35</v>
      </c>
      <c r="CK12">
        <f>负荷!CK12-水电!CK12-核电!CK12-地方燃煤!CK12-风电!CK12-光伏!CK12-联络线!CK12-非市场化!CK12</f>
        <v>13364.01</v>
      </c>
      <c r="CL12">
        <f>负荷!CL12-水电!CL12-核电!CL12-地方燃煤!CL12-风电!CL12-光伏!CL12-联络线!CL12-非市场化!CL12</f>
        <v>14227.61</v>
      </c>
      <c r="CM12">
        <f>负荷!CM12-水电!CM12-核电!CM12-地方燃煤!CM12-风电!CM12-光伏!CM12-联络线!CM12-非市场化!CM12</f>
        <v>14308.22</v>
      </c>
      <c r="CN12">
        <f>负荷!CN12-水电!CN12-核电!CN12-地方燃煤!CN12-风电!CN12-光伏!CN12-联络线!CN12-非市场化!CN12</f>
        <v>14510.77</v>
      </c>
      <c r="CO12">
        <f>负荷!CO12-水电!CO12-核电!CO12-地方燃煤!CO12-风电!CO12-光伏!CO12-联络线!CO12-非市场化!CO12</f>
        <v>14660.01</v>
      </c>
      <c r="CP12">
        <f>负荷!CP12-水电!CP12-核电!CP12-地方燃煤!CP12-风电!CP12-光伏!CP12-联络线!CP12-非市场化!CP12</f>
        <v>14593.22</v>
      </c>
      <c r="CQ12">
        <f>负荷!CQ12-水电!CQ12-核电!CQ12-地方燃煤!CQ12-风电!CQ12-光伏!CQ12-联络线!CQ12-非市场化!CQ12</f>
        <v>14225.06</v>
      </c>
      <c r="CR12">
        <f>负荷!CR12-水电!CR12-核电!CR12-地方燃煤!CR12-风电!CR12-光伏!CR12-联络线!CR12-非市场化!CR12</f>
        <v>13865.68</v>
      </c>
      <c r="CS12">
        <f>负荷!CS12-水电!CS12-核电!CS12-地方燃煤!CS12-风电!CS12-光伏!CS12-联络线!CS12-非市场化!CS12</f>
        <v>13376.63</v>
      </c>
    </row>
    <row r="13" spans="1:97">
      <c r="A13" s="9">
        <v>46246</v>
      </c>
      <c r="B13">
        <f>负荷!B13-水电!B13-核电!B13-地方燃煤!B13-风电!B13-光伏!B13-联络线!B13-非市场化!B13</f>
        <v>12647.01</v>
      </c>
      <c r="C13">
        <f>负荷!C13-水电!C13-核电!C13-地方燃煤!C13-风电!C13-光伏!C13-联络线!C13-非市场化!C13</f>
        <v>12965.91</v>
      </c>
      <c r="D13">
        <f>负荷!D13-水电!D13-核电!D13-地方燃煤!D13-风电!D13-光伏!D13-联络线!D13-非市场化!D13</f>
        <v>13313.01</v>
      </c>
      <c r="E13">
        <f>负荷!E13-水电!E13-核电!E13-地方燃煤!E13-风电!E13-光伏!E13-联络线!E13-非市场化!E13</f>
        <v>13460.06</v>
      </c>
      <c r="F13">
        <f>负荷!F13-水电!F13-核电!F13-地方燃煤!F13-风电!F13-光伏!F13-联络线!F13-非市场化!F13</f>
        <v>13654.8</v>
      </c>
      <c r="G13">
        <f>负荷!G13-水电!G13-核电!G13-地方燃煤!G13-风电!G13-光伏!G13-联络线!G13-非市场化!G13</f>
        <v>13820.39</v>
      </c>
      <c r="H13">
        <f>负荷!H13-水电!H13-核电!H13-地方燃煤!H13-风电!H13-光伏!H13-联络线!H13-非市场化!H13</f>
        <v>14022.72</v>
      </c>
      <c r="I13">
        <f>负荷!I13-水电!I13-核电!I13-地方燃煤!I13-风电!I13-光伏!I13-联络线!I13-非市场化!I13</f>
        <v>14117.38</v>
      </c>
      <c r="J13">
        <f>负荷!J13-水电!J13-核电!J13-地方燃煤!J13-风电!J13-光伏!J13-联络线!J13-非市场化!J13</f>
        <v>14342.99</v>
      </c>
      <c r="K13">
        <f>负荷!K13-水电!K13-核电!K13-地方燃煤!K13-风电!K13-光伏!K13-联络线!K13-非市场化!K13</f>
        <v>14306.06</v>
      </c>
      <c r="L13">
        <f>负荷!L13-水电!L13-核电!L13-地方燃煤!L13-风电!L13-光伏!L13-联络线!L13-非市场化!L13</f>
        <v>14289.84</v>
      </c>
      <c r="M13">
        <f>负荷!M13-水电!M13-核电!M13-地方燃煤!M13-风电!M13-光伏!M13-联络线!M13-非市场化!M13</f>
        <v>14160.82</v>
      </c>
      <c r="N13">
        <f>负荷!N13-水电!N13-核电!N13-地方燃煤!N13-风电!N13-光伏!N13-联络线!N13-非市场化!N13</f>
        <v>14196.96</v>
      </c>
      <c r="O13">
        <f>负荷!O13-水电!O13-核电!O13-地方燃煤!O13-风电!O13-光伏!O13-联络线!O13-非市场化!O13</f>
        <v>14157.42</v>
      </c>
      <c r="P13">
        <f>负荷!P13-水电!P13-核电!P13-地方燃煤!P13-风电!P13-光伏!P13-联络线!P13-非市场化!P13</f>
        <v>14168.58</v>
      </c>
      <c r="Q13">
        <f>负荷!Q13-水电!Q13-核电!Q13-地方燃煤!Q13-风电!Q13-光伏!Q13-联络线!Q13-非市场化!Q13</f>
        <v>14212.72</v>
      </c>
      <c r="R13">
        <f>负荷!R13-水电!R13-核电!R13-地方燃煤!R13-风电!R13-光伏!R13-联络线!R13-非市场化!R13</f>
        <v>14409.21</v>
      </c>
      <c r="S13">
        <f>负荷!S13-水电!S13-核电!S13-地方燃煤!S13-风电!S13-光伏!S13-联络线!S13-非市场化!S13</f>
        <v>14408.03</v>
      </c>
      <c r="T13">
        <f>负荷!T13-水电!T13-核电!T13-地方燃煤!T13-风电!T13-光伏!T13-联络线!T13-非市场化!T13</f>
        <v>14487.09</v>
      </c>
      <c r="U13">
        <f>负荷!U13-水电!U13-核电!U13-地方燃煤!U13-风电!U13-光伏!U13-联络线!U13-非市场化!U13</f>
        <v>14769.46</v>
      </c>
      <c r="V13">
        <f>负荷!V13-水电!V13-核电!V13-地方燃煤!V13-风电!V13-光伏!V13-联络线!V13-非市场化!V13</f>
        <v>15114.98</v>
      </c>
      <c r="W13">
        <f>负荷!W13-水电!W13-核电!W13-地方燃煤!W13-风电!W13-光伏!W13-联络线!W13-非市场化!W13</f>
        <v>15348.79</v>
      </c>
      <c r="X13">
        <f>负荷!X13-水电!X13-核电!X13-地方燃煤!X13-风电!X13-光伏!X13-联络线!X13-非市场化!X13</f>
        <v>15750.11</v>
      </c>
      <c r="Y13">
        <f>负荷!Y13-水电!Y13-核电!Y13-地方燃煤!Y13-风电!Y13-光伏!Y13-联络线!Y13-非市场化!Y13</f>
        <v>15978.37</v>
      </c>
      <c r="Z13">
        <f>负荷!Z13-水电!Z13-核电!Z13-地方燃煤!Z13-风电!Z13-光伏!Z13-联络线!Z13-非市场化!Z13</f>
        <v>16532.36</v>
      </c>
      <c r="AA13">
        <f>负荷!AA13-水电!AA13-核电!AA13-地方燃煤!AA13-风电!AA13-光伏!AA13-联络线!AA13-非市场化!AA13</f>
        <v>16325.87</v>
      </c>
      <c r="AB13">
        <f>负荷!AB13-水电!AB13-核电!AB13-地方燃煤!AB13-风电!AB13-光伏!AB13-联络线!AB13-非市场化!AB13</f>
        <v>16053.59</v>
      </c>
      <c r="AC13">
        <f>负荷!AC13-水电!AC13-核电!AC13-地方燃煤!AC13-风电!AC13-光伏!AC13-联络线!AC13-非市场化!AC13</f>
        <v>15672.54</v>
      </c>
      <c r="AD13">
        <f>负荷!AD13-水电!AD13-核电!AD13-地方燃煤!AD13-风电!AD13-光伏!AD13-联络线!AD13-非市场化!AD13</f>
        <v>15488.77</v>
      </c>
      <c r="AE13">
        <f>负荷!AE13-水电!AE13-核电!AE13-地方燃煤!AE13-风电!AE13-光伏!AE13-联络线!AE13-非市场化!AE13</f>
        <v>15151.77</v>
      </c>
      <c r="AF13">
        <f>负荷!AF13-水电!AF13-核电!AF13-地方燃煤!AF13-风电!AF13-光伏!AF13-联络线!AF13-非市场化!AF13</f>
        <v>15002.21</v>
      </c>
      <c r="AG13">
        <f>负荷!AG13-水电!AG13-核电!AG13-地方燃煤!AG13-风电!AG13-光伏!AG13-联络线!AG13-非市场化!AG13</f>
        <v>15004.28</v>
      </c>
      <c r="AH13">
        <f>负荷!AH13-水电!AH13-核电!AH13-地方燃煤!AH13-风电!AH13-光伏!AH13-联络线!AH13-非市场化!AH13</f>
        <v>15558.31</v>
      </c>
      <c r="AI13">
        <f>负荷!AI13-水电!AI13-核电!AI13-地方燃煤!AI13-风电!AI13-光伏!AI13-联络线!AI13-非市场化!AI13</f>
        <v>15507.45</v>
      </c>
      <c r="AJ13">
        <f>负荷!AJ13-水电!AJ13-核电!AJ13-地方燃煤!AJ13-风电!AJ13-光伏!AJ13-联络线!AJ13-非市场化!AJ13</f>
        <v>15455.77</v>
      </c>
      <c r="AK13">
        <f>负荷!AK13-水电!AK13-核电!AK13-地方燃煤!AK13-风电!AK13-光伏!AK13-联络线!AK13-非市场化!AK13</f>
        <v>15095</v>
      </c>
      <c r="AL13">
        <f>负荷!AL13-水电!AL13-核电!AL13-地方燃煤!AL13-风电!AL13-光伏!AL13-联络线!AL13-非市场化!AL13</f>
        <v>14694.04</v>
      </c>
      <c r="AM13">
        <f>负荷!AM13-水电!AM13-核电!AM13-地方燃煤!AM13-风电!AM13-光伏!AM13-联络线!AM13-非市场化!AM13</f>
        <v>14804.74</v>
      </c>
      <c r="AN13">
        <f>负荷!AN13-水电!AN13-核电!AN13-地方燃煤!AN13-风电!AN13-光伏!AN13-联络线!AN13-非市场化!AN13</f>
        <v>14826.86</v>
      </c>
      <c r="AO13">
        <f>负荷!AO13-水电!AO13-核电!AO13-地方燃煤!AO13-风电!AO13-光伏!AO13-联络线!AO13-非市场化!AO13</f>
        <v>14857.36</v>
      </c>
      <c r="AP13">
        <f>负荷!AP13-水电!AP13-核电!AP13-地方燃煤!AP13-风电!AP13-光伏!AP13-联络线!AP13-非市场化!AP13</f>
        <v>14586.57</v>
      </c>
      <c r="AQ13">
        <f>负荷!AQ13-水电!AQ13-核电!AQ13-地方燃煤!AQ13-风电!AQ13-光伏!AQ13-联络线!AQ13-非市场化!AQ13</f>
        <v>14782.94</v>
      </c>
      <c r="AR13">
        <f>负荷!AR13-水电!AR13-核电!AR13-地方燃煤!AR13-风电!AR13-光伏!AR13-联络线!AR13-非市场化!AR13</f>
        <v>14888.3</v>
      </c>
      <c r="AS13">
        <f>负荷!AS13-水电!AS13-核电!AS13-地方燃煤!AS13-风电!AS13-光伏!AS13-联络线!AS13-非市场化!AS13</f>
        <v>14842.61</v>
      </c>
      <c r="AT13">
        <f>负荷!AT13-水电!AT13-核电!AT13-地方燃煤!AT13-风电!AT13-光伏!AT13-联络线!AT13-非市场化!AT13</f>
        <v>14824.73</v>
      </c>
      <c r="AU13">
        <f>负荷!AU13-水电!AU13-核电!AU13-地方燃煤!AU13-风电!AU13-光伏!AU13-联络线!AU13-非市场化!AU13</f>
        <v>14547.07</v>
      </c>
      <c r="AV13">
        <f>负荷!AV13-水电!AV13-核电!AV13-地方燃煤!AV13-风电!AV13-光伏!AV13-联络线!AV13-非市场化!AV13</f>
        <v>14786.38</v>
      </c>
      <c r="AW13">
        <f>负荷!AW13-水电!AW13-核电!AW13-地方燃煤!AW13-风电!AW13-光伏!AW13-联络线!AW13-非市场化!AW13</f>
        <v>14994.83</v>
      </c>
      <c r="AX13">
        <f>负荷!AX13-水电!AX13-核电!AX13-地方燃煤!AX13-风电!AX13-光伏!AX13-联络线!AX13-非市场化!AX13</f>
        <v>15491.75</v>
      </c>
      <c r="AY13">
        <f>负荷!AY13-水电!AY13-核电!AY13-地方燃煤!AY13-风电!AY13-光伏!AY13-联络线!AY13-非市场化!AY13</f>
        <v>15567.69</v>
      </c>
      <c r="AZ13">
        <f>负荷!AZ13-水电!AZ13-核电!AZ13-地方燃煤!AZ13-风电!AZ13-光伏!AZ13-联络线!AZ13-非市场化!AZ13</f>
        <v>15902.91</v>
      </c>
      <c r="BA13">
        <f>负荷!BA13-水电!BA13-核电!BA13-地方燃煤!BA13-风电!BA13-光伏!BA13-联络线!BA13-非市场化!BA13</f>
        <v>16036.34</v>
      </c>
      <c r="BB13">
        <f>负荷!BB13-水电!BB13-核电!BB13-地方燃煤!BB13-风电!BB13-光伏!BB13-联络线!BB13-非市场化!BB13</f>
        <v>16324.37</v>
      </c>
      <c r="BC13">
        <f>负荷!BC13-水电!BC13-核电!BC13-地方燃煤!BC13-风电!BC13-光伏!BC13-联络线!BC13-非市场化!BC13</f>
        <v>16705.22</v>
      </c>
      <c r="BD13">
        <f>负荷!BD13-水电!BD13-核电!BD13-地方燃煤!BD13-风电!BD13-光伏!BD13-联络线!BD13-非市场化!BD13</f>
        <v>17120.32</v>
      </c>
      <c r="BE13">
        <f>负荷!BE13-水电!BE13-核电!BE13-地方燃煤!BE13-风电!BE13-光伏!BE13-联络线!BE13-非市场化!BE13</f>
        <v>17250.67</v>
      </c>
      <c r="BF13">
        <f>负荷!BF13-水电!BF13-核电!BF13-地方燃煤!BF13-风电!BF13-光伏!BF13-联络线!BF13-非市场化!BF13</f>
        <v>17615.54</v>
      </c>
      <c r="BG13">
        <f>负荷!BG13-水电!BG13-核电!BG13-地方燃煤!BG13-风电!BG13-光伏!BG13-联络线!BG13-非市场化!BG13</f>
        <v>17822.33</v>
      </c>
      <c r="BH13">
        <f>负荷!BH13-水电!BH13-核电!BH13-地方燃煤!BH13-风电!BH13-光伏!BH13-联络线!BH13-非市场化!BH13</f>
        <v>17868.22</v>
      </c>
      <c r="BI13">
        <f>负荷!BI13-水电!BI13-核电!BI13-地方燃煤!BI13-风电!BI13-光伏!BI13-联络线!BI13-非市场化!BI13</f>
        <v>17834.78</v>
      </c>
      <c r="BJ13">
        <f>负荷!BJ13-水电!BJ13-核电!BJ13-地方燃煤!BJ13-风电!BJ13-光伏!BJ13-联络线!BJ13-非市场化!BJ13</f>
        <v>18331.15</v>
      </c>
      <c r="BK13">
        <f>负荷!BK13-水电!BK13-核电!BK13-地方燃煤!BK13-风电!BK13-光伏!BK13-联络线!BK13-非市场化!BK13</f>
        <v>18351.95</v>
      </c>
      <c r="BL13">
        <f>负荷!BL13-水电!BL13-核电!BL13-地方燃煤!BL13-风电!BL13-光伏!BL13-联络线!BL13-非市场化!BL13</f>
        <v>18203.55</v>
      </c>
      <c r="BM13">
        <f>负荷!BM13-水电!BM13-核电!BM13-地方燃煤!BM13-风电!BM13-光伏!BM13-联络线!BM13-非市场化!BM13</f>
        <v>18324.49</v>
      </c>
      <c r="BN13">
        <f>负荷!BN13-水电!BN13-核电!BN13-地方燃煤!BN13-风电!BN13-光伏!BN13-联络线!BN13-非市场化!BN13</f>
        <v>19106.62</v>
      </c>
      <c r="BO13">
        <f>负荷!BO13-水电!BO13-核电!BO13-地方燃煤!BO13-风电!BO13-光伏!BO13-联络线!BO13-非市场化!BO13</f>
        <v>19294.57</v>
      </c>
      <c r="BP13">
        <f>负荷!BP13-水电!BP13-核电!BP13-地方燃煤!BP13-风电!BP13-光伏!BP13-联络线!BP13-非市场化!BP13</f>
        <v>19554.09</v>
      </c>
      <c r="BQ13">
        <f>负荷!BQ13-水电!BQ13-核电!BQ13-地方燃煤!BQ13-风电!BQ13-光伏!BQ13-联络线!BQ13-非市场化!BQ13</f>
        <v>19183.34</v>
      </c>
      <c r="BR13">
        <f>负荷!BR13-水电!BR13-核电!BR13-地方燃煤!BR13-风电!BR13-光伏!BR13-联络线!BR13-非市场化!BR13</f>
        <v>19298.4</v>
      </c>
      <c r="BS13">
        <f>负荷!BS13-水电!BS13-核电!BS13-地方燃煤!BS13-风电!BS13-光伏!BS13-联络线!BS13-非市场化!BS13</f>
        <v>19445.62</v>
      </c>
      <c r="BT13">
        <f>负荷!BT13-水电!BT13-核电!BT13-地方燃煤!BT13-风电!BT13-光伏!BT13-联络线!BT13-非市场化!BT13</f>
        <v>19470.87</v>
      </c>
      <c r="BU13">
        <f>负荷!BU13-水电!BU13-核电!BU13-地方燃煤!BU13-风电!BU13-光伏!BU13-联络线!BU13-非市场化!BU13</f>
        <v>19516.55</v>
      </c>
      <c r="BV13">
        <f>负荷!BV13-水电!BV13-核电!BV13-地方燃煤!BV13-风电!BV13-光伏!BV13-联络线!BV13-非市场化!BV13</f>
        <v>19442.83</v>
      </c>
      <c r="BW13">
        <f>负荷!BW13-水电!BW13-核电!BW13-地方燃煤!BW13-风电!BW13-光伏!BW13-联络线!BW13-非市场化!BW13</f>
        <v>19523.12</v>
      </c>
      <c r="BX13">
        <f>负荷!BX13-水电!BX13-核电!BX13-地方燃煤!BX13-风电!BX13-光伏!BX13-联络线!BX13-非市场化!BX13</f>
        <v>19543.35</v>
      </c>
      <c r="BY13">
        <f>负荷!BY13-水电!BY13-核电!BY13-地方燃煤!BY13-风电!BY13-光伏!BY13-联络线!BY13-非市场化!BY13</f>
        <v>19427.19</v>
      </c>
      <c r="BZ13">
        <f>负荷!BZ13-水电!BZ13-核电!BZ13-地方燃煤!BZ13-风电!BZ13-光伏!BZ13-联络线!BZ13-非市场化!BZ13</f>
        <v>19723.07</v>
      </c>
      <c r="CA13">
        <f>负荷!CA13-水电!CA13-核电!CA13-地方燃煤!CA13-风电!CA13-光伏!CA13-联络线!CA13-非市场化!CA13</f>
        <v>19622.38</v>
      </c>
      <c r="CB13">
        <f>负荷!CB13-水电!CB13-核电!CB13-地方燃煤!CB13-风电!CB13-光伏!CB13-联络线!CB13-非市场化!CB13</f>
        <v>19672.66</v>
      </c>
      <c r="CC13">
        <f>负荷!CC13-水电!CC13-核电!CC13-地方燃煤!CC13-风电!CC13-光伏!CC13-联络线!CC13-非市场化!CC13</f>
        <v>19387.9</v>
      </c>
      <c r="CD13">
        <f>负荷!CD13-水电!CD13-核电!CD13-地方燃煤!CD13-风电!CD13-光伏!CD13-联络线!CD13-非市场化!CD13</f>
        <v>18923.79</v>
      </c>
      <c r="CE13">
        <f>负荷!CE13-水电!CE13-核电!CE13-地方燃煤!CE13-风电!CE13-光伏!CE13-联络线!CE13-非市场化!CE13</f>
        <v>18946.16</v>
      </c>
      <c r="CF13">
        <f>负荷!CF13-水电!CF13-核电!CF13-地方燃煤!CF13-风电!CF13-光伏!CF13-联络线!CF13-非市场化!CF13</f>
        <v>18648.34</v>
      </c>
      <c r="CG13">
        <f>负荷!CG13-水电!CG13-核电!CG13-地方燃煤!CG13-风电!CG13-光伏!CG13-联络线!CG13-非市场化!CG13</f>
        <v>18242.86</v>
      </c>
      <c r="CH13">
        <f>负荷!CH13-水电!CH13-核电!CH13-地方燃煤!CH13-风电!CH13-光伏!CH13-联络线!CH13-非市场化!CH13</f>
        <v>18021.01</v>
      </c>
      <c r="CI13">
        <f>负荷!CI13-水电!CI13-核电!CI13-地方燃煤!CI13-风电!CI13-光伏!CI13-联络线!CI13-非市场化!CI13</f>
        <v>17451.1</v>
      </c>
      <c r="CJ13">
        <f>负荷!CJ13-水电!CJ13-核电!CJ13-地方燃煤!CJ13-风电!CJ13-光伏!CJ13-联络线!CJ13-非市场化!CJ13</f>
        <v>16971.8</v>
      </c>
      <c r="CK13">
        <f>负荷!CK13-水电!CK13-核电!CK13-地方燃煤!CK13-风电!CK13-光伏!CK13-联络线!CK13-非市场化!CK13</f>
        <v>16529.35</v>
      </c>
      <c r="CL13">
        <f>负荷!CL13-水电!CL13-核电!CL13-地方燃煤!CL13-风电!CL13-光伏!CL13-联络线!CL13-非市场化!CL13</f>
        <v>16989.82</v>
      </c>
      <c r="CM13">
        <f>负荷!CM13-水电!CM13-核电!CM13-地方燃煤!CM13-风电!CM13-光伏!CM13-联络线!CM13-非市场化!CM13</f>
        <v>17124.68</v>
      </c>
      <c r="CN13">
        <f>负荷!CN13-水电!CN13-核电!CN13-地方燃煤!CN13-风电!CN13-光伏!CN13-联络线!CN13-非市场化!CN13</f>
        <v>17235.1</v>
      </c>
      <c r="CO13">
        <f>负荷!CO13-水电!CO13-核电!CO13-地方燃煤!CO13-风电!CO13-光伏!CO13-联络线!CO13-非市场化!CO13</f>
        <v>17421.65</v>
      </c>
      <c r="CP13">
        <f>负荷!CP13-水电!CP13-核电!CP13-地方燃煤!CP13-风电!CP13-光伏!CP13-联络线!CP13-非市场化!CP13</f>
        <v>17376.65</v>
      </c>
      <c r="CQ13">
        <f>负荷!CQ13-水电!CQ13-核电!CQ13-地方燃煤!CQ13-风电!CQ13-光伏!CQ13-联络线!CQ13-非市场化!CQ13</f>
        <v>16923.69</v>
      </c>
      <c r="CR13">
        <f>负荷!CR13-水电!CR13-核电!CR13-地方燃煤!CR13-风电!CR13-光伏!CR13-联络线!CR13-非市场化!CR13</f>
        <v>16363.51</v>
      </c>
      <c r="CS13">
        <f>负荷!CS13-水电!CS13-核电!CS13-地方燃煤!CS13-风电!CS13-光伏!CS13-联络线!CS13-非市场化!CS13</f>
        <v>15715.65</v>
      </c>
    </row>
    <row r="14" spans="1:97">
      <c r="A14" s="9">
        <v>46247</v>
      </c>
      <c r="B14">
        <f>负荷!B14-水电!B14-核电!B14-地方燃煤!B14-风电!B14-光伏!B14-联络线!B14-非市场化!B14</f>
        <v>15365.63</v>
      </c>
      <c r="C14">
        <f>负荷!C14-水电!C14-核电!C14-地方燃煤!C14-风电!C14-光伏!C14-联络线!C14-非市场化!C14</f>
        <v>15349.59</v>
      </c>
      <c r="D14">
        <f>负荷!D14-水电!D14-核电!D14-地方燃煤!D14-风电!D14-光伏!D14-联络线!D14-非市场化!D14</f>
        <v>15480.11</v>
      </c>
      <c r="E14">
        <f>负荷!E14-水电!E14-核电!E14-地方燃煤!E14-风电!E14-光伏!E14-联络线!E14-非市场化!E14</f>
        <v>15573.52</v>
      </c>
      <c r="F14">
        <f>负荷!F14-水电!F14-核电!F14-地方燃煤!F14-风电!F14-光伏!F14-联络线!F14-非市场化!F14</f>
        <v>15748.19</v>
      </c>
      <c r="G14">
        <f>负荷!G14-水电!G14-核电!G14-地方燃煤!G14-风电!G14-光伏!G14-联络线!G14-非市场化!G14</f>
        <v>15956.61</v>
      </c>
      <c r="H14">
        <f>负荷!H14-水电!H14-核电!H14-地方燃煤!H14-风电!H14-光伏!H14-联络线!H14-非市场化!H14</f>
        <v>16025.74</v>
      </c>
      <c r="I14">
        <f>负荷!I14-水电!I14-核电!I14-地方燃煤!I14-风电!I14-光伏!I14-联络线!I14-非市场化!I14</f>
        <v>15800.5</v>
      </c>
      <c r="J14">
        <f>负荷!J14-水电!J14-核电!J14-地方燃煤!J14-风电!J14-光伏!J14-联络线!J14-非市场化!J14</f>
        <v>15724.69</v>
      </c>
      <c r="K14">
        <f>负荷!K14-水电!K14-核电!K14-地方燃煤!K14-风电!K14-光伏!K14-联络线!K14-非市场化!K14</f>
        <v>15481.16</v>
      </c>
      <c r="L14">
        <f>负荷!L14-水电!L14-核电!L14-地方燃煤!L14-风电!L14-光伏!L14-联络线!L14-非市场化!L14</f>
        <v>15445.42</v>
      </c>
      <c r="M14">
        <f>负荷!M14-水电!M14-核电!M14-地方燃煤!M14-风电!M14-光伏!M14-联络线!M14-非市场化!M14</f>
        <v>15310.6</v>
      </c>
      <c r="N14">
        <f>负荷!N14-水电!N14-核电!N14-地方燃煤!N14-风电!N14-光伏!N14-联络线!N14-非市场化!N14</f>
        <v>15184.11</v>
      </c>
      <c r="O14">
        <f>负荷!O14-水电!O14-核电!O14-地方燃煤!O14-风电!O14-光伏!O14-联络线!O14-非市场化!O14</f>
        <v>15066.36</v>
      </c>
      <c r="P14">
        <f>负荷!P14-水电!P14-核电!P14-地方燃煤!P14-风电!P14-光伏!P14-联络线!P14-非市场化!P14</f>
        <v>15096.6</v>
      </c>
      <c r="Q14">
        <f>负荷!Q14-水电!Q14-核电!Q14-地方燃煤!Q14-风电!Q14-光伏!Q14-联络线!Q14-非市场化!Q14</f>
        <v>15014.64</v>
      </c>
      <c r="R14">
        <f>负荷!R14-水电!R14-核电!R14-地方燃煤!R14-风电!R14-光伏!R14-联络线!R14-非市场化!R14</f>
        <v>15345.17</v>
      </c>
      <c r="S14">
        <f>负荷!S14-水电!S14-核电!S14-地方燃煤!S14-风电!S14-光伏!S14-联络线!S14-非市场化!S14</f>
        <v>15262.68</v>
      </c>
      <c r="T14">
        <f>负荷!T14-水电!T14-核电!T14-地方燃煤!T14-风电!T14-光伏!T14-联络线!T14-非市场化!T14</f>
        <v>15344.28</v>
      </c>
      <c r="U14">
        <f>负荷!U14-水电!U14-核电!U14-地方燃煤!U14-风电!U14-光伏!U14-联络线!U14-非市场化!U14</f>
        <v>15593.32</v>
      </c>
      <c r="V14">
        <f>负荷!V14-水电!V14-核电!V14-地方燃煤!V14-风电!V14-光伏!V14-联络线!V14-非市场化!V14</f>
        <v>15942.78</v>
      </c>
      <c r="W14">
        <f>负荷!W14-水电!W14-核电!W14-地方燃煤!W14-风电!W14-光伏!W14-联络线!W14-非市场化!W14</f>
        <v>16054.58</v>
      </c>
      <c r="X14">
        <f>负荷!X14-水电!X14-核电!X14-地方燃煤!X14-风电!X14-光伏!X14-联络线!X14-非市场化!X14</f>
        <v>16346.99</v>
      </c>
      <c r="Y14">
        <f>负荷!Y14-水电!Y14-核电!Y14-地方燃煤!Y14-风电!Y14-光伏!Y14-联络线!Y14-非市场化!Y14</f>
        <v>16476.21</v>
      </c>
      <c r="Z14">
        <f>负荷!Z14-水电!Z14-核电!Z14-地方燃煤!Z14-风电!Z14-光伏!Z14-联络线!Z14-非市场化!Z14</f>
        <v>17053.99</v>
      </c>
      <c r="AA14">
        <f>负荷!AA14-水电!AA14-核电!AA14-地方燃煤!AA14-风电!AA14-光伏!AA14-联络线!AA14-非市场化!AA14</f>
        <v>17140.52</v>
      </c>
      <c r="AB14">
        <f>负荷!AB14-水电!AB14-核电!AB14-地方燃煤!AB14-风电!AB14-光伏!AB14-联络线!AB14-非市场化!AB14</f>
        <v>16955.51</v>
      </c>
      <c r="AC14">
        <f>负荷!AC14-水电!AC14-核电!AC14-地方燃煤!AC14-风电!AC14-光伏!AC14-联络线!AC14-非市场化!AC14</f>
        <v>16515.73</v>
      </c>
      <c r="AD14">
        <f>负荷!AD14-水电!AD14-核电!AD14-地方燃煤!AD14-风电!AD14-光伏!AD14-联络线!AD14-非市场化!AD14</f>
        <v>16381.94</v>
      </c>
      <c r="AE14">
        <f>负荷!AE14-水电!AE14-核电!AE14-地方燃煤!AE14-风电!AE14-光伏!AE14-联络线!AE14-非市场化!AE14</f>
        <v>16146.34</v>
      </c>
      <c r="AF14">
        <f>负荷!AF14-水电!AF14-核电!AF14-地方燃煤!AF14-风电!AF14-光伏!AF14-联络线!AF14-非市场化!AF14</f>
        <v>15946.78</v>
      </c>
      <c r="AG14">
        <f>负荷!AG14-水电!AG14-核电!AG14-地方燃煤!AG14-风电!AG14-光伏!AG14-联络线!AG14-非市场化!AG14</f>
        <v>16011.63</v>
      </c>
      <c r="AH14">
        <f>负荷!AH14-水电!AH14-核电!AH14-地方燃煤!AH14-风电!AH14-光伏!AH14-联络线!AH14-非市场化!AH14</f>
        <v>16314.1</v>
      </c>
      <c r="AI14">
        <f>负荷!AI14-水电!AI14-核电!AI14-地方燃煤!AI14-风电!AI14-光伏!AI14-联络线!AI14-非市场化!AI14</f>
        <v>16400.03</v>
      </c>
      <c r="AJ14">
        <f>负荷!AJ14-水电!AJ14-核电!AJ14-地方燃煤!AJ14-风电!AJ14-光伏!AJ14-联络线!AJ14-非市场化!AJ14</f>
        <v>16274.15</v>
      </c>
      <c r="AK14">
        <f>负荷!AK14-水电!AK14-核电!AK14-地方燃煤!AK14-风电!AK14-光伏!AK14-联络线!AK14-非市场化!AK14</f>
        <v>16038.39</v>
      </c>
      <c r="AL14">
        <f>负荷!AL14-水电!AL14-核电!AL14-地方燃煤!AL14-风电!AL14-光伏!AL14-联络线!AL14-非市场化!AL14</f>
        <v>15641.98</v>
      </c>
      <c r="AM14">
        <f>负荷!AM14-水电!AM14-核电!AM14-地方燃煤!AM14-风电!AM14-光伏!AM14-联络线!AM14-非市场化!AM14</f>
        <v>15675.59</v>
      </c>
      <c r="AN14">
        <f>负荷!AN14-水电!AN14-核电!AN14-地方燃煤!AN14-风电!AN14-光伏!AN14-联络线!AN14-非市场化!AN14</f>
        <v>15590.48</v>
      </c>
      <c r="AO14">
        <f>负荷!AO14-水电!AO14-核电!AO14-地方燃煤!AO14-风电!AO14-光伏!AO14-联络线!AO14-非市场化!AO14</f>
        <v>15624.63</v>
      </c>
      <c r="AP14">
        <f>负荷!AP14-水电!AP14-核电!AP14-地方燃煤!AP14-风电!AP14-光伏!AP14-联络线!AP14-非市场化!AP14</f>
        <v>15491.24</v>
      </c>
      <c r="AQ14">
        <f>负荷!AQ14-水电!AQ14-核电!AQ14-地方燃煤!AQ14-风电!AQ14-光伏!AQ14-联络线!AQ14-非市场化!AQ14</f>
        <v>15835.63</v>
      </c>
      <c r="AR14">
        <f>负荷!AR14-水电!AR14-核电!AR14-地方燃煤!AR14-风电!AR14-光伏!AR14-联络线!AR14-非市场化!AR14</f>
        <v>16037.76</v>
      </c>
      <c r="AS14">
        <f>负荷!AS14-水电!AS14-核电!AS14-地方燃煤!AS14-风电!AS14-光伏!AS14-联络线!AS14-非市场化!AS14</f>
        <v>16240.48</v>
      </c>
      <c r="AT14">
        <f>负荷!AT14-水电!AT14-核电!AT14-地方燃煤!AT14-风电!AT14-光伏!AT14-联络线!AT14-非市场化!AT14</f>
        <v>15733.05</v>
      </c>
      <c r="AU14">
        <f>负荷!AU14-水电!AU14-核电!AU14-地方燃煤!AU14-风电!AU14-光伏!AU14-联络线!AU14-非市场化!AU14</f>
        <v>15544.65</v>
      </c>
      <c r="AV14">
        <f>负荷!AV14-水电!AV14-核电!AV14-地方燃煤!AV14-风电!AV14-光伏!AV14-联络线!AV14-非市场化!AV14</f>
        <v>15141.31</v>
      </c>
      <c r="AW14">
        <f>负荷!AW14-水电!AW14-核电!AW14-地方燃煤!AW14-风电!AW14-光伏!AW14-联络线!AW14-非市场化!AW14</f>
        <v>14946.57</v>
      </c>
      <c r="AX14">
        <f>负荷!AX14-水电!AX14-核电!AX14-地方燃煤!AX14-风电!AX14-光伏!AX14-联络线!AX14-非市场化!AX14</f>
        <v>14835.86</v>
      </c>
      <c r="AY14">
        <f>负荷!AY14-水电!AY14-核电!AY14-地方燃煤!AY14-风电!AY14-光伏!AY14-联络线!AY14-非市场化!AY14</f>
        <v>14680.52</v>
      </c>
      <c r="AZ14">
        <f>负荷!AZ14-水电!AZ14-核电!AZ14-地方燃煤!AZ14-风电!AZ14-光伏!AZ14-联络线!AZ14-非市场化!AZ14</f>
        <v>14348.37</v>
      </c>
      <c r="BA14">
        <f>负荷!BA14-水电!BA14-核电!BA14-地方燃煤!BA14-风电!BA14-光伏!BA14-联络线!BA14-非市场化!BA14</f>
        <v>14485.52</v>
      </c>
      <c r="BB14">
        <f>负荷!BB14-水电!BB14-核电!BB14-地方燃煤!BB14-风电!BB14-光伏!BB14-联络线!BB14-非市场化!BB14</f>
        <v>14943.85</v>
      </c>
      <c r="BC14">
        <f>负荷!BC14-水电!BC14-核电!BC14-地方燃煤!BC14-风电!BC14-光伏!BC14-联络线!BC14-非市场化!BC14</f>
        <v>14634.86</v>
      </c>
      <c r="BD14">
        <f>负荷!BD14-水电!BD14-核电!BD14-地方燃煤!BD14-风电!BD14-光伏!BD14-联络线!BD14-非市场化!BD14</f>
        <v>14308.38</v>
      </c>
      <c r="BE14">
        <f>负荷!BE14-水电!BE14-核电!BE14-地方燃煤!BE14-风电!BE14-光伏!BE14-联络线!BE14-非市场化!BE14</f>
        <v>14111.72</v>
      </c>
      <c r="BF14">
        <f>负荷!BF14-水电!BF14-核电!BF14-地方燃煤!BF14-风电!BF14-光伏!BF14-联络线!BF14-非市场化!BF14</f>
        <v>14292.14</v>
      </c>
      <c r="BG14">
        <f>负荷!BG14-水电!BG14-核电!BG14-地方燃煤!BG14-风电!BG14-光伏!BG14-联络线!BG14-非市场化!BG14</f>
        <v>13919.94</v>
      </c>
      <c r="BH14">
        <f>负荷!BH14-水电!BH14-核电!BH14-地方燃煤!BH14-风电!BH14-光伏!BH14-联络线!BH14-非市场化!BH14</f>
        <v>13541.97</v>
      </c>
      <c r="BI14">
        <f>负荷!BI14-水电!BI14-核电!BI14-地方燃煤!BI14-风电!BI14-光伏!BI14-联络线!BI14-非市场化!BI14</f>
        <v>13339.63</v>
      </c>
      <c r="BJ14">
        <f>负荷!BJ14-水电!BJ14-核电!BJ14-地方燃煤!BJ14-风电!BJ14-光伏!BJ14-联络线!BJ14-非市场化!BJ14</f>
        <v>13698.45</v>
      </c>
      <c r="BK14">
        <f>负荷!BK14-水电!BK14-核电!BK14-地方燃煤!BK14-风电!BK14-光伏!BK14-联络线!BK14-非市场化!BK14</f>
        <v>13667.19</v>
      </c>
      <c r="BL14">
        <f>负荷!BL14-水电!BL14-核电!BL14-地方燃煤!BL14-风电!BL14-光伏!BL14-联络线!BL14-非市场化!BL14</f>
        <v>14320.54</v>
      </c>
      <c r="BM14">
        <f>负荷!BM14-水电!BM14-核电!BM14-地方燃煤!BM14-风电!BM14-光伏!BM14-联络线!BM14-非市场化!BM14</f>
        <v>14208.92</v>
      </c>
      <c r="BN14">
        <f>负荷!BN14-水电!BN14-核电!BN14-地方燃煤!BN14-风电!BN14-光伏!BN14-联络线!BN14-非市场化!BN14</f>
        <v>14452.05</v>
      </c>
      <c r="BO14">
        <f>负荷!BO14-水电!BO14-核电!BO14-地方燃煤!BO14-风电!BO14-光伏!BO14-联络线!BO14-非市场化!BO14</f>
        <v>14643.54</v>
      </c>
      <c r="BP14">
        <f>负荷!BP14-水电!BP14-核电!BP14-地方燃煤!BP14-风电!BP14-光伏!BP14-联络线!BP14-非市场化!BP14</f>
        <v>14424.85</v>
      </c>
      <c r="BQ14">
        <f>负荷!BQ14-水电!BQ14-核电!BQ14-地方燃煤!BQ14-风电!BQ14-光伏!BQ14-联络线!BQ14-非市场化!BQ14</f>
        <v>14008.99</v>
      </c>
      <c r="BR14">
        <f>负荷!BR14-水电!BR14-核电!BR14-地方燃煤!BR14-风电!BR14-光伏!BR14-联络线!BR14-非市场化!BR14</f>
        <v>13645.9</v>
      </c>
      <c r="BS14">
        <f>负荷!BS14-水电!BS14-核电!BS14-地方燃煤!BS14-风电!BS14-光伏!BS14-联络线!BS14-非市场化!BS14</f>
        <v>14166.81</v>
      </c>
      <c r="BT14">
        <f>负荷!BT14-水电!BT14-核电!BT14-地方燃煤!BT14-风电!BT14-光伏!BT14-联络线!BT14-非市场化!BT14</f>
        <v>14087.3</v>
      </c>
      <c r="BU14">
        <f>负荷!BU14-水电!BU14-核电!BU14-地方燃煤!BU14-风电!BU14-光伏!BU14-联络线!BU14-非市场化!BU14</f>
        <v>14304.98</v>
      </c>
      <c r="BV14">
        <f>负荷!BV14-水电!BV14-核电!BV14-地方燃煤!BV14-风电!BV14-光伏!BV14-联络线!BV14-非市场化!BV14</f>
        <v>14410.33</v>
      </c>
      <c r="BW14">
        <f>负荷!BW14-水电!BW14-核电!BW14-地方燃煤!BW14-风电!BW14-光伏!BW14-联络线!BW14-非市场化!BW14</f>
        <v>14599.24</v>
      </c>
      <c r="BX14">
        <f>负荷!BX14-水电!BX14-核电!BX14-地方燃煤!BX14-风电!BX14-光伏!BX14-联络线!BX14-非市场化!BX14</f>
        <v>14662.11</v>
      </c>
      <c r="BY14">
        <f>负荷!BY14-水电!BY14-核电!BY14-地方燃煤!BY14-风电!BY14-光伏!BY14-联络线!BY14-非市场化!BY14</f>
        <v>14514</v>
      </c>
      <c r="BZ14">
        <f>负荷!BZ14-水电!BZ14-核电!BZ14-地方燃煤!BZ14-风电!BZ14-光伏!BZ14-联络线!BZ14-非市场化!BZ14</f>
        <v>14813.23</v>
      </c>
      <c r="CA14">
        <f>负荷!CA14-水电!CA14-核电!CA14-地方燃煤!CA14-风电!CA14-光伏!CA14-联络线!CA14-非市场化!CA14</f>
        <v>14932.85</v>
      </c>
      <c r="CB14">
        <f>负荷!CB14-水电!CB14-核电!CB14-地方燃煤!CB14-风电!CB14-光伏!CB14-联络线!CB14-非市场化!CB14</f>
        <v>15199.41</v>
      </c>
      <c r="CC14">
        <f>负荷!CC14-水电!CC14-核电!CC14-地方燃煤!CC14-风电!CC14-光伏!CC14-联络线!CC14-非市场化!CC14</f>
        <v>14977.02</v>
      </c>
      <c r="CD14">
        <f>负荷!CD14-水电!CD14-核电!CD14-地方燃煤!CD14-风电!CD14-光伏!CD14-联络线!CD14-非市场化!CD14</f>
        <v>14632.3</v>
      </c>
      <c r="CE14">
        <f>负荷!CE14-水电!CE14-核电!CE14-地方燃煤!CE14-风电!CE14-光伏!CE14-联络线!CE14-非市场化!CE14</f>
        <v>14639.24</v>
      </c>
      <c r="CF14">
        <f>负荷!CF14-水电!CF14-核电!CF14-地方燃煤!CF14-风电!CF14-光伏!CF14-联络线!CF14-非市场化!CF14</f>
        <v>14597.33</v>
      </c>
      <c r="CG14">
        <f>负荷!CG14-水电!CG14-核电!CG14-地方燃煤!CG14-风电!CG14-光伏!CG14-联络线!CG14-非市场化!CG14</f>
        <v>14393.29</v>
      </c>
      <c r="CH14">
        <f>负荷!CH14-水电!CH14-核电!CH14-地方燃煤!CH14-风电!CH14-光伏!CH14-联络线!CH14-非市场化!CH14</f>
        <v>14199.79</v>
      </c>
      <c r="CI14">
        <f>负荷!CI14-水电!CI14-核电!CI14-地方燃煤!CI14-风电!CI14-光伏!CI14-联络线!CI14-非市场化!CI14</f>
        <v>13754.99</v>
      </c>
      <c r="CJ14">
        <f>负荷!CJ14-水电!CJ14-核电!CJ14-地方燃煤!CJ14-风电!CJ14-光伏!CJ14-联络线!CJ14-非市场化!CJ14</f>
        <v>13743.98</v>
      </c>
      <c r="CK14">
        <f>负荷!CK14-水电!CK14-核电!CK14-地方燃煤!CK14-风电!CK14-光伏!CK14-联络线!CK14-非市场化!CK14</f>
        <v>13678.89</v>
      </c>
      <c r="CL14">
        <f>负荷!CL14-水电!CL14-核电!CL14-地方燃煤!CL14-风电!CL14-光伏!CL14-联络线!CL14-非市场化!CL14</f>
        <v>14266.99</v>
      </c>
      <c r="CM14">
        <f>负荷!CM14-水电!CM14-核电!CM14-地方燃煤!CM14-风电!CM14-光伏!CM14-联络线!CM14-非市场化!CM14</f>
        <v>14552.45</v>
      </c>
      <c r="CN14">
        <f>负荷!CN14-水电!CN14-核电!CN14-地方燃煤!CN14-风电!CN14-光伏!CN14-联络线!CN14-非市场化!CN14</f>
        <v>14751</v>
      </c>
      <c r="CO14">
        <f>负荷!CO14-水电!CO14-核电!CO14-地方燃煤!CO14-风电!CO14-光伏!CO14-联络线!CO14-非市场化!CO14</f>
        <v>14844.42</v>
      </c>
      <c r="CP14">
        <f>负荷!CP14-水电!CP14-核电!CP14-地方燃煤!CP14-风电!CP14-光伏!CP14-联络线!CP14-非市场化!CP14</f>
        <v>14524.15</v>
      </c>
      <c r="CQ14">
        <f>负荷!CQ14-水电!CQ14-核电!CQ14-地方燃煤!CQ14-风电!CQ14-光伏!CQ14-联络线!CQ14-非市场化!CQ14</f>
        <v>13883.19</v>
      </c>
      <c r="CR14">
        <f>负荷!CR14-水电!CR14-核电!CR14-地方燃煤!CR14-风电!CR14-光伏!CR14-联络线!CR14-非市场化!CR14</f>
        <v>13423.26</v>
      </c>
      <c r="CS14">
        <f>负荷!CS14-水电!CS14-核电!CS14-地方燃煤!CS14-风电!CS14-光伏!CS14-联络线!CS14-非市场化!CS14</f>
        <v>12843.56</v>
      </c>
    </row>
    <row r="15" spans="1:97">
      <c r="A15" s="9">
        <v>46248</v>
      </c>
      <c r="B15">
        <f>负荷!B15-水电!B15-核电!B15-地方燃煤!B15-风电!B15-光伏!B15-联络线!B15-非市场化!B15</f>
        <v>12318.1</v>
      </c>
      <c r="C15">
        <f>负荷!C15-水电!C15-核电!C15-地方燃煤!C15-风电!C15-光伏!C15-联络线!C15-非市场化!C15</f>
        <v>12151.39</v>
      </c>
      <c r="D15">
        <f>负荷!D15-水电!D15-核电!D15-地方燃煤!D15-风电!D15-光伏!D15-联络线!D15-非市场化!D15</f>
        <v>11806.83</v>
      </c>
      <c r="E15">
        <f>负荷!E15-水电!E15-核电!E15-地方燃煤!E15-风电!E15-光伏!E15-联络线!E15-非市场化!E15</f>
        <v>11743.01</v>
      </c>
      <c r="F15">
        <f>负荷!F15-水电!F15-核电!F15-地方燃煤!F15-风电!F15-光伏!F15-联络线!F15-非市场化!F15</f>
        <v>11571.9</v>
      </c>
      <c r="G15">
        <f>负荷!G15-水电!G15-核电!G15-地方燃煤!G15-风电!G15-光伏!G15-联络线!G15-非市场化!G15</f>
        <v>11457.24</v>
      </c>
      <c r="H15">
        <f>负荷!H15-水电!H15-核电!H15-地方燃煤!H15-风电!H15-光伏!H15-联络线!H15-非市场化!H15</f>
        <v>11182.95</v>
      </c>
      <c r="I15">
        <f>负荷!I15-水电!I15-核电!I15-地方燃煤!I15-风电!I15-光伏!I15-联络线!I15-非市场化!I15</f>
        <v>10880.36</v>
      </c>
      <c r="J15">
        <f>负荷!J15-水电!J15-核电!J15-地方燃煤!J15-风电!J15-光伏!J15-联络线!J15-非市场化!J15</f>
        <v>11338.9</v>
      </c>
      <c r="K15">
        <f>负荷!K15-水电!K15-核电!K15-地方燃煤!K15-风电!K15-光伏!K15-联络线!K15-非市场化!K15</f>
        <v>10985.29</v>
      </c>
      <c r="L15">
        <f>负荷!L15-水电!L15-核电!L15-地方燃煤!L15-风电!L15-光伏!L15-联络线!L15-非市场化!L15</f>
        <v>10794.1</v>
      </c>
      <c r="M15">
        <f>负荷!M15-水电!M15-核电!M15-地方燃煤!M15-风电!M15-光伏!M15-联络线!M15-非市场化!M15</f>
        <v>10735.18</v>
      </c>
      <c r="N15">
        <f>负荷!N15-水电!N15-核电!N15-地方燃煤!N15-风电!N15-光伏!N15-联络线!N15-非市场化!N15</f>
        <v>11500.18</v>
      </c>
      <c r="O15">
        <f>负荷!O15-水电!O15-核电!O15-地方燃煤!O15-风电!O15-光伏!O15-联络线!O15-非市场化!O15</f>
        <v>11487.68</v>
      </c>
      <c r="P15">
        <f>负荷!P15-水电!P15-核电!P15-地方燃煤!P15-风电!P15-光伏!P15-联络线!P15-非市场化!P15</f>
        <v>11672.92</v>
      </c>
      <c r="Q15">
        <f>负荷!Q15-水电!Q15-核电!Q15-地方燃煤!Q15-风电!Q15-光伏!Q15-联络线!Q15-非市场化!Q15</f>
        <v>11529.52</v>
      </c>
      <c r="R15">
        <f>负荷!R15-水电!R15-核电!R15-地方燃煤!R15-风电!R15-光伏!R15-联络线!R15-非市场化!R15</f>
        <v>11545.51</v>
      </c>
      <c r="S15">
        <f>负荷!S15-水电!S15-核电!S15-地方燃煤!S15-风电!S15-光伏!S15-联络线!S15-非市场化!S15</f>
        <v>11678.41</v>
      </c>
      <c r="T15">
        <f>负荷!T15-水电!T15-核电!T15-地方燃煤!T15-风电!T15-光伏!T15-联络线!T15-非市场化!T15</f>
        <v>11822.48</v>
      </c>
      <c r="U15">
        <f>负荷!U15-水电!U15-核电!U15-地方燃煤!U15-风电!U15-光伏!U15-联络线!U15-非市场化!U15</f>
        <v>12231.84</v>
      </c>
      <c r="V15">
        <f>负荷!V15-水电!V15-核电!V15-地方燃煤!V15-风电!V15-光伏!V15-联络线!V15-非市场化!V15</f>
        <v>11825.34</v>
      </c>
      <c r="W15">
        <f>负荷!W15-水电!W15-核电!W15-地方燃煤!W15-风电!W15-光伏!W15-联络线!W15-非市场化!W15</f>
        <v>12070.47</v>
      </c>
      <c r="X15">
        <f>负荷!X15-水电!X15-核电!X15-地方燃煤!X15-风电!X15-光伏!X15-联络线!X15-非市场化!X15</f>
        <v>12151.81</v>
      </c>
      <c r="Y15">
        <f>负荷!Y15-水电!Y15-核电!Y15-地方燃煤!Y15-风电!Y15-光伏!Y15-联络线!Y15-非市场化!Y15</f>
        <v>12216.92</v>
      </c>
      <c r="Z15">
        <f>负荷!Z15-水电!Z15-核电!Z15-地方燃煤!Z15-风电!Z15-光伏!Z15-联络线!Z15-非市场化!Z15</f>
        <v>12370.35</v>
      </c>
      <c r="AA15">
        <f>负荷!AA15-水电!AA15-核电!AA15-地方燃煤!AA15-风电!AA15-光伏!AA15-联络线!AA15-非市场化!AA15</f>
        <v>12363.85</v>
      </c>
      <c r="AB15">
        <f>负荷!AB15-水电!AB15-核电!AB15-地方燃煤!AB15-风电!AB15-光伏!AB15-联络线!AB15-非市场化!AB15</f>
        <v>12174.2</v>
      </c>
      <c r="AC15">
        <f>负荷!AC15-水电!AC15-核电!AC15-地方燃煤!AC15-风电!AC15-光伏!AC15-联络线!AC15-非市场化!AC15</f>
        <v>12010.24</v>
      </c>
      <c r="AD15">
        <f>负荷!AD15-水电!AD15-核电!AD15-地方燃煤!AD15-风电!AD15-光伏!AD15-联络线!AD15-非市场化!AD15</f>
        <v>12082.96</v>
      </c>
      <c r="AE15">
        <f>负荷!AE15-水电!AE15-核电!AE15-地方燃煤!AE15-风电!AE15-光伏!AE15-联络线!AE15-非市场化!AE15</f>
        <v>11663.55</v>
      </c>
      <c r="AF15">
        <f>负荷!AF15-水电!AF15-核电!AF15-地方燃煤!AF15-风电!AF15-光伏!AF15-联络线!AF15-非市场化!AF15</f>
        <v>11604.54</v>
      </c>
      <c r="AG15">
        <f>负荷!AG15-水电!AG15-核电!AG15-地方燃煤!AG15-风电!AG15-光伏!AG15-联络线!AG15-非市场化!AG15</f>
        <v>11392.72</v>
      </c>
      <c r="AH15">
        <f>负荷!AH15-水电!AH15-核电!AH15-地方燃煤!AH15-风电!AH15-光伏!AH15-联络线!AH15-非市场化!AH15</f>
        <v>10855.26</v>
      </c>
      <c r="AI15">
        <f>负荷!AI15-水电!AI15-核电!AI15-地方燃煤!AI15-风电!AI15-光伏!AI15-联络线!AI15-非市场化!AI15</f>
        <v>10736.32</v>
      </c>
      <c r="AJ15">
        <f>负荷!AJ15-水电!AJ15-核电!AJ15-地方燃煤!AJ15-风电!AJ15-光伏!AJ15-联络线!AJ15-非市场化!AJ15</f>
        <v>10786.95</v>
      </c>
      <c r="AK15">
        <f>负荷!AK15-水电!AK15-核电!AK15-地方燃煤!AK15-风电!AK15-光伏!AK15-联络线!AK15-非市场化!AK15</f>
        <v>10242.09</v>
      </c>
      <c r="AL15">
        <f>负荷!AL15-水电!AL15-核电!AL15-地方燃煤!AL15-风电!AL15-光伏!AL15-联络线!AL15-非市场化!AL15</f>
        <v>9921.76</v>
      </c>
      <c r="AM15">
        <f>负荷!AM15-水电!AM15-核电!AM15-地方燃煤!AM15-风电!AM15-光伏!AM15-联络线!AM15-非市场化!AM15</f>
        <v>9885.11</v>
      </c>
      <c r="AN15">
        <f>负荷!AN15-水电!AN15-核电!AN15-地方燃煤!AN15-风电!AN15-光伏!AN15-联络线!AN15-非市场化!AN15</f>
        <v>9793.05</v>
      </c>
      <c r="AO15">
        <f>负荷!AO15-水电!AO15-核电!AO15-地方燃煤!AO15-风电!AO15-光伏!AO15-联络线!AO15-非市场化!AO15</f>
        <v>10442.78</v>
      </c>
      <c r="AP15">
        <f>负荷!AP15-水电!AP15-核电!AP15-地方燃煤!AP15-风电!AP15-光伏!AP15-联络线!AP15-非市场化!AP15</f>
        <v>10235.41</v>
      </c>
      <c r="AQ15">
        <f>负荷!AQ15-水电!AQ15-核电!AQ15-地方燃煤!AQ15-风电!AQ15-光伏!AQ15-联络线!AQ15-非市场化!AQ15</f>
        <v>9345.54</v>
      </c>
      <c r="AR15">
        <f>负荷!AR15-水电!AR15-核电!AR15-地方燃煤!AR15-风电!AR15-光伏!AR15-联络线!AR15-非市场化!AR15</f>
        <v>8960.21</v>
      </c>
      <c r="AS15">
        <f>负荷!AS15-水电!AS15-核电!AS15-地方燃煤!AS15-风电!AS15-光伏!AS15-联络线!AS15-非市场化!AS15</f>
        <v>9057.68</v>
      </c>
      <c r="AT15">
        <f>负荷!AT15-水电!AT15-核电!AT15-地方燃煤!AT15-风电!AT15-光伏!AT15-联络线!AT15-非市场化!AT15</f>
        <v>9194.79</v>
      </c>
      <c r="AU15">
        <f>负荷!AU15-水电!AU15-核电!AU15-地方燃煤!AU15-风电!AU15-光伏!AU15-联络线!AU15-非市场化!AU15</f>
        <v>8811.73</v>
      </c>
      <c r="AV15">
        <f>负荷!AV15-水电!AV15-核电!AV15-地方燃煤!AV15-风电!AV15-光伏!AV15-联络线!AV15-非市场化!AV15</f>
        <v>8878.93</v>
      </c>
      <c r="AW15">
        <f>负荷!AW15-水电!AW15-核电!AW15-地方燃煤!AW15-风电!AW15-光伏!AW15-联络线!AW15-非市场化!AW15</f>
        <v>8575.67</v>
      </c>
      <c r="AX15">
        <f>负荷!AX15-水电!AX15-核电!AX15-地方燃煤!AX15-风电!AX15-光伏!AX15-联络线!AX15-非市场化!AX15</f>
        <v>8802.41999999999</v>
      </c>
      <c r="AY15">
        <f>负荷!AY15-水电!AY15-核电!AY15-地方燃煤!AY15-风电!AY15-光伏!AY15-联络线!AY15-非市场化!AY15</f>
        <v>8602.51000000001</v>
      </c>
      <c r="AZ15">
        <f>负荷!AZ15-水电!AZ15-核电!AZ15-地方燃煤!AZ15-风电!AZ15-光伏!AZ15-联络线!AZ15-非市场化!AZ15</f>
        <v>8670.65999999999</v>
      </c>
      <c r="BA15">
        <f>负荷!BA15-水电!BA15-核电!BA15-地方燃煤!BA15-风电!BA15-光伏!BA15-联络线!BA15-非市场化!BA15</f>
        <v>9112.09</v>
      </c>
      <c r="BB15">
        <f>负荷!BB15-水电!BB15-核电!BB15-地方燃煤!BB15-风电!BB15-光伏!BB15-联络线!BB15-非市场化!BB15</f>
        <v>9128.61</v>
      </c>
      <c r="BC15">
        <f>负荷!BC15-水电!BC15-核电!BC15-地方燃煤!BC15-风电!BC15-光伏!BC15-联络线!BC15-非市场化!BC15</f>
        <v>9595.07</v>
      </c>
      <c r="BD15">
        <f>负荷!BD15-水电!BD15-核电!BD15-地方燃煤!BD15-风电!BD15-光伏!BD15-联络线!BD15-非市场化!BD15</f>
        <v>9777.67</v>
      </c>
      <c r="BE15">
        <f>负荷!BE15-水电!BE15-核电!BE15-地方燃煤!BE15-风电!BE15-光伏!BE15-联络线!BE15-非市场化!BE15</f>
        <v>9845.1</v>
      </c>
      <c r="BF15">
        <f>负荷!BF15-水电!BF15-核电!BF15-地方燃煤!BF15-风电!BF15-光伏!BF15-联络线!BF15-非市场化!BF15</f>
        <v>10107.43</v>
      </c>
      <c r="BG15">
        <f>负荷!BG15-水电!BG15-核电!BG15-地方燃煤!BG15-风电!BG15-光伏!BG15-联络线!BG15-非市场化!BG15</f>
        <v>10536.11</v>
      </c>
      <c r="BH15">
        <f>负荷!BH15-水电!BH15-核电!BH15-地方燃煤!BH15-风电!BH15-光伏!BH15-联络线!BH15-非市场化!BH15</f>
        <v>10424.62</v>
      </c>
      <c r="BI15">
        <f>负荷!BI15-水电!BI15-核电!BI15-地方燃煤!BI15-风电!BI15-光伏!BI15-联络线!BI15-非市场化!BI15</f>
        <v>10346.04</v>
      </c>
      <c r="BJ15">
        <f>负荷!BJ15-水电!BJ15-核电!BJ15-地方燃煤!BJ15-风电!BJ15-光伏!BJ15-联络线!BJ15-非市场化!BJ15</f>
        <v>10681.78</v>
      </c>
      <c r="BK15">
        <f>负荷!BK15-水电!BK15-核电!BK15-地方燃煤!BK15-风电!BK15-光伏!BK15-联络线!BK15-非市场化!BK15</f>
        <v>11197.29</v>
      </c>
      <c r="BL15">
        <f>负荷!BL15-水电!BL15-核电!BL15-地方燃煤!BL15-风电!BL15-光伏!BL15-联络线!BL15-非市场化!BL15</f>
        <v>11286.09</v>
      </c>
      <c r="BM15">
        <f>负荷!BM15-水电!BM15-核电!BM15-地方燃煤!BM15-风电!BM15-光伏!BM15-联络线!BM15-非市场化!BM15</f>
        <v>11375.8</v>
      </c>
      <c r="BN15">
        <f>负荷!BN15-水电!BN15-核电!BN15-地方燃煤!BN15-风电!BN15-光伏!BN15-联络线!BN15-非市场化!BN15</f>
        <v>11957.04</v>
      </c>
      <c r="BO15">
        <f>负荷!BO15-水电!BO15-核电!BO15-地方燃煤!BO15-风电!BO15-光伏!BO15-联络线!BO15-非市场化!BO15</f>
        <v>12445.06</v>
      </c>
      <c r="BP15">
        <f>负荷!BP15-水电!BP15-核电!BP15-地方燃煤!BP15-风电!BP15-光伏!BP15-联络线!BP15-非市场化!BP15</f>
        <v>12933.02</v>
      </c>
      <c r="BQ15">
        <f>负荷!BQ15-水电!BQ15-核电!BQ15-地方燃煤!BQ15-风电!BQ15-光伏!BQ15-联络线!BQ15-非市场化!BQ15</f>
        <v>12580.13</v>
      </c>
      <c r="BR15">
        <f>负荷!BR15-水电!BR15-核电!BR15-地方燃煤!BR15-风电!BR15-光伏!BR15-联络线!BR15-非市场化!BR15</f>
        <v>12667.12</v>
      </c>
      <c r="BS15">
        <f>负荷!BS15-水电!BS15-核电!BS15-地方燃煤!BS15-风电!BS15-光伏!BS15-联络线!BS15-非市场化!BS15</f>
        <v>12805.08</v>
      </c>
      <c r="BT15">
        <f>负荷!BT15-水电!BT15-核电!BT15-地方燃煤!BT15-风电!BT15-光伏!BT15-联络线!BT15-非市场化!BT15</f>
        <v>12739.73</v>
      </c>
      <c r="BU15">
        <f>负荷!BU15-水电!BU15-核电!BU15-地方燃煤!BU15-风电!BU15-光伏!BU15-联络线!BU15-非市场化!BU15</f>
        <v>13120.24</v>
      </c>
      <c r="BV15">
        <f>负荷!BV15-水电!BV15-核电!BV15-地方燃煤!BV15-风电!BV15-光伏!BV15-联络线!BV15-非市场化!BV15</f>
        <v>12813.87</v>
      </c>
      <c r="BW15">
        <f>负荷!BW15-水电!BW15-核电!BW15-地方燃煤!BW15-风电!BW15-光伏!BW15-联络线!BW15-非市场化!BW15</f>
        <v>13076.58</v>
      </c>
      <c r="BX15">
        <f>负荷!BX15-水电!BX15-核电!BX15-地方燃煤!BX15-风电!BX15-光伏!BX15-联络线!BX15-非市场化!BX15</f>
        <v>13421.31</v>
      </c>
      <c r="BY15">
        <f>负荷!BY15-水电!BY15-核电!BY15-地方燃煤!BY15-风电!BY15-光伏!BY15-联络线!BY15-非市场化!BY15</f>
        <v>13147.87</v>
      </c>
      <c r="BZ15">
        <f>负荷!BZ15-水电!BZ15-核电!BZ15-地方燃煤!BZ15-风电!BZ15-光伏!BZ15-联络线!BZ15-非市场化!BZ15</f>
        <v>13709.05</v>
      </c>
      <c r="CA15">
        <f>负荷!CA15-水电!CA15-核电!CA15-地方燃煤!CA15-风电!CA15-光伏!CA15-联络线!CA15-非市场化!CA15</f>
        <v>13785.9</v>
      </c>
      <c r="CB15">
        <f>负荷!CB15-水电!CB15-核电!CB15-地方燃煤!CB15-风电!CB15-光伏!CB15-联络线!CB15-非市场化!CB15</f>
        <v>13924.21</v>
      </c>
      <c r="CC15">
        <f>负荷!CC15-水电!CC15-核电!CC15-地方燃煤!CC15-风电!CC15-光伏!CC15-联络线!CC15-非市场化!CC15</f>
        <v>13778.77</v>
      </c>
      <c r="CD15">
        <f>负荷!CD15-水电!CD15-核电!CD15-地方燃煤!CD15-风电!CD15-光伏!CD15-联络线!CD15-非市场化!CD15</f>
        <v>13810.51</v>
      </c>
      <c r="CE15">
        <f>负荷!CE15-水电!CE15-核电!CE15-地方燃煤!CE15-风电!CE15-光伏!CE15-联络线!CE15-非市场化!CE15</f>
        <v>13914.37</v>
      </c>
      <c r="CF15">
        <f>负荷!CF15-水电!CF15-核电!CF15-地方燃煤!CF15-风电!CF15-光伏!CF15-联络线!CF15-非市场化!CF15</f>
        <v>13966.2</v>
      </c>
      <c r="CG15">
        <f>负荷!CG15-水电!CG15-核电!CG15-地方燃煤!CG15-风电!CG15-光伏!CG15-联络线!CG15-非市场化!CG15</f>
        <v>13712.22</v>
      </c>
      <c r="CH15">
        <f>负荷!CH15-水电!CH15-核电!CH15-地方燃煤!CH15-风电!CH15-光伏!CH15-联络线!CH15-非市场化!CH15</f>
        <v>13649.47</v>
      </c>
      <c r="CI15">
        <f>负荷!CI15-水电!CI15-核电!CI15-地方燃煤!CI15-风电!CI15-光伏!CI15-联络线!CI15-非市场化!CI15</f>
        <v>13153.14</v>
      </c>
      <c r="CJ15">
        <f>负荷!CJ15-水电!CJ15-核电!CJ15-地方燃煤!CJ15-风电!CJ15-光伏!CJ15-联络线!CJ15-非市场化!CJ15</f>
        <v>13018.48</v>
      </c>
      <c r="CK15">
        <f>负荷!CK15-水电!CK15-核电!CK15-地方燃煤!CK15-风电!CK15-光伏!CK15-联络线!CK15-非市场化!CK15</f>
        <v>12603.03</v>
      </c>
      <c r="CL15">
        <f>负荷!CL15-水电!CL15-核电!CL15-地方燃煤!CL15-风电!CL15-光伏!CL15-联络线!CL15-非市场化!CL15</f>
        <v>13221.36</v>
      </c>
      <c r="CM15">
        <f>负荷!CM15-水电!CM15-核电!CM15-地方燃煤!CM15-风电!CM15-光伏!CM15-联络线!CM15-非市场化!CM15</f>
        <v>13095.3</v>
      </c>
      <c r="CN15">
        <f>负荷!CN15-水电!CN15-核电!CN15-地方燃煤!CN15-风电!CN15-光伏!CN15-联络线!CN15-非市场化!CN15</f>
        <v>13070.19</v>
      </c>
      <c r="CO15">
        <f>负荷!CO15-水电!CO15-核电!CO15-地方燃煤!CO15-风电!CO15-光伏!CO15-联络线!CO15-非市场化!CO15</f>
        <v>13461.27</v>
      </c>
      <c r="CP15">
        <f>负荷!CP15-水电!CP15-核电!CP15-地方燃煤!CP15-风电!CP15-光伏!CP15-联络线!CP15-非市场化!CP15</f>
        <v>13415.29</v>
      </c>
      <c r="CQ15">
        <f>负荷!CQ15-水电!CQ15-核电!CQ15-地方燃煤!CQ15-风电!CQ15-光伏!CQ15-联络线!CQ15-非市场化!CQ15</f>
        <v>13249.29</v>
      </c>
      <c r="CR15">
        <f>负荷!CR15-水电!CR15-核电!CR15-地方燃煤!CR15-风电!CR15-光伏!CR15-联络线!CR15-非市场化!CR15</f>
        <v>13054.81</v>
      </c>
      <c r="CS15">
        <f>负荷!CS15-水电!CS15-核电!CS15-地方燃煤!CS15-风电!CS15-光伏!CS15-联络线!CS15-非市场化!CS15</f>
        <v>12746.36</v>
      </c>
    </row>
    <row r="16" spans="1:97">
      <c r="A16" s="9">
        <v>46249</v>
      </c>
      <c r="B16">
        <f>负荷!B16-水电!B16-核电!B16-地方燃煤!B16-风电!B16-光伏!B16-联络线!B16-非市场化!B16</f>
        <v>12810.87</v>
      </c>
      <c r="C16">
        <f>负荷!C16-水电!C16-核电!C16-地方燃煤!C16-风电!C16-光伏!C16-联络线!C16-非市场化!C16</f>
        <v>12700.41</v>
      </c>
      <c r="D16">
        <f>负荷!D16-水电!D16-核电!D16-地方燃煤!D16-风电!D16-光伏!D16-联络线!D16-非市场化!D16</f>
        <v>12486.82</v>
      </c>
      <c r="E16">
        <f>负荷!E16-水电!E16-核电!E16-地方燃煤!E16-风电!E16-光伏!E16-联络线!E16-非市场化!E16</f>
        <v>12384.51</v>
      </c>
      <c r="F16">
        <f>负荷!F16-水电!F16-核电!F16-地方燃煤!F16-风电!F16-光伏!F16-联络线!F16-非市场化!F16</f>
        <v>12383.69</v>
      </c>
      <c r="G16">
        <f>负荷!G16-水电!G16-核电!G16-地方燃煤!G16-风电!G16-光伏!G16-联络线!G16-非市场化!G16</f>
        <v>12154.93</v>
      </c>
      <c r="H16">
        <f>负荷!H16-水电!H16-核电!H16-地方燃煤!H16-风电!H16-光伏!H16-联络线!H16-非市场化!H16</f>
        <v>12039.28</v>
      </c>
      <c r="I16">
        <f>负荷!I16-水电!I16-核电!I16-地方燃煤!I16-风电!I16-光伏!I16-联络线!I16-非市场化!I16</f>
        <v>12037.58</v>
      </c>
      <c r="J16">
        <f>负荷!J16-水电!J16-核电!J16-地方燃煤!J16-风电!J16-光伏!J16-联络线!J16-非市场化!J16</f>
        <v>11979.82</v>
      </c>
      <c r="K16">
        <f>负荷!K16-水电!K16-核电!K16-地方燃煤!K16-风电!K16-光伏!K16-联络线!K16-非市场化!K16</f>
        <v>11873.11</v>
      </c>
      <c r="L16">
        <f>负荷!L16-水电!L16-核电!L16-地方燃煤!L16-风电!L16-光伏!L16-联络线!L16-非市场化!L16</f>
        <v>11872.83</v>
      </c>
      <c r="M16">
        <f>负荷!M16-水电!M16-核电!M16-地方燃煤!M16-风电!M16-光伏!M16-联络线!M16-非市场化!M16</f>
        <v>11826.98</v>
      </c>
      <c r="N16">
        <f>负荷!N16-水电!N16-核电!N16-地方燃煤!N16-风电!N16-光伏!N16-联络线!N16-非市场化!N16</f>
        <v>11816.19</v>
      </c>
      <c r="O16">
        <f>负荷!O16-水电!O16-核电!O16-地方燃煤!O16-风电!O16-光伏!O16-联络线!O16-非市场化!O16</f>
        <v>11803.76</v>
      </c>
      <c r="P16">
        <f>负荷!P16-水电!P16-核电!P16-地方燃煤!P16-风电!P16-光伏!P16-联络线!P16-非市场化!P16</f>
        <v>11849.48</v>
      </c>
      <c r="Q16">
        <f>负荷!Q16-水电!Q16-核电!Q16-地方燃煤!Q16-风电!Q16-光伏!Q16-联络线!Q16-非市场化!Q16</f>
        <v>11845.82</v>
      </c>
      <c r="R16">
        <f>负荷!R16-水电!R16-核电!R16-地方燃煤!R16-风电!R16-光伏!R16-联络线!R16-非市场化!R16</f>
        <v>11854.34</v>
      </c>
      <c r="S16">
        <f>负荷!S16-水电!S16-核电!S16-地方燃煤!S16-风电!S16-光伏!S16-联络线!S16-非市场化!S16</f>
        <v>11910.63</v>
      </c>
      <c r="T16">
        <f>负荷!T16-水电!T16-核电!T16-地方燃煤!T16-风电!T16-光伏!T16-联络线!T16-非市场化!T16</f>
        <v>11989.31</v>
      </c>
      <c r="U16">
        <f>负荷!U16-水电!U16-核电!U16-地方燃煤!U16-风电!U16-光伏!U16-联络线!U16-非市场化!U16</f>
        <v>12244.07</v>
      </c>
      <c r="V16">
        <f>负荷!V16-水电!V16-核电!V16-地方燃煤!V16-风电!V16-光伏!V16-联络线!V16-非市场化!V16</f>
        <v>12647.65</v>
      </c>
      <c r="W16">
        <f>负荷!W16-水电!W16-核电!W16-地方燃煤!W16-风电!W16-光伏!W16-联络线!W16-非市场化!W16</f>
        <v>12684.11</v>
      </c>
      <c r="X16">
        <f>负荷!X16-水电!X16-核电!X16-地方燃煤!X16-风电!X16-光伏!X16-联络线!X16-非市场化!X16</f>
        <v>12828.63</v>
      </c>
      <c r="Y16">
        <f>负荷!Y16-水电!Y16-核电!Y16-地方燃煤!Y16-风电!Y16-光伏!Y16-联络线!Y16-非市场化!Y16</f>
        <v>12878.39</v>
      </c>
      <c r="Z16">
        <f>负荷!Z16-水电!Z16-核电!Z16-地方燃煤!Z16-风电!Z16-光伏!Z16-联络线!Z16-非市场化!Z16</f>
        <v>13475.91</v>
      </c>
      <c r="AA16">
        <f>负荷!AA16-水电!AA16-核电!AA16-地方燃煤!AA16-风电!AA16-光伏!AA16-联络线!AA16-非市场化!AA16</f>
        <v>13241.55</v>
      </c>
      <c r="AB16">
        <f>负荷!AB16-水电!AB16-核电!AB16-地方燃煤!AB16-风电!AB16-光伏!AB16-联络线!AB16-非市场化!AB16</f>
        <v>13005.16</v>
      </c>
      <c r="AC16">
        <f>负荷!AC16-水电!AC16-核电!AC16-地方燃煤!AC16-风电!AC16-光伏!AC16-联络线!AC16-非市场化!AC16</f>
        <v>12812.39</v>
      </c>
      <c r="AD16">
        <f>负荷!AD16-水电!AD16-核电!AD16-地方燃煤!AD16-风电!AD16-光伏!AD16-联络线!AD16-非市场化!AD16</f>
        <v>12625.78</v>
      </c>
      <c r="AE16">
        <f>负荷!AE16-水电!AE16-核电!AE16-地方燃煤!AE16-风电!AE16-光伏!AE16-联络线!AE16-非市场化!AE16</f>
        <v>12311.16</v>
      </c>
      <c r="AF16">
        <f>负荷!AF16-水电!AF16-核电!AF16-地方燃煤!AF16-风电!AF16-光伏!AF16-联络线!AF16-非市场化!AF16</f>
        <v>12272.86</v>
      </c>
      <c r="AG16">
        <f>负荷!AG16-水电!AG16-核电!AG16-地方燃煤!AG16-风电!AG16-光伏!AG16-联络线!AG16-非市场化!AG16</f>
        <v>12439.15</v>
      </c>
      <c r="AH16">
        <f>负荷!AH16-水电!AH16-核电!AH16-地方燃煤!AH16-风电!AH16-光伏!AH16-联络线!AH16-非市场化!AH16</f>
        <v>13622.79</v>
      </c>
      <c r="AI16">
        <f>负荷!AI16-水电!AI16-核电!AI16-地方燃煤!AI16-风电!AI16-光伏!AI16-联络线!AI16-非市场化!AI16</f>
        <v>13376.76</v>
      </c>
      <c r="AJ16">
        <f>负荷!AJ16-水电!AJ16-核电!AJ16-地方燃煤!AJ16-风电!AJ16-光伏!AJ16-联络线!AJ16-非市场化!AJ16</f>
        <v>13386.09</v>
      </c>
      <c r="AK16">
        <f>负荷!AK16-水电!AK16-核电!AK16-地方燃煤!AK16-风电!AK16-光伏!AK16-联络线!AK16-非市场化!AK16</f>
        <v>13332.27</v>
      </c>
      <c r="AL16">
        <f>负荷!AL16-水电!AL16-核电!AL16-地方燃煤!AL16-风电!AL16-光伏!AL16-联络线!AL16-非市场化!AL16</f>
        <v>13340.46</v>
      </c>
      <c r="AM16">
        <f>负荷!AM16-水电!AM16-核电!AM16-地方燃煤!AM16-风电!AM16-光伏!AM16-联络线!AM16-非市场化!AM16</f>
        <v>13549.2</v>
      </c>
      <c r="AN16">
        <f>负荷!AN16-水电!AN16-核电!AN16-地方燃煤!AN16-风电!AN16-光伏!AN16-联络线!AN16-非市场化!AN16</f>
        <v>13559.23</v>
      </c>
      <c r="AO16">
        <f>负荷!AO16-水电!AO16-核电!AO16-地方燃煤!AO16-风电!AO16-光伏!AO16-联络线!AO16-非市场化!AO16</f>
        <v>13548.27</v>
      </c>
      <c r="AP16">
        <f>负荷!AP16-水电!AP16-核电!AP16-地方燃煤!AP16-风电!AP16-光伏!AP16-联络线!AP16-非市场化!AP16</f>
        <v>13603.84</v>
      </c>
      <c r="AQ16">
        <f>负荷!AQ16-水电!AQ16-核电!AQ16-地方燃煤!AQ16-风电!AQ16-光伏!AQ16-联络线!AQ16-非市场化!AQ16</f>
        <v>13538.7</v>
      </c>
      <c r="AR16">
        <f>负荷!AR16-水电!AR16-核电!AR16-地方燃煤!AR16-风电!AR16-光伏!AR16-联络线!AR16-非市场化!AR16</f>
        <v>13414.01</v>
      </c>
      <c r="AS16">
        <f>负荷!AS16-水电!AS16-核电!AS16-地方燃煤!AS16-风电!AS16-光伏!AS16-联络线!AS16-非市场化!AS16</f>
        <v>13358.87</v>
      </c>
      <c r="AT16">
        <f>负荷!AT16-水电!AT16-核电!AT16-地方燃煤!AT16-风电!AT16-光伏!AT16-联络线!AT16-非市场化!AT16</f>
        <v>13236.34</v>
      </c>
      <c r="AU16">
        <f>负荷!AU16-水电!AU16-核电!AU16-地方燃煤!AU16-风电!AU16-光伏!AU16-联络线!AU16-非市场化!AU16</f>
        <v>13219.7</v>
      </c>
      <c r="AV16">
        <f>负荷!AV16-水电!AV16-核电!AV16-地方燃煤!AV16-风电!AV16-光伏!AV16-联络线!AV16-非市场化!AV16</f>
        <v>13286.2</v>
      </c>
      <c r="AW16">
        <f>负荷!AW16-水电!AW16-核电!AW16-地方燃煤!AW16-风电!AW16-光伏!AW16-联络线!AW16-非市场化!AW16</f>
        <v>13268.29</v>
      </c>
      <c r="AX16">
        <f>负荷!AX16-水电!AX16-核电!AX16-地方燃煤!AX16-风电!AX16-光伏!AX16-联络线!AX16-非市场化!AX16</f>
        <v>13236.76</v>
      </c>
      <c r="AY16">
        <f>负荷!AY16-水电!AY16-核电!AY16-地方燃煤!AY16-风电!AY16-光伏!AY16-联络线!AY16-非市场化!AY16</f>
        <v>13143.65</v>
      </c>
      <c r="AZ16">
        <f>负荷!AZ16-水电!AZ16-核电!AZ16-地方燃煤!AZ16-风电!AZ16-光伏!AZ16-联络线!AZ16-非市场化!AZ16</f>
        <v>13526.87</v>
      </c>
      <c r="BA16">
        <f>负荷!BA16-水电!BA16-核电!BA16-地方燃煤!BA16-风电!BA16-光伏!BA16-联络线!BA16-非市场化!BA16</f>
        <v>13387.82</v>
      </c>
      <c r="BB16">
        <f>负荷!BB16-水电!BB16-核电!BB16-地方燃煤!BB16-风电!BB16-光伏!BB16-联络线!BB16-非市场化!BB16</f>
        <v>13877.95</v>
      </c>
      <c r="BC16">
        <f>负荷!BC16-水电!BC16-核电!BC16-地方燃煤!BC16-风电!BC16-光伏!BC16-联络线!BC16-非市场化!BC16</f>
        <v>13825.01</v>
      </c>
      <c r="BD16">
        <f>负荷!BD16-水电!BD16-核电!BD16-地方燃煤!BD16-风电!BD16-光伏!BD16-联络线!BD16-非市场化!BD16</f>
        <v>14216.75</v>
      </c>
      <c r="BE16">
        <f>负荷!BE16-水电!BE16-核电!BE16-地方燃煤!BE16-风电!BE16-光伏!BE16-联络线!BE16-非市场化!BE16</f>
        <v>13954.37</v>
      </c>
      <c r="BF16">
        <f>负荷!BF16-水电!BF16-核电!BF16-地方燃煤!BF16-风电!BF16-光伏!BF16-联络线!BF16-非市场化!BF16</f>
        <v>13431.71</v>
      </c>
      <c r="BG16">
        <f>负荷!BG16-水电!BG16-核电!BG16-地方燃煤!BG16-风电!BG16-光伏!BG16-联络线!BG16-非市场化!BG16</f>
        <v>13415.54</v>
      </c>
      <c r="BH16">
        <f>负荷!BH16-水电!BH16-核电!BH16-地方燃煤!BH16-风电!BH16-光伏!BH16-联络线!BH16-非市场化!BH16</f>
        <v>13426.98</v>
      </c>
      <c r="BI16">
        <f>负荷!BI16-水电!BI16-核电!BI16-地方燃煤!BI16-风电!BI16-光伏!BI16-联络线!BI16-非市场化!BI16</f>
        <v>13402.41</v>
      </c>
      <c r="BJ16">
        <f>负荷!BJ16-水电!BJ16-核电!BJ16-地方燃煤!BJ16-风电!BJ16-光伏!BJ16-联络线!BJ16-非市场化!BJ16</f>
        <v>14227.63</v>
      </c>
      <c r="BK16">
        <f>负荷!BK16-水电!BK16-核电!BK16-地方燃煤!BK16-风电!BK16-光伏!BK16-联络线!BK16-非市场化!BK16</f>
        <v>14125.38</v>
      </c>
      <c r="BL16">
        <f>负荷!BL16-水电!BL16-核电!BL16-地方燃煤!BL16-风电!BL16-光伏!BL16-联络线!BL16-非市场化!BL16</f>
        <v>14614.65</v>
      </c>
      <c r="BM16">
        <f>负荷!BM16-水电!BM16-核电!BM16-地方燃煤!BM16-风电!BM16-光伏!BM16-联络线!BM16-非市场化!BM16</f>
        <v>15071.79</v>
      </c>
      <c r="BN16">
        <f>负荷!BN16-水电!BN16-核电!BN16-地方燃煤!BN16-风电!BN16-光伏!BN16-联络线!BN16-非市场化!BN16</f>
        <v>15828.71</v>
      </c>
      <c r="BO16">
        <f>负荷!BO16-水电!BO16-核电!BO16-地方燃煤!BO16-风电!BO16-光伏!BO16-联络线!BO16-非市场化!BO16</f>
        <v>16025.47</v>
      </c>
      <c r="BP16">
        <f>负荷!BP16-水电!BP16-核电!BP16-地方燃煤!BP16-风电!BP16-光伏!BP16-联络线!BP16-非市场化!BP16</f>
        <v>16234.27</v>
      </c>
      <c r="BQ16">
        <f>负荷!BQ16-水电!BQ16-核电!BQ16-地方燃煤!BQ16-风电!BQ16-光伏!BQ16-联络线!BQ16-非市场化!BQ16</f>
        <v>15931.11</v>
      </c>
      <c r="BR16">
        <f>负荷!BR16-水电!BR16-核电!BR16-地方燃煤!BR16-风电!BR16-光伏!BR16-联络线!BR16-非市场化!BR16</f>
        <v>15979.99</v>
      </c>
      <c r="BS16">
        <f>负荷!BS16-水电!BS16-核电!BS16-地方燃煤!BS16-风电!BS16-光伏!BS16-联络线!BS16-非市场化!BS16</f>
        <v>16014.32</v>
      </c>
      <c r="BT16">
        <f>负荷!BT16-水电!BT16-核电!BT16-地方燃煤!BT16-风电!BT16-光伏!BT16-联络线!BT16-非市场化!BT16</f>
        <v>16143.62</v>
      </c>
      <c r="BU16">
        <f>负荷!BU16-水电!BU16-核电!BU16-地方燃煤!BU16-风电!BU16-光伏!BU16-联络线!BU16-非市场化!BU16</f>
        <v>16573.09</v>
      </c>
      <c r="BV16">
        <f>负荷!BV16-水电!BV16-核电!BV16-地方燃煤!BV16-风电!BV16-光伏!BV16-联络线!BV16-非市场化!BV16</f>
        <v>16480</v>
      </c>
      <c r="BW16">
        <f>负荷!BW16-水电!BW16-核电!BW16-地方燃煤!BW16-风电!BW16-光伏!BW16-联络线!BW16-非市场化!BW16</f>
        <v>16584.27</v>
      </c>
      <c r="BX16">
        <f>负荷!BX16-水电!BX16-核电!BX16-地方燃煤!BX16-风电!BX16-光伏!BX16-联络线!BX16-非市场化!BX16</f>
        <v>16830.94</v>
      </c>
      <c r="BY16">
        <f>负荷!BY16-水电!BY16-核电!BY16-地方燃煤!BY16-风电!BY16-光伏!BY16-联络线!BY16-非市场化!BY16</f>
        <v>16824.8</v>
      </c>
      <c r="BZ16">
        <f>负荷!BZ16-水电!BZ16-核电!BZ16-地方燃煤!BZ16-风电!BZ16-光伏!BZ16-联络线!BZ16-非市场化!BZ16</f>
        <v>16464.92</v>
      </c>
      <c r="CA16">
        <f>负荷!CA16-水电!CA16-核电!CA16-地方燃煤!CA16-风电!CA16-光伏!CA16-联络线!CA16-非市场化!CA16</f>
        <v>16420.66</v>
      </c>
      <c r="CB16">
        <f>负荷!CB16-水电!CB16-核电!CB16-地方燃煤!CB16-风电!CB16-光伏!CB16-联络线!CB16-非市场化!CB16</f>
        <v>16668.95</v>
      </c>
      <c r="CC16">
        <f>负荷!CC16-水电!CC16-核电!CC16-地方燃煤!CC16-风电!CC16-光伏!CC16-联络线!CC16-非市场化!CC16</f>
        <v>16433.92</v>
      </c>
      <c r="CD16">
        <f>负荷!CD16-水电!CD16-核电!CD16-地方燃煤!CD16-风电!CD16-光伏!CD16-联络线!CD16-非市场化!CD16</f>
        <v>17040.01</v>
      </c>
      <c r="CE16">
        <f>负荷!CE16-水电!CE16-核电!CE16-地方燃煤!CE16-风电!CE16-光伏!CE16-联络线!CE16-非市场化!CE16</f>
        <v>16983.85</v>
      </c>
      <c r="CF16">
        <f>负荷!CF16-水电!CF16-核电!CF16-地方燃煤!CF16-风电!CF16-光伏!CF16-联络线!CF16-非市场化!CF16</f>
        <v>16818.18</v>
      </c>
      <c r="CG16">
        <f>负荷!CG16-水电!CG16-核电!CG16-地方燃煤!CG16-风电!CG16-光伏!CG16-联络线!CG16-非市场化!CG16</f>
        <v>16459.34</v>
      </c>
      <c r="CH16">
        <f>负荷!CH16-水电!CH16-核电!CH16-地方燃煤!CH16-风电!CH16-光伏!CH16-联络线!CH16-非市场化!CH16</f>
        <v>16339.55</v>
      </c>
      <c r="CI16">
        <f>负荷!CI16-水电!CI16-核电!CI16-地方燃煤!CI16-风电!CI16-光伏!CI16-联络线!CI16-非市场化!CI16</f>
        <v>15854.46</v>
      </c>
      <c r="CJ16">
        <f>负荷!CJ16-水电!CJ16-核电!CJ16-地方燃煤!CJ16-风电!CJ16-光伏!CJ16-联络线!CJ16-非市场化!CJ16</f>
        <v>15556.94</v>
      </c>
      <c r="CK16">
        <f>负荷!CK16-水电!CK16-核电!CK16-地方燃煤!CK16-风电!CK16-光伏!CK16-联络线!CK16-非市场化!CK16</f>
        <v>15125.79</v>
      </c>
      <c r="CL16">
        <f>负荷!CL16-水电!CL16-核电!CL16-地方燃煤!CL16-风电!CL16-光伏!CL16-联络线!CL16-非市场化!CL16</f>
        <v>14421.82</v>
      </c>
      <c r="CM16">
        <f>负荷!CM16-水电!CM16-核电!CM16-地方燃煤!CM16-风电!CM16-光伏!CM16-联络线!CM16-非市场化!CM16</f>
        <v>14574.23</v>
      </c>
      <c r="CN16">
        <f>负荷!CN16-水电!CN16-核电!CN16-地方燃煤!CN16-风电!CN16-光伏!CN16-联络线!CN16-非市场化!CN16</f>
        <v>14922.88</v>
      </c>
      <c r="CO16">
        <f>负荷!CO16-水电!CO16-核电!CO16-地方燃煤!CO16-风电!CO16-光伏!CO16-联络线!CO16-非市场化!CO16</f>
        <v>15272.61</v>
      </c>
      <c r="CP16">
        <f>负荷!CP16-水电!CP16-核电!CP16-地方燃煤!CP16-风电!CP16-光伏!CP16-联络线!CP16-非市场化!CP16</f>
        <v>15477.78</v>
      </c>
      <c r="CQ16">
        <f>负荷!CQ16-水电!CQ16-核电!CQ16-地方燃煤!CQ16-风电!CQ16-光伏!CQ16-联络线!CQ16-非市场化!CQ16</f>
        <v>15284.42</v>
      </c>
      <c r="CR16">
        <f>负荷!CR16-水电!CR16-核电!CR16-地方燃煤!CR16-风电!CR16-光伏!CR16-联络线!CR16-非市场化!CR16</f>
        <v>15234.83</v>
      </c>
      <c r="CS16">
        <f>负荷!CS16-水电!CS16-核电!CS16-地方燃煤!CS16-风电!CS16-光伏!CS16-联络线!CS16-非市场化!CS16</f>
        <v>14913.28</v>
      </c>
    </row>
    <row r="17" spans="1:97">
      <c r="A17" s="9">
        <v>46250</v>
      </c>
      <c r="B17">
        <f>负荷!B17-水电!B17-核电!B17-地方燃煤!B17-风电!B17-光伏!B17-联络线!B17-非市场化!B17</f>
        <v>14205.79</v>
      </c>
      <c r="C17">
        <f>负荷!C17-水电!C17-核电!C17-地方燃煤!C17-风电!C17-光伏!C17-联络线!C17-非市场化!C17</f>
        <v>14252.58</v>
      </c>
      <c r="D17">
        <f>负荷!D17-水电!D17-核电!D17-地方燃煤!D17-风电!D17-光伏!D17-联络线!D17-非市场化!D17</f>
        <v>14327.53</v>
      </c>
      <c r="E17">
        <f>负荷!E17-水电!E17-核电!E17-地方燃煤!E17-风电!E17-光伏!E17-联络线!E17-非市场化!E17</f>
        <v>14426.12</v>
      </c>
      <c r="F17">
        <f>负荷!F17-水电!F17-核电!F17-地方燃煤!F17-风电!F17-光伏!F17-联络线!F17-非市场化!F17</f>
        <v>14578.57</v>
      </c>
      <c r="G17">
        <f>负荷!G17-水电!G17-核电!G17-地方燃煤!G17-风电!G17-光伏!G17-联络线!G17-非市场化!G17</f>
        <v>14432.65</v>
      </c>
      <c r="H17">
        <f>负荷!H17-水电!H17-核电!H17-地方燃煤!H17-风电!H17-光伏!H17-联络线!H17-非市场化!H17</f>
        <v>14307.96</v>
      </c>
      <c r="I17">
        <f>负荷!I17-水电!I17-核电!I17-地方燃煤!I17-风电!I17-光伏!I17-联络线!I17-非市场化!I17</f>
        <v>14140.16</v>
      </c>
      <c r="J17">
        <f>负荷!J17-水电!J17-核电!J17-地方燃煤!J17-风电!J17-光伏!J17-联络线!J17-非市场化!J17</f>
        <v>14161.25</v>
      </c>
      <c r="K17">
        <f>负荷!K17-水电!K17-核电!K17-地方燃煤!K17-风电!K17-光伏!K17-联络线!K17-非市场化!K17</f>
        <v>14085.29</v>
      </c>
      <c r="L17">
        <f>负荷!L17-水电!L17-核电!L17-地方燃煤!L17-风电!L17-光伏!L17-联络线!L17-非市场化!L17</f>
        <v>13959.39</v>
      </c>
      <c r="M17">
        <f>负荷!M17-水电!M17-核电!M17-地方燃煤!M17-风电!M17-光伏!M17-联络线!M17-非市场化!M17</f>
        <v>13816.69</v>
      </c>
      <c r="N17">
        <f>负荷!N17-水电!N17-核电!N17-地方燃煤!N17-风电!N17-光伏!N17-联络线!N17-非市场化!N17</f>
        <v>13971.96</v>
      </c>
      <c r="O17">
        <f>负荷!O17-水电!O17-核电!O17-地方燃煤!O17-风电!O17-光伏!O17-联络线!O17-非市场化!O17</f>
        <v>13834.56</v>
      </c>
      <c r="P17">
        <f>负荷!P17-水电!P17-核电!P17-地方燃煤!P17-风电!P17-光伏!P17-联络线!P17-非市场化!P17</f>
        <v>13827.25</v>
      </c>
      <c r="Q17">
        <f>负荷!Q17-水电!Q17-核电!Q17-地方燃煤!Q17-风电!Q17-光伏!Q17-联络线!Q17-非市场化!Q17</f>
        <v>13823.41</v>
      </c>
      <c r="R17">
        <f>负荷!R17-水电!R17-核电!R17-地方燃煤!R17-风电!R17-光伏!R17-联络线!R17-非市场化!R17</f>
        <v>13851.89</v>
      </c>
      <c r="S17">
        <f>负荷!S17-水电!S17-核电!S17-地方燃煤!S17-风电!S17-光伏!S17-联络线!S17-非市场化!S17</f>
        <v>13835.57</v>
      </c>
      <c r="T17">
        <f>负荷!T17-水电!T17-核电!T17-地方燃煤!T17-风电!T17-光伏!T17-联络线!T17-非市场化!T17</f>
        <v>13792.96</v>
      </c>
      <c r="U17">
        <f>负荷!U17-水电!U17-核电!U17-地方燃煤!U17-风电!U17-光伏!U17-联络线!U17-非市场化!U17</f>
        <v>13558.71</v>
      </c>
      <c r="V17">
        <f>负荷!V17-水电!V17-核电!V17-地方燃煤!V17-风电!V17-光伏!V17-联络线!V17-非市场化!V17</f>
        <v>13692.63</v>
      </c>
      <c r="W17">
        <f>负荷!W17-水电!W17-核电!W17-地方燃煤!W17-风电!W17-光伏!W17-联络线!W17-非市场化!W17</f>
        <v>13068.17</v>
      </c>
      <c r="X17">
        <f>负荷!X17-水电!X17-核电!X17-地方燃煤!X17-风电!X17-光伏!X17-联络线!X17-非市场化!X17</f>
        <v>12864.84</v>
      </c>
      <c r="Y17">
        <f>负荷!Y17-水电!Y17-核电!Y17-地方燃煤!Y17-风电!Y17-光伏!Y17-联络线!Y17-非市场化!Y17</f>
        <v>12546.67</v>
      </c>
      <c r="Z17">
        <f>负荷!Z17-水电!Z17-核电!Z17-地方燃煤!Z17-风电!Z17-光伏!Z17-联络线!Z17-非市场化!Z17</f>
        <v>13606.69</v>
      </c>
      <c r="AA17">
        <f>负荷!AA17-水电!AA17-核电!AA17-地方燃煤!AA17-风电!AA17-光伏!AA17-联络线!AA17-非市场化!AA17</f>
        <v>13389.59</v>
      </c>
      <c r="AB17">
        <f>负荷!AB17-水电!AB17-核电!AB17-地方燃煤!AB17-风电!AB17-光伏!AB17-联络线!AB17-非市场化!AB17</f>
        <v>13074.31</v>
      </c>
      <c r="AC17">
        <f>负荷!AC17-水电!AC17-核电!AC17-地方燃煤!AC17-风电!AC17-光伏!AC17-联络线!AC17-非市场化!AC17</f>
        <v>12713.26</v>
      </c>
      <c r="AD17">
        <f>负荷!AD17-水电!AD17-核电!AD17-地方燃煤!AD17-风电!AD17-光伏!AD17-联络线!AD17-非市场化!AD17</f>
        <v>12425.66</v>
      </c>
      <c r="AE17">
        <f>负荷!AE17-水电!AE17-核电!AE17-地方燃煤!AE17-风电!AE17-光伏!AE17-联络线!AE17-非市场化!AE17</f>
        <v>12032.18</v>
      </c>
      <c r="AF17">
        <f>负荷!AF17-水电!AF17-核电!AF17-地方燃煤!AF17-风电!AF17-光伏!AF17-联络线!AF17-非市场化!AF17</f>
        <v>11830.52</v>
      </c>
      <c r="AG17">
        <f>负荷!AG17-水电!AG17-核电!AG17-地方燃煤!AG17-风电!AG17-光伏!AG17-联络线!AG17-非市场化!AG17</f>
        <v>11675.32</v>
      </c>
      <c r="AH17">
        <f>负荷!AH17-水电!AH17-核电!AH17-地方燃煤!AH17-风电!AH17-光伏!AH17-联络线!AH17-非市场化!AH17</f>
        <v>11856.4</v>
      </c>
      <c r="AI17">
        <f>负荷!AI17-水电!AI17-核电!AI17-地方燃煤!AI17-风电!AI17-光伏!AI17-联络线!AI17-非市场化!AI17</f>
        <v>11693.11</v>
      </c>
      <c r="AJ17">
        <f>负荷!AJ17-水电!AJ17-核电!AJ17-地方燃煤!AJ17-风电!AJ17-光伏!AJ17-联络线!AJ17-非市场化!AJ17</f>
        <v>11574.39</v>
      </c>
      <c r="AK17">
        <f>负荷!AK17-水电!AK17-核电!AK17-地方燃煤!AK17-风电!AK17-光伏!AK17-联络线!AK17-非市场化!AK17</f>
        <v>11351.62</v>
      </c>
      <c r="AL17">
        <f>负荷!AL17-水电!AL17-核电!AL17-地方燃煤!AL17-风电!AL17-光伏!AL17-联络线!AL17-非市场化!AL17</f>
        <v>11272.06</v>
      </c>
      <c r="AM17">
        <f>负荷!AM17-水电!AM17-核电!AM17-地方燃煤!AM17-风电!AM17-光伏!AM17-联络线!AM17-非市场化!AM17</f>
        <v>11350.29</v>
      </c>
      <c r="AN17">
        <f>负荷!AN17-水电!AN17-核电!AN17-地方燃煤!AN17-风电!AN17-光伏!AN17-联络线!AN17-非市场化!AN17</f>
        <v>11608</v>
      </c>
      <c r="AO17">
        <f>负荷!AO17-水电!AO17-核电!AO17-地方燃煤!AO17-风电!AO17-光伏!AO17-联络线!AO17-非市场化!AO17</f>
        <v>11890.5</v>
      </c>
      <c r="AP17">
        <f>负荷!AP17-水电!AP17-核电!AP17-地方燃煤!AP17-风电!AP17-光伏!AP17-联络线!AP17-非市场化!AP17</f>
        <v>12213.49</v>
      </c>
      <c r="AQ17">
        <f>负荷!AQ17-水电!AQ17-核电!AQ17-地方燃煤!AQ17-风电!AQ17-光伏!AQ17-联络线!AQ17-非市场化!AQ17</f>
        <v>12666.92</v>
      </c>
      <c r="AR17">
        <f>负荷!AR17-水电!AR17-核电!AR17-地方燃煤!AR17-风电!AR17-光伏!AR17-联络线!AR17-非市场化!AR17</f>
        <v>12943.56</v>
      </c>
      <c r="AS17">
        <f>负荷!AS17-水电!AS17-核电!AS17-地方燃煤!AS17-风电!AS17-光伏!AS17-联络线!AS17-非市场化!AS17</f>
        <v>12878.8</v>
      </c>
      <c r="AT17">
        <f>负荷!AT17-水电!AT17-核电!AT17-地方燃煤!AT17-风电!AT17-光伏!AT17-联络线!AT17-非市场化!AT17</f>
        <v>13335.01</v>
      </c>
      <c r="AU17">
        <f>负荷!AU17-水电!AU17-核电!AU17-地方燃煤!AU17-风电!AU17-光伏!AU17-联络线!AU17-非市场化!AU17</f>
        <v>13156.75</v>
      </c>
      <c r="AV17">
        <f>负荷!AV17-水电!AV17-核电!AV17-地方燃煤!AV17-风电!AV17-光伏!AV17-联络线!AV17-非市场化!AV17</f>
        <v>13297.39</v>
      </c>
      <c r="AW17">
        <f>负荷!AW17-水电!AW17-核电!AW17-地方燃煤!AW17-风电!AW17-光伏!AW17-联络线!AW17-非市场化!AW17</f>
        <v>13423.6</v>
      </c>
      <c r="AX17">
        <f>负荷!AX17-水电!AX17-核电!AX17-地方燃煤!AX17-风电!AX17-光伏!AX17-联络线!AX17-非市场化!AX17</f>
        <v>13548.23</v>
      </c>
      <c r="AY17">
        <f>负荷!AY17-水电!AY17-核电!AY17-地方燃煤!AY17-风电!AY17-光伏!AY17-联络线!AY17-非市场化!AY17</f>
        <v>13646.76</v>
      </c>
      <c r="AZ17">
        <f>负荷!AZ17-水电!AZ17-核电!AZ17-地方燃煤!AZ17-风电!AZ17-光伏!AZ17-联络线!AZ17-非市场化!AZ17</f>
        <v>13779.12</v>
      </c>
      <c r="BA17">
        <f>负荷!BA17-水电!BA17-核电!BA17-地方燃煤!BA17-风电!BA17-光伏!BA17-联络线!BA17-非市场化!BA17</f>
        <v>13584.88</v>
      </c>
      <c r="BB17">
        <f>负荷!BB17-水电!BB17-核电!BB17-地方燃煤!BB17-风电!BB17-光伏!BB17-联络线!BB17-非市场化!BB17</f>
        <v>14144.28</v>
      </c>
      <c r="BC17">
        <f>负荷!BC17-水电!BC17-核电!BC17-地方燃煤!BC17-风电!BC17-光伏!BC17-联络线!BC17-非市场化!BC17</f>
        <v>14121.04</v>
      </c>
      <c r="BD17">
        <f>负荷!BD17-水电!BD17-核电!BD17-地方燃煤!BD17-风电!BD17-光伏!BD17-联络线!BD17-非市场化!BD17</f>
        <v>14558.14</v>
      </c>
      <c r="BE17">
        <f>负荷!BE17-水电!BE17-核电!BE17-地方燃煤!BE17-风电!BE17-光伏!BE17-联络线!BE17-非市场化!BE17</f>
        <v>14327.74</v>
      </c>
      <c r="BF17">
        <f>负荷!BF17-水电!BF17-核电!BF17-地方燃煤!BF17-风电!BF17-光伏!BF17-联络线!BF17-非市场化!BF17</f>
        <v>14435.46</v>
      </c>
      <c r="BG17">
        <f>负荷!BG17-水电!BG17-核电!BG17-地方燃煤!BG17-风电!BG17-光伏!BG17-联络线!BG17-非市场化!BG17</f>
        <v>14649.55</v>
      </c>
      <c r="BH17">
        <f>负荷!BH17-水电!BH17-核电!BH17-地方燃煤!BH17-风电!BH17-光伏!BH17-联络线!BH17-非市场化!BH17</f>
        <v>14730.65</v>
      </c>
      <c r="BI17">
        <f>负荷!BI17-水电!BI17-核电!BI17-地方燃煤!BI17-风电!BI17-光伏!BI17-联络线!BI17-非市场化!BI17</f>
        <v>14723.76</v>
      </c>
      <c r="BJ17">
        <f>负荷!BJ17-水电!BJ17-核电!BJ17-地方燃煤!BJ17-风电!BJ17-光伏!BJ17-联络线!BJ17-非市场化!BJ17</f>
        <v>15710.42</v>
      </c>
      <c r="BK17">
        <f>负荷!BK17-水电!BK17-核电!BK17-地方燃煤!BK17-风电!BK17-光伏!BK17-联络线!BK17-非市场化!BK17</f>
        <v>15789.24</v>
      </c>
      <c r="BL17">
        <f>负荷!BL17-水电!BL17-核电!BL17-地方燃煤!BL17-风电!BL17-光伏!BL17-联络线!BL17-非市场化!BL17</f>
        <v>15998.62</v>
      </c>
      <c r="BM17">
        <f>负荷!BM17-水电!BM17-核电!BM17-地方燃煤!BM17-风电!BM17-光伏!BM17-联络线!BM17-非市场化!BM17</f>
        <v>16201.4</v>
      </c>
      <c r="BN17">
        <f>负荷!BN17-水电!BN17-核电!BN17-地方燃煤!BN17-风电!BN17-光伏!BN17-联络线!BN17-非市场化!BN17</f>
        <v>16960.16</v>
      </c>
      <c r="BO17">
        <f>负荷!BO17-水电!BO17-核电!BO17-地方燃煤!BO17-风电!BO17-光伏!BO17-联络线!BO17-非市场化!BO17</f>
        <v>17142.21</v>
      </c>
      <c r="BP17">
        <f>负荷!BP17-水电!BP17-核电!BP17-地方燃煤!BP17-风电!BP17-光伏!BP17-联络线!BP17-非市场化!BP17</f>
        <v>17318.35</v>
      </c>
      <c r="BQ17">
        <f>负荷!BQ17-水电!BQ17-核电!BQ17-地方燃煤!BQ17-风电!BQ17-光伏!BQ17-联络线!BQ17-非市场化!BQ17</f>
        <v>16924.72</v>
      </c>
      <c r="BR17">
        <f>负荷!BR17-水电!BR17-核电!BR17-地方燃煤!BR17-风电!BR17-光伏!BR17-联络线!BR17-非市场化!BR17</f>
        <v>16511.12</v>
      </c>
      <c r="BS17">
        <f>负荷!BS17-水电!BS17-核电!BS17-地方燃煤!BS17-风电!BS17-光伏!BS17-联络线!BS17-非市场化!BS17</f>
        <v>16676.3</v>
      </c>
      <c r="BT17">
        <f>负荷!BT17-水电!BT17-核电!BT17-地方燃煤!BT17-风电!BT17-光伏!BT17-联络线!BT17-非市场化!BT17</f>
        <v>16967.79</v>
      </c>
      <c r="BU17">
        <f>负荷!BU17-水电!BU17-核电!BU17-地方燃煤!BU17-风电!BU17-光伏!BU17-联络线!BU17-非市场化!BU17</f>
        <v>17167.23</v>
      </c>
      <c r="BV17">
        <f>负荷!BV17-水电!BV17-核电!BV17-地方燃煤!BV17-风电!BV17-光伏!BV17-联络线!BV17-非市场化!BV17</f>
        <v>16723.59</v>
      </c>
      <c r="BW17">
        <f>负荷!BW17-水电!BW17-核电!BW17-地方燃煤!BW17-风电!BW17-光伏!BW17-联络线!BW17-非市场化!BW17</f>
        <v>16932.36</v>
      </c>
      <c r="BX17">
        <f>负荷!BX17-水电!BX17-核电!BX17-地方燃煤!BX17-风电!BX17-光伏!BX17-联络线!BX17-非市场化!BX17</f>
        <v>17396.43</v>
      </c>
      <c r="BY17">
        <f>负荷!BY17-水电!BY17-核电!BY17-地方燃煤!BY17-风电!BY17-光伏!BY17-联络线!BY17-非市场化!BY17</f>
        <v>17643.59</v>
      </c>
      <c r="BZ17">
        <f>负荷!BZ17-水电!BZ17-核电!BZ17-地方燃煤!BZ17-风电!BZ17-光伏!BZ17-联络线!BZ17-非市场化!BZ17</f>
        <v>17486.63</v>
      </c>
      <c r="CA17">
        <f>负荷!CA17-水电!CA17-核电!CA17-地方燃煤!CA17-风电!CA17-光伏!CA17-联络线!CA17-非市场化!CA17</f>
        <v>17667.55</v>
      </c>
      <c r="CB17">
        <f>负荷!CB17-水电!CB17-核电!CB17-地方燃煤!CB17-风电!CB17-光伏!CB17-联络线!CB17-非市场化!CB17</f>
        <v>17806.58</v>
      </c>
      <c r="CC17">
        <f>负荷!CC17-水电!CC17-核电!CC17-地方燃煤!CC17-风电!CC17-光伏!CC17-联络线!CC17-非市场化!CC17</f>
        <v>17626.68</v>
      </c>
      <c r="CD17">
        <f>负荷!CD17-水电!CD17-核电!CD17-地方燃煤!CD17-风电!CD17-光伏!CD17-联络线!CD17-非市场化!CD17</f>
        <v>17154.27</v>
      </c>
      <c r="CE17">
        <f>负荷!CE17-水电!CE17-核电!CE17-地方燃煤!CE17-风电!CE17-光伏!CE17-联络线!CE17-非市场化!CE17</f>
        <v>17157.09</v>
      </c>
      <c r="CF17">
        <f>负荷!CF17-水电!CF17-核电!CF17-地方燃煤!CF17-风电!CF17-光伏!CF17-联络线!CF17-非市场化!CF17</f>
        <v>16980.44</v>
      </c>
      <c r="CG17">
        <f>负荷!CG17-水电!CG17-核电!CG17-地方燃煤!CG17-风电!CG17-光伏!CG17-联络线!CG17-非市场化!CG17</f>
        <v>16731.76</v>
      </c>
      <c r="CH17">
        <f>负荷!CH17-水电!CH17-核电!CH17-地方燃煤!CH17-风电!CH17-光伏!CH17-联络线!CH17-非市场化!CH17</f>
        <v>16714.04</v>
      </c>
      <c r="CI17">
        <f>负荷!CI17-水电!CI17-核电!CI17-地方燃煤!CI17-风电!CI17-光伏!CI17-联络线!CI17-非市场化!CI17</f>
        <v>16013.66</v>
      </c>
      <c r="CJ17">
        <f>负荷!CJ17-水电!CJ17-核电!CJ17-地方燃煤!CJ17-风电!CJ17-光伏!CJ17-联络线!CJ17-非市场化!CJ17</f>
        <v>15406.64</v>
      </c>
      <c r="CK17">
        <f>负荷!CK17-水电!CK17-核电!CK17-地方燃煤!CK17-风电!CK17-光伏!CK17-联络线!CK17-非市场化!CK17</f>
        <v>14730.17</v>
      </c>
      <c r="CL17">
        <f>负荷!CL17-水电!CL17-核电!CL17-地方燃煤!CL17-风电!CL17-光伏!CL17-联络线!CL17-非市场化!CL17</f>
        <v>14618.65</v>
      </c>
      <c r="CM17">
        <f>负荷!CM17-水电!CM17-核电!CM17-地方燃煤!CM17-风电!CM17-光伏!CM17-联络线!CM17-非市场化!CM17</f>
        <v>14801.46</v>
      </c>
      <c r="CN17">
        <f>负荷!CN17-水电!CN17-核电!CN17-地方燃煤!CN17-风电!CN17-光伏!CN17-联络线!CN17-非市场化!CN17</f>
        <v>15028.31</v>
      </c>
      <c r="CO17">
        <f>负荷!CO17-水电!CO17-核电!CO17-地方燃煤!CO17-风电!CO17-光伏!CO17-联络线!CO17-非市场化!CO17</f>
        <v>15469.47</v>
      </c>
      <c r="CP17">
        <f>负荷!CP17-水电!CP17-核电!CP17-地方燃煤!CP17-风电!CP17-光伏!CP17-联络线!CP17-非市场化!CP17</f>
        <v>15399.08</v>
      </c>
      <c r="CQ17">
        <f>负荷!CQ17-水电!CQ17-核电!CQ17-地方燃煤!CQ17-风电!CQ17-光伏!CQ17-联络线!CQ17-非市场化!CQ17</f>
        <v>15169.17</v>
      </c>
      <c r="CR17">
        <f>负荷!CR17-水电!CR17-核电!CR17-地方燃煤!CR17-风电!CR17-光伏!CR17-联络线!CR17-非市场化!CR17</f>
        <v>15118.46</v>
      </c>
      <c r="CS17">
        <f>负荷!CS17-水电!CS17-核电!CS17-地方燃煤!CS17-风电!CS17-光伏!CS17-联络线!CS17-非市场化!CS17</f>
        <v>14827.68</v>
      </c>
    </row>
    <row r="18" spans="1:97">
      <c r="A18" s="9">
        <v>46251</v>
      </c>
      <c r="B18">
        <f>负荷!B18-水电!B18-核电!B18-地方燃煤!B18-风电!B18-光伏!B18-联络线!B18-非市场化!B18</f>
        <v>13489.28</v>
      </c>
      <c r="C18">
        <f>负荷!C18-水电!C18-核电!C18-地方燃煤!C18-风电!C18-光伏!C18-联络线!C18-非市场化!C18</f>
        <v>13562.05</v>
      </c>
      <c r="D18">
        <f>负荷!D18-水电!D18-核电!D18-地方燃煤!D18-风电!D18-光伏!D18-联络线!D18-非市场化!D18</f>
        <v>13556.09</v>
      </c>
      <c r="E18">
        <f>负荷!E18-水电!E18-核电!E18-地方燃煤!E18-风电!E18-光伏!E18-联络线!E18-非市场化!E18</f>
        <v>13655.42</v>
      </c>
      <c r="F18">
        <f>负荷!F18-水电!F18-核电!F18-地方燃煤!F18-风电!F18-光伏!F18-联络线!F18-非市场化!F18</f>
        <v>13711.25</v>
      </c>
      <c r="G18">
        <f>负荷!G18-水电!G18-核电!G18-地方燃煤!G18-风电!G18-光伏!G18-联络线!G18-非市场化!G18</f>
        <v>13537.2</v>
      </c>
      <c r="H18">
        <f>负荷!H18-水电!H18-核电!H18-地方燃煤!H18-风电!H18-光伏!H18-联络线!H18-非市场化!H18</f>
        <v>13363.51</v>
      </c>
      <c r="I18">
        <f>负荷!I18-水电!I18-核电!I18-地方燃煤!I18-风电!I18-光伏!I18-联络线!I18-非市场化!I18</f>
        <v>13130.76</v>
      </c>
      <c r="J18">
        <f>负荷!J18-水电!J18-核电!J18-地方燃煤!J18-风电!J18-光伏!J18-联络线!J18-非市场化!J18</f>
        <v>13052.07</v>
      </c>
      <c r="K18">
        <f>负荷!K18-水电!K18-核电!K18-地方燃煤!K18-风电!K18-光伏!K18-联络线!K18-非市场化!K18</f>
        <v>12970.13</v>
      </c>
      <c r="L18">
        <f>负荷!L18-水电!L18-核电!L18-地方燃煤!L18-风电!L18-光伏!L18-联络线!L18-非市场化!L18</f>
        <v>12849.94</v>
      </c>
      <c r="M18">
        <f>负荷!M18-水电!M18-核电!M18-地方燃煤!M18-风电!M18-光伏!M18-联络线!M18-非市场化!M18</f>
        <v>12680.88</v>
      </c>
      <c r="N18">
        <f>负荷!N18-水电!N18-核电!N18-地方燃煤!N18-风电!N18-光伏!N18-联络线!N18-非市场化!N18</f>
        <v>12762.29</v>
      </c>
      <c r="O18">
        <f>负荷!O18-水电!O18-核电!O18-地方燃煤!O18-风电!O18-光伏!O18-联络线!O18-非市场化!O18</f>
        <v>12567.89</v>
      </c>
      <c r="P18">
        <f>负荷!P18-水电!P18-核电!P18-地方燃煤!P18-风电!P18-光伏!P18-联络线!P18-非市场化!P18</f>
        <v>12551.74</v>
      </c>
      <c r="Q18">
        <f>负荷!Q18-水电!Q18-核电!Q18-地方燃煤!Q18-风电!Q18-光伏!Q18-联络线!Q18-非市场化!Q18</f>
        <v>12520.05</v>
      </c>
      <c r="R18">
        <f>负荷!R18-水电!R18-核电!R18-地方燃煤!R18-风电!R18-光伏!R18-联络线!R18-非市场化!R18</f>
        <v>12620.33</v>
      </c>
      <c r="S18">
        <f>负荷!S18-水电!S18-核电!S18-地方燃煤!S18-风电!S18-光伏!S18-联络线!S18-非市场化!S18</f>
        <v>12557.44</v>
      </c>
      <c r="T18">
        <f>负荷!T18-水电!T18-核电!T18-地方燃煤!T18-风电!T18-光伏!T18-联络线!T18-非市场化!T18</f>
        <v>12442.29</v>
      </c>
      <c r="U18">
        <f>负荷!U18-水电!U18-核电!U18-地方燃煤!U18-风电!U18-光伏!U18-联络线!U18-非市场化!U18</f>
        <v>12313.99</v>
      </c>
      <c r="V18">
        <f>负荷!V18-水电!V18-核电!V18-地方燃煤!V18-风电!V18-光伏!V18-联络线!V18-非市场化!V18</f>
        <v>12497.21</v>
      </c>
      <c r="W18">
        <f>负荷!W18-水电!W18-核电!W18-地方燃煤!W18-风电!W18-光伏!W18-联络线!W18-非市场化!W18</f>
        <v>12023.56</v>
      </c>
      <c r="X18">
        <f>负荷!X18-水电!X18-核电!X18-地方燃煤!X18-风电!X18-光伏!X18-联络线!X18-非市场化!X18</f>
        <v>12064.94</v>
      </c>
      <c r="Y18">
        <f>负荷!Y18-水电!Y18-核电!Y18-地方燃煤!Y18-风电!Y18-光伏!Y18-联络线!Y18-非市场化!Y18</f>
        <v>11951.02</v>
      </c>
      <c r="Z18">
        <f>负荷!Z18-水电!Z18-核电!Z18-地方燃煤!Z18-风电!Z18-光伏!Z18-联络线!Z18-非市场化!Z18</f>
        <v>12876.01</v>
      </c>
      <c r="AA18">
        <f>负荷!AA18-水电!AA18-核电!AA18-地方燃煤!AA18-风电!AA18-光伏!AA18-联络线!AA18-非市场化!AA18</f>
        <v>12890.27</v>
      </c>
      <c r="AB18">
        <f>负荷!AB18-水电!AB18-核电!AB18-地方燃煤!AB18-风电!AB18-光伏!AB18-联络线!AB18-非市场化!AB18</f>
        <v>12932.73</v>
      </c>
      <c r="AC18">
        <f>负荷!AC18-水电!AC18-核电!AC18-地方燃煤!AC18-风电!AC18-光伏!AC18-联络线!AC18-非市场化!AC18</f>
        <v>12936.72</v>
      </c>
      <c r="AD18">
        <f>负荷!AD18-水电!AD18-核电!AD18-地方燃煤!AD18-风电!AD18-光伏!AD18-联络线!AD18-非市场化!AD18</f>
        <v>12550.42</v>
      </c>
      <c r="AE18">
        <f>负荷!AE18-水电!AE18-核电!AE18-地方燃煤!AE18-风电!AE18-光伏!AE18-联络线!AE18-非市场化!AE18</f>
        <v>12586.14</v>
      </c>
      <c r="AF18">
        <f>负荷!AF18-水电!AF18-核电!AF18-地方燃煤!AF18-风电!AF18-光伏!AF18-联络线!AF18-非市场化!AF18</f>
        <v>12754.32</v>
      </c>
      <c r="AG18">
        <f>负荷!AG18-水电!AG18-核电!AG18-地方燃煤!AG18-风电!AG18-光伏!AG18-联络线!AG18-非市场化!AG18</f>
        <v>13067.81</v>
      </c>
      <c r="AH18">
        <f>负荷!AH18-水电!AH18-核电!AH18-地方燃煤!AH18-风电!AH18-光伏!AH18-联络线!AH18-非市场化!AH18</f>
        <v>14344.97</v>
      </c>
      <c r="AI18">
        <f>负荷!AI18-水电!AI18-核电!AI18-地方燃煤!AI18-风电!AI18-光伏!AI18-联络线!AI18-非市场化!AI18</f>
        <v>14640.09</v>
      </c>
      <c r="AJ18">
        <f>负荷!AJ18-水电!AJ18-核电!AJ18-地方燃煤!AJ18-风电!AJ18-光伏!AJ18-联络线!AJ18-非市场化!AJ18</f>
        <v>14857.61</v>
      </c>
      <c r="AK18">
        <f>负荷!AK18-水电!AK18-核电!AK18-地方燃煤!AK18-风电!AK18-光伏!AK18-联络线!AK18-非市场化!AK18</f>
        <v>14962.41</v>
      </c>
      <c r="AL18">
        <f>负荷!AL18-水电!AL18-核电!AL18-地方燃煤!AL18-风电!AL18-光伏!AL18-联络线!AL18-非市场化!AL18</f>
        <v>15492.92</v>
      </c>
      <c r="AM18">
        <f>负荷!AM18-水电!AM18-核电!AM18-地方燃煤!AM18-风电!AM18-光伏!AM18-联络线!AM18-非市场化!AM18</f>
        <v>15777.43</v>
      </c>
      <c r="AN18">
        <f>负荷!AN18-水电!AN18-核电!AN18-地方燃煤!AN18-风电!AN18-光伏!AN18-联络线!AN18-非市场化!AN18</f>
        <v>16029.86</v>
      </c>
      <c r="AO18">
        <f>负荷!AO18-水电!AO18-核电!AO18-地方燃煤!AO18-风电!AO18-光伏!AO18-联络线!AO18-非市场化!AO18</f>
        <v>16239.08</v>
      </c>
      <c r="AP18">
        <f>负荷!AP18-水电!AP18-核电!AP18-地方燃煤!AP18-风电!AP18-光伏!AP18-联络线!AP18-非市场化!AP18</f>
        <v>16080.75</v>
      </c>
      <c r="AQ18">
        <f>负荷!AQ18-水电!AQ18-核电!AQ18-地方燃煤!AQ18-风电!AQ18-光伏!AQ18-联络线!AQ18-非市场化!AQ18</f>
        <v>16443.45</v>
      </c>
      <c r="AR18">
        <f>负荷!AR18-水电!AR18-核电!AR18-地方燃煤!AR18-风电!AR18-光伏!AR18-联络线!AR18-非市场化!AR18</f>
        <v>16599.76</v>
      </c>
      <c r="AS18">
        <f>负荷!AS18-水电!AS18-核电!AS18-地方燃煤!AS18-风电!AS18-光伏!AS18-联络线!AS18-非市场化!AS18</f>
        <v>16410.77</v>
      </c>
      <c r="AT18">
        <f>负荷!AT18-水电!AT18-核电!AT18-地方燃煤!AT18-风电!AT18-光伏!AT18-联络线!AT18-非市场化!AT18</f>
        <v>16284.65</v>
      </c>
      <c r="AU18">
        <f>负荷!AU18-水电!AU18-核电!AU18-地方燃煤!AU18-风电!AU18-光伏!AU18-联络线!AU18-非市场化!AU18</f>
        <v>15870.05</v>
      </c>
      <c r="AV18">
        <f>负荷!AV18-水电!AV18-核电!AV18-地方燃煤!AV18-风电!AV18-光伏!AV18-联络线!AV18-非市场化!AV18</f>
        <v>15815.06</v>
      </c>
      <c r="AW18">
        <f>负荷!AW18-水电!AW18-核电!AW18-地方燃煤!AW18-风电!AW18-光伏!AW18-联络线!AW18-非市场化!AW18</f>
        <v>15812.64</v>
      </c>
      <c r="AX18">
        <f>负荷!AX18-水电!AX18-核电!AX18-地方燃煤!AX18-风电!AX18-光伏!AX18-联络线!AX18-非市场化!AX18</f>
        <v>16103.51</v>
      </c>
      <c r="AY18">
        <f>负荷!AY18-水电!AY18-核电!AY18-地方燃煤!AY18-风电!AY18-光伏!AY18-联络线!AY18-非市场化!AY18</f>
        <v>15822.16</v>
      </c>
      <c r="AZ18">
        <f>负荷!AZ18-水电!AZ18-核电!AZ18-地方燃煤!AZ18-风电!AZ18-光伏!AZ18-联络线!AZ18-非市场化!AZ18</f>
        <v>15779.21</v>
      </c>
      <c r="BA18">
        <f>负荷!BA18-水电!BA18-核电!BA18-地方燃煤!BA18-风电!BA18-光伏!BA18-联络线!BA18-非市场化!BA18</f>
        <v>15541.76</v>
      </c>
      <c r="BB18">
        <f>负荷!BB18-水电!BB18-核电!BB18-地方燃煤!BB18-风电!BB18-光伏!BB18-联络线!BB18-非市场化!BB18</f>
        <v>15962.98</v>
      </c>
      <c r="BC18">
        <f>负荷!BC18-水电!BC18-核电!BC18-地方燃煤!BC18-风电!BC18-光伏!BC18-联络线!BC18-非市场化!BC18</f>
        <v>15820.14</v>
      </c>
      <c r="BD18">
        <f>负荷!BD18-水电!BD18-核电!BD18-地方燃煤!BD18-风电!BD18-光伏!BD18-联络线!BD18-非市场化!BD18</f>
        <v>15894.54</v>
      </c>
      <c r="BE18">
        <f>负荷!BE18-水电!BE18-核电!BE18-地方燃煤!BE18-风电!BE18-光伏!BE18-联络线!BE18-非市场化!BE18</f>
        <v>15567.97</v>
      </c>
      <c r="BF18">
        <f>负荷!BF18-水电!BF18-核电!BF18-地方燃煤!BF18-风电!BF18-光伏!BF18-联络线!BF18-非市场化!BF18</f>
        <v>15600.15</v>
      </c>
      <c r="BG18">
        <f>负荷!BG18-水电!BG18-核电!BG18-地方燃煤!BG18-风电!BG18-光伏!BG18-联络线!BG18-非市场化!BG18</f>
        <v>15516.8</v>
      </c>
      <c r="BH18">
        <f>负荷!BH18-水电!BH18-核电!BH18-地方燃煤!BH18-风电!BH18-光伏!BH18-联络线!BH18-非市场化!BH18</f>
        <v>15499.74</v>
      </c>
      <c r="BI18">
        <f>负荷!BI18-水电!BI18-核电!BI18-地方燃煤!BI18-风电!BI18-光伏!BI18-联络线!BI18-非市场化!BI18</f>
        <v>15361.42</v>
      </c>
      <c r="BJ18">
        <f>负荷!BJ18-水电!BJ18-核电!BJ18-地方燃煤!BJ18-风电!BJ18-光伏!BJ18-联络线!BJ18-非市场化!BJ18</f>
        <v>15643.26</v>
      </c>
      <c r="BK18">
        <f>负荷!BK18-水电!BK18-核电!BK18-地方燃煤!BK18-风电!BK18-光伏!BK18-联络线!BK18-非市场化!BK18</f>
        <v>15461.92</v>
      </c>
      <c r="BL18">
        <f>负荷!BL18-水电!BL18-核电!BL18-地方燃煤!BL18-风电!BL18-光伏!BL18-联络线!BL18-非市场化!BL18</f>
        <v>15820.19</v>
      </c>
      <c r="BM18">
        <f>负荷!BM18-水电!BM18-核电!BM18-地方燃煤!BM18-风电!BM18-光伏!BM18-联络线!BM18-非市场化!BM18</f>
        <v>16132.99</v>
      </c>
      <c r="BN18">
        <f>负荷!BN18-水电!BN18-核电!BN18-地方燃煤!BN18-风电!BN18-光伏!BN18-联络线!BN18-非市场化!BN18</f>
        <v>16607.84</v>
      </c>
      <c r="BO18">
        <f>负荷!BO18-水电!BO18-核电!BO18-地方燃煤!BO18-风电!BO18-光伏!BO18-联络线!BO18-非市场化!BO18</f>
        <v>16684.4</v>
      </c>
      <c r="BP18">
        <f>负荷!BP18-水电!BP18-核电!BP18-地方燃煤!BP18-风电!BP18-光伏!BP18-联络线!BP18-非市场化!BP18</f>
        <v>16817.43</v>
      </c>
      <c r="BQ18">
        <f>负荷!BQ18-水电!BQ18-核电!BQ18-地方燃煤!BQ18-风电!BQ18-光伏!BQ18-联络线!BQ18-非市场化!BQ18</f>
        <v>16316.03</v>
      </c>
      <c r="BR18">
        <f>负荷!BR18-水电!BR18-核电!BR18-地方燃煤!BR18-风电!BR18-光伏!BR18-联络线!BR18-非市场化!BR18</f>
        <v>16253.56</v>
      </c>
      <c r="BS18">
        <f>负荷!BS18-水电!BS18-核电!BS18-地方燃煤!BS18-风电!BS18-光伏!BS18-联络线!BS18-非市场化!BS18</f>
        <v>16572.6</v>
      </c>
      <c r="BT18">
        <f>负荷!BT18-水电!BT18-核电!BT18-地方燃煤!BT18-风电!BT18-光伏!BT18-联络线!BT18-非市场化!BT18</f>
        <v>16997.94</v>
      </c>
      <c r="BU18">
        <f>负荷!BU18-水电!BU18-核电!BU18-地方燃煤!BU18-风电!BU18-光伏!BU18-联络线!BU18-非市场化!BU18</f>
        <v>17336.86</v>
      </c>
      <c r="BV18">
        <f>负荷!BV18-水电!BV18-核电!BV18-地方燃煤!BV18-风电!BV18-光伏!BV18-联络线!BV18-非市场化!BV18</f>
        <v>17577.13</v>
      </c>
      <c r="BW18">
        <f>负荷!BW18-水电!BW18-核电!BW18-地方燃煤!BW18-风电!BW18-光伏!BW18-联络线!BW18-非市场化!BW18</f>
        <v>17962.1</v>
      </c>
      <c r="BX18">
        <f>负荷!BX18-水电!BX18-核电!BX18-地方燃煤!BX18-风电!BX18-光伏!BX18-联络线!BX18-非市场化!BX18</f>
        <v>18461.62</v>
      </c>
      <c r="BY18">
        <f>负荷!BY18-水电!BY18-核电!BY18-地方燃煤!BY18-风电!BY18-光伏!BY18-联络线!BY18-非市场化!BY18</f>
        <v>18779.05</v>
      </c>
      <c r="BZ18">
        <f>负荷!BZ18-水电!BZ18-核电!BZ18-地方燃煤!BZ18-风电!BZ18-光伏!BZ18-联络线!BZ18-非市场化!BZ18</f>
        <v>19375.14</v>
      </c>
      <c r="CA18">
        <f>负荷!CA18-水电!CA18-核电!CA18-地方燃煤!CA18-风电!CA18-光伏!CA18-联络线!CA18-非市场化!CA18</f>
        <v>19520.74</v>
      </c>
      <c r="CB18">
        <f>负荷!CB18-水电!CB18-核电!CB18-地方燃煤!CB18-风电!CB18-光伏!CB18-联络线!CB18-非市场化!CB18</f>
        <v>19530.92</v>
      </c>
      <c r="CC18">
        <f>负荷!CC18-水电!CC18-核电!CC18-地方燃煤!CC18-风电!CC18-光伏!CC18-联络线!CC18-非市场化!CC18</f>
        <v>19225.24</v>
      </c>
      <c r="CD18">
        <f>负荷!CD18-水电!CD18-核电!CD18-地方燃煤!CD18-风电!CD18-光伏!CD18-联络线!CD18-非市场化!CD18</f>
        <v>18764.28</v>
      </c>
      <c r="CE18">
        <f>负荷!CE18-水电!CE18-核电!CE18-地方燃煤!CE18-风电!CE18-光伏!CE18-联络线!CE18-非市场化!CE18</f>
        <v>18761.6</v>
      </c>
      <c r="CF18">
        <f>负荷!CF18-水电!CF18-核电!CF18-地方燃煤!CF18-风电!CF18-光伏!CF18-联络线!CF18-非市场化!CF18</f>
        <v>18446.39</v>
      </c>
      <c r="CG18">
        <f>负荷!CG18-水电!CG18-核电!CG18-地方燃煤!CG18-风电!CG18-光伏!CG18-联络线!CG18-非市场化!CG18</f>
        <v>18250.59</v>
      </c>
      <c r="CH18">
        <f>负荷!CH18-水电!CH18-核电!CH18-地方燃煤!CH18-风电!CH18-光伏!CH18-联络线!CH18-非市场化!CH18</f>
        <v>17903.06</v>
      </c>
      <c r="CI18">
        <f>负荷!CI18-水电!CI18-核电!CI18-地方燃煤!CI18-风电!CI18-光伏!CI18-联络线!CI18-非市场化!CI18</f>
        <v>17153.22</v>
      </c>
      <c r="CJ18">
        <f>负荷!CJ18-水电!CJ18-核电!CJ18-地方燃煤!CJ18-风电!CJ18-光伏!CJ18-联络线!CJ18-非市场化!CJ18</f>
        <v>16584.97</v>
      </c>
      <c r="CK18">
        <f>负荷!CK18-水电!CK18-核电!CK18-地方燃煤!CK18-风电!CK18-光伏!CK18-联络线!CK18-非市场化!CK18</f>
        <v>15888.22</v>
      </c>
      <c r="CL18">
        <f>负荷!CL18-水电!CL18-核电!CL18-地方燃煤!CL18-风电!CL18-光伏!CL18-联络线!CL18-非市场化!CL18</f>
        <v>15658.66</v>
      </c>
      <c r="CM18">
        <f>负荷!CM18-水电!CM18-核电!CM18-地方燃煤!CM18-风电!CM18-光伏!CM18-联络线!CM18-非市场化!CM18</f>
        <v>15616.13</v>
      </c>
      <c r="CN18">
        <f>负荷!CN18-水电!CN18-核电!CN18-地方燃煤!CN18-风电!CN18-光伏!CN18-联络线!CN18-非市场化!CN18</f>
        <v>15964.01</v>
      </c>
      <c r="CO18">
        <f>负荷!CO18-水电!CO18-核电!CO18-地方燃煤!CO18-风电!CO18-光伏!CO18-联络线!CO18-非市场化!CO18</f>
        <v>16083.59</v>
      </c>
      <c r="CP18">
        <f>负荷!CP18-水电!CP18-核电!CP18-地方燃煤!CP18-风电!CP18-光伏!CP18-联络线!CP18-非市场化!CP18</f>
        <v>15657.88</v>
      </c>
      <c r="CQ18">
        <f>负荷!CQ18-水电!CQ18-核电!CQ18-地方燃煤!CQ18-风电!CQ18-光伏!CQ18-联络线!CQ18-非市场化!CQ18</f>
        <v>15421.15</v>
      </c>
      <c r="CR18">
        <f>负荷!CR18-水电!CR18-核电!CR18-地方燃煤!CR18-风电!CR18-光伏!CR18-联络线!CR18-非市场化!CR18</f>
        <v>15368.33</v>
      </c>
      <c r="CS18">
        <f>负荷!CS18-水电!CS18-核电!CS18-地方燃煤!CS18-风电!CS18-光伏!CS18-联络线!CS18-非市场化!CS18</f>
        <v>14841.29</v>
      </c>
    </row>
    <row r="19" spans="1:97">
      <c r="A19" s="9">
        <v>46252</v>
      </c>
      <c r="B19">
        <f>负荷!B19-水电!B19-核电!B19-地方燃煤!B19-风电!B19-光伏!B19-联络线!B19-非市场化!B19</f>
        <v>14850.21</v>
      </c>
      <c r="C19">
        <f>负荷!C19-水电!C19-核电!C19-地方燃煤!C19-风电!C19-光伏!C19-联络线!C19-非市场化!C19</f>
        <v>15077.13</v>
      </c>
      <c r="D19">
        <f>负荷!D19-水电!D19-核电!D19-地方燃煤!D19-风电!D19-光伏!D19-联络线!D19-非市场化!D19</f>
        <v>15287.88</v>
      </c>
      <c r="E19">
        <f>负荷!E19-水电!E19-核电!E19-地方燃煤!E19-风电!E19-光伏!E19-联络线!E19-非市场化!E19</f>
        <v>15597.96</v>
      </c>
      <c r="F19">
        <f>负荷!F19-水电!F19-核电!F19-地方燃煤!F19-风电!F19-光伏!F19-联络线!F19-非市场化!F19</f>
        <v>15872.61</v>
      </c>
      <c r="G19">
        <f>负荷!G19-水电!G19-核电!G19-地方燃煤!G19-风电!G19-光伏!G19-联络线!G19-非市场化!G19</f>
        <v>16039.74</v>
      </c>
      <c r="H19">
        <f>负荷!H19-水电!H19-核电!H19-地方燃煤!H19-风电!H19-光伏!H19-联络线!H19-非市场化!H19</f>
        <v>15897.93</v>
      </c>
      <c r="I19">
        <f>负荷!I19-水电!I19-核电!I19-地方燃煤!I19-风电!I19-光伏!I19-联络线!I19-非市场化!I19</f>
        <v>15670.05</v>
      </c>
      <c r="J19">
        <f>负荷!J19-水电!J19-核电!J19-地方燃煤!J19-风电!J19-光伏!J19-联络线!J19-非市场化!J19</f>
        <v>15583.3</v>
      </c>
      <c r="K19">
        <f>负荷!K19-水电!K19-核电!K19-地方燃煤!K19-风电!K19-光伏!K19-联络线!K19-非市场化!K19</f>
        <v>15457.91</v>
      </c>
      <c r="L19">
        <f>负荷!L19-水电!L19-核电!L19-地方燃煤!L19-风电!L19-光伏!L19-联络线!L19-非市场化!L19</f>
        <v>15292.17</v>
      </c>
      <c r="M19">
        <f>负荷!M19-水电!M19-核电!M19-地方燃煤!M19-风电!M19-光伏!M19-联络线!M19-非市场化!M19</f>
        <v>15223.89</v>
      </c>
      <c r="N19">
        <f>负荷!N19-水电!N19-核电!N19-地方燃煤!N19-风电!N19-光伏!N19-联络线!N19-非市场化!N19</f>
        <v>15235.93</v>
      </c>
      <c r="O19">
        <f>负荷!O19-水电!O19-核电!O19-地方燃煤!O19-风电!O19-光伏!O19-联络线!O19-非市场化!O19</f>
        <v>15181.23</v>
      </c>
      <c r="P19">
        <f>负荷!P19-水电!P19-核电!P19-地方燃煤!P19-风电!P19-光伏!P19-联络线!P19-非市场化!P19</f>
        <v>15178.23</v>
      </c>
      <c r="Q19">
        <f>负荷!Q19-水电!Q19-核电!Q19-地方燃煤!Q19-风电!Q19-光伏!Q19-联络线!Q19-非市场化!Q19</f>
        <v>15114.45</v>
      </c>
      <c r="R19">
        <f>负荷!R19-水电!R19-核电!R19-地方燃煤!R19-风电!R19-光伏!R19-联络线!R19-非市场化!R19</f>
        <v>15326.24</v>
      </c>
      <c r="S19">
        <f>负荷!S19-水电!S19-核电!S19-地方燃煤!S19-风电!S19-光伏!S19-联络线!S19-非市场化!S19</f>
        <v>15320.75</v>
      </c>
      <c r="T19">
        <f>负荷!T19-水电!T19-核电!T19-地方燃煤!T19-风电!T19-光伏!T19-联络线!T19-非市场化!T19</f>
        <v>15364.04</v>
      </c>
      <c r="U19">
        <f>负荷!U19-水电!U19-核电!U19-地方燃煤!U19-风电!U19-光伏!U19-联络线!U19-非市场化!U19</f>
        <v>15594.23</v>
      </c>
      <c r="V19">
        <f>负荷!V19-水电!V19-核电!V19-地方燃煤!V19-风电!V19-光伏!V19-联络线!V19-非市场化!V19</f>
        <v>16025.55</v>
      </c>
      <c r="W19">
        <f>负荷!W19-水电!W19-核电!W19-地方燃煤!W19-风电!W19-光伏!W19-联络线!W19-非市场化!W19</f>
        <v>16282.32</v>
      </c>
      <c r="X19">
        <f>负荷!X19-水电!X19-核电!X19-地方燃煤!X19-风电!X19-光伏!X19-联络线!X19-非市场化!X19</f>
        <v>16601.18</v>
      </c>
      <c r="Y19">
        <f>负荷!Y19-水电!Y19-核电!Y19-地方燃煤!Y19-风电!Y19-光伏!Y19-联络线!Y19-非市场化!Y19</f>
        <v>16784.04</v>
      </c>
      <c r="Z19">
        <f>负荷!Z19-水电!Z19-核电!Z19-地方燃煤!Z19-风电!Z19-光伏!Z19-联络线!Z19-非市场化!Z19</f>
        <v>17564.67</v>
      </c>
      <c r="AA19">
        <f>负荷!AA19-水电!AA19-核电!AA19-地方燃煤!AA19-风电!AA19-光伏!AA19-联络线!AA19-非市场化!AA19</f>
        <v>17632.76</v>
      </c>
      <c r="AB19">
        <f>负荷!AB19-水电!AB19-核电!AB19-地方燃煤!AB19-风电!AB19-光伏!AB19-联络线!AB19-非市场化!AB19</f>
        <v>17694.92</v>
      </c>
      <c r="AC19">
        <f>负荷!AC19-水电!AC19-核电!AC19-地方燃煤!AC19-风电!AC19-光伏!AC19-联络线!AC19-非市场化!AC19</f>
        <v>17592.85</v>
      </c>
      <c r="AD19">
        <f>负荷!AD19-水电!AD19-核电!AD19-地方燃煤!AD19-风电!AD19-光伏!AD19-联络线!AD19-非市场化!AD19</f>
        <v>17597.5</v>
      </c>
      <c r="AE19">
        <f>负荷!AE19-水电!AE19-核电!AE19-地方燃煤!AE19-风电!AE19-光伏!AE19-联络线!AE19-非市场化!AE19</f>
        <v>17528.93</v>
      </c>
      <c r="AF19">
        <f>负荷!AF19-水电!AF19-核电!AF19-地方燃煤!AF19-风电!AF19-光伏!AF19-联络线!AF19-非市场化!AF19</f>
        <v>17312.71</v>
      </c>
      <c r="AG19">
        <f>负荷!AG19-水电!AG19-核电!AG19-地方燃煤!AG19-风电!AG19-光伏!AG19-联络线!AG19-非市场化!AG19</f>
        <v>17030.84</v>
      </c>
      <c r="AH19">
        <f>负荷!AH19-水电!AH19-核电!AH19-地方燃煤!AH19-风电!AH19-光伏!AH19-联络线!AH19-非市场化!AH19</f>
        <v>16856.17</v>
      </c>
      <c r="AI19">
        <f>负荷!AI19-水电!AI19-核电!AI19-地方燃煤!AI19-风电!AI19-光伏!AI19-联络线!AI19-非市场化!AI19</f>
        <v>16331.44</v>
      </c>
      <c r="AJ19">
        <f>负荷!AJ19-水电!AJ19-核电!AJ19-地方燃煤!AJ19-风电!AJ19-光伏!AJ19-联络线!AJ19-非市场化!AJ19</f>
        <v>15601.15</v>
      </c>
      <c r="AK19">
        <f>负荷!AK19-水电!AK19-核电!AK19-地方燃煤!AK19-风电!AK19-光伏!AK19-联络线!AK19-非市场化!AK19</f>
        <v>15437.85</v>
      </c>
      <c r="AL19">
        <f>负荷!AL19-水电!AL19-核电!AL19-地方燃煤!AL19-风电!AL19-光伏!AL19-联络线!AL19-非市场化!AL19</f>
        <v>14697.92</v>
      </c>
      <c r="AM19">
        <f>负荷!AM19-水电!AM19-核电!AM19-地方燃煤!AM19-风电!AM19-光伏!AM19-联络线!AM19-非市场化!AM19</f>
        <v>14709.24</v>
      </c>
      <c r="AN19">
        <f>负荷!AN19-水电!AN19-核电!AN19-地方燃煤!AN19-风电!AN19-光伏!AN19-联络线!AN19-非市场化!AN19</f>
        <v>14696.72</v>
      </c>
      <c r="AO19">
        <f>负荷!AO19-水电!AO19-核电!AO19-地方燃煤!AO19-风电!AO19-光伏!AO19-联络线!AO19-非市场化!AO19</f>
        <v>14458.08</v>
      </c>
      <c r="AP19">
        <f>负荷!AP19-水电!AP19-核电!AP19-地方燃煤!AP19-风电!AP19-光伏!AP19-联络线!AP19-非市场化!AP19</f>
        <v>13978.38</v>
      </c>
      <c r="AQ19">
        <f>负荷!AQ19-水电!AQ19-核电!AQ19-地方燃煤!AQ19-风电!AQ19-光伏!AQ19-联络线!AQ19-非市场化!AQ19</f>
        <v>13947.51</v>
      </c>
      <c r="AR19">
        <f>负荷!AR19-水电!AR19-核电!AR19-地方燃煤!AR19-风电!AR19-光伏!AR19-联络线!AR19-非市场化!AR19</f>
        <v>13930.01</v>
      </c>
      <c r="AS19">
        <f>负荷!AS19-水电!AS19-核电!AS19-地方燃煤!AS19-风电!AS19-光伏!AS19-联络线!AS19-非市场化!AS19</f>
        <v>13660.59</v>
      </c>
      <c r="AT19">
        <f>负荷!AT19-水电!AT19-核电!AT19-地方燃煤!AT19-风电!AT19-光伏!AT19-联络线!AT19-非市场化!AT19</f>
        <v>13324.46</v>
      </c>
      <c r="AU19">
        <f>负荷!AU19-水电!AU19-核电!AU19-地方燃煤!AU19-风电!AU19-光伏!AU19-联络线!AU19-非市场化!AU19</f>
        <v>13065.83</v>
      </c>
      <c r="AV19">
        <f>负荷!AV19-水电!AV19-核电!AV19-地方燃煤!AV19-风电!AV19-光伏!AV19-联络线!AV19-非市场化!AV19</f>
        <v>12910.95</v>
      </c>
      <c r="AW19">
        <f>负荷!AW19-水电!AW19-核电!AW19-地方燃煤!AW19-风电!AW19-光伏!AW19-联络线!AW19-非市场化!AW19</f>
        <v>12811.9</v>
      </c>
      <c r="AX19">
        <f>负荷!AX19-水电!AX19-核电!AX19-地方燃煤!AX19-风电!AX19-光伏!AX19-联络线!AX19-非市场化!AX19</f>
        <v>13248.87</v>
      </c>
      <c r="AY19">
        <f>负荷!AY19-水电!AY19-核电!AY19-地方燃煤!AY19-风电!AY19-光伏!AY19-联络线!AY19-非市场化!AY19</f>
        <v>13154.11</v>
      </c>
      <c r="AZ19">
        <f>负荷!AZ19-水电!AZ19-核电!AZ19-地方燃煤!AZ19-风电!AZ19-光伏!AZ19-联络线!AZ19-非市场化!AZ19</f>
        <v>13266.01</v>
      </c>
      <c r="BA19">
        <f>负荷!BA19-水电!BA19-核电!BA19-地方燃煤!BA19-风电!BA19-光伏!BA19-联络线!BA19-非市场化!BA19</f>
        <v>13158.43</v>
      </c>
      <c r="BB19">
        <f>负荷!BB19-水电!BB19-核电!BB19-地方燃煤!BB19-风电!BB19-光伏!BB19-联络线!BB19-非市场化!BB19</f>
        <v>13541.3</v>
      </c>
      <c r="BC19">
        <f>负荷!BC19-水电!BC19-核电!BC19-地方燃煤!BC19-风电!BC19-光伏!BC19-联络线!BC19-非市场化!BC19</f>
        <v>13762.55</v>
      </c>
      <c r="BD19">
        <f>负荷!BD19-水电!BD19-核电!BD19-地方燃煤!BD19-风电!BD19-光伏!BD19-联络线!BD19-非市场化!BD19</f>
        <v>14084.44</v>
      </c>
      <c r="BE19">
        <f>负荷!BE19-水电!BE19-核电!BE19-地方燃煤!BE19-风电!BE19-光伏!BE19-联络线!BE19-非市场化!BE19</f>
        <v>14178.37</v>
      </c>
      <c r="BF19">
        <f>负荷!BF19-水电!BF19-核电!BF19-地方燃煤!BF19-风电!BF19-光伏!BF19-联络线!BF19-非市场化!BF19</f>
        <v>13931.76</v>
      </c>
      <c r="BG19">
        <f>负荷!BG19-水电!BG19-核电!BG19-地方燃煤!BG19-风电!BG19-光伏!BG19-联络线!BG19-非市场化!BG19</f>
        <v>13753.71</v>
      </c>
      <c r="BH19">
        <f>负荷!BH19-水电!BH19-核电!BH19-地方燃煤!BH19-风电!BH19-光伏!BH19-联络线!BH19-非市场化!BH19</f>
        <v>13570.72</v>
      </c>
      <c r="BI19">
        <f>负荷!BI19-水电!BI19-核电!BI19-地方燃煤!BI19-风电!BI19-光伏!BI19-联络线!BI19-非市场化!BI19</f>
        <v>13449.76</v>
      </c>
      <c r="BJ19">
        <f>负荷!BJ19-水电!BJ19-核电!BJ19-地方燃煤!BJ19-风电!BJ19-光伏!BJ19-联络线!BJ19-非市场化!BJ19</f>
        <v>14136.1</v>
      </c>
      <c r="BK19">
        <f>负荷!BK19-水电!BK19-核电!BK19-地方燃煤!BK19-风电!BK19-光伏!BK19-联络线!BK19-非市场化!BK19</f>
        <v>14437.98</v>
      </c>
      <c r="BL19">
        <f>负荷!BL19-水电!BL19-核电!BL19-地方燃煤!BL19-风电!BL19-光伏!BL19-联络线!BL19-非市场化!BL19</f>
        <v>14720.8</v>
      </c>
      <c r="BM19">
        <f>负荷!BM19-水电!BM19-核电!BM19-地方燃煤!BM19-风电!BM19-光伏!BM19-联络线!BM19-非市场化!BM19</f>
        <v>15077.52</v>
      </c>
      <c r="BN19">
        <f>负荷!BN19-水电!BN19-核电!BN19-地方燃煤!BN19-风电!BN19-光伏!BN19-联络线!BN19-非市场化!BN19</f>
        <v>15815.84</v>
      </c>
      <c r="BO19">
        <f>负荷!BO19-水电!BO19-核电!BO19-地方燃煤!BO19-风电!BO19-光伏!BO19-联络线!BO19-非市场化!BO19</f>
        <v>16065.46</v>
      </c>
      <c r="BP19">
        <f>负荷!BP19-水电!BP19-核电!BP19-地方燃煤!BP19-风电!BP19-光伏!BP19-联络线!BP19-非市场化!BP19</f>
        <v>16310.7</v>
      </c>
      <c r="BQ19">
        <f>负荷!BQ19-水电!BQ19-核电!BQ19-地方燃煤!BQ19-风电!BQ19-光伏!BQ19-联络线!BQ19-非市场化!BQ19</f>
        <v>16031.93</v>
      </c>
      <c r="BR19">
        <f>负荷!BR19-水电!BR19-核电!BR19-地方燃煤!BR19-风电!BR19-光伏!BR19-联络线!BR19-非市场化!BR19</f>
        <v>16216.37</v>
      </c>
      <c r="BS19">
        <f>负荷!BS19-水电!BS19-核电!BS19-地方燃煤!BS19-风电!BS19-光伏!BS19-联络线!BS19-非市场化!BS19</f>
        <v>16681.38</v>
      </c>
      <c r="BT19">
        <f>负荷!BT19-水电!BT19-核电!BT19-地方燃煤!BT19-风电!BT19-光伏!BT19-联络线!BT19-非市场化!BT19</f>
        <v>16999.74</v>
      </c>
      <c r="BU19">
        <f>负荷!BU19-水电!BU19-核电!BU19-地方燃煤!BU19-风电!BU19-光伏!BU19-联络线!BU19-非市场化!BU19</f>
        <v>17222.79</v>
      </c>
      <c r="BV19">
        <f>负荷!BV19-水电!BV19-核电!BV19-地方燃煤!BV19-风电!BV19-光伏!BV19-联络线!BV19-非市场化!BV19</f>
        <v>17368.82</v>
      </c>
      <c r="BW19">
        <f>负荷!BW19-水电!BW19-核电!BW19-地方燃煤!BW19-风电!BW19-光伏!BW19-联络线!BW19-非市场化!BW19</f>
        <v>17649.7</v>
      </c>
      <c r="BX19">
        <f>负荷!BX19-水电!BX19-核电!BX19-地方燃煤!BX19-风电!BX19-光伏!BX19-联络线!BX19-非市场化!BX19</f>
        <v>17984.09</v>
      </c>
      <c r="BY19">
        <f>负荷!BY19-水电!BY19-核电!BY19-地方燃煤!BY19-风电!BY19-光伏!BY19-联络线!BY19-非市场化!BY19</f>
        <v>18303.99</v>
      </c>
      <c r="BZ19">
        <f>负荷!BZ19-水电!BZ19-核电!BZ19-地方燃煤!BZ19-风电!BZ19-光伏!BZ19-联络线!BZ19-非市场化!BZ19</f>
        <v>18811.93</v>
      </c>
      <c r="CA19">
        <f>负荷!CA19-水电!CA19-核电!CA19-地方燃煤!CA19-风电!CA19-光伏!CA19-联络线!CA19-非市场化!CA19</f>
        <v>18945.11</v>
      </c>
      <c r="CB19">
        <f>负荷!CB19-水电!CB19-核电!CB19-地方燃煤!CB19-风电!CB19-光伏!CB19-联络线!CB19-非市场化!CB19</f>
        <v>18944.28</v>
      </c>
      <c r="CC19">
        <f>负荷!CC19-水电!CC19-核电!CC19-地方燃煤!CC19-风电!CC19-光伏!CC19-联络线!CC19-非市场化!CC19</f>
        <v>18678.14</v>
      </c>
      <c r="CD19">
        <f>负荷!CD19-水电!CD19-核电!CD19-地方燃煤!CD19-风电!CD19-光伏!CD19-联络线!CD19-非市场化!CD19</f>
        <v>18446.1</v>
      </c>
      <c r="CE19">
        <f>负荷!CE19-水电!CE19-核电!CE19-地方燃煤!CE19-风电!CE19-光伏!CE19-联络线!CE19-非市场化!CE19</f>
        <v>18411.84</v>
      </c>
      <c r="CF19">
        <f>负荷!CF19-水电!CF19-核电!CF19-地方燃煤!CF19-风电!CF19-光伏!CF19-联络线!CF19-非市场化!CF19</f>
        <v>18681.22</v>
      </c>
      <c r="CG19">
        <f>负荷!CG19-水电!CG19-核电!CG19-地方燃煤!CG19-风电!CG19-光伏!CG19-联络线!CG19-非市场化!CG19</f>
        <v>18905.52</v>
      </c>
      <c r="CH19">
        <f>负荷!CH19-水电!CH19-核电!CH19-地方燃煤!CH19-风电!CH19-光伏!CH19-联络线!CH19-非市场化!CH19</f>
        <v>19358.62</v>
      </c>
      <c r="CI19">
        <f>负荷!CI19-水电!CI19-核电!CI19-地方燃煤!CI19-风电!CI19-光伏!CI19-联络线!CI19-非市场化!CI19</f>
        <v>19098</v>
      </c>
      <c r="CJ19">
        <f>负荷!CJ19-水电!CJ19-核电!CJ19-地方燃煤!CJ19-风电!CJ19-光伏!CJ19-联络线!CJ19-非市场化!CJ19</f>
        <v>18471.69</v>
      </c>
      <c r="CK19">
        <f>负荷!CK19-水电!CK19-核电!CK19-地方燃煤!CK19-风电!CK19-光伏!CK19-联络线!CK19-非市场化!CK19</f>
        <v>17830.49</v>
      </c>
      <c r="CL19">
        <f>负荷!CL19-水电!CL19-核电!CL19-地方燃煤!CL19-风电!CL19-光伏!CL19-联络线!CL19-非市场化!CL19</f>
        <v>17622.6</v>
      </c>
      <c r="CM19">
        <f>负荷!CM19-水电!CM19-核电!CM19-地方燃煤!CM19-风电!CM19-光伏!CM19-联络线!CM19-非市场化!CM19</f>
        <v>17536.96</v>
      </c>
      <c r="CN19">
        <f>负荷!CN19-水电!CN19-核电!CN19-地方燃煤!CN19-风电!CN19-光伏!CN19-联络线!CN19-非市场化!CN19</f>
        <v>17569.15</v>
      </c>
      <c r="CO19">
        <f>负荷!CO19-水电!CO19-核电!CO19-地方燃煤!CO19-风电!CO19-光伏!CO19-联络线!CO19-非市场化!CO19</f>
        <v>17556.77</v>
      </c>
      <c r="CP19">
        <f>负荷!CP19-水电!CP19-核电!CP19-地方燃煤!CP19-风电!CP19-光伏!CP19-联络线!CP19-非市场化!CP19</f>
        <v>17206.57</v>
      </c>
      <c r="CQ19">
        <f>负荷!CQ19-水电!CQ19-核电!CQ19-地方燃煤!CQ19-风电!CQ19-光伏!CQ19-联络线!CQ19-非市场化!CQ19</f>
        <v>16725.54</v>
      </c>
      <c r="CR19">
        <f>负荷!CR19-水电!CR19-核电!CR19-地方燃煤!CR19-风电!CR19-光伏!CR19-联络线!CR19-非市场化!CR19</f>
        <v>16272.68</v>
      </c>
      <c r="CS19">
        <f>负荷!CS19-水电!CS19-核电!CS19-地方燃煤!CS19-风电!CS19-光伏!CS19-联络线!CS19-非市场化!CS19</f>
        <v>15702.04</v>
      </c>
    </row>
    <row r="20" spans="1:97">
      <c r="A20" s="9">
        <v>46253</v>
      </c>
      <c r="B20">
        <f>负荷!B20-水电!B20-核电!B20-地方燃煤!B20-风电!B20-光伏!B20-联络线!B20-非市场化!B20</f>
        <v>15257.65</v>
      </c>
      <c r="C20">
        <f>负荷!C20-水电!C20-核电!C20-地方燃煤!C20-风电!C20-光伏!C20-联络线!C20-非市场化!C20</f>
        <v>15000.61</v>
      </c>
      <c r="D20">
        <f>负荷!D20-水电!D20-核电!D20-地方燃煤!D20-风电!D20-光伏!D20-联络线!D20-非市场化!D20</f>
        <v>14784.8</v>
      </c>
      <c r="E20">
        <f>负荷!E20-水电!E20-核电!E20-地方燃煤!E20-风电!E20-光伏!E20-联络线!E20-非市场化!E20</f>
        <v>14583.06</v>
      </c>
      <c r="F20">
        <f>负荷!F20-水电!F20-核电!F20-地方燃煤!F20-风电!F20-光伏!F20-联络线!F20-非市场化!F20</f>
        <v>14512.31</v>
      </c>
      <c r="G20">
        <f>负荷!G20-水电!G20-核电!G20-地方燃煤!G20-风电!G20-光伏!G20-联络线!G20-非市场化!G20</f>
        <v>14696.44</v>
      </c>
      <c r="H20">
        <f>负荷!H20-水电!H20-核电!H20-地方燃煤!H20-风电!H20-光伏!H20-联络线!H20-非市场化!H20</f>
        <v>14801.86</v>
      </c>
      <c r="I20">
        <f>负荷!I20-水电!I20-核电!I20-地方燃煤!I20-风电!I20-光伏!I20-联络线!I20-非市场化!I20</f>
        <v>14954.39</v>
      </c>
      <c r="J20">
        <f>负荷!J20-水电!J20-核电!J20-地方燃煤!J20-风电!J20-光伏!J20-联络线!J20-非市场化!J20</f>
        <v>15210.12</v>
      </c>
      <c r="K20">
        <f>负荷!K20-水电!K20-核电!K20-地方燃煤!K20-风电!K20-光伏!K20-联络线!K20-非市场化!K20</f>
        <v>15098.15</v>
      </c>
      <c r="L20">
        <f>负荷!L20-水电!L20-核电!L20-地方燃煤!L20-风电!L20-光伏!L20-联络线!L20-非市场化!L20</f>
        <v>14920.06</v>
      </c>
      <c r="M20">
        <f>负荷!M20-水电!M20-核电!M20-地方燃煤!M20-风电!M20-光伏!M20-联络线!M20-非市场化!M20</f>
        <v>14773.98</v>
      </c>
      <c r="N20">
        <f>负荷!N20-水电!N20-核电!N20-地方燃煤!N20-风电!N20-光伏!N20-联络线!N20-非市场化!N20</f>
        <v>14961.71</v>
      </c>
      <c r="O20">
        <f>负荷!O20-水电!O20-核电!O20-地方燃煤!O20-风电!O20-光伏!O20-联络线!O20-非市场化!O20</f>
        <v>14846.35</v>
      </c>
      <c r="P20">
        <f>负荷!P20-水电!P20-核电!P20-地方燃煤!P20-风电!P20-光伏!P20-联络线!P20-非市场化!P20</f>
        <v>14945.63</v>
      </c>
      <c r="Q20">
        <f>负荷!Q20-水电!Q20-核电!Q20-地方燃煤!Q20-风电!Q20-光伏!Q20-联络线!Q20-非市场化!Q20</f>
        <v>14903.48</v>
      </c>
      <c r="R20">
        <f>负荷!R20-水电!R20-核电!R20-地方燃煤!R20-风电!R20-光伏!R20-联络线!R20-非市场化!R20</f>
        <v>14967.05</v>
      </c>
      <c r="S20">
        <f>负荷!S20-水电!S20-核电!S20-地方燃煤!S20-风电!S20-光伏!S20-联络线!S20-非市场化!S20</f>
        <v>15005.16</v>
      </c>
      <c r="T20">
        <f>负荷!T20-水电!T20-核电!T20-地方燃煤!T20-风电!T20-光伏!T20-联络线!T20-非市场化!T20</f>
        <v>15068.14</v>
      </c>
      <c r="U20">
        <f>负荷!U20-水电!U20-核电!U20-地方燃煤!U20-风电!U20-光伏!U20-联络线!U20-非市场化!U20</f>
        <v>15332.24</v>
      </c>
      <c r="V20">
        <f>负荷!V20-水电!V20-核电!V20-地方燃煤!V20-风电!V20-光伏!V20-联络线!V20-非市场化!V20</f>
        <v>15653.62</v>
      </c>
      <c r="W20">
        <f>负荷!W20-水电!W20-核电!W20-地方燃煤!W20-风电!W20-光伏!W20-联络线!W20-非市场化!W20</f>
        <v>15668.35</v>
      </c>
      <c r="X20">
        <f>负荷!X20-水电!X20-核电!X20-地方燃煤!X20-风电!X20-光伏!X20-联络线!X20-非市场化!X20</f>
        <v>15494.81</v>
      </c>
      <c r="Y20">
        <f>负荷!Y20-水电!Y20-核电!Y20-地方燃煤!Y20-风电!Y20-光伏!Y20-联络线!Y20-非市场化!Y20</f>
        <v>15260.51</v>
      </c>
      <c r="Z20">
        <f>负荷!Z20-水电!Z20-核电!Z20-地方燃煤!Z20-风电!Z20-光伏!Z20-联络线!Z20-非市场化!Z20</f>
        <v>15780.8</v>
      </c>
      <c r="AA20">
        <f>负荷!AA20-水电!AA20-核电!AA20-地方燃煤!AA20-风电!AA20-光伏!AA20-联络线!AA20-非市场化!AA20</f>
        <v>15569.6</v>
      </c>
      <c r="AB20">
        <f>负荷!AB20-水电!AB20-核电!AB20-地方燃煤!AB20-风电!AB20-光伏!AB20-联络线!AB20-非市场化!AB20</f>
        <v>15406.68</v>
      </c>
      <c r="AC20">
        <f>负荷!AC20-水电!AC20-核电!AC20-地方燃煤!AC20-风电!AC20-光伏!AC20-联络线!AC20-非市场化!AC20</f>
        <v>15239.03</v>
      </c>
      <c r="AD20">
        <f>负荷!AD20-水电!AD20-核电!AD20-地方燃煤!AD20-风电!AD20-光伏!AD20-联络线!AD20-非市场化!AD20</f>
        <v>14921.12</v>
      </c>
      <c r="AE20">
        <f>负荷!AE20-水电!AE20-核电!AE20-地方燃煤!AE20-风电!AE20-光伏!AE20-联络线!AE20-非市场化!AE20</f>
        <v>14593.76</v>
      </c>
      <c r="AF20">
        <f>负荷!AF20-水电!AF20-核电!AF20-地方燃煤!AF20-风电!AF20-光伏!AF20-联络线!AF20-非市场化!AF20</f>
        <v>14459.93</v>
      </c>
      <c r="AG20">
        <f>负荷!AG20-水电!AG20-核电!AG20-地方燃煤!AG20-风电!AG20-光伏!AG20-联络线!AG20-非市场化!AG20</f>
        <v>14324.35</v>
      </c>
      <c r="AH20">
        <f>负荷!AH20-水电!AH20-核电!AH20-地方燃煤!AH20-风电!AH20-光伏!AH20-联络线!AH20-非市场化!AH20</f>
        <v>14723.24</v>
      </c>
      <c r="AI20">
        <f>负荷!AI20-水电!AI20-核电!AI20-地方燃煤!AI20-风电!AI20-光伏!AI20-联络线!AI20-非市场化!AI20</f>
        <v>14568.66</v>
      </c>
      <c r="AJ20">
        <f>负荷!AJ20-水电!AJ20-核电!AJ20-地方燃煤!AJ20-风电!AJ20-光伏!AJ20-联络线!AJ20-非市场化!AJ20</f>
        <v>14091.92</v>
      </c>
      <c r="AK20">
        <f>负荷!AK20-水电!AK20-核电!AK20-地方燃煤!AK20-风电!AK20-光伏!AK20-联络线!AK20-非市场化!AK20</f>
        <v>13720.65</v>
      </c>
      <c r="AL20">
        <f>负荷!AL20-水电!AL20-核电!AL20-地方燃煤!AL20-风电!AL20-光伏!AL20-联络线!AL20-非市场化!AL20</f>
        <v>12951.83</v>
      </c>
      <c r="AM20">
        <f>负荷!AM20-水电!AM20-核电!AM20-地方燃煤!AM20-风电!AM20-光伏!AM20-联络线!AM20-非市场化!AM20</f>
        <v>13033.57</v>
      </c>
      <c r="AN20">
        <f>负荷!AN20-水电!AN20-核电!AN20-地方燃煤!AN20-风电!AN20-光伏!AN20-联络线!AN20-非市场化!AN20</f>
        <v>13247.26</v>
      </c>
      <c r="AO20">
        <f>负荷!AO20-水电!AO20-核电!AO20-地方燃煤!AO20-风电!AO20-光伏!AO20-联络线!AO20-非市场化!AO20</f>
        <v>13340.18</v>
      </c>
      <c r="AP20">
        <f>负荷!AP20-水电!AP20-核电!AP20-地方燃煤!AP20-风电!AP20-光伏!AP20-联络线!AP20-非市场化!AP20</f>
        <v>13509.67</v>
      </c>
      <c r="AQ20">
        <f>负荷!AQ20-水电!AQ20-核电!AQ20-地方燃煤!AQ20-风电!AQ20-光伏!AQ20-联络线!AQ20-非市场化!AQ20</f>
        <v>13718.73</v>
      </c>
      <c r="AR20">
        <f>负荷!AR20-水电!AR20-核电!AR20-地方燃煤!AR20-风电!AR20-光伏!AR20-联络线!AR20-非市场化!AR20</f>
        <v>14046.98</v>
      </c>
      <c r="AS20">
        <f>负荷!AS20-水电!AS20-核电!AS20-地方燃煤!AS20-风电!AS20-光伏!AS20-联络线!AS20-非市场化!AS20</f>
        <v>14122.13</v>
      </c>
      <c r="AT20">
        <f>负荷!AT20-水电!AT20-核电!AT20-地方燃煤!AT20-风电!AT20-光伏!AT20-联络线!AT20-非市场化!AT20</f>
        <v>14346.66</v>
      </c>
      <c r="AU20">
        <f>负荷!AU20-水电!AU20-核电!AU20-地方燃煤!AU20-风电!AU20-光伏!AU20-联络线!AU20-非市场化!AU20</f>
        <v>14173.8</v>
      </c>
      <c r="AV20">
        <f>负荷!AV20-水电!AV20-核电!AV20-地方燃煤!AV20-风电!AV20-光伏!AV20-联络线!AV20-非市场化!AV20</f>
        <v>13998.58</v>
      </c>
      <c r="AW20">
        <f>负荷!AW20-水电!AW20-核电!AW20-地方燃煤!AW20-风电!AW20-光伏!AW20-联络线!AW20-非市场化!AW20</f>
        <v>14147.96</v>
      </c>
      <c r="AX20">
        <f>负荷!AX20-水电!AX20-核电!AX20-地方燃煤!AX20-风电!AX20-光伏!AX20-联络线!AX20-非市场化!AX20</f>
        <v>14575.07</v>
      </c>
      <c r="AY20">
        <f>负荷!AY20-水电!AY20-核电!AY20-地方燃煤!AY20-风电!AY20-光伏!AY20-联络线!AY20-非市场化!AY20</f>
        <v>14423.27</v>
      </c>
      <c r="AZ20">
        <f>负荷!AZ20-水电!AZ20-核电!AZ20-地方燃煤!AZ20-风电!AZ20-光伏!AZ20-联络线!AZ20-非市场化!AZ20</f>
        <v>14626.42</v>
      </c>
      <c r="BA20">
        <f>负荷!BA20-水电!BA20-核电!BA20-地方燃煤!BA20-风电!BA20-光伏!BA20-联络线!BA20-非市场化!BA20</f>
        <v>14778.15</v>
      </c>
      <c r="BB20">
        <f>负荷!BB20-水电!BB20-核电!BB20-地方燃煤!BB20-风电!BB20-光伏!BB20-联络线!BB20-非市场化!BB20</f>
        <v>15254.63</v>
      </c>
      <c r="BC20">
        <f>负荷!BC20-水电!BC20-核电!BC20-地方燃煤!BC20-风电!BC20-光伏!BC20-联络线!BC20-非市场化!BC20</f>
        <v>15620.01</v>
      </c>
      <c r="BD20">
        <f>负荷!BD20-水电!BD20-核电!BD20-地方燃煤!BD20-风电!BD20-光伏!BD20-联络线!BD20-非市场化!BD20</f>
        <v>15796.04</v>
      </c>
      <c r="BE20">
        <f>负荷!BE20-水电!BE20-核电!BE20-地方燃煤!BE20-风电!BE20-光伏!BE20-联络线!BE20-非市场化!BE20</f>
        <v>16002.06</v>
      </c>
      <c r="BF20">
        <f>负荷!BF20-水电!BF20-核电!BF20-地方燃煤!BF20-风电!BF20-光伏!BF20-联络线!BF20-非市场化!BF20</f>
        <v>16062.94</v>
      </c>
      <c r="BG20">
        <f>负荷!BG20-水电!BG20-核电!BG20-地方燃煤!BG20-风电!BG20-光伏!BG20-联络线!BG20-非市场化!BG20</f>
        <v>16047.64</v>
      </c>
      <c r="BH20">
        <f>负荷!BH20-水电!BH20-核电!BH20-地方燃煤!BH20-风电!BH20-光伏!BH20-联络线!BH20-非市场化!BH20</f>
        <v>16099.61</v>
      </c>
      <c r="BI20">
        <f>负荷!BI20-水电!BI20-核电!BI20-地方燃煤!BI20-风电!BI20-光伏!BI20-联络线!BI20-非市场化!BI20</f>
        <v>16010.24</v>
      </c>
      <c r="BJ20">
        <f>负荷!BJ20-水电!BJ20-核电!BJ20-地方燃煤!BJ20-风电!BJ20-光伏!BJ20-联络线!BJ20-非市场化!BJ20</f>
        <v>16585.25</v>
      </c>
      <c r="BK20">
        <f>负荷!BK20-水电!BK20-核电!BK20-地方燃煤!BK20-风电!BK20-光伏!BK20-联络线!BK20-非市场化!BK20</f>
        <v>16862.71</v>
      </c>
      <c r="BL20">
        <f>负荷!BL20-水电!BL20-核电!BL20-地方燃煤!BL20-风电!BL20-光伏!BL20-联络线!BL20-非市场化!BL20</f>
        <v>16877.91</v>
      </c>
      <c r="BM20">
        <f>负荷!BM20-水电!BM20-核电!BM20-地方燃煤!BM20-风电!BM20-光伏!BM20-联络线!BM20-非市场化!BM20</f>
        <v>16985.19</v>
      </c>
      <c r="BN20">
        <f>负荷!BN20-水电!BN20-核电!BN20-地方燃煤!BN20-风电!BN20-光伏!BN20-联络线!BN20-非市场化!BN20</f>
        <v>17443.28</v>
      </c>
      <c r="BO20">
        <f>负荷!BO20-水电!BO20-核电!BO20-地方燃煤!BO20-风电!BO20-光伏!BO20-联络线!BO20-非市场化!BO20</f>
        <v>17312</v>
      </c>
      <c r="BP20">
        <f>负荷!BP20-水电!BP20-核电!BP20-地方燃煤!BP20-风电!BP20-光伏!BP20-联络线!BP20-非市场化!BP20</f>
        <v>17174.78</v>
      </c>
      <c r="BQ20">
        <f>负荷!BQ20-水电!BQ20-核电!BQ20-地方燃煤!BQ20-风电!BQ20-光伏!BQ20-联络线!BQ20-非市场化!BQ20</f>
        <v>16625.35</v>
      </c>
      <c r="BR20">
        <f>负荷!BR20-水电!BR20-核电!BR20-地方燃煤!BR20-风电!BR20-光伏!BR20-联络线!BR20-非市场化!BR20</f>
        <v>16496.2</v>
      </c>
      <c r="BS20">
        <f>负荷!BS20-水电!BS20-核电!BS20-地方燃煤!BS20-风电!BS20-光伏!BS20-联络线!BS20-非市场化!BS20</f>
        <v>16620.09</v>
      </c>
      <c r="BT20">
        <f>负荷!BT20-水电!BT20-核电!BT20-地方燃煤!BT20-风电!BT20-光伏!BT20-联络线!BT20-非市场化!BT20</f>
        <v>16767.51</v>
      </c>
      <c r="BU20">
        <f>负荷!BU20-水电!BU20-核电!BU20-地方燃煤!BU20-风电!BU20-光伏!BU20-联络线!BU20-非市场化!BU20</f>
        <v>17087.94</v>
      </c>
      <c r="BV20">
        <f>负荷!BV20-水电!BV20-核电!BV20-地方燃煤!BV20-风电!BV20-光伏!BV20-联络线!BV20-非市场化!BV20</f>
        <v>17048.42</v>
      </c>
      <c r="BW20">
        <f>负荷!BW20-水电!BW20-核电!BW20-地方燃煤!BW20-风电!BW20-光伏!BW20-联络线!BW20-非市场化!BW20</f>
        <v>17330.63</v>
      </c>
      <c r="BX20">
        <f>负荷!BX20-水电!BX20-核电!BX20-地方燃煤!BX20-风电!BX20-光伏!BX20-联络线!BX20-非市场化!BX20</f>
        <v>17625.57</v>
      </c>
      <c r="BY20">
        <f>负荷!BY20-水电!BY20-核电!BY20-地方燃煤!BY20-风电!BY20-光伏!BY20-联络线!BY20-非市场化!BY20</f>
        <v>17714.64</v>
      </c>
      <c r="BZ20">
        <f>负荷!BZ20-水电!BZ20-核电!BZ20-地方燃煤!BZ20-风电!BZ20-光伏!BZ20-联络线!BZ20-非市场化!BZ20</f>
        <v>18186.51</v>
      </c>
      <c r="CA20">
        <f>负荷!CA20-水电!CA20-核电!CA20-地方燃煤!CA20-风电!CA20-光伏!CA20-联络线!CA20-非市场化!CA20</f>
        <v>18228.37</v>
      </c>
      <c r="CB20">
        <f>负荷!CB20-水电!CB20-核电!CB20-地方燃煤!CB20-风电!CB20-光伏!CB20-联络线!CB20-非市场化!CB20</f>
        <v>18281.77</v>
      </c>
      <c r="CC20">
        <f>负荷!CC20-水电!CC20-核电!CC20-地方燃煤!CC20-风电!CC20-光伏!CC20-联络线!CC20-非市场化!CC20</f>
        <v>17982.83</v>
      </c>
      <c r="CD20">
        <f>负荷!CD20-水电!CD20-核电!CD20-地方燃煤!CD20-风电!CD20-光伏!CD20-联络线!CD20-非市场化!CD20</f>
        <v>17820.55</v>
      </c>
      <c r="CE20">
        <f>负荷!CE20-水电!CE20-核电!CE20-地方燃煤!CE20-风电!CE20-光伏!CE20-联络线!CE20-非市场化!CE20</f>
        <v>17911.29</v>
      </c>
      <c r="CF20">
        <f>负荷!CF20-水电!CF20-核电!CF20-地方燃煤!CF20-风电!CF20-光伏!CF20-联络线!CF20-非市场化!CF20</f>
        <v>17664.03</v>
      </c>
      <c r="CG20">
        <f>负荷!CG20-水电!CG20-核电!CG20-地方燃煤!CG20-风电!CG20-光伏!CG20-联络线!CG20-非市场化!CG20</f>
        <v>17369.77</v>
      </c>
      <c r="CH20">
        <f>负荷!CH20-水电!CH20-核电!CH20-地方燃煤!CH20-风电!CH20-光伏!CH20-联络线!CH20-非市场化!CH20</f>
        <v>16734.78</v>
      </c>
      <c r="CI20">
        <f>负荷!CI20-水电!CI20-核电!CI20-地方燃煤!CI20-风电!CI20-光伏!CI20-联络线!CI20-非市场化!CI20</f>
        <v>15978.61</v>
      </c>
      <c r="CJ20">
        <f>负荷!CJ20-水电!CJ20-核电!CJ20-地方燃煤!CJ20-风电!CJ20-光伏!CJ20-联络线!CJ20-非市场化!CJ20</f>
        <v>15352.44</v>
      </c>
      <c r="CK20">
        <f>负荷!CK20-水电!CK20-核电!CK20-地方燃煤!CK20-风电!CK20-光伏!CK20-联络线!CK20-非市场化!CK20</f>
        <v>14661.67</v>
      </c>
      <c r="CL20">
        <f>负荷!CL20-水电!CL20-核电!CL20-地方燃煤!CL20-风电!CL20-光伏!CL20-联络线!CL20-非市场化!CL20</f>
        <v>14570.59</v>
      </c>
      <c r="CM20">
        <f>负荷!CM20-水电!CM20-核电!CM20-地方燃煤!CM20-风电!CM20-光伏!CM20-联络线!CM20-非市场化!CM20</f>
        <v>14464.69</v>
      </c>
      <c r="CN20">
        <f>负荷!CN20-水电!CN20-核电!CN20-地方燃煤!CN20-风电!CN20-光伏!CN20-联络线!CN20-非市场化!CN20</f>
        <v>14574.24</v>
      </c>
      <c r="CO20">
        <f>负荷!CO20-水电!CO20-核电!CO20-地方燃煤!CO20-风电!CO20-光伏!CO20-联络线!CO20-非市场化!CO20</f>
        <v>14979.01</v>
      </c>
      <c r="CP20">
        <f>负荷!CP20-水电!CP20-核电!CP20-地方燃煤!CP20-风电!CP20-光伏!CP20-联络线!CP20-非市场化!CP20</f>
        <v>14947.78</v>
      </c>
      <c r="CQ20">
        <f>负荷!CQ20-水电!CQ20-核电!CQ20-地方燃煤!CQ20-风电!CQ20-光伏!CQ20-联络线!CQ20-非市场化!CQ20</f>
        <v>14836.77</v>
      </c>
      <c r="CR20">
        <f>负荷!CR20-水电!CR20-核电!CR20-地方燃煤!CR20-风电!CR20-光伏!CR20-联络线!CR20-非市场化!CR20</f>
        <v>14874.45</v>
      </c>
      <c r="CS20">
        <f>负荷!CS20-水电!CS20-核电!CS20-地方燃煤!CS20-风电!CS20-光伏!CS20-联络线!CS20-非市场化!CS20</f>
        <v>14857.48</v>
      </c>
    </row>
    <row r="21" spans="1:97">
      <c r="A21" s="9">
        <v>46254</v>
      </c>
      <c r="B21">
        <f>负荷!B21-水电!B21-核电!B21-地方燃煤!B21-风电!B21-光伏!B21-联络线!B21-非市场化!B21</f>
        <v>14292.37</v>
      </c>
      <c r="C21">
        <f>负荷!C21-水电!C21-核电!C21-地方燃煤!C21-风电!C21-光伏!C21-联络线!C21-非市场化!C21</f>
        <v>14069.02</v>
      </c>
      <c r="D21">
        <f>负荷!D21-水电!D21-核电!D21-地方燃煤!D21-风电!D21-光伏!D21-联络线!D21-非市场化!D21</f>
        <v>13890.99</v>
      </c>
      <c r="E21">
        <f>负荷!E21-水电!E21-核电!E21-地方燃煤!E21-风电!E21-光伏!E21-联络线!E21-非市场化!E21</f>
        <v>13770.34</v>
      </c>
      <c r="F21">
        <f>负荷!F21-水电!F21-核电!F21-地方燃煤!F21-风电!F21-光伏!F21-联络线!F21-非市场化!F21</f>
        <v>13581.74</v>
      </c>
      <c r="G21">
        <f>负荷!G21-水电!G21-核电!G21-地方燃煤!G21-风电!G21-光伏!G21-联络线!G21-非市场化!G21</f>
        <v>13342.18</v>
      </c>
      <c r="H21">
        <f>负荷!H21-水电!H21-核电!H21-地方燃煤!H21-风电!H21-光伏!H21-联络线!H21-非市场化!H21</f>
        <v>13323.68</v>
      </c>
      <c r="I21">
        <f>负荷!I21-水电!I21-核电!I21-地方燃煤!I21-风电!I21-光伏!I21-联络线!I21-非市场化!I21</f>
        <v>13261.96</v>
      </c>
      <c r="J21">
        <f>负荷!J21-水电!J21-核电!J21-地方燃煤!J21-风电!J21-光伏!J21-联络线!J21-非市场化!J21</f>
        <v>13239.08</v>
      </c>
      <c r="K21">
        <f>负荷!K21-水电!K21-核电!K21-地方燃煤!K21-风电!K21-光伏!K21-联络线!K21-非市场化!K21</f>
        <v>13173.72</v>
      </c>
      <c r="L21">
        <f>负荷!L21-水电!L21-核电!L21-地方燃煤!L21-风电!L21-光伏!L21-联络线!L21-非市场化!L21</f>
        <v>13092.06</v>
      </c>
      <c r="M21">
        <f>负荷!M21-水电!M21-核电!M21-地方燃煤!M21-风电!M21-光伏!M21-联络线!M21-非市场化!M21</f>
        <v>13021.98</v>
      </c>
      <c r="N21">
        <f>负荷!N21-水电!N21-核电!N21-地方燃煤!N21-风电!N21-光伏!N21-联络线!N21-非市场化!N21</f>
        <v>13305.83</v>
      </c>
      <c r="O21">
        <f>负荷!O21-水电!O21-核电!O21-地方燃煤!O21-风电!O21-光伏!O21-联络线!O21-非市场化!O21</f>
        <v>13156.43</v>
      </c>
      <c r="P21">
        <f>负荷!P21-水电!P21-核电!P21-地方燃煤!P21-风电!P21-光伏!P21-联络线!P21-非市场化!P21</f>
        <v>13166.89</v>
      </c>
      <c r="Q21">
        <f>负荷!Q21-水电!Q21-核电!Q21-地方燃煤!Q21-风电!Q21-光伏!Q21-联络线!Q21-非市场化!Q21</f>
        <v>13179.54</v>
      </c>
      <c r="R21">
        <f>负荷!R21-水电!R21-核电!R21-地方燃煤!R21-风电!R21-光伏!R21-联络线!R21-非市场化!R21</f>
        <v>13491.78</v>
      </c>
      <c r="S21">
        <f>负荷!S21-水电!S21-核电!S21-地方燃煤!S21-风电!S21-光伏!S21-联络线!S21-非市场化!S21</f>
        <v>13611.33</v>
      </c>
      <c r="T21">
        <f>负荷!T21-水电!T21-核电!T21-地方燃煤!T21-风电!T21-光伏!T21-联络线!T21-非市场化!T21</f>
        <v>13752.28</v>
      </c>
      <c r="U21">
        <f>负荷!U21-水电!U21-核电!U21-地方燃煤!U21-风电!U21-光伏!U21-联络线!U21-非市场化!U21</f>
        <v>13725.24</v>
      </c>
      <c r="V21">
        <f>负荷!V21-水电!V21-核电!V21-地方燃煤!V21-风电!V21-光伏!V21-联络线!V21-非市场化!V21</f>
        <v>13387.76</v>
      </c>
      <c r="W21">
        <f>负荷!W21-水电!W21-核电!W21-地方燃煤!W21-风电!W21-光伏!W21-联络线!W21-非市场化!W21</f>
        <v>13112.41</v>
      </c>
      <c r="X21">
        <f>负荷!X21-水电!X21-核电!X21-地方燃煤!X21-风电!X21-光伏!X21-联络线!X21-非市场化!X21</f>
        <v>13351.83</v>
      </c>
      <c r="Y21">
        <f>负荷!Y21-水电!Y21-核电!Y21-地方燃煤!Y21-风电!Y21-光伏!Y21-联络线!Y21-非市场化!Y21</f>
        <v>13449.69</v>
      </c>
      <c r="Z21">
        <f>负荷!Z21-水电!Z21-核电!Z21-地方燃煤!Z21-风电!Z21-光伏!Z21-联络线!Z21-非市场化!Z21</f>
        <v>14112.46</v>
      </c>
      <c r="AA21">
        <f>负荷!AA21-水电!AA21-核电!AA21-地方燃煤!AA21-风电!AA21-光伏!AA21-联络线!AA21-非市场化!AA21</f>
        <v>13908.44</v>
      </c>
      <c r="AB21">
        <f>负荷!AB21-水电!AB21-核电!AB21-地方燃煤!AB21-风电!AB21-光伏!AB21-联络线!AB21-非市场化!AB21</f>
        <v>13868.31</v>
      </c>
      <c r="AC21">
        <f>负荷!AC21-水电!AC21-核电!AC21-地方燃煤!AC21-风电!AC21-光伏!AC21-联络线!AC21-非市场化!AC21</f>
        <v>13668.66</v>
      </c>
      <c r="AD21">
        <f>负荷!AD21-水电!AD21-核电!AD21-地方燃煤!AD21-风电!AD21-光伏!AD21-联络线!AD21-非市场化!AD21</f>
        <v>13380.78</v>
      </c>
      <c r="AE21">
        <f>负荷!AE21-水电!AE21-核电!AE21-地方燃煤!AE21-风电!AE21-光伏!AE21-联络线!AE21-非市场化!AE21</f>
        <v>13381.36</v>
      </c>
      <c r="AF21">
        <f>负荷!AF21-水电!AF21-核电!AF21-地方燃煤!AF21-风电!AF21-光伏!AF21-联络线!AF21-非市场化!AF21</f>
        <v>13730.23</v>
      </c>
      <c r="AG21">
        <f>负荷!AG21-水电!AG21-核电!AG21-地方燃煤!AG21-风电!AG21-光伏!AG21-联络线!AG21-非市场化!AG21</f>
        <v>14083.59</v>
      </c>
      <c r="AH21">
        <f>负荷!AH21-水电!AH21-核电!AH21-地方燃煤!AH21-风电!AH21-光伏!AH21-联络线!AH21-非市场化!AH21</f>
        <v>14809.03</v>
      </c>
      <c r="AI21">
        <f>负荷!AI21-水电!AI21-核电!AI21-地方燃煤!AI21-风电!AI21-光伏!AI21-联络线!AI21-非市场化!AI21</f>
        <v>14741.77</v>
      </c>
      <c r="AJ21">
        <f>负荷!AJ21-水电!AJ21-核电!AJ21-地方燃煤!AJ21-风电!AJ21-光伏!AJ21-联络线!AJ21-非市场化!AJ21</f>
        <v>14536.75</v>
      </c>
      <c r="AK21">
        <f>负荷!AK21-水电!AK21-核电!AK21-地方燃煤!AK21-风电!AK21-光伏!AK21-联络线!AK21-非市场化!AK21</f>
        <v>14416.83</v>
      </c>
      <c r="AL21">
        <f>负荷!AL21-水电!AL21-核电!AL21-地方燃煤!AL21-风电!AL21-光伏!AL21-联络线!AL21-非市场化!AL21</f>
        <v>14305.85</v>
      </c>
      <c r="AM21">
        <f>负荷!AM21-水电!AM21-核电!AM21-地方燃煤!AM21-风电!AM21-光伏!AM21-联络线!AM21-非市场化!AM21</f>
        <v>14450.37</v>
      </c>
      <c r="AN21">
        <f>负荷!AN21-水电!AN21-核电!AN21-地方燃煤!AN21-风电!AN21-光伏!AN21-联络线!AN21-非市场化!AN21</f>
        <v>14315.72</v>
      </c>
      <c r="AO21">
        <f>负荷!AO21-水电!AO21-核电!AO21-地方燃煤!AO21-风电!AO21-光伏!AO21-联络线!AO21-非市场化!AO21</f>
        <v>14397.78</v>
      </c>
      <c r="AP21">
        <f>负荷!AP21-水电!AP21-核电!AP21-地方燃煤!AP21-风电!AP21-光伏!AP21-联络线!AP21-非市场化!AP21</f>
        <v>13635.2</v>
      </c>
      <c r="AQ21">
        <f>负荷!AQ21-水电!AQ21-核电!AQ21-地方燃煤!AQ21-风电!AQ21-光伏!AQ21-联络线!AQ21-非市场化!AQ21</f>
        <v>13476.43</v>
      </c>
      <c r="AR21">
        <f>负荷!AR21-水电!AR21-核电!AR21-地方燃煤!AR21-风电!AR21-光伏!AR21-联络线!AR21-非市场化!AR21</f>
        <v>13357.15</v>
      </c>
      <c r="AS21">
        <f>负荷!AS21-水电!AS21-核电!AS21-地方燃煤!AS21-风电!AS21-光伏!AS21-联络线!AS21-非市场化!AS21</f>
        <v>13085.53</v>
      </c>
      <c r="AT21">
        <f>负荷!AT21-水电!AT21-核电!AT21-地方燃煤!AT21-风电!AT21-光伏!AT21-联络线!AT21-非市场化!AT21</f>
        <v>12705.93</v>
      </c>
      <c r="AU21">
        <f>负荷!AU21-水电!AU21-核电!AU21-地方燃煤!AU21-风电!AU21-光伏!AU21-联络线!AU21-非市场化!AU21</f>
        <v>12477.47</v>
      </c>
      <c r="AV21">
        <f>负荷!AV21-水电!AV21-核电!AV21-地方燃煤!AV21-风电!AV21-光伏!AV21-联络线!AV21-非市场化!AV21</f>
        <v>12270.52</v>
      </c>
      <c r="AW21">
        <f>负荷!AW21-水电!AW21-核电!AW21-地方燃煤!AW21-风电!AW21-光伏!AW21-联络线!AW21-非市场化!AW21</f>
        <v>12357.3</v>
      </c>
      <c r="AX21">
        <f>负荷!AX21-水电!AX21-核电!AX21-地方燃煤!AX21-风电!AX21-光伏!AX21-联络线!AX21-非市场化!AX21</f>
        <v>12550.96</v>
      </c>
      <c r="AY21">
        <f>负荷!AY21-水电!AY21-核电!AY21-地方燃煤!AY21-风电!AY21-光伏!AY21-联络线!AY21-非市场化!AY21</f>
        <v>12430.14</v>
      </c>
      <c r="AZ21">
        <f>负荷!AZ21-水电!AZ21-核电!AZ21-地方燃煤!AZ21-风电!AZ21-光伏!AZ21-联络线!AZ21-非市场化!AZ21</f>
        <v>12359.57</v>
      </c>
      <c r="BA21">
        <f>负荷!BA21-水电!BA21-核电!BA21-地方燃煤!BA21-风电!BA21-光伏!BA21-联络线!BA21-非市场化!BA21</f>
        <v>12476.19</v>
      </c>
      <c r="BB21">
        <f>负荷!BB21-水电!BB21-核电!BB21-地方燃煤!BB21-风电!BB21-光伏!BB21-联络线!BB21-非市场化!BB21</f>
        <v>12986.67</v>
      </c>
      <c r="BC21">
        <f>负荷!BC21-水电!BC21-核电!BC21-地方燃煤!BC21-风电!BC21-光伏!BC21-联络线!BC21-非市场化!BC21</f>
        <v>12934.57</v>
      </c>
      <c r="BD21">
        <f>负荷!BD21-水电!BD21-核电!BD21-地方燃煤!BD21-风电!BD21-光伏!BD21-联络线!BD21-非市场化!BD21</f>
        <v>13244.91</v>
      </c>
      <c r="BE21">
        <f>负荷!BE21-水电!BE21-核电!BE21-地方燃煤!BE21-风电!BE21-光伏!BE21-联络线!BE21-非市场化!BE21</f>
        <v>13186.44</v>
      </c>
      <c r="BF21">
        <f>负荷!BF21-水电!BF21-核电!BF21-地方燃煤!BF21-风电!BF21-光伏!BF21-联络线!BF21-非市场化!BF21</f>
        <v>13693.38</v>
      </c>
      <c r="BG21">
        <f>负荷!BG21-水电!BG21-核电!BG21-地方燃煤!BG21-风电!BG21-光伏!BG21-联络线!BG21-非市场化!BG21</f>
        <v>14065.65</v>
      </c>
      <c r="BH21">
        <f>负荷!BH21-水电!BH21-核电!BH21-地方燃煤!BH21-风电!BH21-光伏!BH21-联络线!BH21-非市场化!BH21</f>
        <v>14330.68</v>
      </c>
      <c r="BI21">
        <f>负荷!BI21-水电!BI21-核电!BI21-地方燃煤!BI21-风电!BI21-光伏!BI21-联络线!BI21-非市场化!BI21</f>
        <v>14686.66</v>
      </c>
      <c r="BJ21">
        <f>负荷!BJ21-水电!BJ21-核电!BJ21-地方燃煤!BJ21-风电!BJ21-光伏!BJ21-联络线!BJ21-非市场化!BJ21</f>
        <v>15572.75</v>
      </c>
      <c r="BK21">
        <f>负荷!BK21-水电!BK21-核电!BK21-地方燃煤!BK21-风电!BK21-光伏!BK21-联络线!BK21-非市场化!BK21</f>
        <v>15992.63</v>
      </c>
      <c r="BL21">
        <f>负荷!BL21-水电!BL21-核电!BL21-地方燃煤!BL21-风电!BL21-光伏!BL21-联络线!BL21-非市场化!BL21</f>
        <v>16106.3</v>
      </c>
      <c r="BM21">
        <f>负荷!BM21-水电!BM21-核电!BM21-地方燃煤!BM21-风电!BM21-光伏!BM21-联络线!BM21-非市场化!BM21</f>
        <v>16345.49</v>
      </c>
      <c r="BN21">
        <f>负荷!BN21-水电!BN21-核电!BN21-地方燃煤!BN21-风电!BN21-光伏!BN21-联络线!BN21-非市场化!BN21</f>
        <v>16852.07</v>
      </c>
      <c r="BO21">
        <f>负荷!BO21-水电!BO21-核电!BO21-地方燃煤!BO21-风电!BO21-光伏!BO21-联络线!BO21-非市场化!BO21</f>
        <v>17034.68</v>
      </c>
      <c r="BP21">
        <f>负荷!BP21-水电!BP21-核电!BP21-地方燃煤!BP21-风电!BP21-光伏!BP21-联络线!BP21-非市场化!BP21</f>
        <v>17125.55</v>
      </c>
      <c r="BQ21">
        <f>负荷!BQ21-水电!BQ21-核电!BQ21-地方燃煤!BQ21-风电!BQ21-光伏!BQ21-联络线!BQ21-非市场化!BQ21</f>
        <v>16774.37</v>
      </c>
      <c r="BR21">
        <f>负荷!BR21-水电!BR21-核电!BR21-地方燃煤!BR21-风电!BR21-光伏!BR21-联络线!BR21-非市场化!BR21</f>
        <v>16679.67</v>
      </c>
      <c r="BS21">
        <f>负荷!BS21-水电!BS21-核电!BS21-地方燃煤!BS21-风电!BS21-光伏!BS21-联络线!BS21-非市场化!BS21</f>
        <v>16828.37</v>
      </c>
      <c r="BT21">
        <f>负荷!BT21-水电!BT21-核电!BT21-地方燃煤!BT21-风电!BT21-光伏!BT21-联络线!BT21-非市场化!BT21</f>
        <v>16899.16</v>
      </c>
      <c r="BU21">
        <f>负荷!BU21-水电!BU21-核电!BU21-地方燃煤!BU21-风电!BU21-光伏!BU21-联络线!BU21-非市场化!BU21</f>
        <v>16755.29</v>
      </c>
      <c r="BV21">
        <f>负荷!BV21-水电!BV21-核电!BV21-地方燃煤!BV21-风电!BV21-光伏!BV21-联络线!BV21-非市场化!BV21</f>
        <v>16576.96</v>
      </c>
      <c r="BW21">
        <f>负荷!BW21-水电!BW21-核电!BW21-地方燃煤!BW21-风电!BW21-光伏!BW21-联络线!BW21-非市场化!BW21</f>
        <v>16716.11</v>
      </c>
      <c r="BX21">
        <f>负荷!BX21-水电!BX21-核电!BX21-地方燃煤!BX21-风电!BX21-光伏!BX21-联络线!BX21-非市场化!BX21</f>
        <v>16974.14</v>
      </c>
      <c r="BY21">
        <f>负荷!BY21-水电!BY21-核电!BY21-地方燃煤!BY21-风电!BY21-光伏!BY21-联络线!BY21-非市场化!BY21</f>
        <v>17047.71</v>
      </c>
      <c r="BZ21">
        <f>负荷!BZ21-水电!BZ21-核电!BZ21-地方燃煤!BZ21-风电!BZ21-光伏!BZ21-联络线!BZ21-非市场化!BZ21</f>
        <v>17421.42</v>
      </c>
      <c r="CA21">
        <f>负荷!CA21-水电!CA21-核电!CA21-地方燃煤!CA21-风电!CA21-光伏!CA21-联络线!CA21-非市场化!CA21</f>
        <v>17463.49</v>
      </c>
      <c r="CB21">
        <f>负荷!CB21-水电!CB21-核电!CB21-地方燃煤!CB21-风电!CB21-光伏!CB21-联络线!CB21-非市场化!CB21</f>
        <v>17982.79</v>
      </c>
      <c r="CC21">
        <f>负荷!CC21-水电!CC21-核电!CC21-地方燃煤!CC21-风电!CC21-光伏!CC21-联络线!CC21-非市场化!CC21</f>
        <v>17952.69</v>
      </c>
      <c r="CD21">
        <f>负荷!CD21-水电!CD21-核电!CD21-地方燃煤!CD21-风电!CD21-光伏!CD21-联络线!CD21-非市场化!CD21</f>
        <v>17721.69</v>
      </c>
      <c r="CE21">
        <f>负荷!CE21-水电!CE21-核电!CE21-地方燃煤!CE21-风电!CE21-光伏!CE21-联络线!CE21-非市场化!CE21</f>
        <v>17875.34</v>
      </c>
      <c r="CF21">
        <f>负荷!CF21-水电!CF21-核电!CF21-地方燃煤!CF21-风电!CF21-光伏!CF21-联络线!CF21-非市场化!CF21</f>
        <v>17544.64</v>
      </c>
      <c r="CG21">
        <f>负荷!CG21-水电!CG21-核电!CG21-地方燃煤!CG21-风电!CG21-光伏!CG21-联络线!CG21-非市场化!CG21</f>
        <v>17517.31</v>
      </c>
      <c r="CH21">
        <f>负荷!CH21-水电!CH21-核电!CH21-地方燃煤!CH21-风电!CH21-光伏!CH21-联络线!CH21-非市场化!CH21</f>
        <v>17386.58</v>
      </c>
      <c r="CI21">
        <f>负荷!CI21-水电!CI21-核电!CI21-地方燃煤!CI21-风电!CI21-光伏!CI21-联络线!CI21-非市场化!CI21</f>
        <v>16935.04</v>
      </c>
      <c r="CJ21">
        <f>负荷!CJ21-水电!CJ21-核电!CJ21-地方燃煤!CJ21-风电!CJ21-光伏!CJ21-联络线!CJ21-非市场化!CJ21</f>
        <v>16628.01</v>
      </c>
      <c r="CK21">
        <f>负荷!CK21-水电!CK21-核电!CK21-地方燃煤!CK21-风电!CK21-光伏!CK21-联络线!CK21-非市场化!CK21</f>
        <v>16197.13</v>
      </c>
      <c r="CL21">
        <f>负荷!CL21-水电!CL21-核电!CL21-地方燃煤!CL21-风电!CL21-光伏!CL21-联络线!CL21-非市场化!CL21</f>
        <v>16403.17</v>
      </c>
      <c r="CM21">
        <f>负荷!CM21-水电!CM21-核电!CM21-地方燃煤!CM21-风电!CM21-光伏!CM21-联络线!CM21-非市场化!CM21</f>
        <v>16290.58</v>
      </c>
      <c r="CN21">
        <f>负荷!CN21-水电!CN21-核电!CN21-地方燃煤!CN21-风电!CN21-光伏!CN21-联络线!CN21-非市场化!CN21</f>
        <v>16346.72</v>
      </c>
      <c r="CO21">
        <f>负荷!CO21-水电!CO21-核电!CO21-地方燃煤!CO21-风电!CO21-光伏!CO21-联络线!CO21-非市场化!CO21</f>
        <v>15799.6</v>
      </c>
      <c r="CP21">
        <f>负荷!CP21-水电!CP21-核电!CP21-地方燃煤!CP21-风电!CP21-光伏!CP21-联络线!CP21-非市场化!CP21</f>
        <v>15083.34</v>
      </c>
      <c r="CQ21">
        <f>负荷!CQ21-水电!CQ21-核电!CQ21-地方燃煤!CQ21-风电!CQ21-光伏!CQ21-联络线!CQ21-非市场化!CQ21</f>
        <v>14317.22</v>
      </c>
      <c r="CR21">
        <f>负荷!CR21-水电!CR21-核电!CR21-地方燃煤!CR21-风电!CR21-光伏!CR21-联络线!CR21-非市场化!CR21</f>
        <v>13626.48</v>
      </c>
      <c r="CS21">
        <f>负荷!CS21-水电!CS21-核电!CS21-地方燃煤!CS21-风电!CS21-光伏!CS21-联络线!CS21-非市场化!CS21</f>
        <v>12654.41</v>
      </c>
    </row>
    <row r="22" spans="1:97">
      <c r="A22" s="9">
        <v>46255</v>
      </c>
      <c r="B22">
        <f>负荷!B22-水电!B22-核电!B22-地方燃煤!B22-风电!B22-光伏!B22-联络线!B22-非市场化!B22</f>
        <v>10692.34</v>
      </c>
      <c r="C22">
        <f>负荷!C22-水电!C22-核电!C22-地方燃煤!C22-风电!C22-光伏!C22-联络线!C22-非市场化!C22</f>
        <v>10949.19</v>
      </c>
      <c r="D22">
        <f>负荷!D22-水电!D22-核电!D22-地方燃煤!D22-风电!D22-光伏!D22-联络线!D22-非市场化!D22</f>
        <v>11031.65</v>
      </c>
      <c r="E22">
        <f>负荷!E22-水电!E22-核电!E22-地方燃煤!E22-风电!E22-光伏!E22-联络线!E22-非市场化!E22</f>
        <v>11224.24</v>
      </c>
      <c r="F22">
        <f>负荷!F22-水电!F22-核电!F22-地方燃煤!F22-风电!F22-光伏!F22-联络线!F22-非市场化!F22</f>
        <v>11245.41</v>
      </c>
      <c r="G22">
        <f>负荷!G22-水电!G22-核电!G22-地方燃煤!G22-风电!G22-光伏!G22-联络线!G22-非市场化!G22</f>
        <v>11467.91</v>
      </c>
      <c r="H22">
        <f>负荷!H22-水电!H22-核电!H22-地方燃煤!H22-风电!H22-光伏!H22-联络线!H22-非市场化!H22</f>
        <v>11719.23</v>
      </c>
      <c r="I22">
        <f>负荷!I22-水电!I22-核电!I22-地方燃煤!I22-风电!I22-光伏!I22-联络线!I22-非市场化!I22</f>
        <v>11889.37</v>
      </c>
      <c r="J22">
        <f>负荷!J22-水电!J22-核电!J22-地方燃煤!J22-风电!J22-光伏!J22-联络线!J22-非市场化!J22</f>
        <v>12028.33</v>
      </c>
      <c r="K22">
        <f>负荷!K22-水电!K22-核电!K22-地方燃煤!K22-风电!K22-光伏!K22-联络线!K22-非市场化!K22</f>
        <v>11894.78</v>
      </c>
      <c r="L22">
        <f>负荷!L22-水电!L22-核电!L22-地方燃煤!L22-风电!L22-光伏!L22-联络线!L22-非市场化!L22</f>
        <v>11572.54</v>
      </c>
      <c r="M22">
        <f>负荷!M22-水电!M22-核电!M22-地方燃煤!M22-风电!M22-光伏!M22-联络线!M22-非市场化!M22</f>
        <v>11078.92</v>
      </c>
      <c r="N22">
        <f>负荷!N22-水电!N22-核电!N22-地方燃煤!N22-风电!N22-光伏!N22-联络线!N22-非市场化!N22</f>
        <v>11072.57</v>
      </c>
      <c r="O22">
        <f>负荷!O22-水电!O22-核电!O22-地方燃煤!O22-风电!O22-光伏!O22-联络线!O22-非市场化!O22</f>
        <v>11041.01</v>
      </c>
      <c r="P22">
        <f>负荷!P22-水电!P22-核电!P22-地方燃煤!P22-风电!P22-光伏!P22-联络线!P22-非市场化!P22</f>
        <v>10685.17</v>
      </c>
      <c r="Q22">
        <f>负荷!Q22-水电!Q22-核电!Q22-地方燃煤!Q22-风电!Q22-光伏!Q22-联络线!Q22-非市场化!Q22</f>
        <v>10485</v>
      </c>
      <c r="R22">
        <f>负荷!R22-水电!R22-核电!R22-地方燃煤!R22-风电!R22-光伏!R22-联络线!R22-非市场化!R22</f>
        <v>10480.73</v>
      </c>
      <c r="S22">
        <f>负荷!S22-水电!S22-核电!S22-地方燃煤!S22-风电!S22-光伏!S22-联络线!S22-非市场化!S22</f>
        <v>10114.13</v>
      </c>
      <c r="T22">
        <f>负荷!T22-水电!T22-核电!T22-地方燃煤!T22-风电!T22-光伏!T22-联络线!T22-非市场化!T22</f>
        <v>10061.06</v>
      </c>
      <c r="U22">
        <f>负荷!U22-水电!U22-核电!U22-地方燃煤!U22-风电!U22-光伏!U22-联络线!U22-非市场化!U22</f>
        <v>10520.46</v>
      </c>
      <c r="V22">
        <f>负荷!V22-水电!V22-核电!V22-地方燃煤!V22-风电!V22-光伏!V22-联络线!V22-非市场化!V22</f>
        <v>10859.55</v>
      </c>
      <c r="W22">
        <f>负荷!W22-水电!W22-核电!W22-地方燃煤!W22-风电!W22-光伏!W22-联络线!W22-非市场化!W22</f>
        <v>11069.22</v>
      </c>
      <c r="X22">
        <f>负荷!X22-水电!X22-核电!X22-地方燃煤!X22-风电!X22-光伏!X22-联络线!X22-非市场化!X22</f>
        <v>11296.32</v>
      </c>
      <c r="Y22">
        <f>负荷!Y22-水电!Y22-核电!Y22-地方燃煤!Y22-风电!Y22-光伏!Y22-联络线!Y22-非市场化!Y22</f>
        <v>11559.78</v>
      </c>
      <c r="Z22">
        <f>负荷!Z22-水电!Z22-核电!Z22-地方燃煤!Z22-风电!Z22-光伏!Z22-联络线!Z22-非市场化!Z22</f>
        <v>12346.17</v>
      </c>
      <c r="AA22">
        <f>负荷!AA22-水电!AA22-核电!AA22-地方燃煤!AA22-风电!AA22-光伏!AA22-联络线!AA22-非市场化!AA22</f>
        <v>12412.35</v>
      </c>
      <c r="AB22">
        <f>负荷!AB22-水电!AB22-核电!AB22-地方燃煤!AB22-风电!AB22-光伏!AB22-联络线!AB22-非市场化!AB22</f>
        <v>12419.22</v>
      </c>
      <c r="AC22">
        <f>负荷!AC22-水电!AC22-核电!AC22-地方燃煤!AC22-风电!AC22-光伏!AC22-联络线!AC22-非市场化!AC22</f>
        <v>12299.88</v>
      </c>
      <c r="AD22">
        <f>负荷!AD22-水电!AD22-核电!AD22-地方燃煤!AD22-风电!AD22-光伏!AD22-联络线!AD22-非市场化!AD22</f>
        <v>12283.85</v>
      </c>
      <c r="AE22">
        <f>负荷!AE22-水电!AE22-核电!AE22-地方燃煤!AE22-风电!AE22-光伏!AE22-联络线!AE22-非市场化!AE22</f>
        <v>12150.96</v>
      </c>
      <c r="AF22">
        <f>负荷!AF22-水电!AF22-核电!AF22-地方燃煤!AF22-风电!AF22-光伏!AF22-联络线!AF22-非市场化!AF22</f>
        <v>12069.06</v>
      </c>
      <c r="AG22">
        <f>负荷!AG22-水电!AG22-核电!AG22-地方燃煤!AG22-风电!AG22-光伏!AG22-联络线!AG22-非市场化!AG22</f>
        <v>12246.11</v>
      </c>
      <c r="AH22">
        <f>负荷!AH22-水电!AH22-核电!AH22-地方燃煤!AH22-风电!AH22-光伏!AH22-联络线!AH22-非市场化!AH22</f>
        <v>12643.88</v>
      </c>
      <c r="AI22">
        <f>负荷!AI22-水电!AI22-核电!AI22-地方燃煤!AI22-风电!AI22-光伏!AI22-联络线!AI22-非市场化!AI22</f>
        <v>12698.78</v>
      </c>
      <c r="AJ22">
        <f>负荷!AJ22-水电!AJ22-核电!AJ22-地方燃煤!AJ22-风电!AJ22-光伏!AJ22-联络线!AJ22-非市场化!AJ22</f>
        <v>12489.9</v>
      </c>
      <c r="AK22">
        <f>负荷!AK22-水电!AK22-核电!AK22-地方燃煤!AK22-风电!AK22-光伏!AK22-联络线!AK22-非市场化!AK22</f>
        <v>12216.16</v>
      </c>
      <c r="AL22">
        <f>负荷!AL22-水电!AL22-核电!AL22-地方燃煤!AL22-风电!AL22-光伏!AL22-联络线!AL22-非市场化!AL22</f>
        <v>11848.47</v>
      </c>
      <c r="AM22">
        <f>负荷!AM22-水电!AM22-核电!AM22-地方燃煤!AM22-风电!AM22-光伏!AM22-联络线!AM22-非市场化!AM22</f>
        <v>11863.95</v>
      </c>
      <c r="AN22">
        <f>负荷!AN22-水电!AN22-核电!AN22-地方燃煤!AN22-风电!AN22-光伏!AN22-联络线!AN22-非市场化!AN22</f>
        <v>11758.79</v>
      </c>
      <c r="AO22">
        <f>负荷!AO22-水电!AO22-核电!AO22-地方燃煤!AO22-风电!AO22-光伏!AO22-联络线!AO22-非市场化!AO22</f>
        <v>11679.36</v>
      </c>
      <c r="AP22">
        <f>负荷!AP22-水电!AP22-核电!AP22-地方燃煤!AP22-风电!AP22-光伏!AP22-联络线!AP22-非市场化!AP22</f>
        <v>11149.01</v>
      </c>
      <c r="AQ22">
        <f>负荷!AQ22-水电!AQ22-核电!AQ22-地方燃煤!AQ22-风电!AQ22-光伏!AQ22-联络线!AQ22-非市场化!AQ22</f>
        <v>11131.83</v>
      </c>
      <c r="AR22">
        <f>负荷!AR22-水电!AR22-核电!AR22-地方燃煤!AR22-风电!AR22-光伏!AR22-联络线!AR22-非市场化!AR22</f>
        <v>10916.31</v>
      </c>
      <c r="AS22">
        <f>负荷!AS22-水电!AS22-核电!AS22-地方燃煤!AS22-风电!AS22-光伏!AS22-联络线!AS22-非市场化!AS22</f>
        <v>10724.34</v>
      </c>
      <c r="AT22">
        <f>负荷!AT22-水电!AT22-核电!AT22-地方燃煤!AT22-风电!AT22-光伏!AT22-联络线!AT22-非市场化!AT22</f>
        <v>10338.17</v>
      </c>
      <c r="AU22">
        <f>负荷!AU22-水电!AU22-核电!AU22-地方燃煤!AU22-风电!AU22-光伏!AU22-联络线!AU22-非市场化!AU22</f>
        <v>10221.71</v>
      </c>
      <c r="AV22">
        <f>负荷!AV22-水电!AV22-核电!AV22-地方燃煤!AV22-风电!AV22-光伏!AV22-联络线!AV22-非市场化!AV22</f>
        <v>9998</v>
      </c>
      <c r="AW22">
        <f>负荷!AW22-水电!AW22-核电!AW22-地方燃煤!AW22-风电!AW22-光伏!AW22-联络线!AW22-非市场化!AW22</f>
        <v>10688.17</v>
      </c>
      <c r="AX22">
        <f>负荷!AX22-水电!AX22-核电!AX22-地方燃煤!AX22-风电!AX22-光伏!AX22-联络线!AX22-非市场化!AX22</f>
        <v>10957.44</v>
      </c>
      <c r="AY22">
        <f>负荷!AY22-水电!AY22-核电!AY22-地方燃煤!AY22-风电!AY22-光伏!AY22-联络线!AY22-非市场化!AY22</f>
        <v>11208.88</v>
      </c>
      <c r="AZ22">
        <f>负荷!AZ22-水电!AZ22-核电!AZ22-地方燃煤!AZ22-风电!AZ22-光伏!AZ22-联络线!AZ22-非市场化!AZ22</f>
        <v>10984.45</v>
      </c>
      <c r="BA22">
        <f>负荷!BA22-水电!BA22-核电!BA22-地方燃煤!BA22-风电!BA22-光伏!BA22-联络线!BA22-非市场化!BA22</f>
        <v>11217.68</v>
      </c>
      <c r="BB22">
        <f>负荷!BB22-水电!BB22-核电!BB22-地方燃煤!BB22-风电!BB22-光伏!BB22-联络线!BB22-非市场化!BB22</f>
        <v>11500.29</v>
      </c>
      <c r="BC22">
        <f>负荷!BC22-水电!BC22-核电!BC22-地方燃煤!BC22-风电!BC22-光伏!BC22-联络线!BC22-非市场化!BC22</f>
        <v>11731.19</v>
      </c>
      <c r="BD22">
        <f>负荷!BD22-水电!BD22-核电!BD22-地方燃煤!BD22-风电!BD22-光伏!BD22-联络线!BD22-非市场化!BD22</f>
        <v>12330.25</v>
      </c>
      <c r="BE22">
        <f>负荷!BE22-水电!BE22-核电!BE22-地方燃煤!BE22-风电!BE22-光伏!BE22-联络线!BE22-非市场化!BE22</f>
        <v>12419.95</v>
      </c>
      <c r="BF22">
        <f>负荷!BF22-水电!BF22-核电!BF22-地方燃煤!BF22-风电!BF22-光伏!BF22-联络线!BF22-非市场化!BF22</f>
        <v>12996.2</v>
      </c>
      <c r="BG22">
        <f>负荷!BG22-水电!BG22-核电!BG22-地方燃煤!BG22-风电!BG22-光伏!BG22-联络线!BG22-非市场化!BG22</f>
        <v>13877.84</v>
      </c>
      <c r="BH22">
        <f>负荷!BH22-水电!BH22-核电!BH22-地方燃煤!BH22-风电!BH22-光伏!BH22-联络线!BH22-非市场化!BH22</f>
        <v>13981.6</v>
      </c>
      <c r="BI22">
        <f>负荷!BI22-水电!BI22-核电!BI22-地方燃煤!BI22-风电!BI22-光伏!BI22-联络线!BI22-非市场化!BI22</f>
        <v>14514.16</v>
      </c>
      <c r="BJ22">
        <f>负荷!BJ22-水电!BJ22-核电!BJ22-地方燃煤!BJ22-风电!BJ22-光伏!BJ22-联络线!BJ22-非市场化!BJ22</f>
        <v>14698.75</v>
      </c>
      <c r="BK22">
        <f>负荷!BK22-水电!BK22-核电!BK22-地方燃煤!BK22-风电!BK22-光伏!BK22-联络线!BK22-非市场化!BK22</f>
        <v>14711.67</v>
      </c>
      <c r="BL22">
        <f>负荷!BL22-水电!BL22-核电!BL22-地方燃煤!BL22-风电!BL22-光伏!BL22-联络线!BL22-非市场化!BL22</f>
        <v>15050.06</v>
      </c>
      <c r="BM22">
        <f>负荷!BM22-水电!BM22-核电!BM22-地方燃煤!BM22-风电!BM22-光伏!BM22-联络线!BM22-非市场化!BM22</f>
        <v>15490.93</v>
      </c>
      <c r="BN22">
        <f>负荷!BN22-水电!BN22-核电!BN22-地方燃煤!BN22-风电!BN22-光伏!BN22-联络线!BN22-非市场化!BN22</f>
        <v>15896.27</v>
      </c>
      <c r="BO22">
        <f>负荷!BO22-水电!BO22-核电!BO22-地方燃煤!BO22-风电!BO22-光伏!BO22-联络线!BO22-非市场化!BO22</f>
        <v>15928.23</v>
      </c>
      <c r="BP22">
        <f>负荷!BP22-水电!BP22-核电!BP22-地方燃煤!BP22-风电!BP22-光伏!BP22-联络线!BP22-非市场化!BP22</f>
        <v>15908.17</v>
      </c>
      <c r="BQ22">
        <f>负荷!BQ22-水电!BQ22-核电!BQ22-地方燃煤!BQ22-风电!BQ22-光伏!BQ22-联络线!BQ22-非市场化!BQ22</f>
        <v>15685.94</v>
      </c>
      <c r="BR22">
        <f>负荷!BR22-水电!BR22-核电!BR22-地方燃煤!BR22-风电!BR22-光伏!BR22-联络线!BR22-非市场化!BR22</f>
        <v>15691.48</v>
      </c>
      <c r="BS22">
        <f>负荷!BS22-水电!BS22-核电!BS22-地方燃煤!BS22-风电!BS22-光伏!BS22-联络线!BS22-非市场化!BS22</f>
        <v>16092.9</v>
      </c>
      <c r="BT22">
        <f>负荷!BT22-水电!BT22-核电!BT22-地方燃煤!BT22-风电!BT22-光伏!BT22-联络线!BT22-非市场化!BT22</f>
        <v>16380.27</v>
      </c>
      <c r="BU22">
        <f>负荷!BU22-水电!BU22-核电!BU22-地方燃煤!BU22-风电!BU22-光伏!BU22-联络线!BU22-非市场化!BU22</f>
        <v>16689.11</v>
      </c>
      <c r="BV22">
        <f>负荷!BV22-水电!BV22-核电!BV22-地方燃煤!BV22-风电!BV22-光伏!BV22-联络线!BV22-非市场化!BV22</f>
        <v>16768.05</v>
      </c>
      <c r="BW22">
        <f>负荷!BW22-水电!BW22-核电!BW22-地方燃煤!BW22-风电!BW22-光伏!BW22-联络线!BW22-非市场化!BW22</f>
        <v>16942.51</v>
      </c>
      <c r="BX22">
        <f>负荷!BX22-水电!BX22-核电!BX22-地方燃煤!BX22-风电!BX22-光伏!BX22-联络线!BX22-非市场化!BX22</f>
        <v>17171.28</v>
      </c>
      <c r="BY22">
        <f>负荷!BY22-水电!BY22-核电!BY22-地方燃煤!BY22-风电!BY22-光伏!BY22-联络线!BY22-非市场化!BY22</f>
        <v>16998.4</v>
      </c>
      <c r="BZ22">
        <f>负荷!BZ22-水电!BZ22-核电!BZ22-地方燃煤!BZ22-风电!BZ22-光伏!BZ22-联络线!BZ22-非市场化!BZ22</f>
        <v>17650.43</v>
      </c>
      <c r="CA22">
        <f>负荷!CA22-水电!CA22-核电!CA22-地方燃煤!CA22-风电!CA22-光伏!CA22-联络线!CA22-非市场化!CA22</f>
        <v>18197.84</v>
      </c>
      <c r="CB22">
        <f>负荷!CB22-水电!CB22-核电!CB22-地方燃煤!CB22-风电!CB22-光伏!CB22-联络线!CB22-非市场化!CB22</f>
        <v>18361.22</v>
      </c>
      <c r="CC22">
        <f>负荷!CC22-水电!CC22-核电!CC22-地方燃煤!CC22-风电!CC22-光伏!CC22-联络线!CC22-非市场化!CC22</f>
        <v>18388.64</v>
      </c>
      <c r="CD22">
        <f>负荷!CD22-水电!CD22-核电!CD22-地方燃煤!CD22-风电!CD22-光伏!CD22-联络线!CD22-非市场化!CD22</f>
        <v>18057.81</v>
      </c>
      <c r="CE22">
        <f>负荷!CE22-水电!CE22-核电!CE22-地方燃煤!CE22-风电!CE22-光伏!CE22-联络线!CE22-非市场化!CE22</f>
        <v>17928.45</v>
      </c>
      <c r="CF22">
        <f>负荷!CF22-水电!CF22-核电!CF22-地方燃煤!CF22-风电!CF22-光伏!CF22-联络线!CF22-非市场化!CF22</f>
        <v>17608.03</v>
      </c>
      <c r="CG22">
        <f>负荷!CG22-水电!CG22-核电!CG22-地方燃煤!CG22-风电!CG22-光伏!CG22-联络线!CG22-非市场化!CG22</f>
        <v>17124.36</v>
      </c>
      <c r="CH22">
        <f>负荷!CH22-水电!CH22-核电!CH22-地方燃煤!CH22-风电!CH22-光伏!CH22-联络线!CH22-非市场化!CH22</f>
        <v>16782.73</v>
      </c>
      <c r="CI22">
        <f>负荷!CI22-水电!CI22-核电!CI22-地方燃煤!CI22-风电!CI22-光伏!CI22-联络线!CI22-非市场化!CI22</f>
        <v>16092.36</v>
      </c>
      <c r="CJ22">
        <f>负荷!CJ22-水电!CJ22-核电!CJ22-地方燃煤!CJ22-风电!CJ22-光伏!CJ22-联络线!CJ22-非市场化!CJ22</f>
        <v>15595.01</v>
      </c>
      <c r="CK22">
        <f>负荷!CK22-水电!CK22-核电!CK22-地方燃煤!CK22-风电!CK22-光伏!CK22-联络线!CK22-非市场化!CK22</f>
        <v>14582.2</v>
      </c>
      <c r="CL22">
        <f>负荷!CL22-水电!CL22-核电!CL22-地方燃煤!CL22-风电!CL22-光伏!CL22-联络线!CL22-非市场化!CL22</f>
        <v>14646.98</v>
      </c>
      <c r="CM22">
        <f>负荷!CM22-水电!CM22-核电!CM22-地方燃煤!CM22-风电!CM22-光伏!CM22-联络线!CM22-非市场化!CM22</f>
        <v>14778.42</v>
      </c>
      <c r="CN22">
        <f>负荷!CN22-水电!CN22-核电!CN22-地方燃煤!CN22-风电!CN22-光伏!CN22-联络线!CN22-非市场化!CN22</f>
        <v>15004.24</v>
      </c>
      <c r="CO22">
        <f>负荷!CO22-水电!CO22-核电!CO22-地方燃煤!CO22-风电!CO22-光伏!CO22-联络线!CO22-非市场化!CO22</f>
        <v>15273.21</v>
      </c>
      <c r="CP22">
        <f>负荷!CP22-水电!CP22-核电!CP22-地方燃煤!CP22-风电!CP22-光伏!CP22-联络线!CP22-非市场化!CP22</f>
        <v>15109.69</v>
      </c>
      <c r="CQ22">
        <f>负荷!CQ22-水电!CQ22-核电!CQ22-地方燃煤!CQ22-风电!CQ22-光伏!CQ22-联络线!CQ22-非市场化!CQ22</f>
        <v>14906.79</v>
      </c>
      <c r="CR22">
        <f>负荷!CR22-水电!CR22-核电!CR22-地方燃煤!CR22-风电!CR22-光伏!CR22-联络线!CR22-非市场化!CR22</f>
        <v>14364.4</v>
      </c>
      <c r="CS22">
        <f>负荷!CS22-水电!CS22-核电!CS22-地方燃煤!CS22-风电!CS22-光伏!CS22-联络线!CS22-非市场化!CS22</f>
        <v>13875.24</v>
      </c>
    </row>
    <row r="23" spans="1:97">
      <c r="A23" s="9">
        <v>46256</v>
      </c>
      <c r="B23">
        <f>负荷!B23-水电!B23-核电!B23-地方燃煤!B23-风电!B23-光伏!B23-联络线!B23-非市场化!B23</f>
        <v>14091.06</v>
      </c>
      <c r="C23">
        <f>负荷!C23-水电!C23-核电!C23-地方燃煤!C23-风电!C23-光伏!C23-联络线!C23-非市场化!C23</f>
        <v>14325.39</v>
      </c>
      <c r="D23">
        <f>负荷!D23-水电!D23-核电!D23-地方燃煤!D23-风电!D23-光伏!D23-联络线!D23-非市场化!D23</f>
        <v>14407.22</v>
      </c>
      <c r="E23">
        <f>负荷!E23-水电!E23-核电!E23-地方燃煤!E23-风电!E23-光伏!E23-联络线!E23-非市场化!E23</f>
        <v>14604.75</v>
      </c>
      <c r="F23">
        <f>负荷!F23-水电!F23-核电!F23-地方燃煤!F23-风电!F23-光伏!F23-联络线!F23-非市场化!F23</f>
        <v>14746.06</v>
      </c>
      <c r="G23">
        <f>负荷!G23-水电!G23-核电!G23-地方燃煤!G23-风电!G23-光伏!G23-联络线!G23-非市场化!G23</f>
        <v>14948.72</v>
      </c>
      <c r="H23">
        <f>负荷!H23-水电!H23-核电!H23-地方燃煤!H23-风电!H23-光伏!H23-联络线!H23-非市场化!H23</f>
        <v>15115.38</v>
      </c>
      <c r="I23">
        <f>负荷!I23-水电!I23-核电!I23-地方燃煤!I23-风电!I23-光伏!I23-联络线!I23-非市场化!I23</f>
        <v>15291.3</v>
      </c>
      <c r="J23">
        <f>负荷!J23-水电!J23-核电!J23-地方燃煤!J23-风电!J23-光伏!J23-联络线!J23-非市场化!J23</f>
        <v>15255.95</v>
      </c>
      <c r="K23">
        <f>负荷!K23-水电!K23-核电!K23-地方燃煤!K23-风电!K23-光伏!K23-联络线!K23-非市场化!K23</f>
        <v>15187.43</v>
      </c>
      <c r="L23">
        <f>负荷!L23-水电!L23-核电!L23-地方燃煤!L23-风电!L23-光伏!L23-联络线!L23-非市场化!L23</f>
        <v>15186.54</v>
      </c>
      <c r="M23">
        <f>负荷!M23-水电!M23-核电!M23-地方燃煤!M23-风电!M23-光伏!M23-联络线!M23-非市场化!M23</f>
        <v>15130.59</v>
      </c>
      <c r="N23">
        <f>负荷!N23-水电!N23-核电!N23-地方燃煤!N23-风电!N23-光伏!N23-联络线!N23-非市场化!N23</f>
        <v>15216.3</v>
      </c>
      <c r="O23">
        <f>负荷!O23-水电!O23-核电!O23-地方燃煤!O23-风电!O23-光伏!O23-联络线!O23-非市场化!O23</f>
        <v>15121.14</v>
      </c>
      <c r="P23">
        <f>负荷!P23-水电!P23-核电!P23-地方燃煤!P23-风电!P23-光伏!P23-联络线!P23-非市场化!P23</f>
        <v>15190.9</v>
      </c>
      <c r="Q23">
        <f>负荷!Q23-水电!Q23-核电!Q23-地方燃煤!Q23-风电!Q23-光伏!Q23-联络线!Q23-非市场化!Q23</f>
        <v>15141.28</v>
      </c>
      <c r="R23">
        <f>负荷!R23-水电!R23-核电!R23-地方燃煤!R23-风电!R23-光伏!R23-联络线!R23-非市场化!R23</f>
        <v>15124.63</v>
      </c>
      <c r="S23">
        <f>负荷!S23-水电!S23-核电!S23-地方燃煤!S23-风电!S23-光伏!S23-联络线!S23-非市场化!S23</f>
        <v>15163.88</v>
      </c>
      <c r="T23">
        <f>负荷!T23-水电!T23-核电!T23-地方燃煤!T23-风电!T23-光伏!T23-联络线!T23-非市场化!T23</f>
        <v>15228.72</v>
      </c>
      <c r="U23">
        <f>负荷!U23-水电!U23-核电!U23-地方燃煤!U23-风电!U23-光伏!U23-联络线!U23-非市场化!U23</f>
        <v>15122.6</v>
      </c>
      <c r="V23">
        <f>负荷!V23-水电!V23-核电!V23-地方燃煤!V23-风电!V23-光伏!V23-联络线!V23-非市场化!V23</f>
        <v>15086.69</v>
      </c>
      <c r="W23">
        <f>负荷!W23-水电!W23-核电!W23-地方燃煤!W23-风电!W23-光伏!W23-联络线!W23-非市场化!W23</f>
        <v>14864.16</v>
      </c>
      <c r="X23">
        <f>负荷!X23-水电!X23-核电!X23-地方燃煤!X23-风电!X23-光伏!X23-联络线!X23-非市场化!X23</f>
        <v>14736.61</v>
      </c>
      <c r="Y23">
        <f>负荷!Y23-水电!Y23-核电!Y23-地方燃煤!Y23-风电!Y23-光伏!Y23-联络线!Y23-非市场化!Y23</f>
        <v>14470.01</v>
      </c>
      <c r="Z23">
        <f>负荷!Z23-水电!Z23-核电!Z23-地方燃煤!Z23-风电!Z23-光伏!Z23-联络线!Z23-非市场化!Z23</f>
        <v>15326.94</v>
      </c>
      <c r="AA23">
        <f>负荷!AA23-水电!AA23-核电!AA23-地方燃煤!AA23-风电!AA23-光伏!AA23-联络线!AA23-非市场化!AA23</f>
        <v>15142.63</v>
      </c>
      <c r="AB23">
        <f>负荷!AB23-水电!AB23-核电!AB23-地方燃煤!AB23-风电!AB23-光伏!AB23-联络线!AB23-非市场化!AB23</f>
        <v>14964.31</v>
      </c>
      <c r="AC23">
        <f>负荷!AC23-水电!AC23-核电!AC23-地方燃煤!AC23-风电!AC23-光伏!AC23-联络线!AC23-非市场化!AC23</f>
        <v>14668.83</v>
      </c>
      <c r="AD23">
        <f>负荷!AD23-水电!AD23-核电!AD23-地方燃煤!AD23-风电!AD23-光伏!AD23-联络线!AD23-非市场化!AD23</f>
        <v>14645.26</v>
      </c>
      <c r="AE23">
        <f>负荷!AE23-水电!AE23-核电!AE23-地方燃煤!AE23-风电!AE23-光伏!AE23-联络线!AE23-非市场化!AE23</f>
        <v>14488.99</v>
      </c>
      <c r="AF23">
        <f>负荷!AF23-水电!AF23-核电!AF23-地方燃煤!AF23-风电!AF23-光伏!AF23-联络线!AF23-非市场化!AF23</f>
        <v>14290.9</v>
      </c>
      <c r="AG23">
        <f>负荷!AG23-水电!AG23-核电!AG23-地方燃煤!AG23-风电!AG23-光伏!AG23-联络线!AG23-非市场化!AG23</f>
        <v>14255.52</v>
      </c>
      <c r="AH23">
        <f>负荷!AH23-水电!AH23-核电!AH23-地方燃煤!AH23-风电!AH23-光伏!AH23-联络线!AH23-非市场化!AH23</f>
        <v>14790.38</v>
      </c>
      <c r="AI23">
        <f>负荷!AI23-水电!AI23-核电!AI23-地方燃煤!AI23-风电!AI23-光伏!AI23-联络线!AI23-非市场化!AI23</f>
        <v>14353.83</v>
      </c>
      <c r="AJ23">
        <f>负荷!AJ23-水电!AJ23-核电!AJ23-地方燃煤!AJ23-风电!AJ23-光伏!AJ23-联络线!AJ23-非市场化!AJ23</f>
        <v>13913.81</v>
      </c>
      <c r="AK23">
        <f>负荷!AK23-水电!AK23-核电!AK23-地方燃煤!AK23-风电!AK23-光伏!AK23-联络线!AK23-非市场化!AK23</f>
        <v>13511.3</v>
      </c>
      <c r="AL23">
        <f>负荷!AL23-水电!AL23-核电!AL23-地方燃煤!AL23-风电!AL23-光伏!AL23-联络线!AL23-非市场化!AL23</f>
        <v>12999.54</v>
      </c>
      <c r="AM23">
        <f>负荷!AM23-水电!AM23-核电!AM23-地方燃煤!AM23-风电!AM23-光伏!AM23-联络线!AM23-非市场化!AM23</f>
        <v>12891.36</v>
      </c>
      <c r="AN23">
        <f>负荷!AN23-水电!AN23-核电!AN23-地方燃煤!AN23-风电!AN23-光伏!AN23-联络线!AN23-非市场化!AN23</f>
        <v>12643.86</v>
      </c>
      <c r="AO23">
        <f>负荷!AO23-水电!AO23-核电!AO23-地方燃煤!AO23-风电!AO23-光伏!AO23-联络线!AO23-非市场化!AO23</f>
        <v>12475.6</v>
      </c>
      <c r="AP23">
        <f>负荷!AP23-水电!AP23-核电!AP23-地方燃煤!AP23-风电!AP23-光伏!AP23-联络线!AP23-非市场化!AP23</f>
        <v>11529.51</v>
      </c>
      <c r="AQ23">
        <f>负荷!AQ23-水电!AQ23-核电!AQ23-地方燃煤!AQ23-风电!AQ23-光伏!AQ23-联络线!AQ23-非市场化!AQ23</f>
        <v>11211.41</v>
      </c>
      <c r="AR23">
        <f>负荷!AR23-水电!AR23-核电!AR23-地方燃煤!AR23-风电!AR23-光伏!AR23-联络线!AR23-非市场化!AR23</f>
        <v>10844.02</v>
      </c>
      <c r="AS23">
        <f>负荷!AS23-水电!AS23-核电!AS23-地方燃煤!AS23-风电!AS23-光伏!AS23-联络线!AS23-非市场化!AS23</f>
        <v>10432.6</v>
      </c>
      <c r="AT23">
        <f>负荷!AT23-水电!AT23-核电!AT23-地方燃煤!AT23-风电!AT23-光伏!AT23-联络线!AT23-非市场化!AT23</f>
        <v>10240.52</v>
      </c>
      <c r="AU23">
        <f>负荷!AU23-水电!AU23-核电!AU23-地方燃煤!AU23-风电!AU23-光伏!AU23-联络线!AU23-非市场化!AU23</f>
        <v>9824.52</v>
      </c>
      <c r="AV23">
        <f>负荷!AV23-水电!AV23-核电!AV23-地方燃煤!AV23-风电!AV23-光伏!AV23-联络线!AV23-非市场化!AV23</f>
        <v>9823.29</v>
      </c>
      <c r="AW23">
        <f>负荷!AW23-水电!AW23-核电!AW23-地方燃煤!AW23-风电!AW23-光伏!AW23-联络线!AW23-非市场化!AW23</f>
        <v>9809.76</v>
      </c>
      <c r="AX23">
        <f>负荷!AX23-水电!AX23-核电!AX23-地方燃煤!AX23-风电!AX23-光伏!AX23-联络线!AX23-非市场化!AX23</f>
        <v>10268.43</v>
      </c>
      <c r="AY23">
        <f>负荷!AY23-水电!AY23-核电!AY23-地方燃煤!AY23-风电!AY23-光伏!AY23-联络线!AY23-非市场化!AY23</f>
        <v>10165.23</v>
      </c>
      <c r="AZ23">
        <f>负荷!AZ23-水电!AZ23-核电!AZ23-地方燃煤!AZ23-风电!AZ23-光伏!AZ23-联络线!AZ23-非市场化!AZ23</f>
        <v>10219.32</v>
      </c>
      <c r="BA23">
        <f>负荷!BA23-水电!BA23-核电!BA23-地方燃煤!BA23-风电!BA23-光伏!BA23-联络线!BA23-非市场化!BA23</f>
        <v>9858.36</v>
      </c>
      <c r="BB23">
        <f>负荷!BB23-水电!BB23-核电!BB23-地方燃煤!BB23-风电!BB23-光伏!BB23-联络线!BB23-非市场化!BB23</f>
        <v>10154.04</v>
      </c>
      <c r="BC23">
        <f>负荷!BC23-水电!BC23-核电!BC23-地方燃煤!BC23-风电!BC23-光伏!BC23-联络线!BC23-非市场化!BC23</f>
        <v>10210.8</v>
      </c>
      <c r="BD23">
        <f>负荷!BD23-水电!BD23-核电!BD23-地方燃煤!BD23-风电!BD23-光伏!BD23-联络线!BD23-非市场化!BD23</f>
        <v>10297.72</v>
      </c>
      <c r="BE23">
        <f>负荷!BE23-水电!BE23-核电!BE23-地方燃煤!BE23-风电!BE23-光伏!BE23-联络线!BE23-非市场化!BE23</f>
        <v>9914.73</v>
      </c>
      <c r="BF23">
        <f>负荷!BF23-水电!BF23-核电!BF23-地方燃煤!BF23-风电!BF23-光伏!BF23-联络线!BF23-非市场化!BF23</f>
        <v>9934.08000000001</v>
      </c>
      <c r="BG23">
        <f>负荷!BG23-水电!BG23-核电!BG23-地方燃煤!BG23-风电!BG23-光伏!BG23-联络线!BG23-非市场化!BG23</f>
        <v>9881.7</v>
      </c>
      <c r="BH23">
        <f>负荷!BH23-水电!BH23-核电!BH23-地方燃煤!BH23-风电!BH23-光伏!BH23-联络线!BH23-非市场化!BH23</f>
        <v>9817.33</v>
      </c>
      <c r="BI23">
        <f>负荷!BI23-水电!BI23-核电!BI23-地方燃煤!BI23-风电!BI23-光伏!BI23-联络线!BI23-非市场化!BI23</f>
        <v>9783.92</v>
      </c>
      <c r="BJ23">
        <f>负荷!BJ23-水电!BJ23-核电!BJ23-地方燃煤!BJ23-风电!BJ23-光伏!BJ23-联络线!BJ23-非市场化!BJ23</f>
        <v>10192.16</v>
      </c>
      <c r="BK23">
        <f>负荷!BK23-水电!BK23-核电!BK23-地方燃煤!BK23-风电!BK23-光伏!BK23-联络线!BK23-非市场化!BK23</f>
        <v>10599.94</v>
      </c>
      <c r="BL23">
        <f>负荷!BL23-水电!BL23-核电!BL23-地方燃煤!BL23-风电!BL23-光伏!BL23-联络线!BL23-非市场化!BL23</f>
        <v>10851.84</v>
      </c>
      <c r="BM23">
        <f>负荷!BM23-水电!BM23-核电!BM23-地方燃煤!BM23-风电!BM23-光伏!BM23-联络线!BM23-非市场化!BM23</f>
        <v>11229.89</v>
      </c>
      <c r="BN23">
        <f>负荷!BN23-水电!BN23-核电!BN23-地方燃煤!BN23-风电!BN23-光伏!BN23-联络线!BN23-非市场化!BN23</f>
        <v>12223.71</v>
      </c>
      <c r="BO23">
        <f>负荷!BO23-水电!BO23-核电!BO23-地方燃煤!BO23-风电!BO23-光伏!BO23-联络线!BO23-非市场化!BO23</f>
        <v>12773.32</v>
      </c>
      <c r="BP23">
        <f>负荷!BP23-水电!BP23-核电!BP23-地方燃煤!BP23-风电!BP23-光伏!BP23-联络线!BP23-非市场化!BP23</f>
        <v>13075.89</v>
      </c>
      <c r="BQ23">
        <f>负荷!BQ23-水电!BQ23-核电!BQ23-地方燃煤!BQ23-风电!BQ23-光伏!BQ23-联络线!BQ23-非市场化!BQ23</f>
        <v>12913.74</v>
      </c>
      <c r="BR23">
        <f>负荷!BR23-水电!BR23-核电!BR23-地方燃煤!BR23-风电!BR23-光伏!BR23-联络线!BR23-非市场化!BR23</f>
        <v>13861.03</v>
      </c>
      <c r="BS23">
        <f>负荷!BS23-水电!BS23-核电!BS23-地方燃煤!BS23-风电!BS23-光伏!BS23-联络线!BS23-非市场化!BS23</f>
        <v>14172.55</v>
      </c>
      <c r="BT23">
        <f>负荷!BT23-水电!BT23-核电!BT23-地方燃煤!BT23-风电!BT23-光伏!BT23-联络线!BT23-非市场化!BT23</f>
        <v>14421.52</v>
      </c>
      <c r="BU23">
        <f>负荷!BU23-水电!BU23-核电!BU23-地方燃煤!BU23-风电!BU23-光伏!BU23-联络线!BU23-非市场化!BU23</f>
        <v>14593.89</v>
      </c>
      <c r="BV23">
        <f>负荷!BV23-水电!BV23-核电!BV23-地方燃煤!BV23-风电!BV23-光伏!BV23-联络线!BV23-非市场化!BV23</f>
        <v>14623.9</v>
      </c>
      <c r="BW23">
        <f>负荷!BW23-水电!BW23-核电!BW23-地方燃煤!BW23-风电!BW23-光伏!BW23-联络线!BW23-非市场化!BW23</f>
        <v>14790</v>
      </c>
      <c r="BX23">
        <f>负荷!BX23-水电!BX23-核电!BX23-地方燃煤!BX23-风电!BX23-光伏!BX23-联络线!BX23-非市场化!BX23</f>
        <v>15125.6</v>
      </c>
      <c r="BY23">
        <f>负荷!BY23-水电!BY23-核电!BY23-地方燃煤!BY23-风电!BY23-光伏!BY23-联络线!BY23-非市场化!BY23</f>
        <v>15542.86</v>
      </c>
      <c r="BZ23">
        <f>负荷!BZ23-水电!BZ23-核电!BZ23-地方燃煤!BZ23-风电!BZ23-光伏!BZ23-联络线!BZ23-非市场化!BZ23</f>
        <v>15406.83</v>
      </c>
      <c r="CA23">
        <f>负荷!CA23-水电!CA23-核电!CA23-地方燃煤!CA23-风电!CA23-光伏!CA23-联络线!CA23-非市场化!CA23</f>
        <v>15287.15</v>
      </c>
      <c r="CB23">
        <f>负荷!CB23-水电!CB23-核电!CB23-地方燃煤!CB23-风电!CB23-光伏!CB23-联络线!CB23-非市场化!CB23</f>
        <v>15156.74</v>
      </c>
      <c r="CC23">
        <f>负荷!CC23-水电!CC23-核电!CC23-地方燃煤!CC23-风电!CC23-光伏!CC23-联络线!CC23-非市场化!CC23</f>
        <v>14764.37</v>
      </c>
      <c r="CD23">
        <f>负荷!CD23-水电!CD23-核电!CD23-地方燃煤!CD23-风电!CD23-光伏!CD23-联络线!CD23-非市场化!CD23</f>
        <v>13889.76</v>
      </c>
      <c r="CE23">
        <f>负荷!CE23-水电!CE23-核电!CE23-地方燃煤!CE23-风电!CE23-光伏!CE23-联络线!CE23-非市场化!CE23</f>
        <v>13832.86</v>
      </c>
      <c r="CF23">
        <f>负荷!CF23-水电!CF23-核电!CF23-地方燃煤!CF23-风电!CF23-光伏!CF23-联络线!CF23-非市场化!CF23</f>
        <v>13522.18</v>
      </c>
      <c r="CG23">
        <f>负荷!CG23-水电!CG23-核电!CG23-地方燃煤!CG23-风电!CG23-光伏!CG23-联络线!CG23-非市场化!CG23</f>
        <v>13490.42</v>
      </c>
      <c r="CH23">
        <f>负荷!CH23-水电!CH23-核电!CH23-地方燃煤!CH23-风电!CH23-光伏!CH23-联络线!CH23-非市场化!CH23</f>
        <v>13708.24</v>
      </c>
      <c r="CI23">
        <f>负荷!CI23-水电!CI23-核电!CI23-地方燃煤!CI23-风电!CI23-光伏!CI23-联络线!CI23-非市场化!CI23</f>
        <v>13259.91</v>
      </c>
      <c r="CJ23">
        <f>负荷!CJ23-水电!CJ23-核电!CJ23-地方燃煤!CJ23-风电!CJ23-光伏!CJ23-联络线!CJ23-非市场化!CJ23</f>
        <v>12856.92</v>
      </c>
      <c r="CK23">
        <f>负荷!CK23-水电!CK23-核电!CK23-地方燃煤!CK23-风电!CK23-光伏!CK23-联络线!CK23-非市场化!CK23</f>
        <v>12394.71</v>
      </c>
      <c r="CL23">
        <f>负荷!CL23-水电!CL23-核电!CL23-地方燃煤!CL23-风电!CL23-光伏!CL23-联络线!CL23-非市场化!CL23</f>
        <v>12504.39</v>
      </c>
      <c r="CM23">
        <f>负荷!CM23-水电!CM23-核电!CM23-地方燃煤!CM23-风电!CM23-光伏!CM23-联络线!CM23-非市场化!CM23</f>
        <v>12660.08</v>
      </c>
      <c r="CN23">
        <f>负荷!CN23-水电!CN23-核电!CN23-地方燃煤!CN23-风电!CN23-光伏!CN23-联络线!CN23-非市场化!CN23</f>
        <v>12911.02</v>
      </c>
      <c r="CO23">
        <f>负荷!CO23-水电!CO23-核电!CO23-地方燃煤!CO23-风电!CO23-光伏!CO23-联络线!CO23-非市场化!CO23</f>
        <v>13050.07</v>
      </c>
      <c r="CP23">
        <f>负荷!CP23-水电!CP23-核电!CP23-地方燃煤!CP23-风电!CP23-光伏!CP23-联络线!CP23-非市场化!CP23</f>
        <v>13026.78</v>
      </c>
      <c r="CQ23">
        <f>负荷!CQ23-水电!CQ23-核电!CQ23-地方燃煤!CQ23-风电!CQ23-光伏!CQ23-联络线!CQ23-非市场化!CQ23</f>
        <v>12508.9</v>
      </c>
      <c r="CR23">
        <f>负荷!CR23-水电!CR23-核电!CR23-地方燃煤!CR23-风电!CR23-光伏!CR23-联络线!CR23-非市场化!CR23</f>
        <v>11992.24</v>
      </c>
      <c r="CS23">
        <f>负荷!CS23-水电!CS23-核电!CS23-地方燃煤!CS23-风电!CS23-光伏!CS23-联络线!CS23-非市场化!CS23</f>
        <v>11634.36</v>
      </c>
    </row>
    <row r="24" spans="1:97">
      <c r="A24" s="9">
        <v>46257</v>
      </c>
      <c r="B24">
        <f>负荷!B24-水电!B24-核电!B24-地方燃煤!B24-风电!B24-光伏!B24-联络线!B24-非市场化!B24</f>
        <v>11439.04</v>
      </c>
      <c r="C24">
        <f>负荷!C24-水电!C24-核电!C24-地方燃煤!C24-风电!C24-光伏!C24-联络线!C24-非市场化!C24</f>
        <v>11472.42</v>
      </c>
      <c r="D24">
        <f>负荷!D24-水电!D24-核电!D24-地方燃煤!D24-风电!D24-光伏!D24-联络线!D24-非市场化!D24</f>
        <v>11447.62</v>
      </c>
      <c r="E24">
        <f>负荷!E24-水电!E24-核电!E24-地方燃煤!E24-风电!E24-光伏!E24-联络线!E24-非市场化!E24</f>
        <v>11515.26</v>
      </c>
      <c r="F24">
        <f>负荷!F24-水电!F24-核电!F24-地方燃煤!F24-风电!F24-光伏!F24-联络线!F24-非市场化!F24</f>
        <v>11267.98</v>
      </c>
      <c r="G24">
        <f>负荷!G24-水电!G24-核电!G24-地方燃煤!G24-风电!G24-光伏!G24-联络线!G24-非市场化!G24</f>
        <v>11051.08</v>
      </c>
      <c r="H24">
        <f>负荷!H24-水电!H24-核电!H24-地方燃煤!H24-风电!H24-光伏!H24-联络线!H24-非市场化!H24</f>
        <v>10904.02</v>
      </c>
      <c r="I24">
        <f>负荷!I24-水电!I24-核电!I24-地方燃煤!I24-风电!I24-光伏!I24-联络线!I24-非市场化!I24</f>
        <v>10659.85</v>
      </c>
      <c r="J24">
        <f>负荷!J24-水电!J24-核电!J24-地方燃煤!J24-风电!J24-光伏!J24-联络线!J24-非市场化!J24</f>
        <v>10298.83</v>
      </c>
      <c r="K24">
        <f>负荷!K24-水电!K24-核电!K24-地方燃煤!K24-风电!K24-光伏!K24-联络线!K24-非市场化!K24</f>
        <v>10219.37</v>
      </c>
      <c r="L24">
        <f>负荷!L24-水电!L24-核电!L24-地方燃煤!L24-风电!L24-光伏!L24-联络线!L24-非市场化!L24</f>
        <v>10163.51</v>
      </c>
      <c r="M24">
        <f>负荷!M24-水电!M24-核电!M24-地方燃煤!M24-风电!M24-光伏!M24-联络线!M24-非市场化!M24</f>
        <v>10074.9</v>
      </c>
      <c r="N24">
        <f>负荷!N24-水电!N24-核电!N24-地方燃煤!N24-风电!N24-光伏!N24-联络线!N24-非市场化!N24</f>
        <v>10398.53</v>
      </c>
      <c r="O24">
        <f>负荷!O24-水电!O24-核电!O24-地方燃煤!O24-风电!O24-光伏!O24-联络线!O24-非市场化!O24</f>
        <v>10338.25</v>
      </c>
      <c r="P24">
        <f>负荷!P24-水电!P24-核电!P24-地方燃煤!P24-风电!P24-光伏!P24-联络线!P24-非市场化!P24</f>
        <v>10415.78</v>
      </c>
      <c r="Q24">
        <f>负荷!Q24-水电!Q24-核电!Q24-地方燃煤!Q24-风电!Q24-光伏!Q24-联络线!Q24-非市场化!Q24</f>
        <v>10439.13</v>
      </c>
      <c r="R24">
        <f>负荷!R24-水电!R24-核电!R24-地方燃煤!R24-风电!R24-光伏!R24-联络线!R24-非市场化!R24</f>
        <v>10460.68</v>
      </c>
      <c r="S24">
        <f>负荷!S24-水电!S24-核电!S24-地方燃煤!S24-风电!S24-光伏!S24-联络线!S24-非市场化!S24</f>
        <v>10214.04</v>
      </c>
      <c r="T24">
        <f>负荷!T24-水电!T24-核电!T24-地方燃煤!T24-风电!T24-光伏!T24-联络线!T24-非市场化!T24</f>
        <v>10066.36</v>
      </c>
      <c r="U24">
        <f>负荷!U24-水电!U24-核电!U24-地方燃煤!U24-风电!U24-光伏!U24-联络线!U24-非市场化!U24</f>
        <v>9969.08</v>
      </c>
      <c r="V24">
        <f>负荷!V24-水电!V24-核电!V24-地方燃煤!V24-风电!V24-光伏!V24-联络线!V24-非市场化!V24</f>
        <v>9854.14</v>
      </c>
      <c r="W24">
        <f>负荷!W24-水电!W24-核电!W24-地方燃煤!W24-风电!W24-光伏!W24-联络线!W24-非市场化!W24</f>
        <v>9725.43</v>
      </c>
      <c r="X24">
        <f>负荷!X24-水电!X24-核电!X24-地方燃煤!X24-风电!X24-光伏!X24-联络线!X24-非市场化!X24</f>
        <v>9724.17</v>
      </c>
      <c r="Y24">
        <f>负荷!Y24-水电!Y24-核电!Y24-地方燃煤!Y24-风电!Y24-光伏!Y24-联络线!Y24-非市场化!Y24</f>
        <v>9561.29</v>
      </c>
      <c r="Z24">
        <f>负荷!Z24-水电!Z24-核电!Z24-地方燃煤!Z24-风电!Z24-光伏!Z24-联络线!Z24-非市场化!Z24</f>
        <v>9320.25</v>
      </c>
      <c r="AA24">
        <f>负荷!AA24-水电!AA24-核电!AA24-地方燃煤!AA24-风电!AA24-光伏!AA24-联络线!AA24-非市场化!AA24</f>
        <v>9074.93</v>
      </c>
      <c r="AB24">
        <f>负荷!AB24-水电!AB24-核电!AB24-地方燃煤!AB24-风电!AB24-光伏!AB24-联络线!AB24-非市场化!AB24</f>
        <v>8969.42</v>
      </c>
      <c r="AC24">
        <f>负荷!AC24-水电!AC24-核电!AC24-地方燃煤!AC24-风电!AC24-光伏!AC24-联络线!AC24-非市场化!AC24</f>
        <v>8716.66</v>
      </c>
      <c r="AD24">
        <f>负荷!AD24-水电!AD24-核电!AD24-地方燃煤!AD24-风电!AD24-光伏!AD24-联络线!AD24-非市场化!AD24</f>
        <v>8609.28</v>
      </c>
      <c r="AE24">
        <f>负荷!AE24-水电!AE24-核电!AE24-地方燃煤!AE24-风电!AE24-光伏!AE24-联络线!AE24-非市场化!AE24</f>
        <v>8471.02</v>
      </c>
      <c r="AF24">
        <f>负荷!AF24-水电!AF24-核电!AF24-地方燃煤!AF24-风电!AF24-光伏!AF24-联络线!AF24-非市场化!AF24</f>
        <v>8344.21</v>
      </c>
      <c r="AG24">
        <f>负荷!AG24-水电!AG24-核电!AG24-地方燃煤!AG24-风电!AG24-光伏!AG24-联络线!AG24-非市场化!AG24</f>
        <v>8278.6</v>
      </c>
      <c r="AH24">
        <f>负荷!AH24-水电!AH24-核电!AH24-地方燃煤!AH24-风电!AH24-光伏!AH24-联络线!AH24-非市场化!AH24</f>
        <v>8910.09999999999</v>
      </c>
      <c r="AI24">
        <f>负荷!AI24-水电!AI24-核电!AI24-地方燃煤!AI24-风电!AI24-光伏!AI24-联络线!AI24-非市场化!AI24</f>
        <v>8458.74</v>
      </c>
      <c r="AJ24">
        <f>负荷!AJ24-水电!AJ24-核电!AJ24-地方燃煤!AJ24-风电!AJ24-光伏!AJ24-联络线!AJ24-非市场化!AJ24</f>
        <v>7884.51</v>
      </c>
      <c r="AK24">
        <f>负荷!AK24-水电!AK24-核电!AK24-地方燃煤!AK24-风电!AK24-光伏!AK24-联络线!AK24-非市场化!AK24</f>
        <v>7229.5</v>
      </c>
      <c r="AL24">
        <f>负荷!AL24-水电!AL24-核电!AL24-地方燃煤!AL24-风电!AL24-光伏!AL24-联络线!AL24-非市场化!AL24</f>
        <v>6538.78</v>
      </c>
      <c r="AM24">
        <f>负荷!AM24-水电!AM24-核电!AM24-地方燃煤!AM24-风电!AM24-光伏!AM24-联络线!AM24-非市场化!AM24</f>
        <v>6227.39</v>
      </c>
      <c r="AN24">
        <f>负荷!AN24-水电!AN24-核电!AN24-地方燃煤!AN24-风电!AN24-光伏!AN24-联络线!AN24-非市场化!AN24</f>
        <v>6088.81</v>
      </c>
      <c r="AO24">
        <f>负荷!AO24-水电!AO24-核电!AO24-地方燃煤!AO24-风电!AO24-光伏!AO24-联络线!AO24-非市场化!AO24</f>
        <v>6182.96</v>
      </c>
      <c r="AP24">
        <f>负荷!AP24-水电!AP24-核电!AP24-地方燃煤!AP24-风电!AP24-光伏!AP24-联络线!AP24-非市场化!AP24</f>
        <v>6314.82</v>
      </c>
      <c r="AQ24">
        <f>负荷!AQ24-水电!AQ24-核电!AQ24-地方燃煤!AQ24-风电!AQ24-光伏!AQ24-联络线!AQ24-非市场化!AQ24</f>
        <v>6448.08</v>
      </c>
      <c r="AR24">
        <f>负荷!AR24-水电!AR24-核电!AR24-地方燃煤!AR24-风电!AR24-光伏!AR24-联络线!AR24-非市场化!AR24</f>
        <v>6915.42999999999</v>
      </c>
      <c r="AS24">
        <f>负荷!AS24-水电!AS24-核电!AS24-地方燃煤!AS24-风电!AS24-光伏!AS24-联络线!AS24-非市场化!AS24</f>
        <v>6955.64</v>
      </c>
      <c r="AT24">
        <f>负荷!AT24-水电!AT24-核电!AT24-地方燃煤!AT24-风电!AT24-光伏!AT24-联络线!AT24-非市场化!AT24</f>
        <v>7583.24</v>
      </c>
      <c r="AU24">
        <f>负荷!AU24-水电!AU24-核电!AU24-地方燃煤!AU24-风电!AU24-光伏!AU24-联络线!AU24-非市场化!AU24</f>
        <v>7605.61</v>
      </c>
      <c r="AV24">
        <f>负荷!AV24-水电!AV24-核电!AV24-地方燃煤!AV24-风电!AV24-光伏!AV24-联络线!AV24-非市场化!AV24</f>
        <v>8081.11999999999</v>
      </c>
      <c r="AW24">
        <f>负荷!AW24-水电!AW24-核电!AW24-地方燃煤!AW24-风电!AW24-光伏!AW24-联络线!AW24-非市场化!AW24</f>
        <v>8227.1</v>
      </c>
      <c r="AX24">
        <f>负荷!AX24-水电!AX24-核电!AX24-地方燃煤!AX24-风电!AX24-光伏!AX24-联络线!AX24-非市场化!AX24</f>
        <v>9049</v>
      </c>
      <c r="AY24">
        <f>负荷!AY24-水电!AY24-核电!AY24-地方燃煤!AY24-风电!AY24-光伏!AY24-联络线!AY24-非市场化!AY24</f>
        <v>9394.92</v>
      </c>
      <c r="AZ24">
        <f>负荷!AZ24-水电!AZ24-核电!AZ24-地方燃煤!AZ24-风电!AZ24-光伏!AZ24-联络线!AZ24-非市场化!AZ24</f>
        <v>9506.25</v>
      </c>
      <c r="BA24">
        <f>负荷!BA24-水电!BA24-核电!BA24-地方燃煤!BA24-风电!BA24-光伏!BA24-联络线!BA24-非市场化!BA24</f>
        <v>9432.96</v>
      </c>
      <c r="BB24">
        <f>负荷!BB24-水电!BB24-核电!BB24-地方燃煤!BB24-风电!BB24-光伏!BB24-联络线!BB24-非市场化!BB24</f>
        <v>9634.52</v>
      </c>
      <c r="BC24">
        <f>负荷!BC24-水电!BC24-核电!BC24-地方燃煤!BC24-风电!BC24-光伏!BC24-联络线!BC24-非市场化!BC24</f>
        <v>9743.39</v>
      </c>
      <c r="BD24">
        <f>负荷!BD24-水电!BD24-核电!BD24-地方燃煤!BD24-风电!BD24-光伏!BD24-联络线!BD24-非市场化!BD24</f>
        <v>10147.94</v>
      </c>
      <c r="BE24">
        <f>负荷!BE24-水电!BE24-核电!BE24-地方燃煤!BE24-风电!BE24-光伏!BE24-联络线!BE24-非市场化!BE24</f>
        <v>10219.08</v>
      </c>
      <c r="BF24">
        <f>负荷!BF24-水电!BF24-核电!BF24-地方燃煤!BF24-风电!BF24-光伏!BF24-联络线!BF24-非市场化!BF24</f>
        <v>10379.37</v>
      </c>
      <c r="BG24">
        <f>负荷!BG24-水电!BG24-核电!BG24-地方燃煤!BG24-风电!BG24-光伏!BG24-联络线!BG24-非市场化!BG24</f>
        <v>10496.97</v>
      </c>
      <c r="BH24">
        <f>负荷!BH24-水电!BH24-核电!BH24-地方燃煤!BH24-风电!BH24-光伏!BH24-联络线!BH24-非市场化!BH24</f>
        <v>10608.97</v>
      </c>
      <c r="BI24">
        <f>负荷!BI24-水电!BI24-核电!BI24-地方燃煤!BI24-风电!BI24-光伏!BI24-联络线!BI24-非市场化!BI24</f>
        <v>10727.36</v>
      </c>
      <c r="BJ24">
        <f>负荷!BJ24-水电!BJ24-核电!BJ24-地方燃煤!BJ24-风电!BJ24-光伏!BJ24-联络线!BJ24-非市场化!BJ24</f>
        <v>12497.09</v>
      </c>
      <c r="BK24">
        <f>负荷!BK24-水电!BK24-核电!BK24-地方燃煤!BK24-风电!BK24-光伏!BK24-联络线!BK24-非市场化!BK24</f>
        <v>13123.53</v>
      </c>
      <c r="BL24">
        <f>负荷!BL24-水电!BL24-核电!BL24-地方燃煤!BL24-风电!BL24-光伏!BL24-联络线!BL24-非市场化!BL24</f>
        <v>13096.27</v>
      </c>
      <c r="BM24">
        <f>负荷!BM24-水电!BM24-核电!BM24-地方燃煤!BM24-风电!BM24-光伏!BM24-联络线!BM24-非市场化!BM24</f>
        <v>13070.13</v>
      </c>
      <c r="BN24">
        <f>负荷!BN24-水电!BN24-核电!BN24-地方燃煤!BN24-风电!BN24-光伏!BN24-联络线!BN24-非市场化!BN24</f>
        <v>13677.35</v>
      </c>
      <c r="BO24">
        <f>负荷!BO24-水电!BO24-核电!BO24-地方燃煤!BO24-风电!BO24-光伏!BO24-联络线!BO24-非市场化!BO24</f>
        <v>14012.21</v>
      </c>
      <c r="BP24">
        <f>负荷!BP24-水电!BP24-核电!BP24-地方燃煤!BP24-风电!BP24-光伏!BP24-联络线!BP24-非市场化!BP24</f>
        <v>14167.97</v>
      </c>
      <c r="BQ24">
        <f>负荷!BQ24-水电!BQ24-核电!BQ24-地方燃煤!BQ24-风电!BQ24-光伏!BQ24-联络线!BQ24-非市场化!BQ24</f>
        <v>13880.24</v>
      </c>
      <c r="BR24">
        <f>负荷!BR24-水电!BR24-核电!BR24-地方燃煤!BR24-风电!BR24-光伏!BR24-联络线!BR24-非市场化!BR24</f>
        <v>13923.96</v>
      </c>
      <c r="BS24">
        <f>负荷!BS24-水电!BS24-核电!BS24-地方燃煤!BS24-风电!BS24-光伏!BS24-联络线!BS24-非市场化!BS24</f>
        <v>14487.11</v>
      </c>
      <c r="BT24">
        <f>负荷!BT24-水电!BT24-核电!BT24-地方燃煤!BT24-风电!BT24-光伏!BT24-联络线!BT24-非市场化!BT24</f>
        <v>14831.15</v>
      </c>
      <c r="BU24">
        <f>负荷!BU24-水电!BU24-核电!BU24-地方燃煤!BU24-风电!BU24-光伏!BU24-联络线!BU24-非市场化!BU24</f>
        <v>15082.85</v>
      </c>
      <c r="BV24">
        <f>负荷!BV24-水电!BV24-核电!BV24-地方燃煤!BV24-风电!BV24-光伏!BV24-联络线!BV24-非市场化!BV24</f>
        <v>14765.64</v>
      </c>
      <c r="BW24">
        <f>负荷!BW24-水电!BW24-核电!BW24-地方燃煤!BW24-风电!BW24-光伏!BW24-联络线!BW24-非市场化!BW24</f>
        <v>15103.93</v>
      </c>
      <c r="BX24">
        <f>负荷!BX24-水电!BX24-核电!BX24-地方燃煤!BX24-风电!BX24-光伏!BX24-联络线!BX24-非市场化!BX24</f>
        <v>15489.73</v>
      </c>
      <c r="BY24">
        <f>负荷!BY24-水电!BY24-核电!BY24-地方燃煤!BY24-风电!BY24-光伏!BY24-联络线!BY24-非市场化!BY24</f>
        <v>15907.71</v>
      </c>
      <c r="BZ24">
        <f>负荷!BZ24-水电!BZ24-核电!BZ24-地方燃煤!BZ24-风电!BZ24-光伏!BZ24-联络线!BZ24-非市场化!BZ24</f>
        <v>15261.93</v>
      </c>
      <c r="CA24">
        <f>负荷!CA24-水电!CA24-核电!CA24-地方燃煤!CA24-风电!CA24-光伏!CA24-联络线!CA24-非市场化!CA24</f>
        <v>15317.59</v>
      </c>
      <c r="CB24">
        <f>负荷!CB24-水电!CB24-核电!CB24-地方燃煤!CB24-风电!CB24-光伏!CB24-联络线!CB24-非市场化!CB24</f>
        <v>15276.43</v>
      </c>
      <c r="CC24">
        <f>负荷!CC24-水电!CC24-核电!CC24-地方燃煤!CC24-风电!CC24-光伏!CC24-联络线!CC24-非市场化!CC24</f>
        <v>14949.1</v>
      </c>
      <c r="CD24">
        <f>负荷!CD24-水电!CD24-核电!CD24-地方燃煤!CD24-风电!CD24-光伏!CD24-联络线!CD24-非市场化!CD24</f>
        <v>15287.51</v>
      </c>
      <c r="CE24">
        <f>负荷!CE24-水电!CE24-核电!CE24-地方燃煤!CE24-风电!CE24-光伏!CE24-联络线!CE24-非市场化!CE24</f>
        <v>15288.51</v>
      </c>
      <c r="CF24">
        <f>负荷!CF24-水电!CF24-核电!CF24-地方燃煤!CF24-风电!CF24-光伏!CF24-联络线!CF24-非市场化!CF24</f>
        <v>15044.44</v>
      </c>
      <c r="CG24">
        <f>负荷!CG24-水电!CG24-核电!CG24-地方燃煤!CG24-风电!CG24-光伏!CG24-联络线!CG24-非市场化!CG24</f>
        <v>14758.52</v>
      </c>
      <c r="CH24">
        <f>负荷!CH24-水电!CH24-核电!CH24-地方燃煤!CH24-风电!CH24-光伏!CH24-联络线!CH24-非市场化!CH24</f>
        <v>15020.9</v>
      </c>
      <c r="CI24">
        <f>负荷!CI24-水电!CI24-核电!CI24-地方燃煤!CI24-风电!CI24-光伏!CI24-联络线!CI24-非市场化!CI24</f>
        <v>14716.17</v>
      </c>
      <c r="CJ24">
        <f>负荷!CJ24-水电!CJ24-核电!CJ24-地方燃煤!CJ24-风电!CJ24-光伏!CJ24-联络线!CJ24-非市场化!CJ24</f>
        <v>13986.86</v>
      </c>
      <c r="CK24">
        <f>负荷!CK24-水电!CK24-核电!CK24-地方燃煤!CK24-风电!CK24-光伏!CK24-联络线!CK24-非市场化!CK24</f>
        <v>13286.7</v>
      </c>
      <c r="CL24">
        <f>负荷!CL24-水电!CL24-核电!CL24-地方燃煤!CL24-风电!CL24-光伏!CL24-联络线!CL24-非市场化!CL24</f>
        <v>12974.13</v>
      </c>
      <c r="CM24">
        <f>负荷!CM24-水电!CM24-核电!CM24-地方燃煤!CM24-风电!CM24-光伏!CM24-联络线!CM24-非市场化!CM24</f>
        <v>12822.71</v>
      </c>
      <c r="CN24">
        <f>负荷!CN24-水电!CN24-核电!CN24-地方燃煤!CN24-风电!CN24-光伏!CN24-联络线!CN24-非市场化!CN24</f>
        <v>12827.53</v>
      </c>
      <c r="CO24">
        <f>负荷!CO24-水电!CO24-核电!CO24-地方燃煤!CO24-风电!CO24-光伏!CO24-联络线!CO24-非市场化!CO24</f>
        <v>13338.37</v>
      </c>
      <c r="CP24">
        <f>负荷!CP24-水电!CP24-核电!CP24-地方燃煤!CP24-风电!CP24-光伏!CP24-联络线!CP24-非市场化!CP24</f>
        <v>13455.92</v>
      </c>
      <c r="CQ24">
        <f>负荷!CQ24-水电!CQ24-核电!CQ24-地方燃煤!CQ24-风电!CQ24-光伏!CQ24-联络线!CQ24-非市场化!CQ24</f>
        <v>13525.75</v>
      </c>
      <c r="CR24">
        <f>负荷!CR24-水电!CR24-核电!CR24-地方燃煤!CR24-风电!CR24-光伏!CR24-联络线!CR24-非市场化!CR24</f>
        <v>13424.26</v>
      </c>
      <c r="CS24">
        <f>负荷!CS24-水电!CS24-核电!CS24-地方燃煤!CS24-风电!CS24-光伏!CS24-联络线!CS24-非市场化!CS24</f>
        <v>13307.13</v>
      </c>
    </row>
    <row r="25" spans="1:97">
      <c r="A25" s="9">
        <v>46258</v>
      </c>
      <c r="B25">
        <f>负荷!B25-水电!B25-核电!B25-地方燃煤!B25-风电!B25-光伏!B25-联络线!B25-非市场化!B25</f>
        <v>13709.04</v>
      </c>
      <c r="C25">
        <f>负荷!C25-水电!C25-核电!C25-地方燃煤!C25-风电!C25-光伏!C25-联络线!C25-非市场化!C25</f>
        <v>13877.19</v>
      </c>
      <c r="D25">
        <f>负荷!D25-水电!D25-核电!D25-地方燃煤!D25-风电!D25-光伏!D25-联络线!D25-非市场化!D25</f>
        <v>13995.93</v>
      </c>
      <c r="E25">
        <f>负荷!E25-水电!E25-核电!E25-地方燃煤!E25-风电!E25-光伏!E25-联络线!E25-非市场化!E25</f>
        <v>14173.88</v>
      </c>
      <c r="F25">
        <f>负荷!F25-水电!F25-核电!F25-地方燃煤!F25-风电!F25-光伏!F25-联络线!F25-非市场化!F25</f>
        <v>14450.13</v>
      </c>
      <c r="G25">
        <f>负荷!G25-水电!G25-核电!G25-地方燃煤!G25-风电!G25-光伏!G25-联络线!G25-非市场化!G25</f>
        <v>14730.43</v>
      </c>
      <c r="H25">
        <f>负荷!H25-水电!H25-核电!H25-地方燃煤!H25-风电!H25-光伏!H25-联络线!H25-非市场化!H25</f>
        <v>14957.53</v>
      </c>
      <c r="I25">
        <f>负荷!I25-水电!I25-核电!I25-地方燃煤!I25-风电!I25-光伏!I25-联络线!I25-非市场化!I25</f>
        <v>15102.33</v>
      </c>
      <c r="J25">
        <f>负荷!J25-水电!J25-核电!J25-地方燃煤!J25-风电!J25-光伏!J25-联络线!J25-非市场化!J25</f>
        <v>15245.66</v>
      </c>
      <c r="K25">
        <f>负荷!K25-水电!K25-核电!K25-地方燃煤!K25-风电!K25-光伏!K25-联络线!K25-非市场化!K25</f>
        <v>15208.92</v>
      </c>
      <c r="L25">
        <f>负荷!L25-水电!L25-核电!L25-地方燃煤!L25-风电!L25-光伏!L25-联络线!L25-非市场化!L25</f>
        <v>15230.7</v>
      </c>
      <c r="M25">
        <f>负荷!M25-水电!M25-核电!M25-地方燃煤!M25-风电!M25-光伏!M25-联络线!M25-非市场化!M25</f>
        <v>15149.77</v>
      </c>
      <c r="N25">
        <f>负荷!N25-水电!N25-核电!N25-地方燃煤!N25-风电!N25-光伏!N25-联络线!N25-非市场化!N25</f>
        <v>15497.61</v>
      </c>
      <c r="O25">
        <f>负荷!O25-水电!O25-核电!O25-地方燃煤!O25-风电!O25-光伏!O25-联络线!O25-非市场化!O25</f>
        <v>15409.04</v>
      </c>
      <c r="P25">
        <f>负荷!P25-水电!P25-核电!P25-地方燃煤!P25-风电!P25-光伏!P25-联络线!P25-非市场化!P25</f>
        <v>15485.33</v>
      </c>
      <c r="Q25">
        <f>负荷!Q25-水电!Q25-核电!Q25-地方燃煤!Q25-风电!Q25-光伏!Q25-联络线!Q25-非市场化!Q25</f>
        <v>15499.45</v>
      </c>
      <c r="R25">
        <f>负荷!R25-水电!R25-核电!R25-地方燃煤!R25-风电!R25-光伏!R25-联络线!R25-非市场化!R25</f>
        <v>15498.04</v>
      </c>
      <c r="S25">
        <f>负荷!S25-水电!S25-核电!S25-地方燃煤!S25-风电!S25-光伏!S25-联络线!S25-非市场化!S25</f>
        <v>15241.42</v>
      </c>
      <c r="T25">
        <f>负荷!T25-水电!T25-核电!T25-地方燃煤!T25-风电!T25-光伏!T25-联络线!T25-非市场化!T25</f>
        <v>15048.52</v>
      </c>
      <c r="U25">
        <f>负荷!U25-水电!U25-核电!U25-地方燃煤!U25-风电!U25-光伏!U25-联络线!U25-非市场化!U25</f>
        <v>15018.74</v>
      </c>
      <c r="V25">
        <f>负荷!V25-水电!V25-核电!V25-地方燃煤!V25-风电!V25-光伏!V25-联络线!V25-非市场化!V25</f>
        <v>14978.34</v>
      </c>
      <c r="W25">
        <f>负荷!W25-水电!W25-核电!W25-地方燃煤!W25-风电!W25-光伏!W25-联络线!W25-非市场化!W25</f>
        <v>14854.65</v>
      </c>
      <c r="X25">
        <f>负荷!X25-水电!X25-核电!X25-地方燃煤!X25-风电!X25-光伏!X25-联络线!X25-非市场化!X25</f>
        <v>14954.82</v>
      </c>
      <c r="Y25">
        <f>负荷!Y25-水电!Y25-核电!Y25-地方燃煤!Y25-风电!Y25-光伏!Y25-联络线!Y25-非市场化!Y25</f>
        <v>14896.04</v>
      </c>
      <c r="Z25">
        <f>负荷!Z25-水电!Z25-核电!Z25-地方燃煤!Z25-风电!Z25-光伏!Z25-联络线!Z25-非市场化!Z25</f>
        <v>15357.47</v>
      </c>
      <c r="AA25">
        <f>负荷!AA25-水电!AA25-核电!AA25-地方燃煤!AA25-风电!AA25-光伏!AA25-联络线!AA25-非市场化!AA25</f>
        <v>15363.39</v>
      </c>
      <c r="AB25">
        <f>负荷!AB25-水电!AB25-核电!AB25-地方燃煤!AB25-风电!AB25-光伏!AB25-联络线!AB25-非市场化!AB25</f>
        <v>15520.1</v>
      </c>
      <c r="AC25">
        <f>负荷!AC25-水电!AC25-核电!AC25-地方燃煤!AC25-风电!AC25-光伏!AC25-联络线!AC25-非市场化!AC25</f>
        <v>15600.83</v>
      </c>
      <c r="AD25">
        <f>负荷!AD25-水电!AD25-核电!AD25-地方燃煤!AD25-风电!AD25-光伏!AD25-联络线!AD25-非市场化!AD25</f>
        <v>15917.95</v>
      </c>
      <c r="AE25">
        <f>负荷!AE25-水电!AE25-核电!AE25-地方燃煤!AE25-风电!AE25-光伏!AE25-联络线!AE25-非市场化!AE25</f>
        <v>16115.45</v>
      </c>
      <c r="AF25">
        <f>负荷!AF25-水电!AF25-核电!AF25-地方燃煤!AF25-风电!AF25-光伏!AF25-联络线!AF25-非市场化!AF25</f>
        <v>16336.22</v>
      </c>
      <c r="AG25">
        <f>负荷!AG25-水电!AG25-核电!AG25-地方燃煤!AG25-风电!AG25-光伏!AG25-联络线!AG25-非市场化!AG25</f>
        <v>16633.32</v>
      </c>
      <c r="AH25">
        <f>负荷!AH25-水电!AH25-核电!AH25-地方燃煤!AH25-风电!AH25-光伏!AH25-联络线!AH25-非市场化!AH25</f>
        <v>17188.1</v>
      </c>
      <c r="AI25">
        <f>负荷!AI25-水电!AI25-核电!AI25-地方燃煤!AI25-风电!AI25-光伏!AI25-联络线!AI25-非市场化!AI25</f>
        <v>17062.61</v>
      </c>
      <c r="AJ25">
        <f>负荷!AJ25-水电!AJ25-核电!AJ25-地方燃煤!AJ25-风电!AJ25-光伏!AJ25-联络线!AJ25-非市场化!AJ25</f>
        <v>16606.25</v>
      </c>
      <c r="AK25">
        <f>负荷!AK25-水电!AK25-核电!AK25-地方燃煤!AK25-风电!AK25-光伏!AK25-联络线!AK25-非市场化!AK25</f>
        <v>16180.54</v>
      </c>
      <c r="AL25">
        <f>负荷!AL25-水电!AL25-核电!AL25-地方燃煤!AL25-风电!AL25-光伏!AL25-联络线!AL25-非市场化!AL25</f>
        <v>15487.29</v>
      </c>
      <c r="AM25">
        <f>负荷!AM25-水电!AM25-核电!AM25-地方燃煤!AM25-风电!AM25-光伏!AM25-联络线!AM25-非市场化!AM25</f>
        <v>15147.79</v>
      </c>
      <c r="AN25">
        <f>负荷!AN25-水电!AN25-核电!AN25-地方燃煤!AN25-风电!AN25-光伏!AN25-联络线!AN25-非市场化!AN25</f>
        <v>15130.14</v>
      </c>
      <c r="AO25">
        <f>负荷!AO25-水电!AO25-核电!AO25-地方燃煤!AO25-风电!AO25-光伏!AO25-联络线!AO25-非市场化!AO25</f>
        <v>15108.01</v>
      </c>
      <c r="AP25">
        <f>负荷!AP25-水电!AP25-核电!AP25-地方燃煤!AP25-风电!AP25-光伏!AP25-联络线!AP25-非市场化!AP25</f>
        <v>14640.69</v>
      </c>
      <c r="AQ25">
        <f>负荷!AQ25-水电!AQ25-核电!AQ25-地方燃煤!AQ25-风电!AQ25-光伏!AQ25-联络线!AQ25-非市场化!AQ25</f>
        <v>15037.55</v>
      </c>
      <c r="AR25">
        <f>负荷!AR25-水电!AR25-核电!AR25-地方燃煤!AR25-风电!AR25-光伏!AR25-联络线!AR25-非市场化!AR25</f>
        <v>15295.29</v>
      </c>
      <c r="AS25">
        <f>负荷!AS25-水电!AS25-核电!AS25-地方燃煤!AS25-风电!AS25-光伏!AS25-联络线!AS25-非市场化!AS25</f>
        <v>15262.4</v>
      </c>
      <c r="AT25">
        <f>负荷!AT25-水电!AT25-核电!AT25-地方燃煤!AT25-风电!AT25-光伏!AT25-联络线!AT25-非市场化!AT25</f>
        <v>15446.84</v>
      </c>
      <c r="AU25">
        <f>负荷!AU25-水电!AU25-核电!AU25-地方燃煤!AU25-风电!AU25-光伏!AU25-联络线!AU25-非市场化!AU25</f>
        <v>15470.78</v>
      </c>
      <c r="AV25">
        <f>负荷!AV25-水电!AV25-核电!AV25-地方燃煤!AV25-风电!AV25-光伏!AV25-联络线!AV25-非市场化!AV25</f>
        <v>15680.26</v>
      </c>
      <c r="AW25">
        <f>负荷!AW25-水电!AW25-核电!AW25-地方燃煤!AW25-风电!AW25-光伏!AW25-联络线!AW25-非市场化!AW25</f>
        <v>15637.16</v>
      </c>
      <c r="AX25">
        <f>负荷!AX25-水电!AX25-核电!AX25-地方燃煤!AX25-风电!AX25-光伏!AX25-联络线!AX25-非市场化!AX25</f>
        <v>16153.01</v>
      </c>
      <c r="AY25">
        <f>负荷!AY25-水电!AY25-核电!AY25-地方燃煤!AY25-风电!AY25-光伏!AY25-联络线!AY25-非市场化!AY25</f>
        <v>16515.19</v>
      </c>
      <c r="AZ25">
        <f>负荷!AZ25-水电!AZ25-核电!AZ25-地方燃煤!AZ25-风电!AZ25-光伏!AZ25-联络线!AZ25-非市场化!AZ25</f>
        <v>16415.34</v>
      </c>
      <c r="BA25">
        <f>负荷!BA25-水电!BA25-核电!BA25-地方燃煤!BA25-风电!BA25-光伏!BA25-联络线!BA25-非市场化!BA25</f>
        <v>16219.7</v>
      </c>
      <c r="BB25">
        <f>负荷!BB25-水电!BB25-核电!BB25-地方燃煤!BB25-风电!BB25-光伏!BB25-联络线!BB25-非市场化!BB25</f>
        <v>16633.58</v>
      </c>
      <c r="BC25">
        <f>负荷!BC25-水电!BC25-核电!BC25-地方燃煤!BC25-风电!BC25-光伏!BC25-联络线!BC25-非市场化!BC25</f>
        <v>16578.07</v>
      </c>
      <c r="BD25">
        <f>负荷!BD25-水电!BD25-核电!BD25-地方燃煤!BD25-风电!BD25-光伏!BD25-联络线!BD25-非市场化!BD25</f>
        <v>16443.46</v>
      </c>
      <c r="BE25">
        <f>负荷!BE25-水电!BE25-核电!BE25-地方燃煤!BE25-风电!BE25-光伏!BE25-联络线!BE25-非市场化!BE25</f>
        <v>16444.22</v>
      </c>
      <c r="BF25">
        <f>负荷!BF25-水电!BF25-核电!BF25-地方燃煤!BF25-风电!BF25-光伏!BF25-联络线!BF25-非市场化!BF25</f>
        <v>16221.87</v>
      </c>
      <c r="BG25">
        <f>负荷!BG25-水电!BG25-核电!BG25-地方燃煤!BG25-风电!BG25-光伏!BG25-联络线!BG25-非市场化!BG25</f>
        <v>16048.84</v>
      </c>
      <c r="BH25">
        <f>负荷!BH25-水电!BH25-核电!BH25-地方燃煤!BH25-风电!BH25-光伏!BH25-联络线!BH25-非市场化!BH25</f>
        <v>15769.3</v>
      </c>
      <c r="BI25">
        <f>负荷!BI25-水电!BI25-核电!BI25-地方燃煤!BI25-风电!BI25-光伏!BI25-联络线!BI25-非市场化!BI25</f>
        <v>15542.31</v>
      </c>
      <c r="BJ25">
        <f>负荷!BJ25-水电!BJ25-核电!BJ25-地方燃煤!BJ25-风电!BJ25-光伏!BJ25-联络线!BJ25-非市场化!BJ25</f>
        <v>15344.33</v>
      </c>
      <c r="BK25">
        <f>负荷!BK25-水电!BK25-核电!BK25-地方燃煤!BK25-风电!BK25-光伏!BK25-联络线!BK25-非市场化!BK25</f>
        <v>15490.77</v>
      </c>
      <c r="BL25">
        <f>负荷!BL25-水电!BL25-核电!BL25-地方燃煤!BL25-风电!BL25-光伏!BL25-联络线!BL25-非市场化!BL25</f>
        <v>14969.95</v>
      </c>
      <c r="BM25">
        <f>负荷!BM25-水电!BM25-核电!BM25-地方燃煤!BM25-风电!BM25-光伏!BM25-联络线!BM25-非市场化!BM25</f>
        <v>14759.01</v>
      </c>
      <c r="BN25">
        <f>负荷!BN25-水电!BN25-核电!BN25-地方燃煤!BN25-风电!BN25-光伏!BN25-联络线!BN25-非市场化!BN25</f>
        <v>14946.73</v>
      </c>
      <c r="BO25">
        <f>负荷!BO25-水电!BO25-核电!BO25-地方燃煤!BO25-风电!BO25-光伏!BO25-联络线!BO25-非市场化!BO25</f>
        <v>14892.98</v>
      </c>
      <c r="BP25">
        <f>负荷!BP25-水电!BP25-核电!BP25-地方燃煤!BP25-风电!BP25-光伏!BP25-联络线!BP25-非市场化!BP25</f>
        <v>14808.46</v>
      </c>
      <c r="BQ25">
        <f>负荷!BQ25-水电!BQ25-核电!BQ25-地方燃煤!BQ25-风电!BQ25-光伏!BQ25-联络线!BQ25-非市场化!BQ25</f>
        <v>14284.46</v>
      </c>
      <c r="BR25">
        <f>负荷!BR25-水电!BR25-核电!BR25-地方燃煤!BR25-风电!BR25-光伏!BR25-联络线!BR25-非市场化!BR25</f>
        <v>14065.96</v>
      </c>
      <c r="BS25">
        <f>负荷!BS25-水电!BS25-核电!BS25-地方燃煤!BS25-风电!BS25-光伏!BS25-联络线!BS25-非市场化!BS25</f>
        <v>14443.48</v>
      </c>
      <c r="BT25">
        <f>负荷!BT25-水电!BT25-核电!BT25-地方燃煤!BT25-风电!BT25-光伏!BT25-联络线!BT25-非市场化!BT25</f>
        <v>14628.32</v>
      </c>
      <c r="BU25">
        <f>负荷!BU25-水电!BU25-核电!BU25-地方燃煤!BU25-风电!BU25-光伏!BU25-联络线!BU25-非市场化!BU25</f>
        <v>14764.36</v>
      </c>
      <c r="BV25">
        <f>负荷!BV25-水电!BV25-核电!BV25-地方燃煤!BV25-风电!BV25-光伏!BV25-联络线!BV25-非市场化!BV25</f>
        <v>14748.68</v>
      </c>
      <c r="BW25">
        <f>负荷!BW25-水电!BW25-核电!BW25-地方燃煤!BW25-风电!BW25-光伏!BW25-联络线!BW25-非市场化!BW25</f>
        <v>14956.75</v>
      </c>
      <c r="BX25">
        <f>负荷!BX25-水电!BX25-核电!BX25-地方燃煤!BX25-风电!BX25-光伏!BX25-联络线!BX25-非市场化!BX25</f>
        <v>15392.52</v>
      </c>
      <c r="BY25">
        <f>负荷!BY25-水电!BY25-核电!BY25-地方燃煤!BY25-风电!BY25-光伏!BY25-联络线!BY25-非市场化!BY25</f>
        <v>15629.8</v>
      </c>
      <c r="BZ25">
        <f>负荷!BZ25-水电!BZ25-核电!BZ25-地方燃煤!BZ25-风电!BZ25-光伏!BZ25-联络线!BZ25-非市场化!BZ25</f>
        <v>15964.26</v>
      </c>
      <c r="CA25">
        <f>负荷!CA25-水电!CA25-核电!CA25-地方燃煤!CA25-风电!CA25-光伏!CA25-联络线!CA25-非市场化!CA25</f>
        <v>15861.54</v>
      </c>
      <c r="CB25">
        <f>负荷!CB25-水电!CB25-核电!CB25-地方燃煤!CB25-风电!CB25-光伏!CB25-联络线!CB25-非市场化!CB25</f>
        <v>15677.28</v>
      </c>
      <c r="CC25">
        <f>负荷!CC25-水电!CC25-核电!CC25-地方燃煤!CC25-风电!CC25-光伏!CC25-联络线!CC25-非市场化!CC25</f>
        <v>15153.79</v>
      </c>
      <c r="CD25">
        <f>负荷!CD25-水电!CD25-核电!CD25-地方燃煤!CD25-风电!CD25-光伏!CD25-联络线!CD25-非市场化!CD25</f>
        <v>14817.77</v>
      </c>
      <c r="CE25">
        <f>负荷!CE25-水电!CE25-核电!CE25-地方燃煤!CE25-风电!CE25-光伏!CE25-联络线!CE25-非市场化!CE25</f>
        <v>14994.29</v>
      </c>
      <c r="CF25">
        <f>负荷!CF25-水电!CF25-核电!CF25-地方燃煤!CF25-风电!CF25-光伏!CF25-联络线!CF25-非市场化!CF25</f>
        <v>14931.94</v>
      </c>
      <c r="CG25">
        <f>负荷!CG25-水电!CG25-核电!CG25-地方燃煤!CG25-风电!CG25-光伏!CG25-联络线!CG25-非市场化!CG25</f>
        <v>14986.11</v>
      </c>
      <c r="CH25">
        <f>负荷!CH25-水电!CH25-核电!CH25-地方燃煤!CH25-风电!CH25-光伏!CH25-联络线!CH25-非市场化!CH25</f>
        <v>15373.67</v>
      </c>
      <c r="CI25">
        <f>负荷!CI25-水电!CI25-核电!CI25-地方燃煤!CI25-风电!CI25-光伏!CI25-联络线!CI25-非市场化!CI25</f>
        <v>15033.63</v>
      </c>
      <c r="CJ25">
        <f>负荷!CJ25-水电!CJ25-核电!CJ25-地方燃煤!CJ25-风电!CJ25-光伏!CJ25-联络线!CJ25-非市场化!CJ25</f>
        <v>14606.54</v>
      </c>
      <c r="CK25">
        <f>负荷!CK25-水电!CK25-核电!CK25-地方燃煤!CK25-风电!CK25-光伏!CK25-联络线!CK25-非市场化!CK25</f>
        <v>13929.27</v>
      </c>
      <c r="CL25">
        <f>负荷!CL25-水电!CL25-核电!CL25-地方燃煤!CL25-风电!CL25-光伏!CL25-联络线!CL25-非市场化!CL25</f>
        <v>13918.06</v>
      </c>
      <c r="CM25">
        <f>负荷!CM25-水电!CM25-核电!CM25-地方燃煤!CM25-风电!CM25-光伏!CM25-联络线!CM25-非市场化!CM25</f>
        <v>13858.32</v>
      </c>
      <c r="CN25">
        <f>负荷!CN25-水电!CN25-核电!CN25-地方燃煤!CN25-风电!CN25-光伏!CN25-联络线!CN25-非市场化!CN25</f>
        <v>13952.6</v>
      </c>
      <c r="CO25">
        <f>负荷!CO25-水电!CO25-核电!CO25-地方燃煤!CO25-风电!CO25-光伏!CO25-联络线!CO25-非市场化!CO25</f>
        <v>14144</v>
      </c>
      <c r="CP25">
        <f>负荷!CP25-水电!CP25-核电!CP25-地方燃煤!CP25-风电!CP25-光伏!CP25-联络线!CP25-非市场化!CP25</f>
        <v>13848.86</v>
      </c>
      <c r="CQ25">
        <f>负荷!CQ25-水电!CQ25-核电!CQ25-地方燃煤!CQ25-风电!CQ25-光伏!CQ25-联络线!CQ25-非市场化!CQ25</f>
        <v>13699.97</v>
      </c>
      <c r="CR25">
        <f>负荷!CR25-水电!CR25-核电!CR25-地方燃煤!CR25-风电!CR25-光伏!CR25-联络线!CR25-非市场化!CR25</f>
        <v>13359.59</v>
      </c>
      <c r="CS25">
        <f>负荷!CS25-水电!CS25-核电!CS25-地方燃煤!CS25-风电!CS25-光伏!CS25-联络线!CS25-非市场化!CS25</f>
        <v>12878.18</v>
      </c>
    </row>
    <row r="26" spans="1:97">
      <c r="A26" s="9">
        <v>46259</v>
      </c>
      <c r="B26">
        <f>负荷!B26-水电!B26-核电!B26-地方燃煤!B26-风电!B26-光伏!B26-联络线!B26-非市场化!B26</f>
        <v>13158.68</v>
      </c>
      <c r="C26">
        <f>负荷!C26-水电!C26-核电!C26-地方燃煤!C26-风电!C26-光伏!C26-联络线!C26-非市场化!C26</f>
        <v>12953</v>
      </c>
      <c r="D26">
        <f>负荷!D26-水电!D26-核电!D26-地方燃煤!D26-风电!D26-光伏!D26-联络线!D26-非市场化!D26</f>
        <v>12801.19</v>
      </c>
      <c r="E26">
        <f>负荷!E26-水电!E26-核电!E26-地方燃煤!E26-风电!E26-光伏!E26-联络线!E26-非市场化!E26</f>
        <v>12645.22</v>
      </c>
      <c r="F26">
        <f>负荷!F26-水电!F26-核电!F26-地方燃煤!F26-风电!F26-光伏!F26-联络线!F26-非市场化!F26</f>
        <v>12601.29</v>
      </c>
      <c r="G26">
        <f>负荷!G26-水电!G26-核电!G26-地方燃煤!G26-风电!G26-光伏!G26-联络线!G26-非市场化!G26</f>
        <v>12594.45</v>
      </c>
      <c r="H26">
        <f>负荷!H26-水电!H26-核电!H26-地方燃煤!H26-风电!H26-光伏!H26-联络线!H26-非市场化!H26</f>
        <v>12921.45</v>
      </c>
      <c r="I26">
        <f>负荷!I26-水电!I26-核电!I26-地方燃煤!I26-风电!I26-光伏!I26-联络线!I26-非市场化!I26</f>
        <v>13041.5</v>
      </c>
      <c r="J26">
        <f>负荷!J26-水电!J26-核电!J26-地方燃煤!J26-风电!J26-光伏!J26-联络线!J26-非市场化!J26</f>
        <v>12984.08</v>
      </c>
      <c r="K26">
        <f>负荷!K26-水电!K26-核电!K26-地方燃煤!K26-风电!K26-光伏!K26-联络线!K26-非市场化!K26</f>
        <v>13290.11</v>
      </c>
      <c r="L26">
        <f>负荷!L26-水电!L26-核电!L26-地方燃煤!L26-风电!L26-光伏!L26-联络线!L26-非市场化!L26</f>
        <v>13675.13</v>
      </c>
      <c r="M26">
        <f>负荷!M26-水电!M26-核电!M26-地方燃煤!M26-风电!M26-光伏!M26-联络线!M26-非市场化!M26</f>
        <v>13589.38</v>
      </c>
      <c r="N26">
        <f>负荷!N26-水电!N26-核电!N26-地方燃煤!N26-风电!N26-光伏!N26-联络线!N26-非市场化!N26</f>
        <v>13716.46</v>
      </c>
      <c r="O26">
        <f>负荷!O26-水电!O26-核电!O26-地方燃煤!O26-风电!O26-光伏!O26-联络线!O26-非市场化!O26</f>
        <v>13638.66</v>
      </c>
      <c r="P26">
        <f>负荷!P26-水电!P26-核电!P26-地方燃煤!P26-风电!P26-光伏!P26-联络线!P26-非市场化!P26</f>
        <v>13728.42</v>
      </c>
      <c r="Q26">
        <f>负荷!Q26-水电!Q26-核电!Q26-地方燃煤!Q26-风电!Q26-光伏!Q26-联络线!Q26-非市场化!Q26</f>
        <v>13416.29</v>
      </c>
      <c r="R26">
        <f>负荷!R26-水电!R26-核电!R26-地方燃煤!R26-风电!R26-光伏!R26-联络线!R26-非市场化!R26</f>
        <v>13404.35</v>
      </c>
      <c r="S26">
        <f>负荷!S26-水电!S26-核电!S26-地方燃煤!S26-风电!S26-光伏!S26-联络线!S26-非市场化!S26</f>
        <v>13127.3</v>
      </c>
      <c r="T26">
        <f>负荷!T26-水电!T26-核电!T26-地方燃煤!T26-风电!T26-光伏!T26-联络线!T26-非市场化!T26</f>
        <v>12981.52</v>
      </c>
      <c r="U26">
        <f>负荷!U26-水电!U26-核电!U26-地方燃煤!U26-风电!U26-光伏!U26-联络线!U26-非市场化!U26</f>
        <v>12823.91</v>
      </c>
      <c r="V26">
        <f>负荷!V26-水电!V26-核电!V26-地方燃煤!V26-风电!V26-光伏!V26-联络线!V26-非市场化!V26</f>
        <v>13155.27</v>
      </c>
      <c r="W26">
        <f>负荷!W26-水电!W26-核电!W26-地方燃煤!W26-风电!W26-光伏!W26-联络线!W26-非市场化!W26</f>
        <v>13253.87</v>
      </c>
      <c r="X26">
        <f>负荷!X26-水电!X26-核电!X26-地方燃煤!X26-风电!X26-光伏!X26-联络线!X26-非市场化!X26</f>
        <v>13107.26</v>
      </c>
      <c r="Y26">
        <f>负荷!Y26-水电!Y26-核电!Y26-地方燃煤!Y26-风电!Y26-光伏!Y26-联络线!Y26-非市场化!Y26</f>
        <v>13058.22</v>
      </c>
      <c r="Z26">
        <f>负荷!Z26-水电!Z26-核电!Z26-地方燃煤!Z26-风电!Z26-光伏!Z26-联络线!Z26-非市场化!Z26</f>
        <v>13245.07</v>
      </c>
      <c r="AA26">
        <f>负荷!AA26-水电!AA26-核电!AA26-地方燃煤!AA26-风电!AA26-光伏!AA26-联络线!AA26-非市场化!AA26</f>
        <v>13238.18</v>
      </c>
      <c r="AB26">
        <f>负荷!AB26-水电!AB26-核电!AB26-地方燃煤!AB26-风电!AB26-光伏!AB26-联络线!AB26-非市场化!AB26</f>
        <v>13202.57</v>
      </c>
      <c r="AC26">
        <f>负荷!AC26-水电!AC26-核电!AC26-地方燃煤!AC26-风电!AC26-光伏!AC26-联络线!AC26-非市场化!AC26</f>
        <v>13009.59</v>
      </c>
      <c r="AD26">
        <f>负荷!AD26-水电!AD26-核电!AD26-地方燃煤!AD26-风电!AD26-光伏!AD26-联络线!AD26-非市场化!AD26</f>
        <v>13008.86</v>
      </c>
      <c r="AE26">
        <f>负荷!AE26-水电!AE26-核电!AE26-地方燃煤!AE26-风电!AE26-光伏!AE26-联络线!AE26-非市场化!AE26</f>
        <v>12934.92</v>
      </c>
      <c r="AF26">
        <f>负荷!AF26-水电!AF26-核电!AF26-地方燃煤!AF26-风电!AF26-光伏!AF26-联络线!AF26-非市场化!AF26</f>
        <v>12824.62</v>
      </c>
      <c r="AG26">
        <f>负荷!AG26-水电!AG26-核电!AG26-地方燃煤!AG26-风电!AG26-光伏!AG26-联络线!AG26-非市场化!AG26</f>
        <v>13231.64</v>
      </c>
      <c r="AH26">
        <f>负荷!AH26-水电!AH26-核电!AH26-地方燃煤!AH26-风电!AH26-光伏!AH26-联络线!AH26-非市场化!AH26</f>
        <v>14481.75</v>
      </c>
      <c r="AI26">
        <f>负荷!AI26-水电!AI26-核电!AI26-地方燃煤!AI26-风电!AI26-光伏!AI26-联络线!AI26-非市场化!AI26</f>
        <v>14610.49</v>
      </c>
      <c r="AJ26">
        <f>负荷!AJ26-水电!AJ26-核电!AJ26-地方燃煤!AJ26-风电!AJ26-光伏!AJ26-联络线!AJ26-非市场化!AJ26</f>
        <v>14381.61</v>
      </c>
      <c r="AK26">
        <f>负荷!AK26-水电!AK26-核电!AK26-地方燃煤!AK26-风电!AK26-光伏!AK26-联络线!AK26-非市场化!AK26</f>
        <v>14279.25</v>
      </c>
      <c r="AL26">
        <f>负荷!AL26-水电!AL26-核电!AL26-地方燃煤!AL26-风电!AL26-光伏!AL26-联络线!AL26-非市场化!AL26</f>
        <v>14224.09</v>
      </c>
      <c r="AM26">
        <f>负荷!AM26-水电!AM26-核电!AM26-地方燃煤!AM26-风电!AM26-光伏!AM26-联络线!AM26-非市场化!AM26</f>
        <v>14631.48</v>
      </c>
      <c r="AN26">
        <f>负荷!AN26-水电!AN26-核电!AN26-地方燃煤!AN26-风电!AN26-光伏!AN26-联络线!AN26-非市场化!AN26</f>
        <v>14645.68</v>
      </c>
      <c r="AO26">
        <f>负荷!AO26-水电!AO26-核电!AO26-地方燃煤!AO26-风电!AO26-光伏!AO26-联络线!AO26-非市场化!AO26</f>
        <v>14987.46</v>
      </c>
      <c r="AP26">
        <f>负荷!AP26-水电!AP26-核电!AP26-地方燃煤!AP26-风电!AP26-光伏!AP26-联络线!AP26-非市场化!AP26</f>
        <v>14696.69</v>
      </c>
      <c r="AQ26">
        <f>负荷!AQ26-水电!AQ26-核电!AQ26-地方燃煤!AQ26-风电!AQ26-光伏!AQ26-联络线!AQ26-非市场化!AQ26</f>
        <v>15021.43</v>
      </c>
      <c r="AR26">
        <f>负荷!AR26-水电!AR26-核电!AR26-地方燃煤!AR26-风电!AR26-光伏!AR26-联络线!AR26-非市场化!AR26</f>
        <v>15483.77</v>
      </c>
      <c r="AS26">
        <f>负荷!AS26-水电!AS26-核电!AS26-地方燃煤!AS26-风电!AS26-光伏!AS26-联络线!AS26-非市场化!AS26</f>
        <v>15130.16</v>
      </c>
      <c r="AT26">
        <f>负荷!AT26-水电!AT26-核电!AT26-地方燃煤!AT26-风电!AT26-光伏!AT26-联络线!AT26-非市场化!AT26</f>
        <v>14888.12</v>
      </c>
      <c r="AU26">
        <f>负荷!AU26-水电!AU26-核电!AU26-地方燃煤!AU26-风电!AU26-光伏!AU26-联络线!AU26-非市场化!AU26</f>
        <v>14706.01</v>
      </c>
      <c r="AV26">
        <f>负荷!AV26-水电!AV26-核电!AV26-地方燃煤!AV26-风电!AV26-光伏!AV26-联络线!AV26-非市场化!AV26</f>
        <v>14627.7</v>
      </c>
      <c r="AW26">
        <f>负荷!AW26-水电!AW26-核电!AW26-地方燃煤!AW26-风电!AW26-光伏!AW26-联络线!AW26-非市场化!AW26</f>
        <v>14936</v>
      </c>
      <c r="AX26">
        <f>负荷!AX26-水电!AX26-核电!AX26-地方燃煤!AX26-风电!AX26-光伏!AX26-联络线!AX26-非市场化!AX26</f>
        <v>15168.76</v>
      </c>
      <c r="AY26">
        <f>负荷!AY26-水电!AY26-核电!AY26-地方燃煤!AY26-风电!AY26-光伏!AY26-联络线!AY26-非市场化!AY26</f>
        <v>15156.62</v>
      </c>
      <c r="AZ26">
        <f>负荷!AZ26-水电!AZ26-核电!AZ26-地方燃煤!AZ26-风电!AZ26-光伏!AZ26-联络线!AZ26-非市场化!AZ26</f>
        <v>15256</v>
      </c>
      <c r="BA26">
        <f>负荷!BA26-水电!BA26-核电!BA26-地方燃煤!BA26-风电!BA26-光伏!BA26-联络线!BA26-非市场化!BA26</f>
        <v>15248.62</v>
      </c>
      <c r="BB26">
        <f>负荷!BB26-水电!BB26-核电!BB26-地方燃煤!BB26-风电!BB26-光伏!BB26-联络线!BB26-非市场化!BB26</f>
        <v>15630.36</v>
      </c>
      <c r="BC26">
        <f>负荷!BC26-水电!BC26-核电!BC26-地方燃煤!BC26-风电!BC26-光伏!BC26-联络线!BC26-非市场化!BC26</f>
        <v>16000.55</v>
      </c>
      <c r="BD26">
        <f>负荷!BD26-水电!BD26-核电!BD26-地方燃煤!BD26-风电!BD26-光伏!BD26-联络线!BD26-非市场化!BD26</f>
        <v>15794.37</v>
      </c>
      <c r="BE26">
        <f>负荷!BE26-水电!BE26-核电!BE26-地方燃煤!BE26-风电!BE26-光伏!BE26-联络线!BE26-非市场化!BE26</f>
        <v>15961.29</v>
      </c>
      <c r="BF26">
        <f>负荷!BF26-水电!BF26-核电!BF26-地方燃煤!BF26-风电!BF26-光伏!BF26-联络线!BF26-非市场化!BF26</f>
        <v>16072.91</v>
      </c>
      <c r="BG26">
        <f>负荷!BG26-水电!BG26-核电!BG26-地方燃煤!BG26-风电!BG26-光伏!BG26-联络线!BG26-非市场化!BG26</f>
        <v>15739.39</v>
      </c>
      <c r="BH26">
        <f>负荷!BH26-水电!BH26-核电!BH26-地方燃煤!BH26-风电!BH26-光伏!BH26-联络线!BH26-非市场化!BH26</f>
        <v>15944.56</v>
      </c>
      <c r="BI26">
        <f>负荷!BI26-水电!BI26-核电!BI26-地方燃煤!BI26-风电!BI26-光伏!BI26-联络线!BI26-非市场化!BI26</f>
        <v>16092.26</v>
      </c>
      <c r="BJ26">
        <f>负荷!BJ26-水电!BJ26-核电!BJ26-地方燃煤!BJ26-风电!BJ26-光伏!BJ26-联络线!BJ26-非市场化!BJ26</f>
        <v>16547.21</v>
      </c>
      <c r="BK26">
        <f>负荷!BK26-水电!BK26-核电!BK26-地方燃煤!BK26-风电!BK26-光伏!BK26-联络线!BK26-非市场化!BK26</f>
        <v>16662.42</v>
      </c>
      <c r="BL26">
        <f>负荷!BL26-水电!BL26-核电!BL26-地方燃煤!BL26-风电!BL26-光伏!BL26-联络线!BL26-非市场化!BL26</f>
        <v>16448.65</v>
      </c>
      <c r="BM26">
        <f>负荷!BM26-水电!BM26-核电!BM26-地方燃煤!BM26-风电!BM26-光伏!BM26-联络线!BM26-非市场化!BM26</f>
        <v>16146.24</v>
      </c>
      <c r="BN26">
        <f>负荷!BN26-水电!BN26-核电!BN26-地方燃煤!BN26-风电!BN26-光伏!BN26-联络线!BN26-非市场化!BN26</f>
        <v>16093.66</v>
      </c>
      <c r="BO26">
        <f>负荷!BO26-水电!BO26-核电!BO26-地方燃煤!BO26-风电!BO26-光伏!BO26-联络线!BO26-非市场化!BO26</f>
        <v>16019.9</v>
      </c>
      <c r="BP26">
        <f>负荷!BP26-水电!BP26-核电!BP26-地方燃煤!BP26-风电!BP26-光伏!BP26-联络线!BP26-非市场化!BP26</f>
        <v>15956.25</v>
      </c>
      <c r="BQ26">
        <f>负荷!BQ26-水电!BQ26-核电!BQ26-地方燃煤!BQ26-风电!BQ26-光伏!BQ26-联络线!BQ26-非市场化!BQ26</f>
        <v>15730.19</v>
      </c>
      <c r="BR26">
        <f>负荷!BR26-水电!BR26-核电!BR26-地方燃煤!BR26-风电!BR26-光伏!BR26-联络线!BR26-非市场化!BR26</f>
        <v>15581.33</v>
      </c>
      <c r="BS26">
        <f>负荷!BS26-水电!BS26-核电!BS26-地方燃煤!BS26-风电!BS26-光伏!BS26-联络线!BS26-非市场化!BS26</f>
        <v>15897.4</v>
      </c>
      <c r="BT26">
        <f>负荷!BT26-水电!BT26-核电!BT26-地方燃煤!BT26-风电!BT26-光伏!BT26-联络线!BT26-非市场化!BT26</f>
        <v>15984.78</v>
      </c>
      <c r="BU26">
        <f>负荷!BU26-水电!BU26-核电!BU26-地方燃煤!BU26-风电!BU26-光伏!BU26-联络线!BU26-非市场化!BU26</f>
        <v>16209.58</v>
      </c>
      <c r="BV26">
        <f>负荷!BV26-水电!BV26-核电!BV26-地方燃煤!BV26-风电!BV26-光伏!BV26-联络线!BV26-非市场化!BV26</f>
        <v>16297.94</v>
      </c>
      <c r="BW26">
        <f>负荷!BW26-水电!BW26-核电!BW26-地方燃煤!BW26-风电!BW26-光伏!BW26-联络线!BW26-非市场化!BW26</f>
        <v>16535.85</v>
      </c>
      <c r="BX26">
        <f>负荷!BX26-水电!BX26-核电!BX26-地方燃煤!BX26-风电!BX26-光伏!BX26-联络线!BX26-非市场化!BX26</f>
        <v>16942.25</v>
      </c>
      <c r="BY26">
        <f>负荷!BY26-水电!BY26-核电!BY26-地方燃煤!BY26-风电!BY26-光伏!BY26-联络线!BY26-非市场化!BY26</f>
        <v>17291.09</v>
      </c>
      <c r="BZ26">
        <f>负荷!BZ26-水电!BZ26-核电!BZ26-地方燃煤!BZ26-风电!BZ26-光伏!BZ26-联络线!BZ26-非市场化!BZ26</f>
        <v>17754.02</v>
      </c>
      <c r="CA26">
        <f>负荷!CA26-水电!CA26-核电!CA26-地方燃煤!CA26-风电!CA26-光伏!CA26-联络线!CA26-非市场化!CA26</f>
        <v>17790.95</v>
      </c>
      <c r="CB26">
        <f>负荷!CB26-水电!CB26-核电!CB26-地方燃煤!CB26-风电!CB26-光伏!CB26-联络线!CB26-非市场化!CB26</f>
        <v>17772.86</v>
      </c>
      <c r="CC26">
        <f>负荷!CC26-水电!CC26-核电!CC26-地方燃煤!CC26-风电!CC26-光伏!CC26-联络线!CC26-非市场化!CC26</f>
        <v>17429.23</v>
      </c>
      <c r="CD26">
        <f>负荷!CD26-水电!CD26-核电!CD26-地方燃煤!CD26-风电!CD26-光伏!CD26-联络线!CD26-非市场化!CD26</f>
        <v>17058.06</v>
      </c>
      <c r="CE26">
        <f>负荷!CE26-水电!CE26-核电!CE26-地方燃煤!CE26-风电!CE26-光伏!CE26-联络线!CE26-非市场化!CE26</f>
        <v>17115.72</v>
      </c>
      <c r="CF26">
        <f>负荷!CF26-水电!CF26-核电!CF26-地方燃煤!CF26-风电!CF26-光伏!CF26-联络线!CF26-非市场化!CF26</f>
        <v>16856.09</v>
      </c>
      <c r="CG26">
        <f>负荷!CG26-水电!CG26-核电!CG26-地方燃煤!CG26-风电!CG26-光伏!CG26-联络线!CG26-非市场化!CG26</f>
        <v>16633.52</v>
      </c>
      <c r="CH26">
        <f>负荷!CH26-水电!CH26-核电!CH26-地方燃煤!CH26-风电!CH26-光伏!CH26-联络线!CH26-非市场化!CH26</f>
        <v>16775.52</v>
      </c>
      <c r="CI26">
        <f>负荷!CI26-水电!CI26-核电!CI26-地方燃煤!CI26-风电!CI26-光伏!CI26-联络线!CI26-非市场化!CI26</f>
        <v>16242.82</v>
      </c>
      <c r="CJ26">
        <f>负荷!CJ26-水电!CJ26-核电!CJ26-地方燃煤!CJ26-风电!CJ26-光伏!CJ26-联络线!CJ26-非市场化!CJ26</f>
        <v>15702.29</v>
      </c>
      <c r="CK26">
        <f>负荷!CK26-水电!CK26-核电!CK26-地方燃煤!CK26-风电!CK26-光伏!CK26-联络线!CK26-非市场化!CK26</f>
        <v>15078.39</v>
      </c>
      <c r="CL26">
        <f>负荷!CL26-水电!CL26-核电!CL26-地方燃煤!CL26-风电!CL26-光伏!CL26-联络线!CL26-非市场化!CL26</f>
        <v>14627.62</v>
      </c>
      <c r="CM26">
        <f>负荷!CM26-水电!CM26-核电!CM26-地方燃煤!CM26-风电!CM26-光伏!CM26-联络线!CM26-非市场化!CM26</f>
        <v>14625.08</v>
      </c>
      <c r="CN26">
        <f>负荷!CN26-水电!CN26-核电!CN26-地方燃煤!CN26-风电!CN26-光伏!CN26-联络线!CN26-非市场化!CN26</f>
        <v>14616.9</v>
      </c>
      <c r="CO26">
        <f>负荷!CO26-水电!CO26-核电!CO26-地方燃煤!CO26-风电!CO26-光伏!CO26-联络线!CO26-非市场化!CO26</f>
        <v>14732.46</v>
      </c>
      <c r="CP26">
        <f>负荷!CP26-水电!CP26-核电!CP26-地方燃煤!CP26-风电!CP26-光伏!CP26-联络线!CP26-非市场化!CP26</f>
        <v>14876.32</v>
      </c>
      <c r="CQ26">
        <f>负荷!CQ26-水电!CQ26-核电!CQ26-地方燃煤!CQ26-风电!CQ26-光伏!CQ26-联络线!CQ26-非市场化!CQ26</f>
        <v>14794.4</v>
      </c>
      <c r="CR26">
        <f>负荷!CR26-水电!CR26-核电!CR26-地方燃煤!CR26-风电!CR26-光伏!CR26-联络线!CR26-非市场化!CR26</f>
        <v>14825.35</v>
      </c>
      <c r="CS26">
        <f>负荷!CS26-水电!CS26-核电!CS26-地方燃煤!CS26-风电!CS26-光伏!CS26-联络线!CS26-非市场化!CS26</f>
        <v>14687.42</v>
      </c>
    </row>
    <row r="27" spans="1:97">
      <c r="A27" s="9">
        <v>46260</v>
      </c>
      <c r="B27">
        <f>负荷!B27-水电!B27-核电!B27-地方燃煤!B27-风电!B27-光伏!B27-联络线!B27-非市场化!B27</f>
        <v>14704.13</v>
      </c>
      <c r="C27">
        <f>负荷!C27-水电!C27-核电!C27-地方燃煤!C27-风电!C27-光伏!C27-联络线!C27-非市场化!C27</f>
        <v>14940.65</v>
      </c>
      <c r="D27">
        <f>负荷!D27-水电!D27-核电!D27-地方燃煤!D27-风电!D27-光伏!D27-联络线!D27-非市场化!D27</f>
        <v>15062.41</v>
      </c>
      <c r="E27">
        <f>负荷!E27-水电!E27-核电!E27-地方燃煤!E27-风电!E27-光伏!E27-联络线!E27-非市场化!E27</f>
        <v>15207.51</v>
      </c>
      <c r="F27">
        <f>负荷!F27-水电!F27-核电!F27-地方燃煤!F27-风电!F27-光伏!F27-联络线!F27-非市场化!F27</f>
        <v>15394.74</v>
      </c>
      <c r="G27">
        <f>负荷!G27-水电!G27-核电!G27-地方燃煤!G27-风电!G27-光伏!G27-联络线!G27-非市场化!G27</f>
        <v>15511.75</v>
      </c>
      <c r="H27">
        <f>负荷!H27-水电!H27-核电!H27-地方燃煤!H27-风电!H27-光伏!H27-联络线!H27-非市场化!H27</f>
        <v>15643.6</v>
      </c>
      <c r="I27">
        <f>负荷!I27-水电!I27-核电!I27-地方燃煤!I27-风电!I27-光伏!I27-联络线!I27-非市场化!I27</f>
        <v>15361.61</v>
      </c>
      <c r="J27">
        <f>负荷!J27-水电!J27-核电!J27-地方燃煤!J27-风电!J27-光伏!J27-联络线!J27-非市场化!J27</f>
        <v>15367.4</v>
      </c>
      <c r="K27">
        <f>负荷!K27-水电!K27-核电!K27-地方燃煤!K27-风电!K27-光伏!K27-联络线!K27-非市场化!K27</f>
        <v>15223.41</v>
      </c>
      <c r="L27">
        <f>负荷!L27-水电!L27-核电!L27-地方燃煤!L27-风电!L27-光伏!L27-联络线!L27-非市场化!L27</f>
        <v>15238.42</v>
      </c>
      <c r="M27">
        <f>负荷!M27-水电!M27-核电!M27-地方燃煤!M27-风电!M27-光伏!M27-联络线!M27-非市场化!M27</f>
        <v>15030.31</v>
      </c>
      <c r="N27">
        <f>负荷!N27-水电!N27-核电!N27-地方燃煤!N27-风电!N27-光伏!N27-联络线!N27-非市场化!N27</f>
        <v>15018.84</v>
      </c>
      <c r="O27">
        <f>负荷!O27-水电!O27-核电!O27-地方燃煤!O27-风电!O27-光伏!O27-联络线!O27-非市场化!O27</f>
        <v>14905.57</v>
      </c>
      <c r="P27">
        <f>负荷!P27-水电!P27-核电!P27-地方燃煤!P27-风电!P27-光伏!P27-联络线!P27-非市场化!P27</f>
        <v>14707.81</v>
      </c>
      <c r="Q27">
        <f>负荷!Q27-水电!Q27-核电!Q27-地方燃煤!Q27-风电!Q27-光伏!Q27-联络线!Q27-非市场化!Q27</f>
        <v>14657.8</v>
      </c>
      <c r="R27">
        <f>负荷!R27-水电!R27-核电!R27-地方燃煤!R27-风电!R27-光伏!R27-联络线!R27-非市场化!R27</f>
        <v>14834.64</v>
      </c>
      <c r="S27">
        <f>负荷!S27-水电!S27-核电!S27-地方燃煤!S27-风电!S27-光伏!S27-联络线!S27-非市场化!S27</f>
        <v>14611.18</v>
      </c>
      <c r="T27">
        <f>负荷!T27-水电!T27-核电!T27-地方燃煤!T27-风电!T27-光伏!T27-联络线!T27-非市场化!T27</f>
        <v>14406.47</v>
      </c>
      <c r="U27">
        <f>负荷!U27-水电!U27-核电!U27-地方燃煤!U27-风电!U27-光伏!U27-联络线!U27-非市场化!U27</f>
        <v>14142.72</v>
      </c>
      <c r="V27">
        <f>负荷!V27-水电!V27-核电!V27-地方燃煤!V27-风电!V27-光伏!V27-联络线!V27-非市场化!V27</f>
        <v>14071.38</v>
      </c>
      <c r="W27">
        <f>负荷!W27-水电!W27-核电!W27-地方燃煤!W27-风电!W27-光伏!W27-联络线!W27-非市场化!W27</f>
        <v>13909.85</v>
      </c>
      <c r="X27">
        <f>负荷!X27-水电!X27-核电!X27-地方燃煤!X27-风电!X27-光伏!X27-联络线!X27-非市场化!X27</f>
        <v>13786.81</v>
      </c>
      <c r="Y27">
        <f>负荷!Y27-水电!Y27-核电!Y27-地方燃煤!Y27-风电!Y27-光伏!Y27-联络线!Y27-非市场化!Y27</f>
        <v>13698.91</v>
      </c>
      <c r="Z27">
        <f>负荷!Z27-水电!Z27-核电!Z27-地方燃煤!Z27-风电!Z27-光伏!Z27-联络线!Z27-非市场化!Z27</f>
        <v>14340.34</v>
      </c>
      <c r="AA27">
        <f>负荷!AA27-水电!AA27-核电!AA27-地方燃煤!AA27-风电!AA27-光伏!AA27-联络线!AA27-非市场化!AA27</f>
        <v>14281.93</v>
      </c>
      <c r="AB27">
        <f>负荷!AB27-水电!AB27-核电!AB27-地方燃煤!AB27-风电!AB27-光伏!AB27-联络线!AB27-非市场化!AB27</f>
        <v>14271.08</v>
      </c>
      <c r="AC27">
        <f>负荷!AC27-水电!AC27-核电!AC27-地方燃煤!AC27-风电!AC27-光伏!AC27-联络线!AC27-非市场化!AC27</f>
        <v>13895.78</v>
      </c>
      <c r="AD27">
        <f>负荷!AD27-水电!AD27-核电!AD27-地方燃煤!AD27-风电!AD27-光伏!AD27-联络线!AD27-非市场化!AD27</f>
        <v>13891.36</v>
      </c>
      <c r="AE27">
        <f>负荷!AE27-水电!AE27-核电!AE27-地方燃煤!AE27-风电!AE27-光伏!AE27-联络线!AE27-非市场化!AE27</f>
        <v>13763.64</v>
      </c>
      <c r="AF27">
        <f>负荷!AF27-水电!AF27-核电!AF27-地方燃煤!AF27-风电!AF27-光伏!AF27-联络线!AF27-非市场化!AF27</f>
        <v>13585.62</v>
      </c>
      <c r="AG27">
        <f>负荷!AG27-水电!AG27-核电!AG27-地方燃煤!AG27-风电!AG27-光伏!AG27-联络线!AG27-非市场化!AG27</f>
        <v>13614.09</v>
      </c>
      <c r="AH27">
        <f>负荷!AH27-水电!AH27-核电!AH27-地方燃煤!AH27-风电!AH27-光伏!AH27-联络线!AH27-非市场化!AH27</f>
        <v>13963.31</v>
      </c>
      <c r="AI27">
        <f>负荷!AI27-水电!AI27-核电!AI27-地方燃煤!AI27-风电!AI27-光伏!AI27-联络线!AI27-非市场化!AI27</f>
        <v>13694.29</v>
      </c>
      <c r="AJ27">
        <f>负荷!AJ27-水电!AJ27-核电!AJ27-地方燃煤!AJ27-风电!AJ27-光伏!AJ27-联络线!AJ27-非市场化!AJ27</f>
        <v>13574.68</v>
      </c>
      <c r="AK27">
        <f>负荷!AK27-水电!AK27-核电!AK27-地方燃煤!AK27-风电!AK27-光伏!AK27-联络线!AK27-非市场化!AK27</f>
        <v>13439.31</v>
      </c>
      <c r="AL27">
        <f>负荷!AL27-水电!AL27-核电!AL27-地方燃煤!AL27-风电!AL27-光伏!AL27-联络线!AL27-非市场化!AL27</f>
        <v>13301.15</v>
      </c>
      <c r="AM27">
        <f>负荷!AM27-水电!AM27-核电!AM27-地方燃煤!AM27-风电!AM27-光伏!AM27-联络线!AM27-非市场化!AM27</f>
        <v>13400.6</v>
      </c>
      <c r="AN27">
        <f>负荷!AN27-水电!AN27-核电!AN27-地方燃煤!AN27-风电!AN27-光伏!AN27-联络线!AN27-非市场化!AN27</f>
        <v>13434.43</v>
      </c>
      <c r="AO27">
        <f>负荷!AO27-水电!AO27-核电!AO27-地方燃煤!AO27-风电!AO27-光伏!AO27-联络线!AO27-非市场化!AO27</f>
        <v>13582.71</v>
      </c>
      <c r="AP27">
        <f>负荷!AP27-水电!AP27-核电!AP27-地方燃煤!AP27-风电!AP27-光伏!AP27-联络线!AP27-非市场化!AP27</f>
        <v>13480.15</v>
      </c>
      <c r="AQ27">
        <f>负荷!AQ27-水电!AQ27-核电!AQ27-地方燃煤!AQ27-风电!AQ27-光伏!AQ27-联络线!AQ27-非市场化!AQ27</f>
        <v>13632.56</v>
      </c>
      <c r="AR27">
        <f>负荷!AR27-水电!AR27-核电!AR27-地方燃煤!AR27-风电!AR27-光伏!AR27-联络线!AR27-非市场化!AR27</f>
        <v>13902.87</v>
      </c>
      <c r="AS27">
        <f>负荷!AS27-水电!AS27-核电!AS27-地方燃煤!AS27-风电!AS27-光伏!AS27-联络线!AS27-非市场化!AS27</f>
        <v>13617.49</v>
      </c>
      <c r="AT27">
        <f>负荷!AT27-水电!AT27-核电!AT27-地方燃煤!AT27-风电!AT27-光伏!AT27-联络线!AT27-非市场化!AT27</f>
        <v>13248.15</v>
      </c>
      <c r="AU27">
        <f>负荷!AU27-水电!AU27-核电!AU27-地方燃煤!AU27-风电!AU27-光伏!AU27-联络线!AU27-非市场化!AU27</f>
        <v>13064.6</v>
      </c>
      <c r="AV27">
        <f>负荷!AV27-水电!AV27-核电!AV27-地方燃煤!AV27-风电!AV27-光伏!AV27-联络线!AV27-非市场化!AV27</f>
        <v>12898.89</v>
      </c>
      <c r="AW27">
        <f>负荷!AW27-水电!AW27-核电!AW27-地方燃煤!AW27-风电!AW27-光伏!AW27-联络线!AW27-非市场化!AW27</f>
        <v>12708.83</v>
      </c>
      <c r="AX27">
        <f>负荷!AX27-水电!AX27-核电!AX27-地方燃煤!AX27-风电!AX27-光伏!AX27-联络线!AX27-非市场化!AX27</f>
        <v>13090.78</v>
      </c>
      <c r="AY27">
        <f>负荷!AY27-水电!AY27-核电!AY27-地方燃煤!AY27-风电!AY27-光伏!AY27-联络线!AY27-非市场化!AY27</f>
        <v>13049.2</v>
      </c>
      <c r="AZ27">
        <f>负荷!AZ27-水电!AZ27-核电!AZ27-地方燃煤!AZ27-风电!AZ27-光伏!AZ27-联络线!AZ27-非市场化!AZ27</f>
        <v>13056.45</v>
      </c>
      <c r="BA27">
        <f>负荷!BA27-水电!BA27-核电!BA27-地方燃煤!BA27-风电!BA27-光伏!BA27-联络线!BA27-非市场化!BA27</f>
        <v>13103.91</v>
      </c>
      <c r="BB27">
        <f>负荷!BB27-水电!BB27-核电!BB27-地方燃煤!BB27-风电!BB27-光伏!BB27-联络线!BB27-非市场化!BB27</f>
        <v>13293.08</v>
      </c>
      <c r="BC27">
        <f>负荷!BC27-水电!BC27-核电!BC27-地方燃煤!BC27-风电!BC27-光伏!BC27-联络线!BC27-非市场化!BC27</f>
        <v>13367.42</v>
      </c>
      <c r="BD27">
        <f>负荷!BD27-水电!BD27-核电!BD27-地方燃煤!BD27-风电!BD27-光伏!BD27-联络线!BD27-非市场化!BD27</f>
        <v>13499.34</v>
      </c>
      <c r="BE27">
        <f>负荷!BE27-水电!BE27-核电!BE27-地方燃煤!BE27-风电!BE27-光伏!BE27-联络线!BE27-非市场化!BE27</f>
        <v>13605.2</v>
      </c>
      <c r="BF27">
        <f>负荷!BF27-水电!BF27-核电!BF27-地方燃煤!BF27-风电!BF27-光伏!BF27-联络线!BF27-非市场化!BF27</f>
        <v>14020.53</v>
      </c>
      <c r="BG27">
        <f>负荷!BG27-水电!BG27-核电!BG27-地方燃煤!BG27-风电!BG27-光伏!BG27-联络线!BG27-非市场化!BG27</f>
        <v>13908.61</v>
      </c>
      <c r="BH27">
        <f>负荷!BH27-水电!BH27-核电!BH27-地方燃煤!BH27-风电!BH27-光伏!BH27-联络线!BH27-非市场化!BH27</f>
        <v>13888.9</v>
      </c>
      <c r="BI27">
        <f>负荷!BI27-水电!BI27-核电!BI27-地方燃煤!BI27-风电!BI27-光伏!BI27-联络线!BI27-非市场化!BI27</f>
        <v>13785.75</v>
      </c>
      <c r="BJ27">
        <f>负荷!BJ27-水电!BJ27-核电!BJ27-地方燃煤!BJ27-风电!BJ27-光伏!BJ27-联络线!BJ27-非市场化!BJ27</f>
        <v>14142.59</v>
      </c>
      <c r="BK27">
        <f>负荷!BK27-水电!BK27-核电!BK27-地方燃煤!BK27-风电!BK27-光伏!BK27-联络线!BK27-非市场化!BK27</f>
        <v>14438.89</v>
      </c>
      <c r="BL27">
        <f>负荷!BL27-水电!BL27-核电!BL27-地方燃煤!BL27-风电!BL27-光伏!BL27-联络线!BL27-非市场化!BL27</f>
        <v>14433.93</v>
      </c>
      <c r="BM27">
        <f>负荷!BM27-水电!BM27-核电!BM27-地方燃煤!BM27-风电!BM27-光伏!BM27-联络线!BM27-非市场化!BM27</f>
        <v>14449.69</v>
      </c>
      <c r="BN27">
        <f>负荷!BN27-水电!BN27-核电!BN27-地方燃煤!BN27-风电!BN27-光伏!BN27-联络线!BN27-非市场化!BN27</f>
        <v>15081.17</v>
      </c>
      <c r="BO27">
        <f>负荷!BO27-水电!BO27-核电!BO27-地方燃煤!BO27-风电!BO27-光伏!BO27-联络线!BO27-非市场化!BO27</f>
        <v>14907.27</v>
      </c>
      <c r="BP27">
        <f>负荷!BP27-水电!BP27-核电!BP27-地方燃煤!BP27-风电!BP27-光伏!BP27-联络线!BP27-非市场化!BP27</f>
        <v>14894.66</v>
      </c>
      <c r="BQ27">
        <f>负荷!BQ27-水电!BQ27-核电!BQ27-地方燃煤!BQ27-风电!BQ27-光伏!BQ27-联络线!BQ27-非市场化!BQ27</f>
        <v>14567.74</v>
      </c>
      <c r="BR27">
        <f>负荷!BR27-水电!BR27-核电!BR27-地方燃煤!BR27-风电!BR27-光伏!BR27-联络线!BR27-非市场化!BR27</f>
        <v>14597.92</v>
      </c>
      <c r="BS27">
        <f>负荷!BS27-水电!BS27-核电!BS27-地方燃煤!BS27-风电!BS27-光伏!BS27-联络线!BS27-非市场化!BS27</f>
        <v>14771.8</v>
      </c>
      <c r="BT27">
        <f>负荷!BT27-水电!BT27-核电!BT27-地方燃煤!BT27-风电!BT27-光伏!BT27-联络线!BT27-非市场化!BT27</f>
        <v>14926.1</v>
      </c>
      <c r="BU27">
        <f>负荷!BU27-水电!BU27-核电!BU27-地方燃煤!BU27-风电!BU27-光伏!BU27-联络线!BU27-非市场化!BU27</f>
        <v>14916.73</v>
      </c>
      <c r="BV27">
        <f>负荷!BV27-水电!BV27-核电!BV27-地方燃煤!BV27-风电!BV27-光伏!BV27-联络线!BV27-非市场化!BV27</f>
        <v>15208.18</v>
      </c>
      <c r="BW27">
        <f>负荷!BW27-水电!BW27-核电!BW27-地方燃煤!BW27-风电!BW27-光伏!BW27-联络线!BW27-非市场化!BW27</f>
        <v>15557.25</v>
      </c>
      <c r="BX27">
        <f>负荷!BX27-水电!BX27-核电!BX27-地方燃煤!BX27-风电!BX27-光伏!BX27-联络线!BX27-非市场化!BX27</f>
        <v>16088.84</v>
      </c>
      <c r="BY27">
        <f>负荷!BY27-水电!BY27-核电!BY27-地方燃煤!BY27-风电!BY27-光伏!BY27-联络线!BY27-非市场化!BY27</f>
        <v>16450.84</v>
      </c>
      <c r="BZ27">
        <f>负荷!BZ27-水电!BZ27-核电!BZ27-地方燃煤!BZ27-风电!BZ27-光伏!BZ27-联络线!BZ27-非市场化!BZ27</f>
        <v>17096.58</v>
      </c>
      <c r="CA27">
        <f>负荷!CA27-水电!CA27-核电!CA27-地方燃煤!CA27-风电!CA27-光伏!CA27-联络线!CA27-非市场化!CA27</f>
        <v>17183.08</v>
      </c>
      <c r="CB27">
        <f>负荷!CB27-水电!CB27-核电!CB27-地方燃煤!CB27-风电!CB27-光伏!CB27-联络线!CB27-非市场化!CB27</f>
        <v>17110.19</v>
      </c>
      <c r="CC27">
        <f>负荷!CC27-水电!CC27-核电!CC27-地方燃煤!CC27-风电!CC27-光伏!CC27-联络线!CC27-非市场化!CC27</f>
        <v>16686.46</v>
      </c>
      <c r="CD27">
        <f>负荷!CD27-水电!CD27-核电!CD27-地方燃煤!CD27-风电!CD27-光伏!CD27-联络线!CD27-非市场化!CD27</f>
        <v>16403.03</v>
      </c>
      <c r="CE27">
        <f>负荷!CE27-水电!CE27-核电!CE27-地方燃煤!CE27-风电!CE27-光伏!CE27-联络线!CE27-非市场化!CE27</f>
        <v>16328.63</v>
      </c>
      <c r="CF27">
        <f>负荷!CF27-水电!CF27-核电!CF27-地方燃煤!CF27-风电!CF27-光伏!CF27-联络线!CF27-非市场化!CF27</f>
        <v>16244.87</v>
      </c>
      <c r="CG27">
        <f>负荷!CG27-水电!CG27-核电!CG27-地方燃煤!CG27-风电!CG27-光伏!CG27-联络线!CG27-非市场化!CG27</f>
        <v>15976.47</v>
      </c>
      <c r="CH27">
        <f>负荷!CH27-水电!CH27-核电!CH27-地方燃煤!CH27-风电!CH27-光伏!CH27-联络线!CH27-非市场化!CH27</f>
        <v>16027.18</v>
      </c>
      <c r="CI27">
        <f>负荷!CI27-水电!CI27-核电!CI27-地方燃煤!CI27-风电!CI27-光伏!CI27-联络线!CI27-非市场化!CI27</f>
        <v>15745.65</v>
      </c>
      <c r="CJ27">
        <f>负荷!CJ27-水电!CJ27-核电!CJ27-地方燃煤!CJ27-风电!CJ27-光伏!CJ27-联络线!CJ27-非市场化!CJ27</f>
        <v>15563.3</v>
      </c>
      <c r="CK27">
        <f>负荷!CK27-水电!CK27-核电!CK27-地方燃煤!CK27-风电!CK27-光伏!CK27-联络线!CK27-非市场化!CK27</f>
        <v>15332.02</v>
      </c>
      <c r="CL27">
        <f>负荷!CL27-水电!CL27-核电!CL27-地方燃煤!CL27-风电!CL27-光伏!CL27-联络线!CL27-非市场化!CL27</f>
        <v>15109.74</v>
      </c>
      <c r="CM27">
        <f>负荷!CM27-水电!CM27-核电!CM27-地方燃煤!CM27-风电!CM27-光伏!CM27-联络线!CM27-非市场化!CM27</f>
        <v>15509.59</v>
      </c>
      <c r="CN27">
        <f>负荷!CN27-水电!CN27-核电!CN27-地方燃煤!CN27-风电!CN27-光伏!CN27-联络线!CN27-非市场化!CN27</f>
        <v>15846.75</v>
      </c>
      <c r="CO27">
        <f>负荷!CO27-水电!CO27-核电!CO27-地方燃煤!CO27-风电!CO27-光伏!CO27-联络线!CO27-非市场化!CO27</f>
        <v>16017.5</v>
      </c>
      <c r="CP27">
        <f>负荷!CP27-水电!CP27-核电!CP27-地方燃煤!CP27-风电!CP27-光伏!CP27-联络线!CP27-非市场化!CP27</f>
        <v>15694.37</v>
      </c>
      <c r="CQ27">
        <f>负荷!CQ27-水电!CQ27-核电!CQ27-地方燃煤!CQ27-风电!CQ27-光伏!CQ27-联络线!CQ27-非市场化!CQ27</f>
        <v>15267.88</v>
      </c>
      <c r="CR27">
        <f>负荷!CR27-水电!CR27-核电!CR27-地方燃煤!CR27-风电!CR27-光伏!CR27-联络线!CR27-非市场化!CR27</f>
        <v>15046.46</v>
      </c>
      <c r="CS27">
        <f>负荷!CS27-水电!CS27-核电!CS27-地方燃煤!CS27-风电!CS27-光伏!CS27-联络线!CS27-非市场化!CS27</f>
        <v>14579.8</v>
      </c>
    </row>
    <row r="28" spans="1:97">
      <c r="A28" s="9">
        <v>46261</v>
      </c>
      <c r="B28">
        <f>负荷!B28-水电!B28-核电!B28-地方燃煤!B28-风电!B28-光伏!B28-联络线!B28-非市场化!B28</f>
        <v>14162.46</v>
      </c>
      <c r="C28">
        <f>负荷!C28-水电!C28-核电!C28-地方燃煤!C28-风电!C28-光伏!C28-联络线!C28-非市场化!C28</f>
        <v>13947.8</v>
      </c>
      <c r="D28">
        <f>负荷!D28-水电!D28-核电!D28-地方燃煤!D28-风电!D28-光伏!D28-联络线!D28-非市场化!D28</f>
        <v>13676.09</v>
      </c>
      <c r="E28">
        <f>负荷!E28-水电!E28-核电!E28-地方燃煤!E28-风电!E28-光伏!E28-联络线!E28-非市场化!E28</f>
        <v>13663.94</v>
      </c>
      <c r="F28">
        <f>负荷!F28-水电!F28-核电!F28-地方燃煤!F28-风电!F28-光伏!F28-联络线!F28-非市场化!F28</f>
        <v>13892.57</v>
      </c>
      <c r="G28">
        <f>负荷!G28-水电!G28-核电!G28-地方燃煤!G28-风电!G28-光伏!G28-联络线!G28-非市场化!G28</f>
        <v>13843.99</v>
      </c>
      <c r="H28">
        <f>负荷!H28-水电!H28-核电!H28-地方燃煤!H28-风电!H28-光伏!H28-联络线!H28-非市场化!H28</f>
        <v>13750.2</v>
      </c>
      <c r="I28">
        <f>负荷!I28-水电!I28-核电!I28-地方燃煤!I28-风电!I28-光伏!I28-联络线!I28-非市场化!I28</f>
        <v>13448.85</v>
      </c>
      <c r="J28">
        <f>负荷!J28-水电!J28-核电!J28-地方燃煤!J28-风电!J28-光伏!J28-联络线!J28-非市场化!J28</f>
        <v>13420.02</v>
      </c>
      <c r="K28">
        <f>负荷!K28-水电!K28-核电!K28-地方燃煤!K28-风电!K28-光伏!K28-联络线!K28-非市场化!K28</f>
        <v>13209.98</v>
      </c>
      <c r="L28">
        <f>负荷!L28-水电!L28-核电!L28-地方燃煤!L28-风电!L28-光伏!L28-联络线!L28-非市场化!L28</f>
        <v>13186.72</v>
      </c>
      <c r="M28">
        <f>负荷!M28-水电!M28-核电!M28-地方燃煤!M28-风电!M28-光伏!M28-联络线!M28-非市场化!M28</f>
        <v>12992.18</v>
      </c>
      <c r="N28">
        <f>负荷!N28-水电!N28-核电!N28-地方燃煤!N28-风电!N28-光伏!N28-联络线!N28-非市场化!N28</f>
        <v>13058.65</v>
      </c>
      <c r="O28">
        <f>负荷!O28-水电!O28-核电!O28-地方燃煤!O28-风电!O28-光伏!O28-联络线!O28-非市场化!O28</f>
        <v>13004.23</v>
      </c>
      <c r="P28">
        <f>负荷!P28-水电!P28-核电!P28-地方燃煤!P28-风电!P28-光伏!P28-联络线!P28-非市场化!P28</f>
        <v>12884.13</v>
      </c>
      <c r="Q28">
        <f>负荷!Q28-水电!Q28-核电!Q28-地方燃煤!Q28-风电!Q28-光伏!Q28-联络线!Q28-非市场化!Q28</f>
        <v>12825.98</v>
      </c>
      <c r="R28">
        <f>负荷!R28-水电!R28-核电!R28-地方燃煤!R28-风电!R28-光伏!R28-联络线!R28-非市场化!R28</f>
        <v>13254.37</v>
      </c>
      <c r="S28">
        <f>负荷!S28-水电!S28-核电!S28-地方燃煤!S28-风电!S28-光伏!S28-联络线!S28-非市场化!S28</f>
        <v>13183.4</v>
      </c>
      <c r="T28">
        <f>负荷!T28-水电!T28-核电!T28-地方燃煤!T28-风电!T28-光伏!T28-联络线!T28-非市场化!T28</f>
        <v>13164.54</v>
      </c>
      <c r="U28">
        <f>负荷!U28-水电!U28-核电!U28-地方燃煤!U28-风电!U28-光伏!U28-联络线!U28-非市场化!U28</f>
        <v>13318.31</v>
      </c>
      <c r="V28">
        <f>负荷!V28-水电!V28-核电!V28-地方燃煤!V28-风电!V28-光伏!V28-联络线!V28-非市场化!V28</f>
        <v>13772.25</v>
      </c>
      <c r="W28">
        <f>负荷!W28-水电!W28-核电!W28-地方燃煤!W28-风电!W28-光伏!W28-联络线!W28-非市场化!W28</f>
        <v>13888.44</v>
      </c>
      <c r="X28">
        <f>负荷!X28-水电!X28-核电!X28-地方燃煤!X28-风电!X28-光伏!X28-联络线!X28-非市场化!X28</f>
        <v>14060.05</v>
      </c>
      <c r="Y28">
        <f>负荷!Y28-水电!Y28-核电!Y28-地方燃煤!Y28-风电!Y28-光伏!Y28-联络线!Y28-非市场化!Y28</f>
        <v>14089.36</v>
      </c>
      <c r="Z28">
        <f>负荷!Z28-水电!Z28-核电!Z28-地方燃煤!Z28-风电!Z28-光伏!Z28-联络线!Z28-非市场化!Z28</f>
        <v>14433.21</v>
      </c>
      <c r="AA28">
        <f>负荷!AA28-水电!AA28-核电!AA28-地方燃煤!AA28-风电!AA28-光伏!AA28-联络线!AA28-非市场化!AA28</f>
        <v>14238.23</v>
      </c>
      <c r="AB28">
        <f>负荷!AB28-水电!AB28-核电!AB28-地方燃煤!AB28-风电!AB28-光伏!AB28-联络线!AB28-非市场化!AB28</f>
        <v>13916.82</v>
      </c>
      <c r="AC28">
        <f>负荷!AC28-水电!AC28-核电!AC28-地方燃煤!AC28-风电!AC28-光伏!AC28-联络线!AC28-非市场化!AC28</f>
        <v>13276.32</v>
      </c>
      <c r="AD28">
        <f>负荷!AD28-水电!AD28-核电!AD28-地方燃煤!AD28-风电!AD28-光伏!AD28-联络线!AD28-非市场化!AD28</f>
        <v>13449.7</v>
      </c>
      <c r="AE28">
        <f>负荷!AE28-水电!AE28-核电!AE28-地方燃煤!AE28-风电!AE28-光伏!AE28-联络线!AE28-非市场化!AE28</f>
        <v>13026.34</v>
      </c>
      <c r="AF28">
        <f>负荷!AF28-水电!AF28-核电!AF28-地方燃煤!AF28-风电!AF28-光伏!AF28-联络线!AF28-非市场化!AF28</f>
        <v>12581.3</v>
      </c>
      <c r="AG28">
        <f>负荷!AG28-水电!AG28-核电!AG28-地方燃煤!AG28-风电!AG28-光伏!AG28-联络线!AG28-非市场化!AG28</f>
        <v>12327.49</v>
      </c>
      <c r="AH28">
        <f>负荷!AH28-水电!AH28-核电!AH28-地方燃煤!AH28-风电!AH28-光伏!AH28-联络线!AH28-非市场化!AH28</f>
        <v>12575.36</v>
      </c>
      <c r="AI28">
        <f>负荷!AI28-水电!AI28-核电!AI28-地方燃煤!AI28-风电!AI28-光伏!AI28-联络线!AI28-非市场化!AI28</f>
        <v>12059.75</v>
      </c>
      <c r="AJ28">
        <f>负荷!AJ28-水电!AJ28-核电!AJ28-地方燃煤!AJ28-风电!AJ28-光伏!AJ28-联络线!AJ28-非市场化!AJ28</f>
        <v>11600.44</v>
      </c>
      <c r="AK28">
        <f>负荷!AK28-水电!AK28-核电!AK28-地方燃煤!AK28-风电!AK28-光伏!AK28-联络线!AK28-非市场化!AK28</f>
        <v>11046.91</v>
      </c>
      <c r="AL28">
        <f>负荷!AL28-水电!AL28-核电!AL28-地方燃煤!AL28-风电!AL28-光伏!AL28-联络线!AL28-非市场化!AL28</f>
        <v>10559.12</v>
      </c>
      <c r="AM28">
        <f>负荷!AM28-水电!AM28-核电!AM28-地方燃煤!AM28-风电!AM28-光伏!AM28-联络线!AM28-非市场化!AM28</f>
        <v>10425.67</v>
      </c>
      <c r="AN28">
        <f>负荷!AN28-水电!AN28-核电!AN28-地方燃煤!AN28-风电!AN28-光伏!AN28-联络线!AN28-非市场化!AN28</f>
        <v>10205.73</v>
      </c>
      <c r="AO28">
        <f>负荷!AO28-水电!AO28-核电!AO28-地方燃煤!AO28-风电!AO28-光伏!AO28-联络线!AO28-非市场化!AO28</f>
        <v>9858.45</v>
      </c>
      <c r="AP28">
        <f>负荷!AP28-水电!AP28-核电!AP28-地方燃煤!AP28-风电!AP28-光伏!AP28-联络线!AP28-非市场化!AP28</f>
        <v>9514.65</v>
      </c>
      <c r="AQ28">
        <f>负荷!AQ28-水电!AQ28-核电!AQ28-地方燃煤!AQ28-风电!AQ28-光伏!AQ28-联络线!AQ28-非市场化!AQ28</f>
        <v>9544.47</v>
      </c>
      <c r="AR28">
        <f>负荷!AR28-水电!AR28-核电!AR28-地方燃煤!AR28-风电!AR28-光伏!AR28-联络线!AR28-非市场化!AR28</f>
        <v>9897.79999999999</v>
      </c>
      <c r="AS28">
        <f>负荷!AS28-水电!AS28-核电!AS28-地方燃煤!AS28-风电!AS28-光伏!AS28-联络线!AS28-非市场化!AS28</f>
        <v>9948.29</v>
      </c>
      <c r="AT28">
        <f>负荷!AT28-水电!AT28-核电!AT28-地方燃煤!AT28-风电!AT28-光伏!AT28-联络线!AT28-非市场化!AT28</f>
        <v>10220.73</v>
      </c>
      <c r="AU28">
        <f>负荷!AU28-水电!AU28-核电!AU28-地方燃煤!AU28-风电!AU28-光伏!AU28-联络线!AU28-非市场化!AU28</f>
        <v>10274.61</v>
      </c>
      <c r="AV28">
        <f>负荷!AV28-水电!AV28-核电!AV28-地方燃煤!AV28-风电!AV28-光伏!AV28-联络线!AV28-非市场化!AV28</f>
        <v>10494.19</v>
      </c>
      <c r="AW28">
        <f>负荷!AW28-水电!AW28-核电!AW28-地方燃煤!AW28-风电!AW28-光伏!AW28-联络线!AW28-非市场化!AW28</f>
        <v>10883.55</v>
      </c>
      <c r="AX28">
        <f>负荷!AX28-水电!AX28-核电!AX28-地方燃煤!AX28-风电!AX28-光伏!AX28-联络线!AX28-非市场化!AX28</f>
        <v>11383.32</v>
      </c>
      <c r="AY28">
        <f>负荷!AY28-水电!AY28-核电!AY28-地方燃煤!AY28-风电!AY28-光伏!AY28-联络线!AY28-非市场化!AY28</f>
        <v>11395.8</v>
      </c>
      <c r="AZ28">
        <f>负荷!AZ28-水电!AZ28-核电!AZ28-地方燃煤!AZ28-风电!AZ28-光伏!AZ28-联络线!AZ28-非市场化!AZ28</f>
        <v>11441.07</v>
      </c>
      <c r="BA28">
        <f>负荷!BA28-水电!BA28-核电!BA28-地方燃煤!BA28-风电!BA28-光伏!BA28-联络线!BA28-非市场化!BA28</f>
        <v>10963.38</v>
      </c>
      <c r="BB28">
        <f>负荷!BB28-水电!BB28-核电!BB28-地方燃煤!BB28-风电!BB28-光伏!BB28-联络线!BB28-非市场化!BB28</f>
        <v>10972</v>
      </c>
      <c r="BC28">
        <f>负荷!BC28-水电!BC28-核电!BC28-地方燃煤!BC28-风电!BC28-光伏!BC28-联络线!BC28-非市场化!BC28</f>
        <v>10756.85</v>
      </c>
      <c r="BD28">
        <f>负荷!BD28-水电!BD28-核电!BD28-地方燃煤!BD28-风电!BD28-光伏!BD28-联络线!BD28-非市场化!BD28</f>
        <v>10639.48</v>
      </c>
      <c r="BE28">
        <f>负荷!BE28-水电!BE28-核电!BE28-地方燃煤!BE28-风电!BE28-光伏!BE28-联络线!BE28-非市场化!BE28</f>
        <v>10490.21</v>
      </c>
      <c r="BF28">
        <f>负荷!BF28-水电!BF28-核电!BF28-地方燃煤!BF28-风电!BF28-光伏!BF28-联络线!BF28-非市场化!BF28</f>
        <v>10569.41</v>
      </c>
      <c r="BG28">
        <f>负荷!BG28-水电!BG28-核电!BG28-地方燃煤!BG28-风电!BG28-光伏!BG28-联络线!BG28-非市场化!BG28</f>
        <v>10441.64</v>
      </c>
      <c r="BH28">
        <f>负荷!BH28-水电!BH28-核电!BH28-地方燃煤!BH28-风电!BH28-光伏!BH28-联络线!BH28-非市场化!BH28</f>
        <v>10670.23</v>
      </c>
      <c r="BI28">
        <f>负荷!BI28-水电!BI28-核电!BI28-地方燃煤!BI28-风电!BI28-光伏!BI28-联络线!BI28-非市场化!BI28</f>
        <v>10894.9</v>
      </c>
      <c r="BJ28">
        <f>负荷!BJ28-水电!BJ28-核电!BJ28-地方燃煤!BJ28-风电!BJ28-光伏!BJ28-联络线!BJ28-非市场化!BJ28</f>
        <v>11778.57</v>
      </c>
      <c r="BK28">
        <f>负荷!BK28-水电!BK28-核电!BK28-地方燃煤!BK28-风电!BK28-光伏!BK28-联络线!BK28-非市场化!BK28</f>
        <v>12363.9</v>
      </c>
      <c r="BL28">
        <f>负荷!BL28-水电!BL28-核电!BL28-地方燃煤!BL28-风电!BL28-光伏!BL28-联络线!BL28-非市场化!BL28</f>
        <v>12652.98</v>
      </c>
      <c r="BM28">
        <f>负荷!BM28-水电!BM28-核电!BM28-地方燃煤!BM28-风电!BM28-光伏!BM28-联络线!BM28-非市场化!BM28</f>
        <v>12610.83</v>
      </c>
      <c r="BN28">
        <f>负荷!BN28-水电!BN28-核电!BN28-地方燃煤!BN28-风电!BN28-光伏!BN28-联络线!BN28-非市场化!BN28</f>
        <v>13225.88</v>
      </c>
      <c r="BO28">
        <f>负荷!BO28-水电!BO28-核电!BO28-地方燃煤!BO28-风电!BO28-光伏!BO28-联络线!BO28-非市场化!BO28</f>
        <v>13786.78</v>
      </c>
      <c r="BP28">
        <f>负荷!BP28-水电!BP28-核电!BP28-地方燃煤!BP28-风电!BP28-光伏!BP28-联络线!BP28-非市场化!BP28</f>
        <v>14114.25</v>
      </c>
      <c r="BQ28">
        <f>负荷!BQ28-水电!BQ28-核电!BQ28-地方燃煤!BQ28-风电!BQ28-光伏!BQ28-联络线!BQ28-非市场化!BQ28</f>
        <v>13897.93</v>
      </c>
      <c r="BR28">
        <f>负荷!BR28-水电!BR28-核电!BR28-地方燃煤!BR28-风电!BR28-光伏!BR28-联络线!BR28-非市场化!BR28</f>
        <v>13742.98</v>
      </c>
      <c r="BS28">
        <f>负荷!BS28-水电!BS28-核电!BS28-地方燃煤!BS28-风电!BS28-光伏!BS28-联络线!BS28-非市场化!BS28</f>
        <v>13749.47</v>
      </c>
      <c r="BT28">
        <f>负荷!BT28-水电!BT28-核电!BT28-地方燃煤!BT28-风电!BT28-光伏!BT28-联络线!BT28-非市场化!BT28</f>
        <v>13609.93</v>
      </c>
      <c r="BU28">
        <f>负荷!BU28-水电!BU28-核电!BU28-地方燃煤!BU28-风电!BU28-光伏!BU28-联络线!BU28-非市场化!BU28</f>
        <v>13438.74</v>
      </c>
      <c r="BV28">
        <f>负荷!BV28-水电!BV28-核电!BV28-地方燃煤!BV28-风电!BV28-光伏!BV28-联络线!BV28-非市场化!BV28</f>
        <v>13257.28</v>
      </c>
      <c r="BW28">
        <f>负荷!BW28-水电!BW28-核电!BW28-地方燃煤!BW28-风电!BW28-光伏!BW28-联络线!BW28-非市场化!BW28</f>
        <v>13132.42</v>
      </c>
      <c r="BX28">
        <f>负荷!BX28-水电!BX28-核电!BX28-地方燃煤!BX28-风电!BX28-光伏!BX28-联络线!BX28-非市场化!BX28</f>
        <v>13383.42</v>
      </c>
      <c r="BY28">
        <f>负荷!BY28-水电!BY28-核电!BY28-地方燃煤!BY28-风电!BY28-光伏!BY28-联络线!BY28-非市场化!BY28</f>
        <v>13510.94</v>
      </c>
      <c r="BZ28">
        <f>负荷!BZ28-水电!BZ28-核电!BZ28-地方燃煤!BZ28-风电!BZ28-光伏!BZ28-联络线!BZ28-非市场化!BZ28</f>
        <v>14047.85</v>
      </c>
      <c r="CA28">
        <f>负荷!CA28-水电!CA28-核电!CA28-地方燃煤!CA28-风电!CA28-光伏!CA28-联络线!CA28-非市场化!CA28</f>
        <v>13904.78</v>
      </c>
      <c r="CB28">
        <f>负荷!CB28-水电!CB28-核电!CB28-地方燃煤!CB28-风电!CB28-光伏!CB28-联络线!CB28-非市场化!CB28</f>
        <v>13703.52</v>
      </c>
      <c r="CC28">
        <f>负荷!CC28-水电!CC28-核电!CC28-地方燃煤!CC28-风电!CC28-光伏!CC28-联络线!CC28-非市场化!CC28</f>
        <v>13296.98</v>
      </c>
      <c r="CD28">
        <f>负荷!CD28-水电!CD28-核电!CD28-地方燃煤!CD28-风电!CD28-光伏!CD28-联络线!CD28-非市场化!CD28</f>
        <v>12877.44</v>
      </c>
      <c r="CE28">
        <f>负荷!CE28-水电!CE28-核电!CE28-地方燃煤!CE28-风电!CE28-光伏!CE28-联络线!CE28-非市场化!CE28</f>
        <v>12793.66</v>
      </c>
      <c r="CF28">
        <f>负荷!CF28-水电!CF28-核电!CF28-地方燃煤!CF28-风电!CF28-光伏!CF28-联络线!CF28-非市场化!CF28</f>
        <v>12674.95</v>
      </c>
      <c r="CG28">
        <f>负荷!CG28-水电!CG28-核电!CG28-地方燃煤!CG28-风电!CG28-光伏!CG28-联络线!CG28-非市场化!CG28</f>
        <v>12369.05</v>
      </c>
      <c r="CH28">
        <f>负荷!CH28-水电!CH28-核电!CH28-地方燃煤!CH28-风电!CH28-光伏!CH28-联络线!CH28-非市场化!CH28</f>
        <v>12430.79</v>
      </c>
      <c r="CI28">
        <f>负荷!CI28-水电!CI28-核电!CI28-地方燃煤!CI28-风电!CI28-光伏!CI28-联络线!CI28-非市场化!CI28</f>
        <v>11867.43</v>
      </c>
      <c r="CJ28">
        <f>负荷!CJ28-水电!CJ28-核电!CJ28-地方燃煤!CJ28-风电!CJ28-光伏!CJ28-联络线!CJ28-非市场化!CJ28</f>
        <v>11515.1</v>
      </c>
      <c r="CK28">
        <f>负荷!CK28-水电!CK28-核电!CK28-地方燃煤!CK28-风电!CK28-光伏!CK28-联络线!CK28-非市场化!CK28</f>
        <v>10915.47</v>
      </c>
      <c r="CL28">
        <f>负荷!CL28-水电!CL28-核电!CL28-地方燃煤!CL28-风电!CL28-光伏!CL28-联络线!CL28-非市场化!CL28</f>
        <v>10780.2</v>
      </c>
      <c r="CM28">
        <f>负荷!CM28-水电!CM28-核电!CM28-地方燃煤!CM28-风电!CM28-光伏!CM28-联络线!CM28-非市场化!CM28</f>
        <v>10919.58</v>
      </c>
      <c r="CN28">
        <f>负荷!CN28-水电!CN28-核电!CN28-地方燃煤!CN28-风电!CN28-光伏!CN28-联络线!CN28-非市场化!CN28</f>
        <v>11361.66</v>
      </c>
      <c r="CO28">
        <f>负荷!CO28-水电!CO28-核电!CO28-地方燃煤!CO28-风电!CO28-光伏!CO28-联络线!CO28-非市场化!CO28</f>
        <v>11677.84</v>
      </c>
      <c r="CP28">
        <f>负荷!CP28-水电!CP28-核电!CP28-地方燃煤!CP28-风电!CP28-光伏!CP28-联络线!CP28-非市场化!CP28</f>
        <v>11412.82</v>
      </c>
      <c r="CQ28">
        <f>负荷!CQ28-水电!CQ28-核电!CQ28-地方燃煤!CQ28-风电!CQ28-光伏!CQ28-联络线!CQ28-非市场化!CQ28</f>
        <v>11372.75</v>
      </c>
      <c r="CR28">
        <f>负荷!CR28-水电!CR28-核电!CR28-地方燃煤!CR28-风电!CR28-光伏!CR28-联络线!CR28-非市场化!CR28</f>
        <v>11622.43</v>
      </c>
      <c r="CS28">
        <f>负荷!CS28-水电!CS28-核电!CS28-地方燃煤!CS28-风电!CS28-光伏!CS28-联络线!CS28-非市场化!CS28</f>
        <v>11524.41</v>
      </c>
    </row>
    <row r="29" spans="1:97">
      <c r="A29" s="9">
        <v>46262</v>
      </c>
      <c r="B29">
        <f>负荷!B29-水电!B29-核电!B29-地方燃煤!B29-风电!B29-光伏!B29-联络线!B29-非市场化!B29</f>
        <v>11785.46</v>
      </c>
      <c r="C29">
        <f>负荷!C29-水电!C29-核电!C29-地方燃煤!C29-风电!C29-光伏!C29-联络线!C29-非市场化!C29</f>
        <v>11798.31</v>
      </c>
      <c r="D29">
        <f>负荷!D29-水电!D29-核电!D29-地方燃煤!D29-风电!D29-光伏!D29-联络线!D29-非市场化!D29</f>
        <v>11486.09</v>
      </c>
      <c r="E29">
        <f>负荷!E29-水电!E29-核电!E29-地方燃煤!E29-风电!E29-光伏!E29-联络线!E29-非市场化!E29</f>
        <v>11368.85</v>
      </c>
      <c r="F29">
        <f>负荷!F29-水电!F29-核电!F29-地方燃煤!F29-风电!F29-光伏!F29-联络线!F29-非市场化!F29</f>
        <v>11418.41</v>
      </c>
      <c r="G29">
        <f>负荷!G29-水电!G29-核电!G29-地方燃煤!G29-风电!G29-光伏!G29-联络线!G29-非市场化!G29</f>
        <v>11281.37</v>
      </c>
      <c r="H29">
        <f>负荷!H29-水电!H29-核电!H29-地方燃煤!H29-风电!H29-光伏!H29-联络线!H29-非市场化!H29</f>
        <v>11280.22</v>
      </c>
      <c r="I29">
        <f>负荷!I29-水电!I29-核电!I29-地方燃煤!I29-风电!I29-光伏!I29-联络线!I29-非市场化!I29</f>
        <v>11180.19</v>
      </c>
      <c r="J29">
        <f>负荷!J29-水电!J29-核电!J29-地方燃煤!J29-风电!J29-光伏!J29-联络线!J29-非市场化!J29</f>
        <v>11071.14</v>
      </c>
      <c r="K29">
        <f>负荷!K29-水电!K29-核电!K29-地方燃煤!K29-风电!K29-光伏!K29-联络线!K29-非市场化!K29</f>
        <v>10923.19</v>
      </c>
      <c r="L29">
        <f>负荷!L29-水电!L29-核电!L29-地方燃煤!L29-风电!L29-光伏!L29-联络线!L29-非市场化!L29</f>
        <v>10824.82</v>
      </c>
      <c r="M29">
        <f>负荷!M29-水电!M29-核电!M29-地方燃煤!M29-风电!M29-光伏!M29-联络线!M29-非市场化!M29</f>
        <v>10829.43</v>
      </c>
      <c r="N29">
        <f>负荷!N29-水电!N29-核电!N29-地方燃煤!N29-风电!N29-光伏!N29-联络线!N29-非市场化!N29</f>
        <v>10886.88</v>
      </c>
      <c r="O29">
        <f>负荷!O29-水电!O29-核电!O29-地方燃煤!O29-风电!O29-光伏!O29-联络线!O29-非市场化!O29</f>
        <v>10995.75</v>
      </c>
      <c r="P29">
        <f>负荷!P29-水电!P29-核电!P29-地方燃煤!P29-风电!P29-光伏!P29-联络线!P29-非市场化!P29</f>
        <v>10890.58</v>
      </c>
      <c r="Q29">
        <f>负荷!Q29-水电!Q29-核电!Q29-地方燃煤!Q29-风电!Q29-光伏!Q29-联络线!Q29-非市场化!Q29</f>
        <v>10856.51</v>
      </c>
      <c r="R29">
        <f>负荷!R29-水电!R29-核电!R29-地方燃煤!R29-风电!R29-光伏!R29-联络线!R29-非市场化!R29</f>
        <v>11140.81</v>
      </c>
      <c r="S29">
        <f>负荷!S29-水电!S29-核电!S29-地方燃煤!S29-风电!S29-光伏!S29-联络线!S29-非市场化!S29</f>
        <v>11092.79</v>
      </c>
      <c r="T29">
        <f>负荷!T29-水电!T29-核电!T29-地方燃煤!T29-风电!T29-光伏!T29-联络线!T29-非市场化!T29</f>
        <v>11073.95</v>
      </c>
      <c r="U29">
        <f>负荷!U29-水电!U29-核电!U29-地方燃煤!U29-风电!U29-光伏!U29-联络线!U29-非市场化!U29</f>
        <v>11201.79</v>
      </c>
      <c r="V29">
        <f>负荷!V29-水电!V29-核电!V29-地方燃煤!V29-风电!V29-光伏!V29-联络线!V29-非市场化!V29</f>
        <v>11494.26</v>
      </c>
      <c r="W29">
        <f>负荷!W29-水电!W29-核电!W29-地方燃煤!W29-风电!W29-光伏!W29-联络线!W29-非市场化!W29</f>
        <v>11724.72</v>
      </c>
      <c r="X29">
        <f>负荷!X29-水电!X29-核电!X29-地方燃煤!X29-风电!X29-光伏!X29-联络线!X29-非市场化!X29</f>
        <v>12156.31</v>
      </c>
      <c r="Y29">
        <f>负荷!Y29-水电!Y29-核电!Y29-地方燃煤!Y29-风电!Y29-光伏!Y29-联络线!Y29-非市场化!Y29</f>
        <v>12273.36</v>
      </c>
      <c r="Z29">
        <f>负荷!Z29-水电!Z29-核电!Z29-地方燃煤!Z29-风电!Z29-光伏!Z29-联络线!Z29-非市场化!Z29</f>
        <v>12925.82</v>
      </c>
      <c r="AA29">
        <f>负荷!AA29-水电!AA29-核电!AA29-地方燃煤!AA29-风电!AA29-光伏!AA29-联络线!AA29-非市场化!AA29</f>
        <v>13029.31</v>
      </c>
      <c r="AB29">
        <f>负荷!AB29-水电!AB29-核电!AB29-地方燃煤!AB29-风电!AB29-光伏!AB29-联络线!AB29-非市场化!AB29</f>
        <v>12913.94</v>
      </c>
      <c r="AC29">
        <f>负荷!AC29-水电!AC29-核电!AC29-地方燃煤!AC29-风电!AC29-光伏!AC29-联络线!AC29-非市场化!AC29</f>
        <v>12567.65</v>
      </c>
      <c r="AD29">
        <f>负荷!AD29-水电!AD29-核电!AD29-地方燃煤!AD29-风电!AD29-光伏!AD29-联络线!AD29-非市场化!AD29</f>
        <v>12345.75</v>
      </c>
      <c r="AE29">
        <f>负荷!AE29-水电!AE29-核电!AE29-地方燃煤!AE29-风电!AE29-光伏!AE29-联络线!AE29-非市场化!AE29</f>
        <v>12132.2</v>
      </c>
      <c r="AF29">
        <f>负荷!AF29-水电!AF29-核电!AF29-地方燃煤!AF29-风电!AF29-光伏!AF29-联络线!AF29-非市场化!AF29</f>
        <v>12454.87</v>
      </c>
      <c r="AG29">
        <f>负荷!AG29-水电!AG29-核电!AG29-地方燃煤!AG29-风电!AG29-光伏!AG29-联络线!AG29-非市场化!AG29</f>
        <v>12602.49</v>
      </c>
      <c r="AH29">
        <f>负荷!AH29-水电!AH29-核电!AH29-地方燃煤!AH29-风电!AH29-光伏!AH29-联络线!AH29-非市场化!AH29</f>
        <v>13462.18</v>
      </c>
      <c r="AI29">
        <f>负荷!AI29-水电!AI29-核电!AI29-地方燃煤!AI29-风电!AI29-光伏!AI29-联络线!AI29-非市场化!AI29</f>
        <v>13264.98</v>
      </c>
      <c r="AJ29">
        <f>负荷!AJ29-水电!AJ29-核电!AJ29-地方燃煤!AJ29-风电!AJ29-光伏!AJ29-联络线!AJ29-非市场化!AJ29</f>
        <v>13066.67</v>
      </c>
      <c r="AK29">
        <f>负荷!AK29-水电!AK29-核电!AK29-地方燃煤!AK29-风电!AK29-光伏!AK29-联络线!AK29-非市场化!AK29</f>
        <v>13284.41</v>
      </c>
      <c r="AL29">
        <f>负荷!AL29-水电!AL29-核电!AL29-地方燃煤!AL29-风电!AL29-光伏!AL29-联络线!AL29-非市场化!AL29</f>
        <v>12764.19</v>
      </c>
      <c r="AM29">
        <f>负荷!AM29-水电!AM29-核电!AM29-地方燃煤!AM29-风电!AM29-光伏!AM29-联络线!AM29-非市场化!AM29</f>
        <v>13109.25</v>
      </c>
      <c r="AN29">
        <f>负荷!AN29-水电!AN29-核电!AN29-地方燃煤!AN29-风电!AN29-光伏!AN29-联络线!AN29-非市场化!AN29</f>
        <v>13262.61</v>
      </c>
      <c r="AO29">
        <f>负荷!AO29-水电!AO29-核电!AO29-地方燃煤!AO29-风电!AO29-光伏!AO29-联络线!AO29-非市场化!AO29</f>
        <v>13452.04</v>
      </c>
      <c r="AP29">
        <f>负荷!AP29-水电!AP29-核电!AP29-地方燃煤!AP29-风电!AP29-光伏!AP29-联络线!AP29-非市场化!AP29</f>
        <v>13471.42</v>
      </c>
      <c r="AQ29">
        <f>负荷!AQ29-水电!AQ29-核电!AQ29-地方燃煤!AQ29-风电!AQ29-光伏!AQ29-联络线!AQ29-非市场化!AQ29</f>
        <v>13510.85</v>
      </c>
      <c r="AR29">
        <f>负荷!AR29-水电!AR29-核电!AR29-地方燃煤!AR29-风电!AR29-光伏!AR29-联络线!AR29-非市场化!AR29</f>
        <v>13711.89</v>
      </c>
      <c r="AS29">
        <f>负荷!AS29-水电!AS29-核电!AS29-地方燃煤!AS29-风电!AS29-光伏!AS29-联络线!AS29-非市场化!AS29</f>
        <v>13798.6</v>
      </c>
      <c r="AT29">
        <f>负荷!AT29-水电!AT29-核电!AT29-地方燃煤!AT29-风电!AT29-光伏!AT29-联络线!AT29-非市场化!AT29</f>
        <v>13820.35</v>
      </c>
      <c r="AU29">
        <f>负荷!AU29-水电!AU29-核电!AU29-地方燃煤!AU29-风电!AU29-光伏!AU29-联络线!AU29-非市场化!AU29</f>
        <v>13511.07</v>
      </c>
      <c r="AV29">
        <f>负荷!AV29-水电!AV29-核电!AV29-地方燃煤!AV29-风电!AV29-光伏!AV29-联络线!AV29-非市场化!AV29</f>
        <v>13735.15</v>
      </c>
      <c r="AW29">
        <f>负荷!AW29-水电!AW29-核电!AW29-地方燃煤!AW29-风电!AW29-光伏!AW29-联络线!AW29-非市场化!AW29</f>
        <v>14042.64</v>
      </c>
      <c r="AX29">
        <f>负荷!AX29-水电!AX29-核电!AX29-地方燃煤!AX29-风电!AX29-光伏!AX29-联络线!AX29-非市场化!AX29</f>
        <v>14152.37</v>
      </c>
      <c r="AY29">
        <f>负荷!AY29-水电!AY29-核电!AY29-地方燃煤!AY29-风电!AY29-光伏!AY29-联络线!AY29-非市场化!AY29</f>
        <v>14041.12</v>
      </c>
      <c r="AZ29">
        <f>负荷!AZ29-水电!AZ29-核电!AZ29-地方燃煤!AZ29-风电!AZ29-光伏!AZ29-联络线!AZ29-非市场化!AZ29</f>
        <v>14145.79</v>
      </c>
      <c r="BA29">
        <f>负荷!BA29-水电!BA29-核电!BA29-地方燃煤!BA29-风电!BA29-光伏!BA29-联络线!BA29-非市场化!BA29</f>
        <v>13943.57</v>
      </c>
      <c r="BB29">
        <f>负荷!BB29-水电!BB29-核电!BB29-地方燃煤!BB29-风电!BB29-光伏!BB29-联络线!BB29-非市场化!BB29</f>
        <v>14643.72</v>
      </c>
      <c r="BC29">
        <f>负荷!BC29-水电!BC29-核电!BC29-地方燃煤!BC29-风电!BC29-光伏!BC29-联络线!BC29-非市场化!BC29</f>
        <v>14714.86</v>
      </c>
      <c r="BD29">
        <f>负荷!BD29-水电!BD29-核电!BD29-地方燃煤!BD29-风电!BD29-光伏!BD29-联络线!BD29-非市场化!BD29</f>
        <v>15096.53</v>
      </c>
      <c r="BE29">
        <f>负荷!BE29-水电!BE29-核电!BE29-地方燃煤!BE29-风电!BE29-光伏!BE29-联络线!BE29-非市场化!BE29</f>
        <v>15218.92</v>
      </c>
      <c r="BF29">
        <f>负荷!BF29-水电!BF29-核电!BF29-地方燃煤!BF29-风电!BF29-光伏!BF29-联络线!BF29-非市场化!BF29</f>
        <v>15185.88</v>
      </c>
      <c r="BG29">
        <f>负荷!BG29-水电!BG29-核电!BG29-地方燃煤!BG29-风电!BG29-光伏!BG29-联络线!BG29-非市场化!BG29</f>
        <v>14937.6</v>
      </c>
      <c r="BH29">
        <f>负荷!BH29-水电!BH29-核电!BH29-地方燃煤!BH29-风电!BH29-光伏!BH29-联络线!BH29-非市场化!BH29</f>
        <v>14973.35</v>
      </c>
      <c r="BI29">
        <f>负荷!BI29-水电!BI29-核电!BI29-地方燃煤!BI29-风电!BI29-光伏!BI29-联络线!BI29-非市场化!BI29</f>
        <v>14982.32</v>
      </c>
      <c r="BJ29">
        <f>负荷!BJ29-水电!BJ29-核电!BJ29-地方燃煤!BJ29-风电!BJ29-光伏!BJ29-联络线!BJ29-非市场化!BJ29</f>
        <v>15166.2</v>
      </c>
      <c r="BK29">
        <f>负荷!BK29-水电!BK29-核电!BK29-地方燃煤!BK29-风电!BK29-光伏!BK29-联络线!BK29-非市场化!BK29</f>
        <v>15188.51</v>
      </c>
      <c r="BL29">
        <f>负荷!BL29-水电!BL29-核电!BL29-地方燃煤!BL29-风电!BL29-光伏!BL29-联络线!BL29-非市场化!BL29</f>
        <v>14899.54</v>
      </c>
      <c r="BM29">
        <f>负荷!BM29-水电!BM29-核电!BM29-地方燃煤!BM29-风电!BM29-光伏!BM29-联络线!BM29-非市场化!BM29</f>
        <v>14649.16</v>
      </c>
      <c r="BN29">
        <f>负荷!BN29-水电!BN29-核电!BN29-地方燃煤!BN29-风电!BN29-光伏!BN29-联络线!BN29-非市场化!BN29</f>
        <v>14795.98</v>
      </c>
      <c r="BO29">
        <f>负荷!BO29-水电!BO29-核电!BO29-地方燃煤!BO29-风电!BO29-光伏!BO29-联络线!BO29-非市场化!BO29</f>
        <v>14801.1</v>
      </c>
      <c r="BP29">
        <f>负荷!BP29-水电!BP29-核电!BP29-地方燃煤!BP29-风电!BP29-光伏!BP29-联络线!BP29-非市场化!BP29</f>
        <v>14702.41</v>
      </c>
      <c r="BQ29">
        <f>负荷!BQ29-水电!BQ29-核电!BQ29-地方燃煤!BQ29-风电!BQ29-光伏!BQ29-联络线!BQ29-非市场化!BQ29</f>
        <v>14141.83</v>
      </c>
      <c r="BR29">
        <f>负荷!BR29-水电!BR29-核电!BR29-地方燃煤!BR29-风电!BR29-光伏!BR29-联络线!BR29-非市场化!BR29</f>
        <v>13960.02</v>
      </c>
      <c r="BS29">
        <f>负荷!BS29-水电!BS29-核电!BS29-地方燃煤!BS29-风电!BS29-光伏!BS29-联络线!BS29-非市场化!BS29</f>
        <v>13962.62</v>
      </c>
      <c r="BT29">
        <f>负荷!BT29-水电!BT29-核电!BT29-地方燃煤!BT29-风电!BT29-光伏!BT29-联络线!BT29-非市场化!BT29</f>
        <v>13888.13</v>
      </c>
      <c r="BU29">
        <f>负荷!BU29-水电!BU29-核电!BU29-地方燃煤!BU29-风电!BU29-光伏!BU29-联络线!BU29-非市场化!BU29</f>
        <v>14016.88</v>
      </c>
      <c r="BV29">
        <f>负荷!BV29-水电!BV29-核电!BV29-地方燃煤!BV29-风电!BV29-光伏!BV29-联络线!BV29-非市场化!BV29</f>
        <v>14001.33</v>
      </c>
      <c r="BW29">
        <f>负荷!BW29-水电!BW29-核电!BW29-地方燃煤!BW29-风电!BW29-光伏!BW29-联络线!BW29-非市场化!BW29</f>
        <v>14348.03</v>
      </c>
      <c r="BX29">
        <f>负荷!BX29-水电!BX29-核电!BX29-地方燃煤!BX29-风电!BX29-光伏!BX29-联络线!BX29-非市场化!BX29</f>
        <v>14762.89</v>
      </c>
      <c r="BY29">
        <f>负荷!BY29-水电!BY29-核电!BY29-地方燃煤!BY29-风电!BY29-光伏!BY29-联络线!BY29-非市场化!BY29</f>
        <v>15055.17</v>
      </c>
      <c r="BZ29">
        <f>负荷!BZ29-水电!BZ29-核电!BZ29-地方燃煤!BZ29-风电!BZ29-光伏!BZ29-联络线!BZ29-非市场化!BZ29</f>
        <v>15225.57</v>
      </c>
      <c r="CA29">
        <f>负荷!CA29-水电!CA29-核电!CA29-地方燃煤!CA29-风电!CA29-光伏!CA29-联络线!CA29-非市场化!CA29</f>
        <v>15139</v>
      </c>
      <c r="CB29">
        <f>负荷!CB29-水电!CB29-核电!CB29-地方燃煤!CB29-风电!CB29-光伏!CB29-联络线!CB29-非市场化!CB29</f>
        <v>14976.33</v>
      </c>
      <c r="CC29">
        <f>负荷!CC29-水电!CC29-核电!CC29-地方燃煤!CC29-风电!CC29-光伏!CC29-联络线!CC29-非市场化!CC29</f>
        <v>14623.38</v>
      </c>
      <c r="CD29">
        <f>负荷!CD29-水电!CD29-核电!CD29-地方燃煤!CD29-风电!CD29-光伏!CD29-联络线!CD29-非市场化!CD29</f>
        <v>14201.69</v>
      </c>
      <c r="CE29">
        <f>负荷!CE29-水电!CE29-核电!CE29-地方燃煤!CE29-风电!CE29-光伏!CE29-联络线!CE29-非市场化!CE29</f>
        <v>14197.16</v>
      </c>
      <c r="CF29">
        <f>负荷!CF29-水电!CF29-核电!CF29-地方燃煤!CF29-风电!CF29-光伏!CF29-联络线!CF29-非市场化!CF29</f>
        <v>13991.2</v>
      </c>
      <c r="CG29">
        <f>负荷!CG29-水电!CG29-核电!CG29-地方燃煤!CG29-风电!CG29-光伏!CG29-联络线!CG29-非市场化!CG29</f>
        <v>13743.98</v>
      </c>
      <c r="CH29">
        <f>负荷!CH29-水电!CH29-核电!CH29-地方燃煤!CH29-风电!CH29-光伏!CH29-联络线!CH29-非市场化!CH29</f>
        <v>13845.86</v>
      </c>
      <c r="CI29">
        <f>负荷!CI29-水电!CI29-核电!CI29-地方燃煤!CI29-风电!CI29-光伏!CI29-联络线!CI29-非市场化!CI29</f>
        <v>13363.62</v>
      </c>
      <c r="CJ29">
        <f>负荷!CJ29-水电!CJ29-核电!CJ29-地方燃煤!CJ29-风电!CJ29-光伏!CJ29-联络线!CJ29-非市场化!CJ29</f>
        <v>12667.09</v>
      </c>
      <c r="CK29">
        <f>负荷!CK29-水电!CK29-核电!CK29-地方燃煤!CK29-风电!CK29-光伏!CK29-联络线!CK29-非市场化!CK29</f>
        <v>12334.92</v>
      </c>
      <c r="CL29">
        <f>负荷!CL29-水电!CL29-核电!CL29-地方燃煤!CL29-风电!CL29-光伏!CL29-联络线!CL29-非市场化!CL29</f>
        <v>12537.7</v>
      </c>
      <c r="CM29">
        <f>负荷!CM29-水电!CM29-核电!CM29-地方燃煤!CM29-风电!CM29-光伏!CM29-联络线!CM29-非市场化!CM29</f>
        <v>12893.66</v>
      </c>
      <c r="CN29">
        <f>负荷!CN29-水电!CN29-核电!CN29-地方燃煤!CN29-风电!CN29-光伏!CN29-联络线!CN29-非市场化!CN29</f>
        <v>13216.63</v>
      </c>
      <c r="CO29">
        <f>负荷!CO29-水电!CO29-核电!CO29-地方燃煤!CO29-风电!CO29-光伏!CO29-联络线!CO29-非市场化!CO29</f>
        <v>13553.59</v>
      </c>
      <c r="CP29">
        <f>负荷!CP29-水电!CP29-核电!CP29-地方燃煤!CP29-风电!CP29-光伏!CP29-联络线!CP29-非市场化!CP29</f>
        <v>13332.79</v>
      </c>
      <c r="CQ29">
        <f>负荷!CQ29-水电!CQ29-核电!CQ29-地方燃煤!CQ29-风电!CQ29-光伏!CQ29-联络线!CQ29-非市场化!CQ29</f>
        <v>12999.78</v>
      </c>
      <c r="CR29">
        <f>负荷!CR29-水电!CR29-核电!CR29-地方燃煤!CR29-风电!CR29-光伏!CR29-联络线!CR29-非市场化!CR29</f>
        <v>12833.08</v>
      </c>
      <c r="CS29">
        <f>负荷!CS29-水电!CS29-核电!CS29-地方燃煤!CS29-风电!CS29-光伏!CS29-联络线!CS29-非市场化!CS29</f>
        <v>12485.25</v>
      </c>
    </row>
    <row r="30" spans="1:97">
      <c r="A30" s="9">
        <v>46263</v>
      </c>
      <c r="B30">
        <f>负荷!B30-水电!B30-核电!B30-地方燃煤!B30-风电!B30-光伏!B30-联络线!B30-非市场化!B30</f>
        <v>12987.05</v>
      </c>
      <c r="C30">
        <f>负荷!C30-水电!C30-核电!C30-地方燃煤!C30-风电!C30-光伏!C30-联络线!C30-非市场化!C30</f>
        <v>12650.24</v>
      </c>
      <c r="D30">
        <f>负荷!D30-水电!D30-核电!D30-地方燃煤!D30-风电!D30-光伏!D30-联络线!D30-非市场化!D30</f>
        <v>12512.4</v>
      </c>
      <c r="E30">
        <f>负荷!E30-水电!E30-核电!E30-地方燃煤!E30-风电!E30-光伏!E30-联络线!E30-非市场化!E30</f>
        <v>12478.82</v>
      </c>
      <c r="F30">
        <f>负荷!F30-水电!F30-核电!F30-地方燃煤!F30-风电!F30-光伏!F30-联络线!F30-非市场化!F30</f>
        <v>12669.96</v>
      </c>
      <c r="G30">
        <f>负荷!G30-水电!G30-核电!G30-地方燃煤!G30-风电!G30-光伏!G30-联络线!G30-非市场化!G30</f>
        <v>12793.18</v>
      </c>
      <c r="H30">
        <f>负荷!H30-水电!H30-核电!H30-地方燃煤!H30-风电!H30-光伏!H30-联络线!H30-非市场化!H30</f>
        <v>12925.49</v>
      </c>
      <c r="I30">
        <f>负荷!I30-水电!I30-核电!I30-地方燃煤!I30-风电!I30-光伏!I30-联络线!I30-非市场化!I30</f>
        <v>12850.78</v>
      </c>
      <c r="J30">
        <f>负荷!J30-水电!J30-核电!J30-地方燃煤!J30-风电!J30-光伏!J30-联络线!J30-非市场化!J30</f>
        <v>12867.01</v>
      </c>
      <c r="K30">
        <f>负荷!K30-水电!K30-核电!K30-地方燃煤!K30-风电!K30-光伏!K30-联络线!K30-非市场化!K30</f>
        <v>12681.53</v>
      </c>
      <c r="L30">
        <f>负荷!L30-水电!L30-核电!L30-地方燃煤!L30-风电!L30-光伏!L30-联络线!L30-非市场化!L30</f>
        <v>12613.26</v>
      </c>
      <c r="M30">
        <f>负荷!M30-水电!M30-核电!M30-地方燃煤!M30-风电!M30-光伏!M30-联络线!M30-非市场化!M30</f>
        <v>12473.69</v>
      </c>
      <c r="N30">
        <f>负荷!N30-水电!N30-核电!N30-地方燃煤!N30-风电!N30-光伏!N30-联络线!N30-非市场化!N30</f>
        <v>12583.19</v>
      </c>
      <c r="O30">
        <f>负荷!O30-水电!O30-核电!O30-地方燃煤!O30-风电!O30-光伏!O30-联络线!O30-非市场化!O30</f>
        <v>12519.65</v>
      </c>
      <c r="P30">
        <f>负荷!P30-水电!P30-核电!P30-地方燃煤!P30-风电!P30-光伏!P30-联络线!P30-非市场化!P30</f>
        <v>12585.51</v>
      </c>
      <c r="Q30">
        <f>负荷!Q30-水电!Q30-核电!Q30-地方燃煤!Q30-风电!Q30-光伏!Q30-联络线!Q30-非市场化!Q30</f>
        <v>12204.27</v>
      </c>
      <c r="R30">
        <f>负荷!R30-水电!R30-核电!R30-地方燃煤!R30-风电!R30-光伏!R30-联络线!R30-非市场化!R30</f>
        <v>11706.71</v>
      </c>
      <c r="S30">
        <f>负荷!S30-水电!S30-核电!S30-地方燃煤!S30-风电!S30-光伏!S30-联络线!S30-非市场化!S30</f>
        <v>11332.12</v>
      </c>
      <c r="T30">
        <f>负荷!T30-水电!T30-核电!T30-地方燃煤!T30-风电!T30-光伏!T30-联络线!T30-非市场化!T30</f>
        <v>10835.16</v>
      </c>
      <c r="U30">
        <f>负荷!U30-水电!U30-核电!U30-地方燃煤!U30-风电!U30-光伏!U30-联络线!U30-非市场化!U30</f>
        <v>10548.25</v>
      </c>
      <c r="V30">
        <f>负荷!V30-水电!V30-核电!V30-地方燃煤!V30-风电!V30-光伏!V30-联络线!V30-非市场化!V30</f>
        <v>10250.8</v>
      </c>
      <c r="W30">
        <f>负荷!W30-水电!W30-核电!W30-地方燃煤!W30-风电!W30-光伏!W30-联络线!W30-非市场化!W30</f>
        <v>10107.33</v>
      </c>
      <c r="X30">
        <f>负荷!X30-水电!X30-核电!X30-地方燃煤!X30-风电!X30-光伏!X30-联络线!X30-非市场化!X30</f>
        <v>10020.41</v>
      </c>
      <c r="Y30">
        <f>负荷!Y30-水电!Y30-核电!Y30-地方燃煤!Y30-风电!Y30-光伏!Y30-联络线!Y30-非市场化!Y30</f>
        <v>9513.39</v>
      </c>
      <c r="Z30">
        <f>负荷!Z30-水电!Z30-核电!Z30-地方燃煤!Z30-风电!Z30-光伏!Z30-联络线!Z30-非市场化!Z30</f>
        <v>10221.49</v>
      </c>
      <c r="AA30">
        <f>负荷!AA30-水电!AA30-核电!AA30-地方燃煤!AA30-风电!AA30-光伏!AA30-联络线!AA30-非市场化!AA30</f>
        <v>10028.84</v>
      </c>
      <c r="AB30">
        <f>负荷!AB30-水电!AB30-核电!AB30-地方燃煤!AB30-风电!AB30-光伏!AB30-联络线!AB30-非市场化!AB30</f>
        <v>9805.56</v>
      </c>
      <c r="AC30">
        <f>负荷!AC30-水电!AC30-核电!AC30-地方燃煤!AC30-风电!AC30-光伏!AC30-联络线!AC30-非市场化!AC30</f>
        <v>9793.93</v>
      </c>
      <c r="AD30">
        <f>负荷!AD30-水电!AD30-核电!AD30-地方燃煤!AD30-风电!AD30-光伏!AD30-联络线!AD30-非市场化!AD30</f>
        <v>10021.57</v>
      </c>
      <c r="AE30">
        <f>负荷!AE30-水电!AE30-核电!AE30-地方燃煤!AE30-风电!AE30-光伏!AE30-联络线!AE30-非市场化!AE30</f>
        <v>10118.31</v>
      </c>
      <c r="AF30">
        <f>负荷!AF30-水电!AF30-核电!AF30-地方燃煤!AF30-风电!AF30-光伏!AF30-联络线!AF30-非市场化!AF30</f>
        <v>10347.26</v>
      </c>
      <c r="AG30">
        <f>负荷!AG30-水电!AG30-核电!AG30-地方燃煤!AG30-风电!AG30-光伏!AG30-联络线!AG30-非市场化!AG30</f>
        <v>10605.49</v>
      </c>
      <c r="AH30">
        <f>负荷!AH30-水电!AH30-核电!AH30-地方燃煤!AH30-风电!AH30-光伏!AH30-联络线!AH30-非市场化!AH30</f>
        <v>11143.18</v>
      </c>
      <c r="AI30">
        <f>负荷!AI30-水电!AI30-核电!AI30-地方燃煤!AI30-风电!AI30-光伏!AI30-联络线!AI30-非市场化!AI30</f>
        <v>10679.15</v>
      </c>
      <c r="AJ30">
        <f>负荷!AJ30-水电!AJ30-核电!AJ30-地方燃煤!AJ30-风电!AJ30-光伏!AJ30-联络线!AJ30-非市场化!AJ30</f>
        <v>10076.83</v>
      </c>
      <c r="AK30">
        <f>负荷!AK30-水电!AK30-核电!AK30-地方燃煤!AK30-风电!AK30-光伏!AK30-联络线!AK30-非市场化!AK30</f>
        <v>9315.19</v>
      </c>
      <c r="AL30">
        <f>负荷!AL30-水电!AL30-核电!AL30-地方燃煤!AL30-风电!AL30-光伏!AL30-联络线!AL30-非市场化!AL30</f>
        <v>8287.31</v>
      </c>
      <c r="AM30">
        <f>负荷!AM30-水电!AM30-核电!AM30-地方燃煤!AM30-风电!AM30-光伏!AM30-联络线!AM30-非市场化!AM30</f>
        <v>8012.14</v>
      </c>
      <c r="AN30">
        <f>负荷!AN30-水电!AN30-核电!AN30-地方燃煤!AN30-风电!AN30-光伏!AN30-联络线!AN30-非市场化!AN30</f>
        <v>7718.63</v>
      </c>
      <c r="AO30">
        <f>负荷!AO30-水电!AO30-核电!AO30-地方燃煤!AO30-风电!AO30-光伏!AO30-联络线!AO30-非市场化!AO30</f>
        <v>7577.68</v>
      </c>
      <c r="AP30">
        <f>负荷!AP30-水电!AP30-核电!AP30-地方燃煤!AP30-风电!AP30-光伏!AP30-联络线!AP30-非市场化!AP30</f>
        <v>7306.49</v>
      </c>
      <c r="AQ30">
        <f>负荷!AQ30-水电!AQ30-核电!AQ30-地方燃煤!AQ30-风电!AQ30-光伏!AQ30-联络线!AQ30-非市场化!AQ30</f>
        <v>7538.7</v>
      </c>
      <c r="AR30">
        <f>负荷!AR30-水电!AR30-核电!AR30-地方燃煤!AR30-风电!AR30-光伏!AR30-联络线!AR30-非市场化!AR30</f>
        <v>7543.71</v>
      </c>
      <c r="AS30">
        <f>负荷!AS30-水电!AS30-核电!AS30-地方燃煤!AS30-风电!AS30-光伏!AS30-联络线!AS30-非市场化!AS30</f>
        <v>7215.59</v>
      </c>
      <c r="AT30">
        <f>负荷!AT30-水电!AT30-核电!AT30-地方燃煤!AT30-风电!AT30-光伏!AT30-联络线!AT30-非市场化!AT30</f>
        <v>7454.17000000001</v>
      </c>
      <c r="AU30">
        <f>负荷!AU30-水电!AU30-核电!AU30-地方燃煤!AU30-风电!AU30-光伏!AU30-联络线!AU30-非市场化!AU30</f>
        <v>7330.37</v>
      </c>
      <c r="AV30">
        <f>负荷!AV30-水电!AV30-核电!AV30-地方燃煤!AV30-风电!AV30-光伏!AV30-联络线!AV30-非市场化!AV30</f>
        <v>7583.93</v>
      </c>
      <c r="AW30">
        <f>负荷!AW30-水电!AW30-核电!AW30-地方燃煤!AW30-风电!AW30-光伏!AW30-联络线!AW30-非市场化!AW30</f>
        <v>7238.02</v>
      </c>
      <c r="AX30">
        <f>负荷!AX30-水电!AX30-核电!AX30-地方燃煤!AX30-风电!AX30-光伏!AX30-联络线!AX30-非市场化!AX30</f>
        <v>7194.83000000001</v>
      </c>
      <c r="AY30">
        <f>负荷!AY30-水电!AY30-核电!AY30-地方燃煤!AY30-风电!AY30-光伏!AY30-联络线!AY30-非市场化!AY30</f>
        <v>7134.45000000001</v>
      </c>
      <c r="AZ30">
        <f>负荷!AZ30-水电!AZ30-核电!AZ30-地方燃煤!AZ30-风电!AZ30-光伏!AZ30-联络线!AZ30-非市场化!AZ30</f>
        <v>7348.08999999999</v>
      </c>
      <c r="BA30">
        <f>负荷!BA30-水电!BA30-核电!BA30-地方燃煤!BA30-风电!BA30-光伏!BA30-联络线!BA30-非市场化!BA30</f>
        <v>7049.2</v>
      </c>
      <c r="BB30">
        <f>负荷!BB30-水电!BB30-核电!BB30-地方燃煤!BB30-风电!BB30-光伏!BB30-联络线!BB30-非市场化!BB30</f>
        <v>7473.38999999999</v>
      </c>
      <c r="BC30">
        <f>负荷!BC30-水电!BC30-核电!BC30-地方燃煤!BC30-风电!BC30-光伏!BC30-联络线!BC30-非市场化!BC30</f>
        <v>7503.22</v>
      </c>
      <c r="BD30">
        <f>负荷!BD30-水电!BD30-核电!BD30-地方燃煤!BD30-风电!BD30-光伏!BD30-联络线!BD30-非市场化!BD30</f>
        <v>7361.73</v>
      </c>
      <c r="BE30">
        <f>负荷!BE30-水电!BE30-核电!BE30-地方燃煤!BE30-风电!BE30-光伏!BE30-联络线!BE30-非市场化!BE30</f>
        <v>7231.53999999999</v>
      </c>
      <c r="BF30">
        <f>负荷!BF30-水电!BF30-核电!BF30-地方燃煤!BF30-风电!BF30-光伏!BF30-联络线!BF30-非市场化!BF30</f>
        <v>7266.16</v>
      </c>
      <c r="BG30">
        <f>负荷!BG30-水电!BG30-核电!BG30-地方燃煤!BG30-风电!BG30-光伏!BG30-联络线!BG30-非市场化!BG30</f>
        <v>7294.52</v>
      </c>
      <c r="BH30">
        <f>负荷!BH30-水电!BH30-核电!BH30-地方燃煤!BH30-风电!BH30-光伏!BH30-联络线!BH30-非市场化!BH30</f>
        <v>7117.13000000001</v>
      </c>
      <c r="BI30">
        <f>负荷!BI30-水电!BI30-核电!BI30-地方燃煤!BI30-风电!BI30-光伏!BI30-联络线!BI30-非市场化!BI30</f>
        <v>7227.83999999999</v>
      </c>
      <c r="BJ30">
        <f>负荷!BJ30-水电!BJ30-核电!BJ30-地方燃煤!BJ30-风电!BJ30-光伏!BJ30-联络线!BJ30-非市场化!BJ30</f>
        <v>7170.39</v>
      </c>
      <c r="BK30">
        <f>负荷!BK30-水电!BK30-核电!BK30-地方燃煤!BK30-风电!BK30-光伏!BK30-联络线!BK30-非市场化!BK30</f>
        <v>7125.56</v>
      </c>
      <c r="BL30">
        <f>负荷!BL30-水电!BL30-核电!BL30-地方燃煤!BL30-风电!BL30-光伏!BL30-联络线!BL30-非市场化!BL30</f>
        <v>6971.21</v>
      </c>
      <c r="BM30">
        <f>负荷!BM30-水电!BM30-核电!BM30-地方燃煤!BM30-风电!BM30-光伏!BM30-联络线!BM30-非市场化!BM30</f>
        <v>6780.82</v>
      </c>
      <c r="BN30">
        <f>负荷!BN30-水电!BN30-核电!BN30-地方燃煤!BN30-风电!BN30-光伏!BN30-联络线!BN30-非市场化!BN30</f>
        <v>7333.06</v>
      </c>
      <c r="BO30">
        <f>负荷!BO30-水电!BO30-核电!BO30-地方燃煤!BO30-风电!BO30-光伏!BO30-联络线!BO30-非市场化!BO30</f>
        <v>7579.99</v>
      </c>
      <c r="BP30">
        <f>负荷!BP30-水电!BP30-核电!BP30-地方燃煤!BP30-风电!BP30-光伏!BP30-联络线!BP30-非市场化!BP30</f>
        <v>7607.08</v>
      </c>
      <c r="BQ30">
        <f>负荷!BQ30-水电!BQ30-核电!BQ30-地方燃煤!BQ30-风电!BQ30-光伏!BQ30-联络线!BQ30-非市场化!BQ30</f>
        <v>7464.2</v>
      </c>
      <c r="BR30">
        <f>负荷!BR30-水电!BR30-核电!BR30-地方燃煤!BR30-风电!BR30-光伏!BR30-联络线!BR30-非市场化!BR30</f>
        <v>7447.77</v>
      </c>
      <c r="BS30">
        <f>负荷!BS30-水电!BS30-核电!BS30-地方燃煤!BS30-风电!BS30-光伏!BS30-联络线!BS30-非市场化!BS30</f>
        <v>8075.77</v>
      </c>
      <c r="BT30">
        <f>负荷!BT30-水电!BT30-核电!BT30-地方燃煤!BT30-风电!BT30-光伏!BT30-联络线!BT30-非市场化!BT30</f>
        <v>8603.40000000001</v>
      </c>
      <c r="BU30">
        <f>负荷!BU30-水电!BU30-核电!BU30-地方燃煤!BU30-风电!BU30-光伏!BU30-联络线!BU30-非市场化!BU30</f>
        <v>8932.69</v>
      </c>
      <c r="BV30">
        <f>负荷!BV30-水电!BV30-核电!BV30-地方燃煤!BV30-风电!BV30-光伏!BV30-联络线!BV30-非市场化!BV30</f>
        <v>9125.97</v>
      </c>
      <c r="BW30">
        <f>负荷!BW30-水电!BW30-核电!BW30-地方燃煤!BW30-风电!BW30-光伏!BW30-联络线!BW30-非市场化!BW30</f>
        <v>9481.27</v>
      </c>
      <c r="BX30">
        <f>负荷!BX30-水电!BX30-核电!BX30-地方燃煤!BX30-风电!BX30-光伏!BX30-联络线!BX30-非市场化!BX30</f>
        <v>9872.55</v>
      </c>
      <c r="BY30">
        <f>负荷!BY30-水电!BY30-核电!BY30-地方燃煤!BY30-风电!BY30-光伏!BY30-联络线!BY30-非市场化!BY30</f>
        <v>10371.52</v>
      </c>
      <c r="BZ30">
        <f>负荷!BZ30-水电!BZ30-核电!BZ30-地方燃煤!BZ30-风电!BZ30-光伏!BZ30-联络线!BZ30-非市场化!BZ30</f>
        <v>10474.31</v>
      </c>
      <c r="CA30">
        <f>负荷!CA30-水电!CA30-核电!CA30-地方燃煤!CA30-风电!CA30-光伏!CA30-联络线!CA30-非市场化!CA30</f>
        <v>10545.22</v>
      </c>
      <c r="CB30">
        <f>负荷!CB30-水电!CB30-核电!CB30-地方燃煤!CB30-风电!CB30-光伏!CB30-联络线!CB30-非市场化!CB30</f>
        <v>10557.67</v>
      </c>
      <c r="CC30">
        <f>负荷!CC30-水电!CC30-核电!CC30-地方燃煤!CC30-风电!CC30-光伏!CC30-联络线!CC30-非市场化!CC30</f>
        <v>10377.92</v>
      </c>
      <c r="CD30">
        <f>负荷!CD30-水电!CD30-核电!CD30-地方燃煤!CD30-风电!CD30-光伏!CD30-联络线!CD30-非市场化!CD30</f>
        <v>10780.85</v>
      </c>
      <c r="CE30">
        <f>负荷!CE30-水电!CE30-核电!CE30-地方燃煤!CE30-风电!CE30-光伏!CE30-联络线!CE30-非市场化!CE30</f>
        <v>11118.45</v>
      </c>
      <c r="CF30">
        <f>负荷!CF30-水电!CF30-核电!CF30-地方燃煤!CF30-风电!CF30-光伏!CF30-联络线!CF30-非市场化!CF30</f>
        <v>11529.17</v>
      </c>
      <c r="CG30">
        <f>负荷!CG30-水电!CG30-核电!CG30-地方燃煤!CG30-风电!CG30-光伏!CG30-联络线!CG30-非市场化!CG30</f>
        <v>11822.57</v>
      </c>
      <c r="CH30">
        <f>负荷!CH30-水电!CH30-核电!CH30-地方燃煤!CH30-风电!CH30-光伏!CH30-联络线!CH30-非市场化!CH30</f>
        <v>12308.98</v>
      </c>
      <c r="CI30">
        <f>负荷!CI30-水电!CI30-核电!CI30-地方燃煤!CI30-风电!CI30-光伏!CI30-联络线!CI30-非市场化!CI30</f>
        <v>12417.3</v>
      </c>
      <c r="CJ30">
        <f>负荷!CJ30-水电!CJ30-核电!CJ30-地方燃煤!CJ30-风电!CJ30-光伏!CJ30-联络线!CJ30-非市场化!CJ30</f>
        <v>12372.99</v>
      </c>
      <c r="CK30">
        <f>负荷!CK30-水电!CK30-核电!CK30-地方燃煤!CK30-风电!CK30-光伏!CK30-联络线!CK30-非市场化!CK30</f>
        <v>11848.68</v>
      </c>
      <c r="CL30">
        <f>负荷!CL30-水电!CL30-核电!CL30-地方燃煤!CL30-风电!CL30-光伏!CL30-联络线!CL30-非市场化!CL30</f>
        <v>11943.68</v>
      </c>
      <c r="CM30">
        <f>负荷!CM30-水电!CM30-核电!CM30-地方燃煤!CM30-风电!CM30-光伏!CM30-联络线!CM30-非市场化!CM30</f>
        <v>12002.89</v>
      </c>
      <c r="CN30">
        <f>负荷!CN30-水电!CN30-核电!CN30-地方燃煤!CN30-风电!CN30-光伏!CN30-联络线!CN30-非市场化!CN30</f>
        <v>12212.47</v>
      </c>
      <c r="CO30">
        <f>负荷!CO30-水电!CO30-核电!CO30-地方燃煤!CO30-风电!CO30-光伏!CO30-联络线!CO30-非市场化!CO30</f>
        <v>12296.78</v>
      </c>
      <c r="CP30">
        <f>负荷!CP30-水电!CP30-核电!CP30-地方燃煤!CP30-风电!CP30-光伏!CP30-联络线!CP30-非市场化!CP30</f>
        <v>12456.91</v>
      </c>
      <c r="CQ30">
        <f>负荷!CQ30-水电!CQ30-核电!CQ30-地方燃煤!CQ30-风电!CQ30-光伏!CQ30-联络线!CQ30-非市场化!CQ30</f>
        <v>12053.04</v>
      </c>
      <c r="CR30">
        <f>负荷!CR30-水电!CR30-核电!CR30-地方燃煤!CR30-风电!CR30-光伏!CR30-联络线!CR30-非市场化!CR30</f>
        <v>11699.98</v>
      </c>
      <c r="CS30">
        <f>负荷!CS30-水电!CS30-核电!CS30-地方燃煤!CS30-风电!CS30-光伏!CS30-联络线!CS30-非市场化!CS30</f>
        <v>11317.42</v>
      </c>
    </row>
    <row r="31" spans="1:97">
      <c r="A31" s="9">
        <v>46264</v>
      </c>
      <c r="B31">
        <f>负荷!B31-水电!B31-核电!B31-地方燃煤!B31-风电!B31-光伏!B31-联络线!B31-非市场化!B31</f>
        <v>11138.32</v>
      </c>
      <c r="C31">
        <f>负荷!C31-水电!C31-核电!C31-地方燃煤!C31-风电!C31-光伏!C31-联络线!C31-非市场化!C31</f>
        <v>11271.54</v>
      </c>
      <c r="D31">
        <f>负荷!D31-水电!D31-核电!D31-地方燃煤!D31-风电!D31-光伏!D31-联络线!D31-非市场化!D31</f>
        <v>11465.91</v>
      </c>
      <c r="E31">
        <f>负荷!E31-水电!E31-核电!E31-地方燃煤!E31-风电!E31-光伏!E31-联络线!E31-非市场化!E31</f>
        <v>11585.48</v>
      </c>
      <c r="F31">
        <f>负荷!F31-水电!F31-核电!F31-地方燃煤!F31-风电!F31-光伏!F31-联络线!F31-非市场化!F31</f>
        <v>12065.71</v>
      </c>
      <c r="G31">
        <f>负荷!G31-水电!G31-核电!G31-地方燃煤!G31-风电!G31-光伏!G31-联络线!G31-非市场化!G31</f>
        <v>12260.71</v>
      </c>
      <c r="H31">
        <f>负荷!H31-水电!H31-核电!H31-地方燃煤!H31-风电!H31-光伏!H31-联络线!H31-非市场化!H31</f>
        <v>12195.44</v>
      </c>
      <c r="I31">
        <f>负荷!I31-水电!I31-核电!I31-地方燃煤!I31-风电!I31-光伏!I31-联络线!I31-非市场化!I31</f>
        <v>12022.58</v>
      </c>
      <c r="J31">
        <f>负荷!J31-水电!J31-核电!J31-地方燃煤!J31-风电!J31-光伏!J31-联络线!J31-非市场化!J31</f>
        <v>11965.87</v>
      </c>
      <c r="K31">
        <f>负荷!K31-水电!K31-核电!K31-地方燃煤!K31-风电!K31-光伏!K31-联络线!K31-非市场化!K31</f>
        <v>11964.34</v>
      </c>
      <c r="L31">
        <f>负荷!L31-水电!L31-核电!L31-地方燃煤!L31-风电!L31-光伏!L31-联络线!L31-非市场化!L31</f>
        <v>11968.15</v>
      </c>
      <c r="M31">
        <f>负荷!M31-水电!M31-核电!M31-地方燃煤!M31-风电!M31-光伏!M31-联络线!M31-非市场化!M31</f>
        <v>11946.51</v>
      </c>
      <c r="N31">
        <f>负荷!N31-水电!N31-核电!N31-地方燃煤!N31-风电!N31-光伏!N31-联络线!N31-非市场化!N31</f>
        <v>12106.34</v>
      </c>
      <c r="O31">
        <f>负荷!O31-水电!O31-核电!O31-地方燃煤!O31-风电!O31-光伏!O31-联络线!O31-非市场化!O31</f>
        <v>12098.11</v>
      </c>
      <c r="P31">
        <f>负荷!P31-水电!P31-核电!P31-地方燃煤!P31-风电!P31-光伏!P31-联络线!P31-非市场化!P31</f>
        <v>12166.38</v>
      </c>
      <c r="Q31">
        <f>负荷!Q31-水电!Q31-核电!Q31-地方燃煤!Q31-风电!Q31-光伏!Q31-联络线!Q31-非市场化!Q31</f>
        <v>12183.05</v>
      </c>
      <c r="R31">
        <f>负荷!R31-水电!R31-核电!R31-地方燃煤!R31-风电!R31-光伏!R31-联络线!R31-非市场化!R31</f>
        <v>12243.21</v>
      </c>
      <c r="S31">
        <f>负荷!S31-水电!S31-核电!S31-地方燃煤!S31-风电!S31-光伏!S31-联络线!S31-非市场化!S31</f>
        <v>12369.76</v>
      </c>
      <c r="T31">
        <f>负荷!T31-水电!T31-核电!T31-地方燃煤!T31-风电!T31-光伏!T31-联络线!T31-非市场化!T31</f>
        <v>12510.44</v>
      </c>
      <c r="U31">
        <f>负荷!U31-水电!U31-核电!U31-地方燃煤!U31-风电!U31-光伏!U31-联络线!U31-非市场化!U31</f>
        <v>12685.64</v>
      </c>
      <c r="V31">
        <f>负荷!V31-水电!V31-核电!V31-地方燃煤!V31-风电!V31-光伏!V31-联络线!V31-非市场化!V31</f>
        <v>12996.58</v>
      </c>
      <c r="W31">
        <f>负荷!W31-水电!W31-核电!W31-地方燃煤!W31-风电!W31-光伏!W31-联络线!W31-非市场化!W31</f>
        <v>13252.8</v>
      </c>
      <c r="X31">
        <f>负荷!X31-水电!X31-核电!X31-地方燃煤!X31-风电!X31-光伏!X31-联络线!X31-非市场化!X31</f>
        <v>13507.71</v>
      </c>
      <c r="Y31">
        <f>负荷!Y31-水电!Y31-核电!Y31-地方燃煤!Y31-风电!Y31-光伏!Y31-联络线!Y31-非市场化!Y31</f>
        <v>12985.39</v>
      </c>
      <c r="Z31">
        <f>负荷!Z31-水电!Z31-核电!Z31-地方燃煤!Z31-风电!Z31-光伏!Z31-联络线!Z31-非市场化!Z31</f>
        <v>12678.24</v>
      </c>
      <c r="AA31">
        <f>负荷!AA31-水电!AA31-核电!AA31-地方燃煤!AA31-风电!AA31-光伏!AA31-联络线!AA31-非市场化!AA31</f>
        <v>12126.68</v>
      </c>
      <c r="AB31">
        <f>负荷!AB31-水电!AB31-核电!AB31-地方燃煤!AB31-风电!AB31-光伏!AB31-联络线!AB31-非市场化!AB31</f>
        <v>11203.86</v>
      </c>
      <c r="AC31">
        <f>负荷!AC31-水电!AC31-核电!AC31-地方燃煤!AC31-风电!AC31-光伏!AC31-联络线!AC31-非市场化!AC31</f>
        <v>10274.2</v>
      </c>
      <c r="AD31">
        <f>负荷!AD31-水电!AD31-核电!AD31-地方燃煤!AD31-风电!AD31-光伏!AD31-联络线!AD31-非市场化!AD31</f>
        <v>10270.72</v>
      </c>
      <c r="AE31">
        <f>负荷!AE31-水电!AE31-核电!AE31-地方燃煤!AE31-风电!AE31-光伏!AE31-联络线!AE31-非市场化!AE31</f>
        <v>9795.29</v>
      </c>
      <c r="AF31">
        <f>负荷!AF31-水电!AF31-核电!AF31-地方燃煤!AF31-风电!AF31-光伏!AF31-联络线!AF31-非市场化!AF31</f>
        <v>9601.02</v>
      </c>
      <c r="AG31">
        <f>负荷!AG31-水电!AG31-核电!AG31-地方燃煤!AG31-风电!AG31-光伏!AG31-联络线!AG31-非市场化!AG31</f>
        <v>9110.94</v>
      </c>
      <c r="AH31">
        <f>负荷!AH31-水电!AH31-核电!AH31-地方燃煤!AH31-风电!AH31-光伏!AH31-联络线!AH31-非市场化!AH31</f>
        <v>9227.62</v>
      </c>
      <c r="AI31">
        <f>负荷!AI31-水电!AI31-核电!AI31-地方燃煤!AI31-风电!AI31-光伏!AI31-联络线!AI31-非市场化!AI31</f>
        <v>8728.04</v>
      </c>
      <c r="AJ31">
        <f>负荷!AJ31-水电!AJ31-核电!AJ31-地方燃煤!AJ31-风电!AJ31-光伏!AJ31-联络线!AJ31-非市场化!AJ31</f>
        <v>8070.99</v>
      </c>
      <c r="AK31">
        <f>负荷!AK31-水电!AK31-核电!AK31-地方燃煤!AK31-风电!AK31-光伏!AK31-联络线!AK31-非市场化!AK31</f>
        <v>7725.67</v>
      </c>
      <c r="AL31">
        <f>负荷!AL31-水电!AL31-核电!AL31-地方燃煤!AL31-风电!AL31-光伏!AL31-联络线!AL31-非市场化!AL31</f>
        <v>7448.19000000001</v>
      </c>
      <c r="AM31">
        <f>负荷!AM31-水电!AM31-核电!AM31-地方燃煤!AM31-风电!AM31-光伏!AM31-联络线!AM31-非市场化!AM31</f>
        <v>7739.01</v>
      </c>
      <c r="AN31">
        <f>负荷!AN31-水电!AN31-核电!AN31-地方燃煤!AN31-风电!AN31-光伏!AN31-联络线!AN31-非市场化!AN31</f>
        <v>7665.95</v>
      </c>
      <c r="AO31">
        <f>负荷!AO31-水电!AO31-核电!AO31-地方燃煤!AO31-风电!AO31-光伏!AO31-联络线!AO31-非市场化!AO31</f>
        <v>8096.49</v>
      </c>
      <c r="AP31">
        <f>负荷!AP31-水电!AP31-核电!AP31-地方燃煤!AP31-风电!AP31-光伏!AP31-联络线!AP31-非市场化!AP31</f>
        <v>7915.41000000001</v>
      </c>
      <c r="AQ31">
        <f>负荷!AQ31-水电!AQ31-核电!AQ31-地方燃煤!AQ31-风电!AQ31-光伏!AQ31-联络线!AQ31-非市场化!AQ31</f>
        <v>8118.24</v>
      </c>
      <c r="AR31">
        <f>负荷!AR31-水电!AR31-核电!AR31-地方燃煤!AR31-风电!AR31-光伏!AR31-联络线!AR31-非市场化!AR31</f>
        <v>8258.3</v>
      </c>
      <c r="AS31">
        <f>负荷!AS31-水电!AS31-核电!AS31-地方燃煤!AS31-风电!AS31-光伏!AS31-联络线!AS31-非市场化!AS31</f>
        <v>8044.88</v>
      </c>
      <c r="AT31">
        <f>负荷!AT31-水电!AT31-核电!AT31-地方燃煤!AT31-风电!AT31-光伏!AT31-联络线!AT31-非市场化!AT31</f>
        <v>8137.09</v>
      </c>
      <c r="AU31">
        <f>负荷!AU31-水电!AU31-核电!AU31-地方燃煤!AU31-风电!AU31-光伏!AU31-联络线!AU31-非市场化!AU31</f>
        <v>7727.27</v>
      </c>
      <c r="AV31">
        <f>负荷!AV31-水电!AV31-核电!AV31-地方燃煤!AV31-风电!AV31-光伏!AV31-联络线!AV31-非市场化!AV31</f>
        <v>7584.47</v>
      </c>
      <c r="AW31">
        <f>负荷!AW31-水电!AW31-核电!AW31-地方燃煤!AW31-风电!AW31-光伏!AW31-联络线!AW31-非市场化!AW31</f>
        <v>7481.49</v>
      </c>
      <c r="AX31">
        <f>负荷!AX31-水电!AX31-核电!AX31-地方燃煤!AX31-风电!AX31-光伏!AX31-联络线!AX31-非市场化!AX31</f>
        <v>7633.8</v>
      </c>
      <c r="AY31">
        <f>负荷!AY31-水电!AY31-核电!AY31-地方燃煤!AY31-风电!AY31-光伏!AY31-联络线!AY31-非市场化!AY31</f>
        <v>7544.14</v>
      </c>
      <c r="AZ31">
        <f>负荷!AZ31-水电!AZ31-核电!AZ31-地方燃煤!AZ31-风电!AZ31-光伏!AZ31-联络线!AZ31-非市场化!AZ31</f>
        <v>7807.07</v>
      </c>
      <c r="BA31">
        <f>负荷!BA31-水电!BA31-核电!BA31-地方燃煤!BA31-风电!BA31-光伏!BA31-联络线!BA31-非市场化!BA31</f>
        <v>7770.55</v>
      </c>
      <c r="BB31">
        <f>负荷!BB31-水电!BB31-核电!BB31-地方燃煤!BB31-风电!BB31-光伏!BB31-联络线!BB31-非市场化!BB31</f>
        <v>7875.13</v>
      </c>
      <c r="BC31">
        <f>负荷!BC31-水电!BC31-核电!BC31-地方燃煤!BC31-风电!BC31-光伏!BC31-联络线!BC31-非市场化!BC31</f>
        <v>7987.13</v>
      </c>
      <c r="BD31">
        <f>负荷!BD31-水电!BD31-核电!BD31-地方燃煤!BD31-风电!BD31-光伏!BD31-联络线!BD31-非市场化!BD31</f>
        <v>8154.45000000001</v>
      </c>
      <c r="BE31">
        <f>负荷!BE31-水电!BE31-核电!BE31-地方燃煤!BE31-风电!BE31-光伏!BE31-联络线!BE31-非市场化!BE31</f>
        <v>8254.63</v>
      </c>
      <c r="BF31">
        <f>负荷!BF31-水电!BF31-核电!BF31-地方燃煤!BF31-风电!BF31-光伏!BF31-联络线!BF31-非市场化!BF31</f>
        <v>8444.69</v>
      </c>
      <c r="BG31">
        <f>负荷!BG31-水电!BG31-核电!BG31-地方燃煤!BG31-风电!BG31-光伏!BG31-联络线!BG31-非市场化!BG31</f>
        <v>8604.44</v>
      </c>
      <c r="BH31">
        <f>负荷!BH31-水电!BH31-核电!BH31-地方燃煤!BH31-风电!BH31-光伏!BH31-联络线!BH31-非市场化!BH31</f>
        <v>8449.71</v>
      </c>
      <c r="BI31">
        <f>负荷!BI31-水电!BI31-核电!BI31-地方燃煤!BI31-风电!BI31-光伏!BI31-联络线!BI31-非市场化!BI31</f>
        <v>8306.01</v>
      </c>
      <c r="BJ31">
        <f>负荷!BJ31-水电!BJ31-核电!BJ31-地方燃煤!BJ31-风电!BJ31-光伏!BJ31-联络线!BJ31-非市场化!BJ31</f>
        <v>8722.75</v>
      </c>
      <c r="BK31">
        <f>负荷!BK31-水电!BK31-核电!BK31-地方燃煤!BK31-风电!BK31-光伏!BK31-联络线!BK31-非市场化!BK31</f>
        <v>9008.74000000001</v>
      </c>
      <c r="BL31">
        <f>负荷!BL31-水电!BL31-核电!BL31-地方燃煤!BL31-风电!BL31-光伏!BL31-联络线!BL31-非市场化!BL31</f>
        <v>9389.1</v>
      </c>
      <c r="BM31">
        <f>负荷!BM31-水电!BM31-核电!BM31-地方燃煤!BM31-风电!BM31-光伏!BM31-联络线!BM31-非市场化!BM31</f>
        <v>9327.71</v>
      </c>
      <c r="BN31">
        <f>负荷!BN31-水电!BN31-核电!BN31-地方燃煤!BN31-风电!BN31-光伏!BN31-联络线!BN31-非市场化!BN31</f>
        <v>9705.72</v>
      </c>
      <c r="BO31">
        <f>负荷!BO31-水电!BO31-核电!BO31-地方燃煤!BO31-风电!BO31-光伏!BO31-联络线!BO31-非市场化!BO31</f>
        <v>10195.89</v>
      </c>
      <c r="BP31">
        <f>负荷!BP31-水电!BP31-核电!BP31-地方燃煤!BP31-风电!BP31-光伏!BP31-联络线!BP31-非市场化!BP31</f>
        <v>10549.86</v>
      </c>
      <c r="BQ31">
        <f>负荷!BQ31-水电!BQ31-核电!BQ31-地方燃煤!BQ31-风电!BQ31-光伏!BQ31-联络线!BQ31-非市场化!BQ31</f>
        <v>10354.97</v>
      </c>
      <c r="BR31">
        <f>负荷!BR31-水电!BR31-核电!BR31-地方燃煤!BR31-风电!BR31-光伏!BR31-联络线!BR31-非市场化!BR31</f>
        <v>10553.28</v>
      </c>
      <c r="BS31">
        <f>负荷!BS31-水电!BS31-核电!BS31-地方燃煤!BS31-风电!BS31-光伏!BS31-联络线!BS31-非市场化!BS31</f>
        <v>10638.03</v>
      </c>
      <c r="BT31">
        <f>负荷!BT31-水电!BT31-核电!BT31-地方燃煤!BT31-风电!BT31-光伏!BT31-联络线!BT31-非市场化!BT31</f>
        <v>10707.3</v>
      </c>
      <c r="BU31">
        <f>负荷!BU31-水电!BU31-核电!BU31-地方燃煤!BU31-风电!BU31-光伏!BU31-联络线!BU31-非市场化!BU31</f>
        <v>10962.69</v>
      </c>
      <c r="BV31">
        <f>负荷!BV31-水电!BV31-核电!BV31-地方燃煤!BV31-风电!BV31-光伏!BV31-联络线!BV31-非市场化!BV31</f>
        <v>10975.92</v>
      </c>
      <c r="BW31">
        <f>负荷!BW31-水电!BW31-核电!BW31-地方燃煤!BW31-风电!BW31-光伏!BW31-联络线!BW31-非市场化!BW31</f>
        <v>11318.08</v>
      </c>
      <c r="BX31">
        <f>负荷!BX31-水电!BX31-核电!BX31-地方燃煤!BX31-风电!BX31-光伏!BX31-联络线!BX31-非市场化!BX31</f>
        <v>11777.48</v>
      </c>
      <c r="BY31">
        <f>负荷!BY31-水电!BY31-核电!BY31-地方燃煤!BY31-风电!BY31-光伏!BY31-联络线!BY31-非市场化!BY31</f>
        <v>12049.81</v>
      </c>
      <c r="BZ31">
        <f>负荷!BZ31-水电!BZ31-核电!BZ31-地方燃煤!BZ31-风电!BZ31-光伏!BZ31-联络线!BZ31-非市场化!BZ31</f>
        <v>12642.78</v>
      </c>
      <c r="CA31">
        <f>负荷!CA31-水电!CA31-核电!CA31-地方燃煤!CA31-风电!CA31-光伏!CA31-联络线!CA31-非市场化!CA31</f>
        <v>12447.61</v>
      </c>
      <c r="CB31">
        <f>负荷!CB31-水电!CB31-核电!CB31-地方燃煤!CB31-风电!CB31-光伏!CB31-联络线!CB31-非市场化!CB31</f>
        <v>12526.21</v>
      </c>
      <c r="CC31">
        <f>负荷!CC31-水电!CC31-核电!CC31-地方燃煤!CC31-风电!CC31-光伏!CC31-联络线!CC31-非市场化!CC31</f>
        <v>12407.35</v>
      </c>
      <c r="CD31">
        <f>负荷!CD31-水电!CD31-核电!CD31-地方燃煤!CD31-风电!CD31-光伏!CD31-联络线!CD31-非市场化!CD31</f>
        <v>12273.57</v>
      </c>
      <c r="CE31">
        <f>负荷!CE31-水电!CE31-核电!CE31-地方燃煤!CE31-风电!CE31-光伏!CE31-联络线!CE31-非市场化!CE31</f>
        <v>12554.65</v>
      </c>
      <c r="CF31">
        <f>负荷!CF31-水电!CF31-核电!CF31-地方燃煤!CF31-风电!CF31-光伏!CF31-联络线!CF31-非市场化!CF31</f>
        <v>12696.22</v>
      </c>
      <c r="CG31">
        <f>负荷!CG31-水电!CG31-核电!CG31-地方燃煤!CG31-风电!CG31-光伏!CG31-联络线!CG31-非市场化!CG31</f>
        <v>12757.26</v>
      </c>
      <c r="CH31">
        <f>负荷!CH31-水电!CH31-核电!CH31-地方燃煤!CH31-风电!CH31-光伏!CH31-联络线!CH31-非市场化!CH31</f>
        <v>13050.83</v>
      </c>
      <c r="CI31">
        <f>负荷!CI31-水电!CI31-核电!CI31-地方燃煤!CI31-风电!CI31-光伏!CI31-联络线!CI31-非市场化!CI31</f>
        <v>12440.55</v>
      </c>
      <c r="CJ31">
        <f>负荷!CJ31-水电!CJ31-核电!CJ31-地方燃煤!CJ31-风电!CJ31-光伏!CJ31-联络线!CJ31-非市场化!CJ31</f>
        <v>11815.14</v>
      </c>
      <c r="CK31">
        <f>负荷!CK31-水电!CK31-核电!CK31-地方燃煤!CK31-风电!CK31-光伏!CK31-联络线!CK31-非市场化!CK31</f>
        <v>11124.68</v>
      </c>
      <c r="CL31">
        <f>负荷!CL31-水电!CL31-核电!CL31-地方燃煤!CL31-风电!CL31-光伏!CL31-联络线!CL31-非市场化!CL31</f>
        <v>10948.44</v>
      </c>
      <c r="CM31">
        <f>负荷!CM31-水电!CM31-核电!CM31-地方燃煤!CM31-风电!CM31-光伏!CM31-联络线!CM31-非市场化!CM31</f>
        <v>10928.41</v>
      </c>
      <c r="CN31">
        <f>负荷!CN31-水电!CN31-核电!CN31-地方燃煤!CN31-风电!CN31-光伏!CN31-联络线!CN31-非市场化!CN31</f>
        <v>10955.7</v>
      </c>
      <c r="CO31">
        <f>负荷!CO31-水电!CO31-核电!CO31-地方燃煤!CO31-风电!CO31-光伏!CO31-联络线!CO31-非市场化!CO31</f>
        <v>10989.78</v>
      </c>
      <c r="CP31">
        <f>负荷!CP31-水电!CP31-核电!CP31-地方燃煤!CP31-风电!CP31-光伏!CP31-联络线!CP31-非市场化!CP31</f>
        <v>10945.79</v>
      </c>
      <c r="CQ31">
        <f>负荷!CQ31-水电!CQ31-核电!CQ31-地方燃煤!CQ31-风电!CQ31-光伏!CQ31-联络线!CQ31-非市场化!CQ31</f>
        <v>10491.27</v>
      </c>
      <c r="CR31">
        <f>负荷!CR31-水电!CR31-核电!CR31-地方燃煤!CR31-风电!CR31-光伏!CR31-联络线!CR31-非市场化!CR31</f>
        <v>10047.44</v>
      </c>
      <c r="CS31">
        <f>负荷!CS31-水电!CS31-核电!CS31-地方燃煤!CS31-风电!CS31-光伏!CS31-联络线!CS31-非市场化!CS31</f>
        <v>9585.96</v>
      </c>
    </row>
    <row r="32" spans="1:97">
      <c r="A32" s="9">
        <v>46265</v>
      </c>
      <c r="B32">
        <f>负荷!B32-水电!B32-核电!B32-地方燃煤!B32-风电!B32-光伏!B32-联络线!B32-非市场化!B32</f>
        <v>10391.38</v>
      </c>
      <c r="C32">
        <f>负荷!C32-水电!C32-核电!C32-地方燃煤!C32-风电!C32-光伏!C32-联络线!C32-非市场化!C32</f>
        <v>10533.17</v>
      </c>
      <c r="D32">
        <f>负荷!D32-水电!D32-核电!D32-地方燃煤!D32-风电!D32-光伏!D32-联络线!D32-非市场化!D32</f>
        <v>10521.64</v>
      </c>
      <c r="E32">
        <f>负荷!E32-水电!E32-核电!E32-地方燃煤!E32-风电!E32-光伏!E32-联络线!E32-非市场化!E32</f>
        <v>10637.63</v>
      </c>
      <c r="F32">
        <f>负荷!F32-水电!F32-核电!F32-地方燃煤!F32-风电!F32-光伏!F32-联络线!F32-非市场化!F32</f>
        <v>10465.17</v>
      </c>
      <c r="G32">
        <f>负荷!G32-水电!G32-核电!G32-地方燃煤!G32-风电!G32-光伏!G32-联络线!G32-非市场化!G32</f>
        <v>10173.7</v>
      </c>
      <c r="H32">
        <f>负荷!H32-水电!H32-核电!H32-地方燃煤!H32-风电!H32-光伏!H32-联络线!H32-非市场化!H32</f>
        <v>9992.69</v>
      </c>
      <c r="I32">
        <f>负荷!I32-水电!I32-核电!I32-地方燃煤!I32-风电!I32-光伏!I32-联络线!I32-非市场化!I32</f>
        <v>9687.38</v>
      </c>
      <c r="J32">
        <f>负荷!J32-水电!J32-核电!J32-地方燃煤!J32-风电!J32-光伏!J32-联络线!J32-非市场化!J32</f>
        <v>9359.09</v>
      </c>
      <c r="K32">
        <f>负荷!K32-水电!K32-核电!K32-地方燃煤!K32-风电!K32-光伏!K32-联络线!K32-非市场化!K32</f>
        <v>9058.87</v>
      </c>
      <c r="L32">
        <f>负荷!L32-水电!L32-核电!L32-地方燃煤!L32-风电!L32-光伏!L32-联络线!L32-非市场化!L32</f>
        <v>8945.7</v>
      </c>
      <c r="M32">
        <f>负荷!M32-水电!M32-核电!M32-地方燃煤!M32-风电!M32-光伏!M32-联络线!M32-非市场化!M32</f>
        <v>8736.36</v>
      </c>
      <c r="N32">
        <f>负荷!N32-水电!N32-核电!N32-地方燃煤!N32-风电!N32-光伏!N32-联络线!N32-非市场化!N32</f>
        <v>8559.9</v>
      </c>
      <c r="O32">
        <f>负荷!O32-水电!O32-核电!O32-地方燃煤!O32-风电!O32-光伏!O32-联络线!O32-非市场化!O32</f>
        <v>8408.85</v>
      </c>
      <c r="P32">
        <f>负荷!P32-水电!P32-核电!P32-地方燃煤!P32-风电!P32-光伏!P32-联络线!P32-非市场化!P32</f>
        <v>8272.08</v>
      </c>
      <c r="Q32">
        <f>负荷!Q32-水电!Q32-核电!Q32-地方燃煤!Q32-风电!Q32-光伏!Q32-联络线!Q32-非市场化!Q32</f>
        <v>8073.49</v>
      </c>
      <c r="R32">
        <f>负荷!R32-水电!R32-核电!R32-地方燃煤!R32-风电!R32-光伏!R32-联络线!R32-非市场化!R32</f>
        <v>8163.58</v>
      </c>
      <c r="S32">
        <f>负荷!S32-水电!S32-核电!S32-地方燃煤!S32-风电!S32-光伏!S32-联络线!S32-非市场化!S32</f>
        <v>8061.95</v>
      </c>
      <c r="T32">
        <f>负荷!T32-水电!T32-核电!T32-地方燃煤!T32-风电!T32-光伏!T32-联络线!T32-非市场化!T32</f>
        <v>8067.69</v>
      </c>
      <c r="U32">
        <f>负荷!U32-水电!U32-核电!U32-地方燃煤!U32-风电!U32-光伏!U32-联络线!U32-非市场化!U32</f>
        <v>8124.17</v>
      </c>
      <c r="V32">
        <f>负荷!V32-水电!V32-核电!V32-地方燃煤!V32-风电!V32-光伏!V32-联络线!V32-非市场化!V32</f>
        <v>8603.93</v>
      </c>
      <c r="W32">
        <f>负荷!W32-水电!W32-核电!W32-地方燃煤!W32-风电!W32-光伏!W32-联络线!W32-非市场化!W32</f>
        <v>8784</v>
      </c>
      <c r="X32">
        <f>负荷!X32-水电!X32-核电!X32-地方燃煤!X32-风电!X32-光伏!X32-联络线!X32-非市场化!X32</f>
        <v>9072.49</v>
      </c>
      <c r="Y32">
        <f>负荷!Y32-水电!Y32-核电!Y32-地方燃煤!Y32-风电!Y32-光伏!Y32-联络线!Y32-非市场化!Y32</f>
        <v>8999.18</v>
      </c>
      <c r="Z32">
        <f>负荷!Z32-水电!Z32-核电!Z32-地方燃煤!Z32-风电!Z32-光伏!Z32-联络线!Z32-非市场化!Z32</f>
        <v>9405.09</v>
      </c>
      <c r="AA32">
        <f>负荷!AA32-水电!AA32-核电!AA32-地方燃煤!AA32-风电!AA32-光伏!AA32-联络线!AA32-非市场化!AA32</f>
        <v>8884.1</v>
      </c>
      <c r="AB32">
        <f>负荷!AB32-水电!AB32-核电!AB32-地方燃煤!AB32-风电!AB32-光伏!AB32-联络线!AB32-非市场化!AB32</f>
        <v>8127.69</v>
      </c>
      <c r="AC32">
        <f>负荷!AC32-水电!AC32-核电!AC32-地方燃煤!AC32-风电!AC32-光伏!AC32-联络线!AC32-非市场化!AC32</f>
        <v>7302.72</v>
      </c>
      <c r="AD32">
        <f>负荷!AD32-水电!AD32-核电!AD32-地方燃煤!AD32-风电!AD32-光伏!AD32-联络线!AD32-非市场化!AD32</f>
        <v>7053.48</v>
      </c>
      <c r="AE32">
        <f>负荷!AE32-水电!AE32-核电!AE32-地方燃煤!AE32-风电!AE32-光伏!AE32-联络线!AE32-非市场化!AE32</f>
        <v>6683.48</v>
      </c>
      <c r="AF32">
        <f>负荷!AF32-水电!AF32-核电!AF32-地方燃煤!AF32-风电!AF32-光伏!AF32-联络线!AF32-非市场化!AF32</f>
        <v>6543.64</v>
      </c>
      <c r="AG32">
        <f>负荷!AG32-水电!AG32-核电!AG32-地方燃煤!AG32-风电!AG32-光伏!AG32-联络线!AG32-非市场化!AG32</f>
        <v>6147.89</v>
      </c>
      <c r="AH32">
        <f>负荷!AH32-水电!AH32-核电!AH32-地方燃煤!AH32-风电!AH32-光伏!AH32-联络线!AH32-非市场化!AH32</f>
        <v>6278.29</v>
      </c>
      <c r="AI32">
        <f>负荷!AI32-水电!AI32-核电!AI32-地方燃煤!AI32-风电!AI32-光伏!AI32-联络线!AI32-非市场化!AI32</f>
        <v>5976.98</v>
      </c>
      <c r="AJ32">
        <f>负荷!AJ32-水电!AJ32-核电!AJ32-地方燃煤!AJ32-风电!AJ32-光伏!AJ32-联络线!AJ32-非市场化!AJ32</f>
        <v>5378.33</v>
      </c>
      <c r="AK32">
        <f>负荷!AK32-水电!AK32-核电!AK32-地方燃煤!AK32-风电!AK32-光伏!AK32-联络线!AK32-非市场化!AK32</f>
        <v>4959.28</v>
      </c>
      <c r="AL32">
        <f>负荷!AL32-水电!AL32-核电!AL32-地方燃煤!AL32-风电!AL32-光伏!AL32-联络线!AL32-非市场化!AL32</f>
        <v>4093.21999999999</v>
      </c>
      <c r="AM32">
        <f>负荷!AM32-水电!AM32-核电!AM32-地方燃煤!AM32-风电!AM32-光伏!AM32-联络线!AM32-非市场化!AM32</f>
        <v>4095.2</v>
      </c>
      <c r="AN32">
        <f>负荷!AN32-水电!AN32-核电!AN32-地方燃煤!AN32-风电!AN32-光伏!AN32-联络线!AN32-非市场化!AN32</f>
        <v>3826</v>
      </c>
      <c r="AO32">
        <f>负荷!AO32-水电!AO32-核电!AO32-地方燃煤!AO32-风电!AO32-光伏!AO32-联络线!AO32-非市场化!AO32</f>
        <v>3737.04</v>
      </c>
      <c r="AP32">
        <f>负荷!AP32-水电!AP32-核电!AP32-地方燃煤!AP32-风电!AP32-光伏!AP32-联络线!AP32-非市场化!AP32</f>
        <v>3392.35</v>
      </c>
      <c r="AQ32">
        <f>负荷!AQ32-水电!AQ32-核电!AQ32-地方燃煤!AQ32-风电!AQ32-光伏!AQ32-联络线!AQ32-非市场化!AQ32</f>
        <v>3378.4</v>
      </c>
      <c r="AR32">
        <f>负荷!AR32-水电!AR32-核电!AR32-地方燃煤!AR32-风电!AR32-光伏!AR32-联络线!AR32-非市场化!AR32</f>
        <v>3197.17</v>
      </c>
      <c r="AS32">
        <f>负荷!AS32-水电!AS32-核电!AS32-地方燃煤!AS32-风电!AS32-光伏!AS32-联络线!AS32-非市场化!AS32</f>
        <v>3001.70000000001</v>
      </c>
      <c r="AT32">
        <f>负荷!AT32-水电!AT32-核电!AT32-地方燃煤!AT32-风电!AT32-光伏!AT32-联络线!AT32-非市场化!AT32</f>
        <v>3063.22</v>
      </c>
      <c r="AU32">
        <f>负荷!AU32-水电!AU32-核电!AU32-地方燃煤!AU32-风电!AU32-光伏!AU32-联络线!AU32-非市场化!AU32</f>
        <v>2719.01</v>
      </c>
      <c r="AV32">
        <f>负荷!AV32-水电!AV32-核电!AV32-地方燃煤!AV32-风电!AV32-光伏!AV32-联络线!AV32-非市场化!AV32</f>
        <v>2656.26</v>
      </c>
      <c r="AW32">
        <f>负荷!AW32-水电!AW32-核电!AW32-地方燃煤!AW32-风电!AW32-光伏!AW32-联络线!AW32-非市场化!AW32</f>
        <v>2709.09</v>
      </c>
      <c r="AX32">
        <f>负荷!AX32-水电!AX32-核电!AX32-地方燃煤!AX32-风电!AX32-光伏!AX32-联络线!AX32-非市场化!AX32</f>
        <v>2979.53</v>
      </c>
      <c r="AY32">
        <f>负荷!AY32-水电!AY32-核电!AY32-地方燃煤!AY32-风电!AY32-光伏!AY32-联络线!AY32-非市场化!AY32</f>
        <v>3036.22</v>
      </c>
      <c r="AZ32">
        <f>负荷!AZ32-水电!AZ32-核电!AZ32-地方燃煤!AZ32-风电!AZ32-光伏!AZ32-联络线!AZ32-非市场化!AZ32</f>
        <v>3387.92</v>
      </c>
      <c r="BA32">
        <f>负荷!BA32-水电!BA32-核电!BA32-地方燃煤!BA32-风电!BA32-光伏!BA32-联络线!BA32-非市场化!BA32</f>
        <v>3493.18</v>
      </c>
      <c r="BB32">
        <f>负荷!BB32-水电!BB32-核电!BB32-地方燃煤!BB32-风电!BB32-光伏!BB32-联络线!BB32-非市场化!BB32</f>
        <v>3809.07</v>
      </c>
      <c r="BC32">
        <f>负荷!BC32-水电!BC32-核电!BC32-地方燃煤!BC32-风电!BC32-光伏!BC32-联络线!BC32-非市场化!BC32</f>
        <v>4038.55</v>
      </c>
      <c r="BD32">
        <f>负荷!BD32-水电!BD32-核电!BD32-地方燃煤!BD32-风电!BD32-光伏!BD32-联络线!BD32-非市场化!BD32</f>
        <v>4383.23</v>
      </c>
      <c r="BE32">
        <f>负荷!BE32-水电!BE32-核电!BE32-地方燃煤!BE32-风电!BE32-光伏!BE32-联络线!BE32-非市场化!BE32</f>
        <v>4651.52</v>
      </c>
      <c r="BF32">
        <f>负荷!BF32-水电!BF32-核电!BF32-地方燃煤!BF32-风电!BF32-光伏!BF32-联络线!BF32-非市场化!BF32</f>
        <v>4762.41</v>
      </c>
      <c r="BG32">
        <f>负荷!BG32-水电!BG32-核电!BG32-地方燃煤!BG32-风电!BG32-光伏!BG32-联络线!BG32-非市场化!BG32</f>
        <v>5110.48</v>
      </c>
      <c r="BH32">
        <f>负荷!BH32-水电!BH32-核电!BH32-地方燃煤!BH32-风电!BH32-光伏!BH32-联络线!BH32-非市场化!BH32</f>
        <v>5223.85</v>
      </c>
      <c r="BI32">
        <f>负荷!BI32-水电!BI32-核电!BI32-地方燃煤!BI32-风电!BI32-光伏!BI32-联络线!BI32-非市场化!BI32</f>
        <v>5295.8</v>
      </c>
      <c r="BJ32">
        <f>负荷!BJ32-水电!BJ32-核电!BJ32-地方燃煤!BJ32-风电!BJ32-光伏!BJ32-联络线!BJ32-非市场化!BJ32</f>
        <v>6097.22</v>
      </c>
      <c r="BK32">
        <f>负荷!BK32-水电!BK32-核电!BK32-地方燃煤!BK32-风电!BK32-光伏!BK32-联络线!BK32-非市场化!BK32</f>
        <v>6549.18</v>
      </c>
      <c r="BL32">
        <f>负荷!BL32-水电!BL32-核电!BL32-地方燃煤!BL32-风电!BL32-光伏!BL32-联络线!BL32-非市场化!BL32</f>
        <v>7053.07</v>
      </c>
      <c r="BM32">
        <f>负荷!BM32-水电!BM32-核电!BM32-地方燃煤!BM32-风电!BM32-光伏!BM32-联络线!BM32-非市场化!BM32</f>
        <v>7377.35</v>
      </c>
      <c r="BN32">
        <f>负荷!BN32-水电!BN32-核电!BN32-地方燃煤!BN32-风电!BN32-光伏!BN32-联络线!BN32-非市场化!BN32</f>
        <v>8624.16</v>
      </c>
      <c r="BO32">
        <f>负荷!BO32-水电!BO32-核电!BO32-地方燃煤!BO32-风电!BO32-光伏!BO32-联络线!BO32-非市场化!BO32</f>
        <v>9191.59</v>
      </c>
      <c r="BP32">
        <f>负荷!BP32-水电!BP32-核电!BP32-地方燃煤!BP32-风电!BP32-光伏!BP32-联络线!BP32-非市场化!BP32</f>
        <v>9328.23</v>
      </c>
      <c r="BQ32">
        <f>负荷!BQ32-水电!BQ32-核电!BQ32-地方燃煤!BQ32-风电!BQ32-光伏!BQ32-联络线!BQ32-非市场化!BQ32</f>
        <v>9067.99</v>
      </c>
      <c r="BR32">
        <f>负荷!BR32-水电!BR32-核电!BR32-地方燃煤!BR32-风电!BR32-光伏!BR32-联络线!BR32-非市场化!BR32</f>
        <v>9299.47</v>
      </c>
      <c r="BS32">
        <f>负荷!BS32-水电!BS32-核电!BS32-地方燃煤!BS32-风电!BS32-光伏!BS32-联络线!BS32-非市场化!BS32</f>
        <v>9403.01</v>
      </c>
      <c r="BT32">
        <f>负荷!BT32-水电!BT32-核电!BT32-地方燃煤!BT32-风电!BT32-光伏!BT32-联络线!BT32-非市场化!BT32</f>
        <v>9850.37</v>
      </c>
      <c r="BU32">
        <f>负荷!BU32-水电!BU32-核电!BU32-地方燃煤!BU32-风电!BU32-光伏!BU32-联络线!BU32-非市场化!BU32</f>
        <v>10276.99</v>
      </c>
      <c r="BV32">
        <f>负荷!BV32-水电!BV32-核电!BV32-地方燃煤!BV32-风电!BV32-光伏!BV32-联络线!BV32-非市场化!BV32</f>
        <v>9915.56</v>
      </c>
      <c r="BW32">
        <f>负荷!BW32-水电!BW32-核电!BW32-地方燃煤!BW32-风电!BW32-光伏!BW32-联络线!BW32-非市场化!BW32</f>
        <v>10225.33</v>
      </c>
      <c r="BX32">
        <f>负荷!BX32-水电!BX32-核电!BX32-地方燃煤!BX32-风电!BX32-光伏!BX32-联络线!BX32-非市场化!BX32</f>
        <v>10725.08</v>
      </c>
      <c r="BY32">
        <f>负荷!BY32-水电!BY32-核电!BY32-地方燃煤!BY32-风电!BY32-光伏!BY32-联络线!BY32-非市场化!BY32</f>
        <v>10914.85</v>
      </c>
      <c r="BZ32">
        <f>负荷!BZ32-水电!BZ32-核电!BZ32-地方燃煤!BZ32-风电!BZ32-光伏!BZ32-联络线!BZ32-非市场化!BZ32</f>
        <v>10911.7</v>
      </c>
      <c r="CA32">
        <f>负荷!CA32-水电!CA32-核电!CA32-地方燃煤!CA32-风电!CA32-光伏!CA32-联络线!CA32-非市场化!CA32</f>
        <v>10832.5</v>
      </c>
      <c r="CB32">
        <f>负荷!CB32-水电!CB32-核电!CB32-地方燃煤!CB32-风电!CB32-光伏!CB32-联络线!CB32-非市场化!CB32</f>
        <v>10847.23</v>
      </c>
      <c r="CC32">
        <f>负荷!CC32-水电!CC32-核电!CC32-地方燃煤!CC32-风电!CC32-光伏!CC32-联络线!CC32-非市场化!CC32</f>
        <v>10667.1</v>
      </c>
      <c r="CD32">
        <f>负荷!CD32-水电!CD32-核电!CD32-地方燃煤!CD32-风电!CD32-光伏!CD32-联络线!CD32-非市场化!CD32</f>
        <v>10779.86</v>
      </c>
      <c r="CE32">
        <f>负荷!CE32-水电!CE32-核电!CE32-地方燃煤!CE32-风电!CE32-光伏!CE32-联络线!CE32-非市场化!CE32</f>
        <v>11230.94</v>
      </c>
      <c r="CF32">
        <f>负荷!CF32-水电!CF32-核电!CF32-地方燃煤!CF32-风电!CF32-光伏!CF32-联络线!CF32-非市场化!CF32</f>
        <v>11444.17</v>
      </c>
      <c r="CG32">
        <f>负荷!CG32-水电!CG32-核电!CG32-地方燃煤!CG32-风电!CG32-光伏!CG32-联络线!CG32-非市场化!CG32</f>
        <v>11560.48</v>
      </c>
      <c r="CH32">
        <f>负荷!CH32-水电!CH32-核电!CH32-地方燃煤!CH32-风电!CH32-光伏!CH32-联络线!CH32-非市场化!CH32</f>
        <v>11786.01</v>
      </c>
      <c r="CI32">
        <f>负荷!CI32-水电!CI32-核电!CI32-地方燃煤!CI32-风电!CI32-光伏!CI32-联络线!CI32-非市场化!CI32</f>
        <v>11288.6</v>
      </c>
      <c r="CJ32">
        <f>负荷!CJ32-水电!CJ32-核电!CJ32-地方燃煤!CJ32-风电!CJ32-光伏!CJ32-联络线!CJ32-非市场化!CJ32</f>
        <v>10878.73</v>
      </c>
      <c r="CK32">
        <f>负荷!CK32-水电!CK32-核电!CK32-地方燃煤!CK32-风电!CK32-光伏!CK32-联络线!CK32-非市场化!CK32</f>
        <v>10499.34</v>
      </c>
      <c r="CL32">
        <f>负荷!CL32-水电!CL32-核电!CL32-地方燃煤!CL32-风电!CL32-光伏!CL32-联络线!CL32-非市场化!CL32</f>
        <v>10918.83</v>
      </c>
      <c r="CM32">
        <f>负荷!CM32-水电!CM32-核电!CM32-地方燃煤!CM32-风电!CM32-光伏!CM32-联络线!CM32-非市场化!CM32</f>
        <v>11158.67</v>
      </c>
      <c r="CN32">
        <f>负荷!CN32-水电!CN32-核电!CN32-地方燃煤!CN32-风电!CN32-光伏!CN32-联络线!CN32-非市场化!CN32</f>
        <v>11390.32</v>
      </c>
      <c r="CO32">
        <f>负荷!CO32-水电!CO32-核电!CO32-地方燃煤!CO32-风电!CO32-光伏!CO32-联络线!CO32-非市场化!CO32</f>
        <v>11581.46</v>
      </c>
      <c r="CP32">
        <f>负荷!CP32-水电!CP32-核电!CP32-地方燃煤!CP32-风电!CP32-光伏!CP32-联络线!CP32-非市场化!CP32</f>
        <v>11287.57</v>
      </c>
      <c r="CQ32">
        <f>负荷!CQ32-水电!CQ32-核电!CQ32-地方燃煤!CQ32-风电!CQ32-光伏!CQ32-联络线!CQ32-非市场化!CQ32</f>
        <v>11005.65</v>
      </c>
      <c r="CR32">
        <f>负荷!CR32-水电!CR32-核电!CR32-地方燃煤!CR32-风电!CR32-光伏!CR32-联络线!CR32-非市场化!CR32</f>
        <v>10707.81</v>
      </c>
      <c r="CS32">
        <f>负荷!CS32-水电!CS32-核电!CS32-地方燃煤!CS32-风电!CS32-光伏!CS32-联络线!CS32-非市场化!CS32</f>
        <v>10376.97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S673"/>
  <sheetViews>
    <sheetView topLeftCell="A228" workbookViewId="0">
      <selection activeCell="O588" sqref="O588"/>
    </sheetView>
  </sheetViews>
  <sheetFormatPr defaultColWidth="8.89166666666667" defaultRowHeight="13.5"/>
  <cols>
    <col min="1" max="1" width="11.8916666666667" customWidth="1"/>
    <col min="9" max="9" width="9.66666666666667"/>
  </cols>
  <sheetData>
    <row r="1" spans="1:97">
      <c r="A1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</row>
    <row r="2" spans="1:97">
      <c r="A2" cm="1">
        <f ca="1" t="array" ref="A2:A673">_xlfn.TOCOL(OFFSET(负荷!B$1,COUNTA(负荷!B:B)-7,,7,96),3,FALSE)</f>
        <v>30323.82</v>
      </c>
      <c r="B2" cm="1">
        <f ca="1" t="array" ref="B2:B673">_xlfn.TOCOL(OFFSET(水电!B$1,COUNTA(水电!B:B)-7,,7,96),3,FALSE)</f>
        <v>513.86</v>
      </c>
      <c r="C2" cm="1">
        <f ca="1" t="array" ref="C2:C673">_xlfn.TOCOL(OFFSET(核电!B$1,COUNTA(核电!B:B)-7,,7,96),3,FALSE)</f>
        <v>6365</v>
      </c>
      <c r="D2" cm="1">
        <f ca="1" t="array" ref="D2:D673">_xlfn.TOCOL(OFFSET(地方燃煤!B$1,COUNTA(地方燃煤!B:B)-7,,7,96),3,FALSE)</f>
        <v>309.54</v>
      </c>
      <c r="E2" cm="1">
        <f ca="1" t="array" ref="E2:E673">_xlfn.TOCOL(OFFSET(风电!B$1,COUNTA(风电!B:B)-7,,7,96),3,FALSE)</f>
        <v>3797.65</v>
      </c>
      <c r="F2" cm="1">
        <f ca="1" t="array" ref="F2:F673">_xlfn.TOCOL(OFFSET(光伏!B$1,COUNTA(光伏!B:B)-7,,7,96),3,FALSE)</f>
        <v>0</v>
      </c>
      <c r="G2" cm="1">
        <f ca="1" t="array" ref="G2:G673">_xlfn.TOCOL(OFFSET(联络线!B$1,COUNTA(联络线!B:B)-7,,7,96),3,FALSE)</f>
        <v>3063</v>
      </c>
      <c r="H2" cm="1">
        <f ca="1" t="array" ref="H2:H673">_xlfn.TOCOL(OFFSET(非市场化!B$1,COUNTA(非市场化!B:B)-7,,7,96),3,FALSE)</f>
        <v>3116.09</v>
      </c>
      <c r="I2">
        <f ca="1">A2-B2-C2-D2-E2-F2-G2-H2</f>
        <v>13158.68</v>
      </c>
    </row>
    <row r="3" spans="1:97">
      <c r="A3">
        <v>30022.47</v>
      </c>
      <c r="B3">
        <v>516.65</v>
      </c>
      <c r="C3">
        <v>6365</v>
      </c>
      <c r="D3">
        <v>309.54</v>
      </c>
      <c r="E3">
        <v>3726.57</v>
      </c>
      <c r="F3">
        <v>0</v>
      </c>
      <c r="G3">
        <v>3023</v>
      </c>
      <c r="H3">
        <v>3128.71</v>
      </c>
      <c r="I3">
        <f ca="1" t="shared" ref="I3:I66" si="0">A3-B3-C3-D3-E3-F3-G3-H3</f>
        <v>12953</v>
      </c>
    </row>
    <row r="4" spans="1:97">
      <c r="A4">
        <v>29759.1</v>
      </c>
      <c r="B4">
        <v>519.01</v>
      </c>
      <c r="C4">
        <v>6365</v>
      </c>
      <c r="D4">
        <v>309.54</v>
      </c>
      <c r="E4">
        <v>3658.6</v>
      </c>
      <c r="F4">
        <v>0</v>
      </c>
      <c r="G4">
        <v>2980</v>
      </c>
      <c r="H4">
        <v>3125.76</v>
      </c>
      <c r="I4">
        <f ca="1" t="shared" si="0"/>
        <v>12801.19</v>
      </c>
    </row>
    <row r="5" spans="1:97">
      <c r="A5">
        <v>29495.72</v>
      </c>
      <c r="B5">
        <v>519.22</v>
      </c>
      <c r="C5">
        <v>6365</v>
      </c>
      <c r="D5">
        <v>309.54</v>
      </c>
      <c r="E5">
        <v>3592.68</v>
      </c>
      <c r="F5">
        <v>0</v>
      </c>
      <c r="G5">
        <v>2939</v>
      </c>
      <c r="H5">
        <v>3125.06</v>
      </c>
      <c r="I5">
        <f ca="1" t="shared" si="0"/>
        <v>12645.22</v>
      </c>
    </row>
    <row r="6" spans="1:97">
      <c r="A6">
        <v>29332.8</v>
      </c>
      <c r="B6">
        <v>519.65</v>
      </c>
      <c r="C6">
        <v>6365</v>
      </c>
      <c r="D6">
        <v>299.07</v>
      </c>
      <c r="E6">
        <v>3520.59</v>
      </c>
      <c r="F6">
        <v>0</v>
      </c>
      <c r="G6">
        <v>2897</v>
      </c>
      <c r="H6">
        <v>3130.2</v>
      </c>
      <c r="I6">
        <f ca="1" t="shared" si="0"/>
        <v>12601.29</v>
      </c>
    </row>
    <row r="7" spans="1:97">
      <c r="A7">
        <v>29066.97</v>
      </c>
      <c r="B7">
        <v>519.67</v>
      </c>
      <c r="C7">
        <v>6365</v>
      </c>
      <c r="D7">
        <v>299.07</v>
      </c>
      <c r="E7">
        <v>3446.43</v>
      </c>
      <c r="F7">
        <v>0</v>
      </c>
      <c r="G7">
        <v>2711</v>
      </c>
      <c r="H7">
        <v>3131.35</v>
      </c>
      <c r="I7">
        <f ca="1" t="shared" si="0"/>
        <v>12594.45</v>
      </c>
    </row>
    <row r="8" spans="1:97">
      <c r="A8">
        <v>28951.82</v>
      </c>
      <c r="B8">
        <v>517.35</v>
      </c>
      <c r="C8">
        <v>6365</v>
      </c>
      <c r="D8">
        <v>299.07</v>
      </c>
      <c r="E8">
        <v>3371.23</v>
      </c>
      <c r="F8">
        <v>0</v>
      </c>
      <c r="G8">
        <v>2341</v>
      </c>
      <c r="H8">
        <v>3136.72</v>
      </c>
      <c r="I8">
        <f ca="1" t="shared" si="0"/>
        <v>12921.45</v>
      </c>
    </row>
    <row r="9" spans="1:97">
      <c r="A9">
        <v>28644.35</v>
      </c>
      <c r="B9">
        <v>517.91</v>
      </c>
      <c r="C9">
        <v>6365</v>
      </c>
      <c r="D9">
        <v>299.07</v>
      </c>
      <c r="E9">
        <v>3295</v>
      </c>
      <c r="F9">
        <v>0</v>
      </c>
      <c r="G9">
        <v>1996</v>
      </c>
      <c r="H9">
        <v>3129.87</v>
      </c>
      <c r="I9">
        <f ca="1" t="shared" si="0"/>
        <v>13041.5</v>
      </c>
    </row>
    <row r="10" spans="1:97">
      <c r="A10">
        <v>28507.15</v>
      </c>
      <c r="B10">
        <v>518.79</v>
      </c>
      <c r="C10">
        <v>6365</v>
      </c>
      <c r="D10">
        <v>299.07</v>
      </c>
      <c r="E10">
        <v>3218.77</v>
      </c>
      <c r="F10">
        <v>0</v>
      </c>
      <c r="G10">
        <v>1980</v>
      </c>
      <c r="H10">
        <v>3141.44</v>
      </c>
      <c r="I10">
        <f ca="1" t="shared" si="0"/>
        <v>12984.08</v>
      </c>
    </row>
    <row r="11" spans="1:97">
      <c r="A11">
        <v>28383.42</v>
      </c>
      <c r="B11">
        <v>517.17</v>
      </c>
      <c r="C11">
        <v>6365</v>
      </c>
      <c r="D11">
        <v>299.07</v>
      </c>
      <c r="E11">
        <v>3145.66</v>
      </c>
      <c r="F11">
        <v>0</v>
      </c>
      <c r="G11">
        <v>1617</v>
      </c>
      <c r="H11">
        <v>3149.41</v>
      </c>
      <c r="I11">
        <f ca="1" t="shared" si="0"/>
        <v>13290.11</v>
      </c>
    </row>
    <row r="12" spans="1:97">
      <c r="A12">
        <v>28325.85</v>
      </c>
      <c r="B12">
        <v>517.34</v>
      </c>
      <c r="C12">
        <v>6365</v>
      </c>
      <c r="D12">
        <v>299.07</v>
      </c>
      <c r="E12">
        <v>3073.55</v>
      </c>
      <c r="F12">
        <v>0</v>
      </c>
      <c r="G12">
        <v>1255</v>
      </c>
      <c r="H12">
        <v>3140.76</v>
      </c>
      <c r="I12">
        <f ca="1" t="shared" si="0"/>
        <v>13675.13</v>
      </c>
    </row>
    <row r="13" spans="1:97">
      <c r="A13">
        <v>28139.65</v>
      </c>
      <c r="B13">
        <v>516.66</v>
      </c>
      <c r="C13">
        <v>6365</v>
      </c>
      <c r="D13">
        <v>299.07</v>
      </c>
      <c r="E13">
        <v>2999.4</v>
      </c>
      <c r="F13">
        <v>0</v>
      </c>
      <c r="G13">
        <v>1231</v>
      </c>
      <c r="H13">
        <v>3139.14</v>
      </c>
      <c r="I13">
        <f ca="1" t="shared" si="0"/>
        <v>13589.38</v>
      </c>
    </row>
    <row r="14" spans="1:97">
      <c r="A14">
        <v>28155.57</v>
      </c>
      <c r="B14">
        <v>516.7</v>
      </c>
      <c r="C14">
        <v>6365</v>
      </c>
      <c r="D14">
        <v>310.52</v>
      </c>
      <c r="E14">
        <v>2919.06</v>
      </c>
      <c r="F14">
        <v>0</v>
      </c>
      <c r="G14">
        <v>1194</v>
      </c>
      <c r="H14">
        <v>3133.83</v>
      </c>
      <c r="I14">
        <f ca="1" t="shared" si="0"/>
        <v>13716.46</v>
      </c>
    </row>
    <row r="15" spans="1:97">
      <c r="A15">
        <v>28015.92</v>
      </c>
      <c r="B15">
        <v>516.59</v>
      </c>
      <c r="C15">
        <v>6365</v>
      </c>
      <c r="D15">
        <v>310.52</v>
      </c>
      <c r="E15">
        <v>2855.2</v>
      </c>
      <c r="F15">
        <v>0</v>
      </c>
      <c r="G15">
        <v>1192</v>
      </c>
      <c r="H15">
        <v>3137.95</v>
      </c>
      <c r="I15">
        <f ca="1" t="shared" si="0"/>
        <v>13638.66</v>
      </c>
    </row>
    <row r="16" spans="1:97">
      <c r="A16">
        <v>28042.87</v>
      </c>
      <c r="B16">
        <v>516.6</v>
      </c>
      <c r="C16">
        <v>6365</v>
      </c>
      <c r="D16">
        <v>310.52</v>
      </c>
      <c r="E16">
        <v>2792.37</v>
      </c>
      <c r="F16">
        <v>0</v>
      </c>
      <c r="G16">
        <v>1190</v>
      </c>
      <c r="H16">
        <v>3139.96</v>
      </c>
      <c r="I16">
        <f ca="1" t="shared" si="0"/>
        <v>13728.42</v>
      </c>
    </row>
    <row r="17" spans="1:9">
      <c r="A17">
        <v>28000</v>
      </c>
      <c r="B17">
        <v>516.43</v>
      </c>
      <c r="C17">
        <v>6365</v>
      </c>
      <c r="D17">
        <v>310.52</v>
      </c>
      <c r="E17">
        <v>2730.57</v>
      </c>
      <c r="F17">
        <v>0</v>
      </c>
      <c r="G17">
        <v>1527</v>
      </c>
      <c r="H17">
        <v>3134.19</v>
      </c>
      <c r="I17">
        <f ca="1" t="shared" si="0"/>
        <v>13416.29</v>
      </c>
    </row>
    <row r="18" spans="1:9">
      <c r="A18">
        <v>28118.82</v>
      </c>
      <c r="B18">
        <v>516.41</v>
      </c>
      <c r="C18">
        <v>6365</v>
      </c>
      <c r="D18">
        <v>310.52</v>
      </c>
      <c r="E18">
        <v>2668.77</v>
      </c>
      <c r="F18">
        <v>0</v>
      </c>
      <c r="G18">
        <v>1713</v>
      </c>
      <c r="H18">
        <v>3140.77</v>
      </c>
      <c r="I18">
        <f ca="1" t="shared" si="0"/>
        <v>13404.35</v>
      </c>
    </row>
    <row r="19" spans="1:9">
      <c r="A19">
        <v>28166.6</v>
      </c>
      <c r="B19">
        <v>516.35</v>
      </c>
      <c r="C19">
        <v>6365</v>
      </c>
      <c r="D19">
        <v>310.52</v>
      </c>
      <c r="E19">
        <v>2612.11</v>
      </c>
      <c r="F19">
        <v>0</v>
      </c>
      <c r="G19">
        <v>2088</v>
      </c>
      <c r="H19">
        <v>3147.32</v>
      </c>
      <c r="I19">
        <f ca="1" t="shared" si="0"/>
        <v>13127.3</v>
      </c>
    </row>
    <row r="20" spans="1:9">
      <c r="A20">
        <v>28356.47</v>
      </c>
      <c r="B20">
        <v>516.54</v>
      </c>
      <c r="C20">
        <v>6365</v>
      </c>
      <c r="D20">
        <v>310.52</v>
      </c>
      <c r="E20">
        <v>2554.45</v>
      </c>
      <c r="F20">
        <v>0</v>
      </c>
      <c r="G20">
        <v>2461</v>
      </c>
      <c r="H20">
        <v>3167.44</v>
      </c>
      <c r="I20">
        <f ca="1" t="shared" si="0"/>
        <v>12981.52</v>
      </c>
    </row>
    <row r="21" spans="1:9">
      <c r="A21">
        <v>28547.57</v>
      </c>
      <c r="B21">
        <v>516.06</v>
      </c>
      <c r="C21">
        <v>6365</v>
      </c>
      <c r="D21">
        <v>310.52</v>
      </c>
      <c r="E21">
        <v>2505</v>
      </c>
      <c r="F21">
        <v>0</v>
      </c>
      <c r="G21">
        <v>2860</v>
      </c>
      <c r="H21">
        <v>3167.08</v>
      </c>
      <c r="I21">
        <f ca="1" t="shared" si="0"/>
        <v>12823.91</v>
      </c>
    </row>
    <row r="22" spans="1:9">
      <c r="A22">
        <v>28938.35</v>
      </c>
      <c r="B22">
        <v>516.05</v>
      </c>
      <c r="C22">
        <v>6365</v>
      </c>
      <c r="D22">
        <v>310.52</v>
      </c>
      <c r="E22">
        <v>2456.6</v>
      </c>
      <c r="F22">
        <v>10.98</v>
      </c>
      <c r="G22">
        <v>2959</v>
      </c>
      <c r="H22">
        <v>3164.93</v>
      </c>
      <c r="I22">
        <f ca="1" t="shared" si="0"/>
        <v>13155.27</v>
      </c>
    </row>
    <row r="23" spans="1:9">
      <c r="A23">
        <v>29421</v>
      </c>
      <c r="B23">
        <v>515.72</v>
      </c>
      <c r="C23">
        <v>6365</v>
      </c>
      <c r="D23">
        <v>310.52</v>
      </c>
      <c r="E23">
        <v>2420.54</v>
      </c>
      <c r="F23">
        <v>62.72</v>
      </c>
      <c r="G23">
        <v>3315</v>
      </c>
      <c r="H23">
        <v>3177.63</v>
      </c>
      <c r="I23">
        <f ca="1" t="shared" si="0"/>
        <v>13253.87</v>
      </c>
    </row>
    <row r="24" spans="1:9">
      <c r="A24">
        <v>29882.82</v>
      </c>
      <c r="B24">
        <v>515.74</v>
      </c>
      <c r="C24">
        <v>6365</v>
      </c>
      <c r="D24">
        <v>310.52</v>
      </c>
      <c r="E24">
        <v>2384.51</v>
      </c>
      <c r="F24">
        <v>156.44</v>
      </c>
      <c r="G24">
        <v>3850</v>
      </c>
      <c r="H24">
        <v>3193.35</v>
      </c>
      <c r="I24">
        <f ca="1" t="shared" si="0"/>
        <v>13107.26</v>
      </c>
    </row>
    <row r="25" spans="1:9">
      <c r="A25">
        <v>30399.77</v>
      </c>
      <c r="B25">
        <v>515.59</v>
      </c>
      <c r="C25">
        <v>6365</v>
      </c>
      <c r="D25">
        <v>310.52</v>
      </c>
      <c r="E25">
        <v>2320.64</v>
      </c>
      <c r="F25">
        <v>288.3</v>
      </c>
      <c r="G25">
        <v>4358</v>
      </c>
      <c r="H25">
        <v>3183.5</v>
      </c>
      <c r="I25">
        <f ca="1" t="shared" si="0"/>
        <v>13058.22</v>
      </c>
    </row>
    <row r="26" spans="1:9">
      <c r="A26">
        <v>30968.17</v>
      </c>
      <c r="B26">
        <v>517.37</v>
      </c>
      <c r="C26">
        <v>6365</v>
      </c>
      <c r="D26">
        <v>310.52</v>
      </c>
      <c r="E26">
        <v>2277.39</v>
      </c>
      <c r="F26">
        <v>481.03</v>
      </c>
      <c r="G26">
        <v>4586</v>
      </c>
      <c r="H26">
        <v>3185.79</v>
      </c>
      <c r="I26">
        <f ca="1" t="shared" si="0"/>
        <v>13245.07</v>
      </c>
    </row>
    <row r="27" spans="1:9">
      <c r="A27">
        <v>31453.27</v>
      </c>
      <c r="B27">
        <v>517.38</v>
      </c>
      <c r="C27">
        <v>6365</v>
      </c>
      <c r="D27">
        <v>310.52</v>
      </c>
      <c r="E27">
        <v>2232.07</v>
      </c>
      <c r="F27">
        <v>741.38</v>
      </c>
      <c r="G27">
        <v>4860</v>
      </c>
      <c r="H27">
        <v>3188.74</v>
      </c>
      <c r="I27">
        <f ca="1" t="shared" si="0"/>
        <v>13238.18</v>
      </c>
    </row>
    <row r="28" spans="1:9">
      <c r="A28">
        <v>31946.95</v>
      </c>
      <c r="B28">
        <v>517.36</v>
      </c>
      <c r="C28">
        <v>6365</v>
      </c>
      <c r="D28">
        <v>310.52</v>
      </c>
      <c r="E28">
        <v>2194.99</v>
      </c>
      <c r="F28">
        <v>1040.8</v>
      </c>
      <c r="G28">
        <v>5133</v>
      </c>
      <c r="H28">
        <v>3182.71</v>
      </c>
      <c r="I28">
        <f ca="1" t="shared" si="0"/>
        <v>13202.57</v>
      </c>
    </row>
    <row r="29" spans="1:9">
      <c r="A29">
        <v>32316.9</v>
      </c>
      <c r="B29">
        <v>517.38</v>
      </c>
      <c r="C29">
        <v>6365</v>
      </c>
      <c r="D29">
        <v>310.52</v>
      </c>
      <c r="E29">
        <v>2157.9</v>
      </c>
      <c r="F29">
        <v>1372</v>
      </c>
      <c r="G29">
        <v>5407</v>
      </c>
      <c r="H29">
        <v>3177.51</v>
      </c>
      <c r="I29">
        <f ca="1" t="shared" si="0"/>
        <v>13009.59</v>
      </c>
    </row>
    <row r="30" spans="1:9">
      <c r="A30">
        <v>32863.25</v>
      </c>
      <c r="B30">
        <v>517.42</v>
      </c>
      <c r="C30">
        <v>6365</v>
      </c>
      <c r="D30">
        <v>309.54</v>
      </c>
      <c r="E30">
        <v>2129.07</v>
      </c>
      <c r="F30">
        <v>1728.82</v>
      </c>
      <c r="G30">
        <v>5631</v>
      </c>
      <c r="H30">
        <v>3173.54</v>
      </c>
      <c r="I30">
        <f ca="1" t="shared" si="0"/>
        <v>13008.86</v>
      </c>
    </row>
    <row r="31" spans="1:9">
      <c r="A31">
        <v>33393.67</v>
      </c>
      <c r="B31">
        <v>517.4</v>
      </c>
      <c r="C31">
        <v>6365</v>
      </c>
      <c r="D31">
        <v>309.54</v>
      </c>
      <c r="E31">
        <v>2087.87</v>
      </c>
      <c r="F31">
        <v>2113.07</v>
      </c>
      <c r="G31">
        <v>5901</v>
      </c>
      <c r="H31">
        <v>3164.87</v>
      </c>
      <c r="I31">
        <f ca="1" t="shared" si="0"/>
        <v>12934.92</v>
      </c>
    </row>
    <row r="32" spans="1:9">
      <c r="A32">
        <v>33938.8</v>
      </c>
      <c r="B32">
        <v>516.89</v>
      </c>
      <c r="C32">
        <v>6365</v>
      </c>
      <c r="D32">
        <v>309.54</v>
      </c>
      <c r="E32">
        <v>2065.19</v>
      </c>
      <c r="F32">
        <v>2523.83</v>
      </c>
      <c r="G32">
        <v>6172</v>
      </c>
      <c r="H32">
        <v>3161.73</v>
      </c>
      <c r="I32">
        <f ca="1" t="shared" si="0"/>
        <v>12824.62</v>
      </c>
    </row>
    <row r="33" spans="1:9">
      <c r="A33">
        <v>34681.15</v>
      </c>
      <c r="B33">
        <v>516.69</v>
      </c>
      <c r="C33">
        <v>6365</v>
      </c>
      <c r="D33">
        <v>309.54</v>
      </c>
      <c r="E33">
        <v>2037.4</v>
      </c>
      <c r="F33">
        <v>2935.31</v>
      </c>
      <c r="G33">
        <v>6130</v>
      </c>
      <c r="H33">
        <v>3155.57</v>
      </c>
      <c r="I33">
        <f ca="1" t="shared" si="0"/>
        <v>13231.64</v>
      </c>
    </row>
    <row r="34" spans="1:9">
      <c r="A34">
        <v>35832.65</v>
      </c>
      <c r="B34">
        <v>514.25</v>
      </c>
      <c r="C34">
        <v>6365</v>
      </c>
      <c r="D34">
        <v>309.54</v>
      </c>
      <c r="E34">
        <v>2033.26</v>
      </c>
      <c r="F34">
        <v>3394.63</v>
      </c>
      <c r="G34">
        <v>5602</v>
      </c>
      <c r="H34">
        <v>3132.22</v>
      </c>
      <c r="I34">
        <f ca="1" t="shared" si="0"/>
        <v>14481.75</v>
      </c>
    </row>
    <row r="35" spans="1:9">
      <c r="A35">
        <v>36521.1</v>
      </c>
      <c r="B35">
        <v>513.4</v>
      </c>
      <c r="C35">
        <v>6365</v>
      </c>
      <c r="D35">
        <v>309.54</v>
      </c>
      <c r="E35">
        <v>2046.67</v>
      </c>
      <c r="F35">
        <v>3829.47</v>
      </c>
      <c r="G35">
        <v>5723</v>
      </c>
      <c r="H35">
        <v>3123.53</v>
      </c>
      <c r="I35">
        <f ca="1" t="shared" si="0"/>
        <v>14610.49</v>
      </c>
    </row>
    <row r="36" spans="1:9">
      <c r="A36">
        <v>37034.37</v>
      </c>
      <c r="B36">
        <v>513.47</v>
      </c>
      <c r="C36">
        <v>6365</v>
      </c>
      <c r="D36">
        <v>309.54</v>
      </c>
      <c r="E36">
        <v>2068.29</v>
      </c>
      <c r="F36">
        <v>4245.9</v>
      </c>
      <c r="G36">
        <v>6031</v>
      </c>
      <c r="H36">
        <v>3119.56</v>
      </c>
      <c r="I36">
        <f ca="1" t="shared" si="0"/>
        <v>14381.61</v>
      </c>
    </row>
    <row r="37" spans="1:9">
      <c r="A37">
        <v>37660.35</v>
      </c>
      <c r="B37">
        <v>513.45</v>
      </c>
      <c r="C37">
        <v>6365</v>
      </c>
      <c r="D37">
        <v>308.36</v>
      </c>
      <c r="E37">
        <v>2093.02</v>
      </c>
      <c r="F37">
        <v>4613.57</v>
      </c>
      <c r="G37">
        <v>6379</v>
      </c>
      <c r="H37">
        <v>3108.7</v>
      </c>
      <c r="I37">
        <f ca="1" t="shared" si="0"/>
        <v>14279.25</v>
      </c>
    </row>
    <row r="38" spans="1:9">
      <c r="A38">
        <v>38151.57</v>
      </c>
      <c r="B38">
        <v>513.4</v>
      </c>
      <c r="C38">
        <v>6365</v>
      </c>
      <c r="D38">
        <v>308.36</v>
      </c>
      <c r="E38">
        <v>2131.12</v>
      </c>
      <c r="F38">
        <v>4938.75</v>
      </c>
      <c r="G38">
        <v>6568</v>
      </c>
      <c r="H38">
        <v>3102.85</v>
      </c>
      <c r="I38">
        <f ca="1" t="shared" si="0"/>
        <v>14224.09</v>
      </c>
    </row>
    <row r="39" spans="1:9">
      <c r="A39">
        <v>38786.12</v>
      </c>
      <c r="B39">
        <v>511.07</v>
      </c>
      <c r="C39">
        <v>6365</v>
      </c>
      <c r="D39">
        <v>308.36</v>
      </c>
      <c r="E39">
        <v>2174.38</v>
      </c>
      <c r="F39">
        <v>5243.5</v>
      </c>
      <c r="G39">
        <v>6446</v>
      </c>
      <c r="H39">
        <v>3106.33</v>
      </c>
      <c r="I39">
        <f ca="1" t="shared" si="0"/>
        <v>14631.48</v>
      </c>
    </row>
    <row r="40" spans="1:9">
      <c r="A40">
        <v>39001.72</v>
      </c>
      <c r="B40">
        <v>511.99</v>
      </c>
      <c r="C40">
        <v>6365</v>
      </c>
      <c r="D40">
        <v>308.36</v>
      </c>
      <c r="E40">
        <v>2222.79</v>
      </c>
      <c r="F40">
        <v>5514.66</v>
      </c>
      <c r="G40">
        <v>6326</v>
      </c>
      <c r="H40">
        <v>3107.24</v>
      </c>
      <c r="I40">
        <f ca="1" t="shared" si="0"/>
        <v>14645.68</v>
      </c>
    </row>
    <row r="41" spans="1:9">
      <c r="A41">
        <v>39480.7</v>
      </c>
      <c r="B41">
        <v>511.46</v>
      </c>
      <c r="C41">
        <v>6365</v>
      </c>
      <c r="D41">
        <v>308.36</v>
      </c>
      <c r="E41">
        <v>2275.31</v>
      </c>
      <c r="F41">
        <v>5740.98</v>
      </c>
      <c r="G41">
        <v>6179</v>
      </c>
      <c r="H41">
        <v>3113.13</v>
      </c>
      <c r="I41">
        <f ca="1" t="shared" si="0"/>
        <v>14987.46</v>
      </c>
    </row>
    <row r="42" spans="1:9">
      <c r="A42">
        <v>39636.27</v>
      </c>
      <c r="B42">
        <v>512.23</v>
      </c>
      <c r="C42">
        <v>6358</v>
      </c>
      <c r="D42">
        <v>318.84</v>
      </c>
      <c r="E42">
        <v>2327.83</v>
      </c>
      <c r="F42">
        <v>5907.85</v>
      </c>
      <c r="G42">
        <v>6403</v>
      </c>
      <c r="H42">
        <v>3111.83</v>
      </c>
      <c r="I42">
        <f ca="1" t="shared" si="0"/>
        <v>14696.69</v>
      </c>
    </row>
    <row r="43" spans="1:9">
      <c r="A43">
        <v>39883.72</v>
      </c>
      <c r="B43">
        <v>511.99</v>
      </c>
      <c r="C43">
        <v>6358</v>
      </c>
      <c r="D43">
        <v>318.84</v>
      </c>
      <c r="E43">
        <v>2384.49</v>
      </c>
      <c r="F43">
        <v>6030.92</v>
      </c>
      <c r="G43">
        <v>6163</v>
      </c>
      <c r="H43">
        <v>3095.05</v>
      </c>
      <c r="I43">
        <f ca="1" t="shared" si="0"/>
        <v>15021.43</v>
      </c>
    </row>
    <row r="44" spans="1:9">
      <c r="A44">
        <v>40250</v>
      </c>
      <c r="B44">
        <v>511.86</v>
      </c>
      <c r="C44">
        <v>6358</v>
      </c>
      <c r="D44">
        <v>318.84</v>
      </c>
      <c r="E44">
        <v>2430.83</v>
      </c>
      <c r="F44">
        <v>6123.38</v>
      </c>
      <c r="G44">
        <v>5921</v>
      </c>
      <c r="H44">
        <v>3102.32</v>
      </c>
      <c r="I44">
        <f ca="1" t="shared" si="0"/>
        <v>15483.77</v>
      </c>
    </row>
    <row r="45" spans="1:9">
      <c r="A45">
        <v>40056.45</v>
      </c>
      <c r="B45">
        <v>511.72</v>
      </c>
      <c r="C45">
        <v>6345</v>
      </c>
      <c r="D45">
        <v>318.84</v>
      </c>
      <c r="E45">
        <v>2473.07</v>
      </c>
      <c r="F45">
        <v>6189.3</v>
      </c>
      <c r="G45">
        <v>5994</v>
      </c>
      <c r="H45">
        <v>3094.36</v>
      </c>
      <c r="I45">
        <f ca="1" t="shared" si="0"/>
        <v>15130.16</v>
      </c>
    </row>
    <row r="46" spans="1:9">
      <c r="A46">
        <v>39990.3</v>
      </c>
      <c r="B46">
        <v>510.33</v>
      </c>
      <c r="C46">
        <v>6345</v>
      </c>
      <c r="D46">
        <v>318.84</v>
      </c>
      <c r="E46">
        <v>2510.17</v>
      </c>
      <c r="F46">
        <v>6146.53</v>
      </c>
      <c r="G46">
        <v>6168</v>
      </c>
      <c r="H46">
        <v>3103.31</v>
      </c>
      <c r="I46">
        <f ca="1" t="shared" si="0"/>
        <v>14888.12</v>
      </c>
    </row>
    <row r="47" spans="1:9">
      <c r="A47">
        <v>39581.15</v>
      </c>
      <c r="B47">
        <v>509.63</v>
      </c>
      <c r="C47">
        <v>6345</v>
      </c>
      <c r="D47">
        <v>318.84</v>
      </c>
      <c r="E47">
        <v>2552.38</v>
      </c>
      <c r="F47">
        <v>6081.94</v>
      </c>
      <c r="G47">
        <v>5972</v>
      </c>
      <c r="H47">
        <v>3095.35</v>
      </c>
      <c r="I47">
        <f ca="1" t="shared" si="0"/>
        <v>14706.01</v>
      </c>
    </row>
    <row r="48" spans="1:9">
      <c r="A48">
        <v>39244.88</v>
      </c>
      <c r="B48">
        <v>508.97</v>
      </c>
      <c r="C48">
        <v>6345</v>
      </c>
      <c r="D48">
        <v>318.84</v>
      </c>
      <c r="E48">
        <v>2584.3</v>
      </c>
      <c r="F48">
        <v>5992.16</v>
      </c>
      <c r="G48">
        <v>5777</v>
      </c>
      <c r="H48">
        <v>3090.91</v>
      </c>
      <c r="I48">
        <f ca="1" t="shared" si="0"/>
        <v>14627.7</v>
      </c>
    </row>
    <row r="49" spans="1:9">
      <c r="A49">
        <v>39289.6</v>
      </c>
      <c r="B49">
        <v>509.75</v>
      </c>
      <c r="C49">
        <v>6365</v>
      </c>
      <c r="D49">
        <v>318.84</v>
      </c>
      <c r="E49">
        <v>2621.38</v>
      </c>
      <c r="F49">
        <v>5869.02</v>
      </c>
      <c r="G49">
        <v>5581</v>
      </c>
      <c r="H49">
        <v>3088.61</v>
      </c>
      <c r="I49">
        <f ca="1" t="shared" si="0"/>
        <v>14936</v>
      </c>
    </row>
    <row r="50" spans="1:9">
      <c r="A50">
        <v>39304.92</v>
      </c>
      <c r="B50">
        <v>510.44</v>
      </c>
      <c r="C50">
        <v>6365</v>
      </c>
      <c r="D50">
        <v>318.84</v>
      </c>
      <c r="E50">
        <v>2646.1</v>
      </c>
      <c r="F50">
        <v>5761.55</v>
      </c>
      <c r="G50">
        <v>5452</v>
      </c>
      <c r="H50">
        <v>3082.23</v>
      </c>
      <c r="I50">
        <f ca="1" t="shared" si="0"/>
        <v>15168.76</v>
      </c>
    </row>
    <row r="51" spans="1:9">
      <c r="A51">
        <v>39401.69</v>
      </c>
      <c r="B51">
        <v>510.38</v>
      </c>
      <c r="C51">
        <v>6365</v>
      </c>
      <c r="D51">
        <v>318.84</v>
      </c>
      <c r="E51">
        <v>2672.88</v>
      </c>
      <c r="F51">
        <v>5662.74</v>
      </c>
      <c r="G51">
        <v>5630</v>
      </c>
      <c r="H51">
        <v>3085.23</v>
      </c>
      <c r="I51">
        <f ca="1" t="shared" si="0"/>
        <v>15156.62</v>
      </c>
    </row>
    <row r="52" spans="1:9">
      <c r="A52">
        <v>39546.85</v>
      </c>
      <c r="B52">
        <v>510.08</v>
      </c>
      <c r="C52">
        <v>6365</v>
      </c>
      <c r="D52">
        <v>318.84</v>
      </c>
      <c r="E52">
        <v>2697.61</v>
      </c>
      <c r="F52">
        <v>5503.7</v>
      </c>
      <c r="G52">
        <v>5812</v>
      </c>
      <c r="H52">
        <v>3083.62</v>
      </c>
      <c r="I52">
        <f ca="1" t="shared" si="0"/>
        <v>15256</v>
      </c>
    </row>
    <row r="53" spans="1:9">
      <c r="A53">
        <v>39595.24</v>
      </c>
      <c r="B53">
        <v>509.61</v>
      </c>
      <c r="C53">
        <v>6365</v>
      </c>
      <c r="D53">
        <v>320.02</v>
      </c>
      <c r="E53">
        <v>2718.2</v>
      </c>
      <c r="F53">
        <v>5329.97</v>
      </c>
      <c r="G53">
        <v>6005</v>
      </c>
      <c r="H53">
        <v>3098.82</v>
      </c>
      <c r="I53">
        <f ca="1" t="shared" si="0"/>
        <v>15248.62</v>
      </c>
    </row>
    <row r="54" spans="1:9">
      <c r="A54">
        <v>39837.18</v>
      </c>
      <c r="B54">
        <v>509.82</v>
      </c>
      <c r="C54">
        <v>6365</v>
      </c>
      <c r="D54">
        <v>309.54</v>
      </c>
      <c r="E54">
        <v>2731.6</v>
      </c>
      <c r="F54">
        <v>5125.56</v>
      </c>
      <c r="G54">
        <v>6076</v>
      </c>
      <c r="H54">
        <v>3089.3</v>
      </c>
      <c r="I54">
        <f ca="1" t="shared" si="0"/>
        <v>15630.36</v>
      </c>
    </row>
    <row r="55" spans="1:9">
      <c r="A55">
        <v>39982.34</v>
      </c>
      <c r="B55">
        <v>509.8</v>
      </c>
      <c r="C55">
        <v>6365</v>
      </c>
      <c r="D55">
        <v>309.54</v>
      </c>
      <c r="E55">
        <v>2726.44</v>
      </c>
      <c r="F55">
        <v>4875.76</v>
      </c>
      <c r="G55">
        <v>6112</v>
      </c>
      <c r="H55">
        <v>3083.25</v>
      </c>
      <c r="I55">
        <f ca="1" t="shared" si="0"/>
        <v>16000.55</v>
      </c>
    </row>
    <row r="56" spans="1:9">
      <c r="A56">
        <v>39837.18</v>
      </c>
      <c r="B56">
        <v>509.83</v>
      </c>
      <c r="C56">
        <v>6365</v>
      </c>
      <c r="D56">
        <v>309.54</v>
      </c>
      <c r="E56">
        <v>2694.51</v>
      </c>
      <c r="F56">
        <v>4611.18</v>
      </c>
      <c r="G56">
        <v>6461</v>
      </c>
      <c r="H56">
        <v>3091.75</v>
      </c>
      <c r="I56">
        <f ca="1" t="shared" si="0"/>
        <v>15794.37</v>
      </c>
    </row>
    <row r="57" spans="1:9">
      <c r="A57">
        <v>40030.73</v>
      </c>
      <c r="B57">
        <v>509.89</v>
      </c>
      <c r="C57">
        <v>6365</v>
      </c>
      <c r="D57">
        <v>309.54</v>
      </c>
      <c r="E57">
        <v>2667.73</v>
      </c>
      <c r="F57">
        <v>4306.97</v>
      </c>
      <c r="G57">
        <v>6810</v>
      </c>
      <c r="H57">
        <v>3100.31</v>
      </c>
      <c r="I57">
        <f ca="1" t="shared" si="0"/>
        <v>15961.29</v>
      </c>
    </row>
    <row r="58" spans="1:9">
      <c r="A58">
        <v>40129.95</v>
      </c>
      <c r="B58">
        <v>509.77</v>
      </c>
      <c r="C58">
        <v>6365</v>
      </c>
      <c r="D58">
        <v>309.54</v>
      </c>
      <c r="E58">
        <v>2620.34</v>
      </c>
      <c r="F58">
        <v>3988.35</v>
      </c>
      <c r="G58">
        <v>7171</v>
      </c>
      <c r="H58">
        <v>3093.04</v>
      </c>
      <c r="I58">
        <f ca="1" t="shared" si="0"/>
        <v>16072.91</v>
      </c>
    </row>
    <row r="59" spans="1:9">
      <c r="A59">
        <v>39760.61</v>
      </c>
      <c r="B59">
        <v>509.43</v>
      </c>
      <c r="C59">
        <v>6365</v>
      </c>
      <c r="D59">
        <v>309.54</v>
      </c>
      <c r="E59">
        <v>2569.88</v>
      </c>
      <c r="F59">
        <v>3661.23</v>
      </c>
      <c r="G59">
        <v>7513</v>
      </c>
      <c r="H59">
        <v>3093.14</v>
      </c>
      <c r="I59">
        <f ca="1" t="shared" si="0"/>
        <v>15739.39</v>
      </c>
    </row>
    <row r="60" spans="1:9">
      <c r="A60">
        <v>39905.77</v>
      </c>
      <c r="B60">
        <v>509.35</v>
      </c>
      <c r="C60">
        <v>6365</v>
      </c>
      <c r="D60">
        <v>310.52</v>
      </c>
      <c r="E60">
        <v>2517.36</v>
      </c>
      <c r="F60">
        <v>3338.37</v>
      </c>
      <c r="G60">
        <v>7828</v>
      </c>
      <c r="H60">
        <v>3092.61</v>
      </c>
      <c r="I60">
        <f ca="1" t="shared" si="0"/>
        <v>15944.56</v>
      </c>
    </row>
    <row r="61" spans="1:9">
      <c r="A61">
        <v>40002.55</v>
      </c>
      <c r="B61">
        <v>509.32</v>
      </c>
      <c r="C61">
        <v>6365</v>
      </c>
      <c r="D61">
        <v>310.52</v>
      </c>
      <c r="E61">
        <v>2464.81</v>
      </c>
      <c r="F61">
        <v>3031.75</v>
      </c>
      <c r="G61">
        <v>8143</v>
      </c>
      <c r="H61">
        <v>3085.89</v>
      </c>
      <c r="I61">
        <f ca="1" t="shared" si="0"/>
        <v>16092.26</v>
      </c>
    </row>
    <row r="62" spans="1:9">
      <c r="A62">
        <v>40171.6</v>
      </c>
      <c r="B62">
        <v>509.41</v>
      </c>
      <c r="C62">
        <v>6365</v>
      </c>
      <c r="D62">
        <v>310.52</v>
      </c>
      <c r="E62">
        <v>2423.63</v>
      </c>
      <c r="F62">
        <v>2754.6</v>
      </c>
      <c r="G62">
        <v>8169</v>
      </c>
      <c r="H62">
        <v>3092.23</v>
      </c>
      <c r="I62">
        <f ca="1" t="shared" si="0"/>
        <v>16547.21</v>
      </c>
    </row>
    <row r="63" spans="1:9">
      <c r="A63">
        <v>40235.3</v>
      </c>
      <c r="B63">
        <v>509.41</v>
      </c>
      <c r="C63">
        <v>6365</v>
      </c>
      <c r="D63">
        <v>310.52</v>
      </c>
      <c r="E63">
        <v>2381.4</v>
      </c>
      <c r="F63">
        <v>2461.66</v>
      </c>
      <c r="G63">
        <v>8455</v>
      </c>
      <c r="H63">
        <v>3089.89</v>
      </c>
      <c r="I63">
        <f ca="1" t="shared" si="0"/>
        <v>16662.42</v>
      </c>
    </row>
    <row r="64" spans="1:9">
      <c r="A64">
        <v>40007.45</v>
      </c>
      <c r="B64">
        <v>509.46</v>
      </c>
      <c r="C64">
        <v>6365</v>
      </c>
      <c r="D64">
        <v>310.52</v>
      </c>
      <c r="E64">
        <v>2330.92</v>
      </c>
      <c r="F64">
        <v>2179.54</v>
      </c>
      <c r="G64">
        <v>8767</v>
      </c>
      <c r="H64">
        <v>3096.36</v>
      </c>
      <c r="I64">
        <f ca="1" t="shared" si="0"/>
        <v>16448.65</v>
      </c>
    </row>
    <row r="65" spans="1:9">
      <c r="A65">
        <v>39920.47</v>
      </c>
      <c r="B65">
        <v>510.3</v>
      </c>
      <c r="C65">
        <v>6365</v>
      </c>
      <c r="D65">
        <v>310.52</v>
      </c>
      <c r="E65">
        <v>2300.03</v>
      </c>
      <c r="F65">
        <v>1904.52</v>
      </c>
      <c r="G65">
        <v>9285</v>
      </c>
      <c r="H65">
        <v>3098.86</v>
      </c>
      <c r="I65">
        <f ca="1" t="shared" si="0"/>
        <v>16146.24</v>
      </c>
    </row>
    <row r="66" spans="1:9">
      <c r="A66">
        <v>39967.02</v>
      </c>
      <c r="B66">
        <v>511.66</v>
      </c>
      <c r="C66">
        <v>6365</v>
      </c>
      <c r="D66">
        <v>310.52</v>
      </c>
      <c r="E66">
        <v>2296.92</v>
      </c>
      <c r="F66">
        <v>1635.68</v>
      </c>
      <c r="G66">
        <v>9673</v>
      </c>
      <c r="H66">
        <v>3080.58</v>
      </c>
      <c r="I66">
        <f ca="1" t="shared" si="0"/>
        <v>16093.66</v>
      </c>
    </row>
    <row r="67" spans="1:9">
      <c r="A67">
        <v>39838.4</v>
      </c>
      <c r="B67">
        <v>511.76</v>
      </c>
      <c r="C67">
        <v>6365</v>
      </c>
      <c r="D67">
        <v>310.52</v>
      </c>
      <c r="E67">
        <v>2301.05</v>
      </c>
      <c r="F67">
        <v>1360.9</v>
      </c>
      <c r="G67">
        <v>9876</v>
      </c>
      <c r="H67">
        <v>3093.27</v>
      </c>
      <c r="I67">
        <f ca="1" t="shared" ref="I67:I130" si="1">A67-B67-C67-D67-E67-F67-G67-H67</f>
        <v>16019.9</v>
      </c>
    </row>
    <row r="68" spans="1:9">
      <c r="A68">
        <v>39572.57</v>
      </c>
      <c r="B68">
        <v>511.53</v>
      </c>
      <c r="C68">
        <v>6365</v>
      </c>
      <c r="D68">
        <v>310.52</v>
      </c>
      <c r="E68">
        <v>2317.54</v>
      </c>
      <c r="F68">
        <v>1105.33</v>
      </c>
      <c r="G68">
        <v>9921</v>
      </c>
      <c r="H68">
        <v>3085.4</v>
      </c>
      <c r="I68">
        <f ca="1" t="shared" si="1"/>
        <v>15956.25</v>
      </c>
    </row>
    <row r="69" spans="1:9">
      <c r="A69">
        <v>38982.12</v>
      </c>
      <c r="B69">
        <v>511.53</v>
      </c>
      <c r="C69">
        <v>6365</v>
      </c>
      <c r="D69">
        <v>310.52</v>
      </c>
      <c r="E69">
        <v>2335.05</v>
      </c>
      <c r="F69">
        <v>872.76</v>
      </c>
      <c r="G69">
        <v>9784</v>
      </c>
      <c r="H69">
        <v>3073.07</v>
      </c>
      <c r="I69">
        <f ca="1" t="shared" si="1"/>
        <v>15730.19</v>
      </c>
    </row>
    <row r="70" spans="1:9">
      <c r="A70">
        <v>38492.12</v>
      </c>
      <c r="B70">
        <v>512.41</v>
      </c>
      <c r="C70">
        <v>6365</v>
      </c>
      <c r="D70">
        <v>300.05</v>
      </c>
      <c r="E70">
        <v>2350.49</v>
      </c>
      <c r="F70">
        <v>659.75</v>
      </c>
      <c r="G70">
        <v>9650</v>
      </c>
      <c r="H70">
        <v>3073.09</v>
      </c>
      <c r="I70">
        <f ca="1" t="shared" si="1"/>
        <v>15581.33</v>
      </c>
    </row>
    <row r="71" spans="1:9">
      <c r="A71">
        <v>38476.2</v>
      </c>
      <c r="B71">
        <v>512.49</v>
      </c>
      <c r="C71">
        <v>6365</v>
      </c>
      <c r="D71">
        <v>300.05</v>
      </c>
      <c r="E71">
        <v>2375.21</v>
      </c>
      <c r="F71">
        <v>481.01</v>
      </c>
      <c r="G71">
        <v>9471</v>
      </c>
      <c r="H71">
        <v>3074.04</v>
      </c>
      <c r="I71">
        <f ca="1" t="shared" si="1"/>
        <v>15897.4</v>
      </c>
    </row>
    <row r="72" spans="1:9">
      <c r="A72">
        <v>38247.12</v>
      </c>
      <c r="B72">
        <v>513.92</v>
      </c>
      <c r="C72">
        <v>6365</v>
      </c>
      <c r="D72">
        <v>300.05</v>
      </c>
      <c r="E72">
        <v>2390.67</v>
      </c>
      <c r="F72">
        <v>326.34</v>
      </c>
      <c r="G72">
        <v>9293</v>
      </c>
      <c r="H72">
        <v>3073.36</v>
      </c>
      <c r="I72">
        <f ca="1" t="shared" si="1"/>
        <v>15984.78</v>
      </c>
    </row>
    <row r="73" spans="1:9">
      <c r="A73">
        <v>38198.12</v>
      </c>
      <c r="B73">
        <v>516.4</v>
      </c>
      <c r="C73">
        <v>6365</v>
      </c>
      <c r="D73">
        <v>300.05</v>
      </c>
      <c r="E73">
        <v>2412.28</v>
      </c>
      <c r="F73">
        <v>193.1</v>
      </c>
      <c r="G73">
        <v>9116</v>
      </c>
      <c r="H73">
        <v>3085.71</v>
      </c>
      <c r="I73">
        <f ca="1" t="shared" si="1"/>
        <v>16209.58</v>
      </c>
    </row>
    <row r="74" spans="1:9">
      <c r="A74">
        <v>38035.2</v>
      </c>
      <c r="B74">
        <v>516.32</v>
      </c>
      <c r="C74">
        <v>6365</v>
      </c>
      <c r="D74">
        <v>300.05</v>
      </c>
      <c r="E74">
        <v>2438.04</v>
      </c>
      <c r="F74">
        <v>92.55</v>
      </c>
      <c r="G74">
        <v>8942</v>
      </c>
      <c r="H74">
        <v>3083.3</v>
      </c>
      <c r="I74">
        <f ca="1" t="shared" si="1"/>
        <v>16297.94</v>
      </c>
    </row>
    <row r="75" spans="1:9">
      <c r="A75">
        <v>37965.37</v>
      </c>
      <c r="B75">
        <v>514.91</v>
      </c>
      <c r="C75">
        <v>6365</v>
      </c>
      <c r="D75">
        <v>300.05</v>
      </c>
      <c r="E75">
        <v>2460.69</v>
      </c>
      <c r="F75">
        <v>38.92</v>
      </c>
      <c r="G75">
        <v>8676</v>
      </c>
      <c r="H75">
        <v>3073.95</v>
      </c>
      <c r="I75">
        <f ca="1" t="shared" si="1"/>
        <v>16535.85</v>
      </c>
    </row>
    <row r="76" spans="1:9">
      <c r="A76">
        <v>38094</v>
      </c>
      <c r="B76">
        <v>515.73</v>
      </c>
      <c r="C76">
        <v>6365</v>
      </c>
      <c r="D76">
        <v>299.07</v>
      </c>
      <c r="E76">
        <v>2480.28</v>
      </c>
      <c r="F76">
        <v>5.95</v>
      </c>
      <c r="G76">
        <v>8413</v>
      </c>
      <c r="H76">
        <v>3072.72</v>
      </c>
      <c r="I76">
        <f ca="1" t="shared" si="1"/>
        <v>16942.25</v>
      </c>
    </row>
    <row r="77" spans="1:9">
      <c r="A77">
        <v>38245.9</v>
      </c>
      <c r="B77">
        <v>515.76</v>
      </c>
      <c r="C77">
        <v>6365</v>
      </c>
      <c r="D77">
        <v>299.07</v>
      </c>
      <c r="E77">
        <v>2537.94</v>
      </c>
      <c r="F77">
        <v>0</v>
      </c>
      <c r="G77">
        <v>8148</v>
      </c>
      <c r="H77">
        <v>3089.04</v>
      </c>
      <c r="I77">
        <f ca="1" t="shared" si="1"/>
        <v>17291.09</v>
      </c>
    </row>
    <row r="78" spans="1:9">
      <c r="A78">
        <v>38493.35</v>
      </c>
      <c r="B78">
        <v>515.53</v>
      </c>
      <c r="C78">
        <v>6365</v>
      </c>
      <c r="D78">
        <v>309.54</v>
      </c>
      <c r="E78">
        <v>2569.9</v>
      </c>
      <c r="F78">
        <v>0</v>
      </c>
      <c r="G78">
        <v>7883</v>
      </c>
      <c r="H78">
        <v>3096.36</v>
      </c>
      <c r="I78">
        <f ca="1" t="shared" si="1"/>
        <v>17754.02</v>
      </c>
    </row>
    <row r="79" spans="1:9">
      <c r="A79">
        <v>38530.1</v>
      </c>
      <c r="B79">
        <v>516.03</v>
      </c>
      <c r="C79">
        <v>6365</v>
      </c>
      <c r="D79">
        <v>309.54</v>
      </c>
      <c r="E79">
        <v>2600.78</v>
      </c>
      <c r="F79">
        <v>0</v>
      </c>
      <c r="G79">
        <v>7855</v>
      </c>
      <c r="H79">
        <v>3092.8</v>
      </c>
      <c r="I79">
        <f ca="1" t="shared" si="1"/>
        <v>17790.95</v>
      </c>
    </row>
    <row r="80" spans="1:9">
      <c r="A80">
        <v>38514.17</v>
      </c>
      <c r="B80">
        <v>518.97</v>
      </c>
      <c r="C80">
        <v>6365</v>
      </c>
      <c r="D80">
        <v>309.54</v>
      </c>
      <c r="E80">
        <v>2634.77</v>
      </c>
      <c r="F80">
        <v>0</v>
      </c>
      <c r="G80">
        <v>7828</v>
      </c>
      <c r="H80">
        <v>3085.03</v>
      </c>
      <c r="I80">
        <f ca="1" t="shared" si="1"/>
        <v>17772.86</v>
      </c>
    </row>
    <row r="81" spans="1:9">
      <c r="A81">
        <v>38169.95</v>
      </c>
      <c r="B81">
        <v>518.99</v>
      </c>
      <c r="C81">
        <v>6365</v>
      </c>
      <c r="D81">
        <v>309.54</v>
      </c>
      <c r="E81">
        <v>2657.42</v>
      </c>
      <c r="F81">
        <v>0</v>
      </c>
      <c r="G81">
        <v>7800</v>
      </c>
      <c r="H81">
        <v>3089.77</v>
      </c>
      <c r="I81">
        <f ca="1" t="shared" si="1"/>
        <v>17429.23</v>
      </c>
    </row>
    <row r="82" spans="1:9">
      <c r="A82">
        <v>37798.77</v>
      </c>
      <c r="B82">
        <v>520.19</v>
      </c>
      <c r="C82">
        <v>6365</v>
      </c>
      <c r="D82">
        <v>322.89</v>
      </c>
      <c r="E82">
        <v>2678.02</v>
      </c>
      <c r="F82">
        <v>0</v>
      </c>
      <c r="G82">
        <v>7775</v>
      </c>
      <c r="H82">
        <v>3079.61</v>
      </c>
      <c r="I82">
        <f ca="1" t="shared" si="1"/>
        <v>17058.06</v>
      </c>
    </row>
    <row r="83" spans="1:9">
      <c r="A83">
        <v>37615.02</v>
      </c>
      <c r="B83">
        <v>520.17</v>
      </c>
      <c r="C83">
        <v>6365</v>
      </c>
      <c r="D83">
        <v>322.89</v>
      </c>
      <c r="E83">
        <v>2674.95</v>
      </c>
      <c r="F83">
        <v>0</v>
      </c>
      <c r="G83">
        <v>7520</v>
      </c>
      <c r="H83">
        <v>3096.29</v>
      </c>
      <c r="I83">
        <f ca="1" t="shared" si="1"/>
        <v>17115.72</v>
      </c>
    </row>
    <row r="84" spans="1:9">
      <c r="A84">
        <v>37094.4</v>
      </c>
      <c r="B84">
        <v>520.11</v>
      </c>
      <c r="C84">
        <v>6365</v>
      </c>
      <c r="D84">
        <v>322.89</v>
      </c>
      <c r="E84">
        <v>2677</v>
      </c>
      <c r="F84">
        <v>0</v>
      </c>
      <c r="G84">
        <v>7267</v>
      </c>
      <c r="H84">
        <v>3086.31</v>
      </c>
      <c r="I84">
        <f ca="1" t="shared" si="1"/>
        <v>16856.09</v>
      </c>
    </row>
    <row r="85" spans="1:9">
      <c r="A85">
        <v>36617.87</v>
      </c>
      <c r="B85">
        <v>520.25</v>
      </c>
      <c r="C85">
        <v>6365</v>
      </c>
      <c r="D85">
        <v>322.89</v>
      </c>
      <c r="E85">
        <v>2676.99</v>
      </c>
      <c r="F85">
        <v>0</v>
      </c>
      <c r="G85">
        <v>7013</v>
      </c>
      <c r="H85">
        <v>3086.22</v>
      </c>
      <c r="I85">
        <f ca="1" t="shared" si="1"/>
        <v>16633.52</v>
      </c>
    </row>
    <row r="86" spans="1:9">
      <c r="A86">
        <v>36230.77</v>
      </c>
      <c r="B86">
        <v>520.26</v>
      </c>
      <c r="C86">
        <v>6365</v>
      </c>
      <c r="D86">
        <v>322.89</v>
      </c>
      <c r="E86">
        <v>2667.75</v>
      </c>
      <c r="F86">
        <v>0</v>
      </c>
      <c r="G86">
        <v>6507</v>
      </c>
      <c r="H86">
        <v>3072.35</v>
      </c>
      <c r="I86">
        <f ca="1" t="shared" si="1"/>
        <v>16775.52</v>
      </c>
    </row>
    <row r="87" spans="1:9">
      <c r="A87">
        <v>35737.1</v>
      </c>
      <c r="B87">
        <v>520.27</v>
      </c>
      <c r="C87">
        <v>6365</v>
      </c>
      <c r="D87">
        <v>322.89</v>
      </c>
      <c r="E87">
        <v>2660.52</v>
      </c>
      <c r="F87">
        <v>0</v>
      </c>
      <c r="G87">
        <v>6559</v>
      </c>
      <c r="H87">
        <v>3066.6</v>
      </c>
      <c r="I87">
        <f ca="1" t="shared" si="1"/>
        <v>16242.82</v>
      </c>
    </row>
    <row r="88" spans="1:9">
      <c r="A88">
        <v>35236.07</v>
      </c>
      <c r="B88">
        <v>520.28</v>
      </c>
      <c r="C88">
        <v>6365</v>
      </c>
      <c r="D88">
        <v>322.89</v>
      </c>
      <c r="E88">
        <v>2654.36</v>
      </c>
      <c r="F88">
        <v>0</v>
      </c>
      <c r="G88">
        <v>6612</v>
      </c>
      <c r="H88">
        <v>3059.25</v>
      </c>
      <c r="I88">
        <f ca="1" t="shared" si="1"/>
        <v>15702.29</v>
      </c>
    </row>
    <row r="89" spans="1:9">
      <c r="A89">
        <v>34655.42</v>
      </c>
      <c r="B89">
        <v>519.13</v>
      </c>
      <c r="C89">
        <v>6365</v>
      </c>
      <c r="D89">
        <v>322.89</v>
      </c>
      <c r="E89">
        <v>2648.17</v>
      </c>
      <c r="F89">
        <v>0</v>
      </c>
      <c r="G89">
        <v>6663</v>
      </c>
      <c r="H89">
        <v>3058.84</v>
      </c>
      <c r="I89">
        <f ca="1" t="shared" si="1"/>
        <v>15078.39</v>
      </c>
    </row>
    <row r="90" spans="1:9">
      <c r="A90">
        <v>34639.5</v>
      </c>
      <c r="B90">
        <v>519.11</v>
      </c>
      <c r="C90">
        <v>6365</v>
      </c>
      <c r="D90">
        <v>310.52</v>
      </c>
      <c r="E90">
        <v>2644.04</v>
      </c>
      <c r="F90">
        <v>0</v>
      </c>
      <c r="G90">
        <v>7106</v>
      </c>
      <c r="H90">
        <v>3067.21</v>
      </c>
      <c r="I90">
        <f ca="1" t="shared" si="1"/>
        <v>14627.62</v>
      </c>
    </row>
    <row r="91" spans="1:9">
      <c r="A91">
        <v>34041.7</v>
      </c>
      <c r="B91">
        <v>516.09</v>
      </c>
      <c r="C91">
        <v>6365</v>
      </c>
      <c r="D91">
        <v>310.52</v>
      </c>
      <c r="E91">
        <v>2647.14</v>
      </c>
      <c r="F91">
        <v>0</v>
      </c>
      <c r="G91">
        <v>6512</v>
      </c>
      <c r="H91">
        <v>3065.87</v>
      </c>
      <c r="I91">
        <f ca="1" t="shared" si="1"/>
        <v>14625.08</v>
      </c>
    </row>
    <row r="92" spans="1:9">
      <c r="A92">
        <v>33451.25</v>
      </c>
      <c r="B92">
        <v>514.49</v>
      </c>
      <c r="C92">
        <v>6365</v>
      </c>
      <c r="D92">
        <v>310.52</v>
      </c>
      <c r="E92">
        <v>2653.31</v>
      </c>
      <c r="F92">
        <v>0</v>
      </c>
      <c r="G92">
        <v>5919</v>
      </c>
      <c r="H92">
        <v>3072.03</v>
      </c>
      <c r="I92">
        <f ca="1" t="shared" si="1"/>
        <v>14616.9</v>
      </c>
    </row>
    <row r="93" spans="1:9">
      <c r="A93">
        <v>32797.1</v>
      </c>
      <c r="B93">
        <v>514.39</v>
      </c>
      <c r="C93">
        <v>6365</v>
      </c>
      <c r="D93">
        <v>310.52</v>
      </c>
      <c r="E93">
        <v>2657.45</v>
      </c>
      <c r="F93">
        <v>0</v>
      </c>
      <c r="G93">
        <v>5143</v>
      </c>
      <c r="H93">
        <v>3074.28</v>
      </c>
      <c r="I93">
        <f ca="1" t="shared" si="1"/>
        <v>14732.46</v>
      </c>
    </row>
    <row r="94" spans="1:9">
      <c r="A94">
        <v>32270.35</v>
      </c>
      <c r="B94">
        <v>514.39</v>
      </c>
      <c r="C94">
        <v>6365</v>
      </c>
      <c r="D94">
        <v>310.52</v>
      </c>
      <c r="E94">
        <v>2661.55</v>
      </c>
      <c r="F94">
        <v>0</v>
      </c>
      <c r="G94">
        <v>4488</v>
      </c>
      <c r="H94">
        <v>3054.57</v>
      </c>
      <c r="I94">
        <f ca="1" t="shared" si="1"/>
        <v>14876.32</v>
      </c>
    </row>
    <row r="95" spans="1:9">
      <c r="A95">
        <v>31858.75</v>
      </c>
      <c r="B95">
        <v>514.44</v>
      </c>
      <c r="C95">
        <v>6365</v>
      </c>
      <c r="D95">
        <v>310.52</v>
      </c>
      <c r="E95">
        <v>2669.8</v>
      </c>
      <c r="F95">
        <v>0</v>
      </c>
      <c r="G95">
        <v>4144</v>
      </c>
      <c r="H95">
        <v>3060.59</v>
      </c>
      <c r="I95">
        <f ca="1" t="shared" si="1"/>
        <v>14794.4</v>
      </c>
    </row>
    <row r="96" spans="1:9">
      <c r="A96">
        <v>31313.62</v>
      </c>
      <c r="B96">
        <v>514.55</v>
      </c>
      <c r="C96">
        <v>6365</v>
      </c>
      <c r="D96">
        <v>309.54</v>
      </c>
      <c r="E96">
        <v>2680.1</v>
      </c>
      <c r="F96">
        <v>0</v>
      </c>
      <c r="G96">
        <v>3568</v>
      </c>
      <c r="H96">
        <v>3051.08</v>
      </c>
      <c r="I96">
        <f ca="1" t="shared" si="1"/>
        <v>14825.35</v>
      </c>
    </row>
    <row r="97" spans="1:9">
      <c r="A97">
        <v>30811.37</v>
      </c>
      <c r="B97">
        <v>514.45</v>
      </c>
      <c r="C97">
        <v>6365</v>
      </c>
      <c r="D97">
        <v>309.54</v>
      </c>
      <c r="E97">
        <v>2685.24</v>
      </c>
      <c r="F97">
        <v>0</v>
      </c>
      <c r="G97">
        <v>3198</v>
      </c>
      <c r="H97">
        <v>3051.72</v>
      </c>
      <c r="I97">
        <f ca="1" t="shared" si="1"/>
        <v>14687.42</v>
      </c>
    </row>
    <row r="98" spans="1:9">
      <c r="A98">
        <v>29878.59</v>
      </c>
      <c r="B98">
        <v>534.71</v>
      </c>
      <c r="C98">
        <v>6361</v>
      </c>
      <c r="D98">
        <v>309.54</v>
      </c>
      <c r="E98">
        <v>2096.1</v>
      </c>
      <c r="F98">
        <v>0</v>
      </c>
      <c r="G98">
        <v>2825</v>
      </c>
      <c r="H98">
        <v>3048.11</v>
      </c>
      <c r="I98">
        <f ca="1" t="shared" si="1"/>
        <v>14704.13</v>
      </c>
    </row>
    <row r="99" spans="1:9">
      <c r="A99">
        <v>29696.31</v>
      </c>
      <c r="B99">
        <v>541.14</v>
      </c>
      <c r="C99">
        <v>6361</v>
      </c>
      <c r="D99">
        <v>309.54</v>
      </c>
      <c r="E99">
        <v>2048.72</v>
      </c>
      <c r="F99">
        <v>0</v>
      </c>
      <c r="G99">
        <v>2446</v>
      </c>
      <c r="H99">
        <v>3049.26</v>
      </c>
      <c r="I99">
        <f ca="1" t="shared" si="1"/>
        <v>14940.65</v>
      </c>
    </row>
    <row r="100" spans="1:9">
      <c r="A100">
        <v>29425.06</v>
      </c>
      <c r="B100">
        <v>544.86</v>
      </c>
      <c r="C100">
        <v>6361</v>
      </c>
      <c r="D100">
        <v>309.54</v>
      </c>
      <c r="E100">
        <v>2009.58</v>
      </c>
      <c r="F100">
        <v>0</v>
      </c>
      <c r="G100">
        <v>2090</v>
      </c>
      <c r="H100">
        <v>3047.67</v>
      </c>
      <c r="I100">
        <f ca="1" t="shared" si="1"/>
        <v>15062.41</v>
      </c>
    </row>
    <row r="101" spans="1:9">
      <c r="A101">
        <v>29174.42</v>
      </c>
      <c r="B101">
        <v>544.89</v>
      </c>
      <c r="C101">
        <v>6361</v>
      </c>
      <c r="D101">
        <v>309.54</v>
      </c>
      <c r="E101">
        <v>1964.24</v>
      </c>
      <c r="F101">
        <v>0</v>
      </c>
      <c r="G101">
        <v>1737</v>
      </c>
      <c r="H101">
        <v>3050.24</v>
      </c>
      <c r="I101">
        <f ca="1" t="shared" si="1"/>
        <v>15207.51</v>
      </c>
    </row>
    <row r="102" spans="1:9">
      <c r="A102">
        <v>29026.86</v>
      </c>
      <c r="B102">
        <v>546.14</v>
      </c>
      <c r="C102">
        <v>6361</v>
      </c>
      <c r="D102">
        <v>299.07</v>
      </c>
      <c r="E102">
        <v>1931.3</v>
      </c>
      <c r="F102">
        <v>0</v>
      </c>
      <c r="G102">
        <v>1443</v>
      </c>
      <c r="H102">
        <v>3051.61</v>
      </c>
      <c r="I102">
        <f ca="1" t="shared" si="1"/>
        <v>15394.74</v>
      </c>
    </row>
    <row r="103" spans="1:9">
      <c r="A103">
        <v>28748.02</v>
      </c>
      <c r="B103">
        <v>546.95</v>
      </c>
      <c r="C103">
        <v>6361</v>
      </c>
      <c r="D103">
        <v>299.07</v>
      </c>
      <c r="E103">
        <v>1903.48</v>
      </c>
      <c r="F103">
        <v>0</v>
      </c>
      <c r="G103">
        <v>1076</v>
      </c>
      <c r="H103">
        <v>3049.77</v>
      </c>
      <c r="I103">
        <f ca="1" t="shared" si="1"/>
        <v>15511.75</v>
      </c>
    </row>
    <row r="104" spans="1:9">
      <c r="A104">
        <v>28674.24</v>
      </c>
      <c r="B104">
        <v>544.74</v>
      </c>
      <c r="C104">
        <v>6361</v>
      </c>
      <c r="D104">
        <v>299.07</v>
      </c>
      <c r="E104">
        <v>1878.77</v>
      </c>
      <c r="F104">
        <v>0</v>
      </c>
      <c r="G104">
        <v>887</v>
      </c>
      <c r="H104">
        <v>3060.06</v>
      </c>
      <c r="I104">
        <f ca="1" t="shared" si="1"/>
        <v>15643.6</v>
      </c>
    </row>
    <row r="105" spans="1:9">
      <c r="A105">
        <v>28349.82</v>
      </c>
      <c r="B105">
        <v>545.41</v>
      </c>
      <c r="C105">
        <v>6361</v>
      </c>
      <c r="D105">
        <v>299.07</v>
      </c>
      <c r="E105">
        <v>1860.24</v>
      </c>
      <c r="F105">
        <v>0</v>
      </c>
      <c r="G105">
        <v>855</v>
      </c>
      <c r="H105">
        <v>3067.49</v>
      </c>
      <c r="I105">
        <f ca="1" t="shared" si="1"/>
        <v>15361.61</v>
      </c>
    </row>
    <row r="106" spans="1:9">
      <c r="A106">
        <v>28241.32</v>
      </c>
      <c r="B106">
        <v>546.39</v>
      </c>
      <c r="C106">
        <v>6361</v>
      </c>
      <c r="D106">
        <v>299.07</v>
      </c>
      <c r="E106">
        <v>1840.65</v>
      </c>
      <c r="F106">
        <v>0</v>
      </c>
      <c r="G106">
        <v>748</v>
      </c>
      <c r="H106">
        <v>3078.81</v>
      </c>
      <c r="I106">
        <f ca="1" t="shared" si="1"/>
        <v>15367.4</v>
      </c>
    </row>
    <row r="107" spans="1:9">
      <c r="A107">
        <v>28069.89</v>
      </c>
      <c r="B107">
        <v>544.73</v>
      </c>
      <c r="C107">
        <v>6361</v>
      </c>
      <c r="D107">
        <v>299.07</v>
      </c>
      <c r="E107">
        <v>1838.59</v>
      </c>
      <c r="F107">
        <v>0</v>
      </c>
      <c r="G107">
        <v>724</v>
      </c>
      <c r="H107">
        <v>3079.09</v>
      </c>
      <c r="I107">
        <f ca="1" t="shared" si="1"/>
        <v>15223.41</v>
      </c>
    </row>
    <row r="108" spans="1:9">
      <c r="A108">
        <v>28052.53</v>
      </c>
      <c r="B108">
        <v>544.9</v>
      </c>
      <c r="C108">
        <v>6361</v>
      </c>
      <c r="D108">
        <v>299.07</v>
      </c>
      <c r="E108">
        <v>1836.54</v>
      </c>
      <c r="F108">
        <v>0</v>
      </c>
      <c r="G108">
        <v>700</v>
      </c>
      <c r="H108">
        <v>3072.6</v>
      </c>
      <c r="I108">
        <f ca="1" t="shared" si="1"/>
        <v>15238.42</v>
      </c>
    </row>
    <row r="109" spans="1:9">
      <c r="A109">
        <v>27824.68</v>
      </c>
      <c r="B109">
        <v>544.47</v>
      </c>
      <c r="C109">
        <v>6361</v>
      </c>
      <c r="D109">
        <v>299.07</v>
      </c>
      <c r="E109">
        <v>1839.63</v>
      </c>
      <c r="F109">
        <v>0</v>
      </c>
      <c r="G109">
        <v>676</v>
      </c>
      <c r="H109">
        <v>3074.2</v>
      </c>
      <c r="I109">
        <f ca="1" t="shared" si="1"/>
        <v>15030.31</v>
      </c>
    </row>
    <row r="110" spans="1:9">
      <c r="A110">
        <v>27808.41</v>
      </c>
      <c r="B110">
        <v>544.49</v>
      </c>
      <c r="C110">
        <v>6361</v>
      </c>
      <c r="D110">
        <v>310.52</v>
      </c>
      <c r="E110">
        <v>1875.66</v>
      </c>
      <c r="F110">
        <v>0</v>
      </c>
      <c r="G110">
        <v>626</v>
      </c>
      <c r="H110">
        <v>3071.9</v>
      </c>
      <c r="I110">
        <f ca="1" t="shared" si="1"/>
        <v>15018.84</v>
      </c>
    </row>
    <row r="111" spans="1:9">
      <c r="A111">
        <v>27771.52</v>
      </c>
      <c r="B111">
        <v>544.46</v>
      </c>
      <c r="C111">
        <v>6361</v>
      </c>
      <c r="D111">
        <v>310.52</v>
      </c>
      <c r="E111">
        <v>1945.72</v>
      </c>
      <c r="F111">
        <v>0</v>
      </c>
      <c r="G111">
        <v>624</v>
      </c>
      <c r="H111">
        <v>3080.25</v>
      </c>
      <c r="I111">
        <f ca="1" t="shared" si="1"/>
        <v>14905.57</v>
      </c>
    </row>
    <row r="112" spans="1:9">
      <c r="A112">
        <v>27650</v>
      </c>
      <c r="B112">
        <v>544.43</v>
      </c>
      <c r="C112">
        <v>6361</v>
      </c>
      <c r="D112">
        <v>310.52</v>
      </c>
      <c r="E112">
        <v>2020.9</v>
      </c>
      <c r="F112">
        <v>0</v>
      </c>
      <c r="G112">
        <v>622</v>
      </c>
      <c r="H112">
        <v>3083.34</v>
      </c>
      <c r="I112">
        <f ca="1" t="shared" si="1"/>
        <v>14707.81</v>
      </c>
    </row>
    <row r="113" spans="1:9">
      <c r="A113">
        <v>27676.04</v>
      </c>
      <c r="B113">
        <v>544.41</v>
      </c>
      <c r="C113">
        <v>6361</v>
      </c>
      <c r="D113">
        <v>310.52</v>
      </c>
      <c r="E113">
        <v>2101.25</v>
      </c>
      <c r="F113">
        <v>0</v>
      </c>
      <c r="G113">
        <v>620</v>
      </c>
      <c r="H113">
        <v>3081.06</v>
      </c>
      <c r="I113">
        <f ca="1" t="shared" si="1"/>
        <v>14657.8</v>
      </c>
    </row>
    <row r="114" spans="1:9">
      <c r="A114">
        <v>27796.47</v>
      </c>
      <c r="B114">
        <v>544.22</v>
      </c>
      <c r="C114">
        <v>6361</v>
      </c>
      <c r="D114">
        <v>310.52</v>
      </c>
      <c r="E114">
        <v>2190.86</v>
      </c>
      <c r="F114">
        <v>0</v>
      </c>
      <c r="G114">
        <v>467</v>
      </c>
      <c r="H114">
        <v>3088.23</v>
      </c>
      <c r="I114">
        <f ca="1" t="shared" si="1"/>
        <v>14834.64</v>
      </c>
    </row>
    <row r="115" spans="1:9">
      <c r="A115">
        <v>27737.88</v>
      </c>
      <c r="B115">
        <v>544.25</v>
      </c>
      <c r="C115">
        <v>6361</v>
      </c>
      <c r="D115">
        <v>310.52</v>
      </c>
      <c r="E115">
        <v>2290.77</v>
      </c>
      <c r="F115">
        <v>0</v>
      </c>
      <c r="G115">
        <v>528</v>
      </c>
      <c r="H115">
        <v>3092.16</v>
      </c>
      <c r="I115">
        <f ca="1" t="shared" si="1"/>
        <v>14611.18</v>
      </c>
    </row>
    <row r="116" spans="1:9">
      <c r="A116">
        <v>27861.57</v>
      </c>
      <c r="B116">
        <v>544.41</v>
      </c>
      <c r="C116">
        <v>6361</v>
      </c>
      <c r="D116">
        <v>310.52</v>
      </c>
      <c r="E116">
        <v>2390.68</v>
      </c>
      <c r="F116">
        <v>0</v>
      </c>
      <c r="G116">
        <v>745</v>
      </c>
      <c r="H116">
        <v>3103.49</v>
      </c>
      <c r="I116">
        <f ca="1" t="shared" si="1"/>
        <v>14406.47</v>
      </c>
    </row>
    <row r="117" spans="1:9">
      <c r="A117">
        <v>28090.51</v>
      </c>
      <c r="B117">
        <v>543.97</v>
      </c>
      <c r="C117">
        <v>6361</v>
      </c>
      <c r="D117">
        <v>310.52</v>
      </c>
      <c r="E117">
        <v>2481.33</v>
      </c>
      <c r="F117">
        <v>0</v>
      </c>
      <c r="G117">
        <v>1144</v>
      </c>
      <c r="H117">
        <v>3106.97</v>
      </c>
      <c r="I117">
        <f ca="1" t="shared" si="1"/>
        <v>14142.72</v>
      </c>
    </row>
    <row r="118" spans="1:9">
      <c r="A118">
        <v>28438.79</v>
      </c>
      <c r="B118">
        <v>543.72</v>
      </c>
      <c r="C118">
        <v>6361</v>
      </c>
      <c r="D118">
        <v>310.52</v>
      </c>
      <c r="E118">
        <v>2555.47</v>
      </c>
      <c r="F118">
        <v>8.44</v>
      </c>
      <c r="G118">
        <v>1484</v>
      </c>
      <c r="H118">
        <v>3104.26</v>
      </c>
      <c r="I118">
        <f ca="1" t="shared" si="1"/>
        <v>14071.38</v>
      </c>
    </row>
    <row r="119" spans="1:9">
      <c r="A119">
        <v>28898.83</v>
      </c>
      <c r="B119">
        <v>543.49</v>
      </c>
      <c r="C119">
        <v>6361</v>
      </c>
      <c r="D119">
        <v>310.52</v>
      </c>
      <c r="E119">
        <v>2612.12</v>
      </c>
      <c r="F119">
        <v>53.24</v>
      </c>
      <c r="G119">
        <v>1996</v>
      </c>
      <c r="H119">
        <v>3112.61</v>
      </c>
      <c r="I119">
        <f ca="1" t="shared" si="1"/>
        <v>13909.85</v>
      </c>
    </row>
    <row r="120" spans="1:9">
      <c r="A120">
        <v>29434.82</v>
      </c>
      <c r="B120">
        <v>543.73</v>
      </c>
      <c r="C120">
        <v>6361</v>
      </c>
      <c r="D120">
        <v>310.52</v>
      </c>
      <c r="E120">
        <v>2663.62</v>
      </c>
      <c r="F120">
        <v>137.01</v>
      </c>
      <c r="G120">
        <v>2505</v>
      </c>
      <c r="H120">
        <v>3127.13</v>
      </c>
      <c r="I120">
        <f ca="1" t="shared" si="1"/>
        <v>13786.81</v>
      </c>
    </row>
    <row r="121" spans="1:9">
      <c r="A121">
        <v>30031.57</v>
      </c>
      <c r="B121">
        <v>543.62</v>
      </c>
      <c r="C121">
        <v>6361</v>
      </c>
      <c r="D121">
        <v>310.52</v>
      </c>
      <c r="E121">
        <v>2709.98</v>
      </c>
      <c r="F121">
        <v>251.93</v>
      </c>
      <c r="G121">
        <v>3040</v>
      </c>
      <c r="H121">
        <v>3115.61</v>
      </c>
      <c r="I121">
        <f ca="1" t="shared" si="1"/>
        <v>13698.91</v>
      </c>
    </row>
    <row r="122" spans="1:9">
      <c r="A122">
        <v>30589.26</v>
      </c>
      <c r="B122">
        <v>543.73</v>
      </c>
      <c r="C122">
        <v>6361</v>
      </c>
      <c r="D122">
        <v>310.52</v>
      </c>
      <c r="E122">
        <v>2734.68</v>
      </c>
      <c r="F122">
        <v>428.08</v>
      </c>
      <c r="G122">
        <v>2750</v>
      </c>
      <c r="H122">
        <v>3120.91</v>
      </c>
      <c r="I122">
        <f ca="1" t="shared" si="1"/>
        <v>14340.34</v>
      </c>
    </row>
    <row r="123" spans="1:9">
      <c r="A123">
        <v>31037.37</v>
      </c>
      <c r="B123">
        <v>543.67</v>
      </c>
      <c r="C123">
        <v>6361</v>
      </c>
      <c r="D123">
        <v>310.52</v>
      </c>
      <c r="E123">
        <v>2731.61</v>
      </c>
      <c r="F123">
        <v>666.66</v>
      </c>
      <c r="G123">
        <v>3024</v>
      </c>
      <c r="H123">
        <v>3117.98</v>
      </c>
      <c r="I123">
        <f ca="1" t="shared" si="1"/>
        <v>14281.93</v>
      </c>
    </row>
    <row r="124" spans="1:9">
      <c r="A124">
        <v>31583.12</v>
      </c>
      <c r="B124">
        <v>543.72</v>
      </c>
      <c r="C124">
        <v>6361</v>
      </c>
      <c r="D124">
        <v>310.52</v>
      </c>
      <c r="E124">
        <v>2727.49</v>
      </c>
      <c r="F124">
        <v>964.84</v>
      </c>
      <c r="G124">
        <v>3297</v>
      </c>
      <c r="H124">
        <v>3107.47</v>
      </c>
      <c r="I124">
        <f ca="1" t="shared" si="1"/>
        <v>14271.08</v>
      </c>
    </row>
    <row r="125" spans="1:9">
      <c r="A125">
        <v>31816.4</v>
      </c>
      <c r="B125">
        <v>543.71</v>
      </c>
      <c r="C125">
        <v>6361</v>
      </c>
      <c r="D125">
        <v>310.52</v>
      </c>
      <c r="E125">
        <v>2725.43</v>
      </c>
      <c r="F125">
        <v>1318.27</v>
      </c>
      <c r="G125">
        <v>3571</v>
      </c>
      <c r="H125">
        <v>3090.69</v>
      </c>
      <c r="I125">
        <f ca="1" t="shared" si="1"/>
        <v>13895.78</v>
      </c>
    </row>
    <row r="126" spans="1:9">
      <c r="A126">
        <v>32460.89</v>
      </c>
      <c r="B126">
        <v>543.82</v>
      </c>
      <c r="C126">
        <v>6361</v>
      </c>
      <c r="D126">
        <v>309.54</v>
      </c>
      <c r="E126">
        <v>2685.26</v>
      </c>
      <c r="F126">
        <v>1734.65</v>
      </c>
      <c r="G126">
        <v>3845</v>
      </c>
      <c r="H126">
        <v>3090.26</v>
      </c>
      <c r="I126">
        <f ca="1" t="shared" si="1"/>
        <v>13891.36</v>
      </c>
    </row>
    <row r="127" spans="1:9">
      <c r="A127">
        <v>32924.18</v>
      </c>
      <c r="B127">
        <v>543.78</v>
      </c>
      <c r="C127">
        <v>6361</v>
      </c>
      <c r="D127">
        <v>309.54</v>
      </c>
      <c r="E127">
        <v>2596.67</v>
      </c>
      <c r="F127">
        <v>2141.04</v>
      </c>
      <c r="G127">
        <v>4115</v>
      </c>
      <c r="H127">
        <v>3093.51</v>
      </c>
      <c r="I127">
        <f ca="1" t="shared" si="1"/>
        <v>13763.64</v>
      </c>
    </row>
    <row r="128" spans="1:9">
      <c r="A128">
        <v>33395.07</v>
      </c>
      <c r="B128">
        <v>543.17</v>
      </c>
      <c r="C128">
        <v>6361</v>
      </c>
      <c r="D128">
        <v>309.54</v>
      </c>
      <c r="E128">
        <v>2525.61</v>
      </c>
      <c r="F128">
        <v>2586.34</v>
      </c>
      <c r="G128">
        <v>4386</v>
      </c>
      <c r="H128">
        <v>3097.79</v>
      </c>
      <c r="I128">
        <f ca="1" t="shared" si="1"/>
        <v>13585.62</v>
      </c>
    </row>
    <row r="129" spans="1:9">
      <c r="A129">
        <v>34067.77</v>
      </c>
      <c r="B129">
        <v>543.08</v>
      </c>
      <c r="C129">
        <v>6361</v>
      </c>
      <c r="D129">
        <v>309.54</v>
      </c>
      <c r="E129">
        <v>2455.57</v>
      </c>
      <c r="F129">
        <v>3028.89</v>
      </c>
      <c r="G129">
        <v>4657</v>
      </c>
      <c r="H129">
        <v>3098.6</v>
      </c>
      <c r="I129">
        <f ca="1" t="shared" si="1"/>
        <v>13614.09</v>
      </c>
    </row>
    <row r="130" spans="1:9">
      <c r="A130">
        <v>35080.08</v>
      </c>
      <c r="B130">
        <v>543.25</v>
      </c>
      <c r="C130">
        <v>6361</v>
      </c>
      <c r="D130">
        <v>309.54</v>
      </c>
      <c r="E130">
        <v>2400.99</v>
      </c>
      <c r="F130">
        <v>3486.89</v>
      </c>
      <c r="G130">
        <v>4939</v>
      </c>
      <c r="H130">
        <v>3076.1</v>
      </c>
      <c r="I130">
        <f ca="1" t="shared" si="1"/>
        <v>13963.31</v>
      </c>
    </row>
    <row r="131" spans="1:9">
      <c r="A131">
        <v>35672.49</v>
      </c>
      <c r="B131">
        <v>542.26</v>
      </c>
      <c r="C131">
        <v>6361</v>
      </c>
      <c r="D131">
        <v>309.54</v>
      </c>
      <c r="E131">
        <v>2358.75</v>
      </c>
      <c r="F131">
        <v>3942.56</v>
      </c>
      <c r="G131">
        <v>5399</v>
      </c>
      <c r="H131">
        <v>3065.09</v>
      </c>
      <c r="I131">
        <f ca="1" t="shared" ref="I131:I194" si="2">A131-B131-C131-D131-E131-F131-G131-H131</f>
        <v>13694.29</v>
      </c>
    </row>
    <row r="132" spans="1:9">
      <c r="A132">
        <v>36154.23</v>
      </c>
      <c r="B132">
        <v>503.48</v>
      </c>
      <c r="C132">
        <v>6361</v>
      </c>
      <c r="D132">
        <v>309.54</v>
      </c>
      <c r="E132">
        <v>2315.5</v>
      </c>
      <c r="F132">
        <v>4394.33</v>
      </c>
      <c r="G132">
        <v>5629</v>
      </c>
      <c r="H132">
        <v>3066.7</v>
      </c>
      <c r="I132">
        <f ca="1" t="shared" si="2"/>
        <v>13574.68</v>
      </c>
    </row>
    <row r="133" spans="1:9">
      <c r="A133">
        <v>36548.08</v>
      </c>
      <c r="B133">
        <v>503.4</v>
      </c>
      <c r="C133">
        <v>6361</v>
      </c>
      <c r="D133">
        <v>310.52</v>
      </c>
      <c r="E133">
        <v>2274.28</v>
      </c>
      <c r="F133">
        <v>4809.15</v>
      </c>
      <c r="G133">
        <v>5795</v>
      </c>
      <c r="H133">
        <v>3055.42</v>
      </c>
      <c r="I133">
        <f ca="1" t="shared" si="2"/>
        <v>13439.31</v>
      </c>
    </row>
    <row r="134" spans="1:9">
      <c r="A134">
        <v>37204.51</v>
      </c>
      <c r="B134">
        <v>503.34</v>
      </c>
      <c r="C134">
        <v>6361</v>
      </c>
      <c r="D134">
        <v>310.52</v>
      </c>
      <c r="E134">
        <v>2239.27</v>
      </c>
      <c r="F134">
        <v>5192.47</v>
      </c>
      <c r="G134">
        <v>6244</v>
      </c>
      <c r="H134">
        <v>3052.76</v>
      </c>
      <c r="I134">
        <f ca="1" t="shared" si="2"/>
        <v>13301.15</v>
      </c>
    </row>
    <row r="135" spans="1:9">
      <c r="A135">
        <v>37495.29</v>
      </c>
      <c r="B135">
        <v>503.73</v>
      </c>
      <c r="C135">
        <v>6361</v>
      </c>
      <c r="D135">
        <v>310.52</v>
      </c>
      <c r="E135">
        <v>2215.57</v>
      </c>
      <c r="F135">
        <v>5529.6</v>
      </c>
      <c r="G135">
        <v>6122</v>
      </c>
      <c r="H135">
        <v>3052.27</v>
      </c>
      <c r="I135">
        <f ca="1" t="shared" si="2"/>
        <v>13400.6</v>
      </c>
    </row>
    <row r="136" spans="1:9">
      <c r="A136">
        <v>37682.99</v>
      </c>
      <c r="B136">
        <v>504.66</v>
      </c>
      <c r="C136">
        <v>6361</v>
      </c>
      <c r="D136">
        <v>310.52</v>
      </c>
      <c r="E136">
        <v>2193.94</v>
      </c>
      <c r="F136">
        <v>5841.75</v>
      </c>
      <c r="G136">
        <v>5977</v>
      </c>
      <c r="H136">
        <v>3059.69</v>
      </c>
      <c r="I136">
        <f ca="1" t="shared" si="2"/>
        <v>13434.43</v>
      </c>
    </row>
    <row r="137" spans="1:9">
      <c r="A137">
        <v>37932.54</v>
      </c>
      <c r="B137">
        <v>504.26</v>
      </c>
      <c r="C137">
        <v>6361</v>
      </c>
      <c r="D137">
        <v>310.52</v>
      </c>
      <c r="E137">
        <v>2175.4</v>
      </c>
      <c r="F137">
        <v>6099.22</v>
      </c>
      <c r="G137">
        <v>5830</v>
      </c>
      <c r="H137">
        <v>3069.43</v>
      </c>
      <c r="I137">
        <f ca="1" t="shared" si="2"/>
        <v>13582.71</v>
      </c>
    </row>
    <row r="138" spans="1:9">
      <c r="A138">
        <v>38214.64</v>
      </c>
      <c r="B138">
        <v>505.01</v>
      </c>
      <c r="C138">
        <v>6361</v>
      </c>
      <c r="D138">
        <v>321</v>
      </c>
      <c r="E138">
        <v>2160.98</v>
      </c>
      <c r="F138">
        <v>6333.5</v>
      </c>
      <c r="G138">
        <v>5981</v>
      </c>
      <c r="H138">
        <v>3072</v>
      </c>
      <c r="I138">
        <f ca="1" t="shared" si="2"/>
        <v>13480.15</v>
      </c>
    </row>
    <row r="139" spans="1:9">
      <c r="A139">
        <v>38322.06</v>
      </c>
      <c r="B139">
        <v>504.93</v>
      </c>
      <c r="C139">
        <v>6361</v>
      </c>
      <c r="D139">
        <v>321</v>
      </c>
      <c r="E139">
        <v>2151.72</v>
      </c>
      <c r="F139">
        <v>6551.21</v>
      </c>
      <c r="G139">
        <v>5742</v>
      </c>
      <c r="H139">
        <v>3057.64</v>
      </c>
      <c r="I139">
        <f ca="1" t="shared" si="2"/>
        <v>13632.56</v>
      </c>
    </row>
    <row r="140" spans="1:9">
      <c r="A140">
        <v>38500</v>
      </c>
      <c r="B140">
        <v>504.92</v>
      </c>
      <c r="C140">
        <v>6361</v>
      </c>
      <c r="D140">
        <v>321</v>
      </c>
      <c r="E140">
        <v>2140.39</v>
      </c>
      <c r="F140">
        <v>6731.81</v>
      </c>
      <c r="G140">
        <v>5474</v>
      </c>
      <c r="H140">
        <v>3064.01</v>
      </c>
      <c r="I140">
        <f ca="1" t="shared" si="2"/>
        <v>13902.87</v>
      </c>
    </row>
    <row r="141" spans="1:9">
      <c r="A141">
        <v>38437.07</v>
      </c>
      <c r="B141">
        <v>504.86</v>
      </c>
      <c r="C141">
        <v>6361</v>
      </c>
      <c r="D141">
        <v>321</v>
      </c>
      <c r="E141">
        <v>2133.16</v>
      </c>
      <c r="F141">
        <v>6893.38</v>
      </c>
      <c r="G141">
        <v>5547</v>
      </c>
      <c r="H141">
        <v>3059.18</v>
      </c>
      <c r="I141">
        <f ca="1" t="shared" si="2"/>
        <v>13617.49</v>
      </c>
    </row>
    <row r="142" spans="1:9">
      <c r="A142">
        <v>38255.87</v>
      </c>
      <c r="B142">
        <v>502.5</v>
      </c>
      <c r="C142">
        <v>6361</v>
      </c>
      <c r="D142">
        <v>321</v>
      </c>
      <c r="E142">
        <v>2116.69</v>
      </c>
      <c r="F142">
        <v>7013.17</v>
      </c>
      <c r="G142">
        <v>5619</v>
      </c>
      <c r="H142">
        <v>3074.36</v>
      </c>
      <c r="I142">
        <f ca="1" t="shared" si="2"/>
        <v>13248.15</v>
      </c>
    </row>
    <row r="143" spans="1:9">
      <c r="A143">
        <v>37940.14</v>
      </c>
      <c r="B143">
        <v>502.36</v>
      </c>
      <c r="C143">
        <v>6361</v>
      </c>
      <c r="D143">
        <v>321</v>
      </c>
      <c r="E143">
        <v>2097.12</v>
      </c>
      <c r="F143">
        <v>7103.06</v>
      </c>
      <c r="G143">
        <v>5423</v>
      </c>
      <c r="H143">
        <v>3068</v>
      </c>
      <c r="I143">
        <f ca="1" t="shared" si="2"/>
        <v>13064.6</v>
      </c>
    </row>
    <row r="144" spans="1:9">
      <c r="A144">
        <v>37643.93</v>
      </c>
      <c r="B144">
        <v>501.95</v>
      </c>
      <c r="C144">
        <v>6361</v>
      </c>
      <c r="D144">
        <v>321</v>
      </c>
      <c r="E144">
        <v>2075.5</v>
      </c>
      <c r="F144">
        <v>7187.87</v>
      </c>
      <c r="G144">
        <v>5228</v>
      </c>
      <c r="H144">
        <v>3069.72</v>
      </c>
      <c r="I144">
        <f ca="1" t="shared" si="2"/>
        <v>12898.89</v>
      </c>
    </row>
    <row r="145" spans="1:9">
      <c r="A145">
        <v>37308.67</v>
      </c>
      <c r="B145">
        <v>502.45</v>
      </c>
      <c r="C145">
        <v>6361</v>
      </c>
      <c r="D145">
        <v>321</v>
      </c>
      <c r="E145">
        <v>2053.87</v>
      </c>
      <c r="F145">
        <v>7264.96</v>
      </c>
      <c r="G145">
        <v>5032</v>
      </c>
      <c r="H145">
        <v>3064.56</v>
      </c>
      <c r="I145">
        <f ca="1" t="shared" si="2"/>
        <v>12708.83</v>
      </c>
    </row>
    <row r="146" spans="1:9">
      <c r="A146">
        <v>37469.25</v>
      </c>
      <c r="B146">
        <v>503.22</v>
      </c>
      <c r="C146">
        <v>6361</v>
      </c>
      <c r="D146">
        <v>321</v>
      </c>
      <c r="E146">
        <v>2032.22</v>
      </c>
      <c r="F146">
        <v>7279.94</v>
      </c>
      <c r="G146">
        <v>4821</v>
      </c>
      <c r="H146">
        <v>3060.09</v>
      </c>
      <c r="I146">
        <f ca="1" t="shared" si="2"/>
        <v>13090.78</v>
      </c>
    </row>
    <row r="147" spans="1:9">
      <c r="A147">
        <v>37579.92</v>
      </c>
      <c r="B147">
        <v>503.44</v>
      </c>
      <c r="C147">
        <v>6361</v>
      </c>
      <c r="D147">
        <v>321</v>
      </c>
      <c r="E147">
        <v>2006.48</v>
      </c>
      <c r="F147">
        <v>7273.3</v>
      </c>
      <c r="G147">
        <v>4999</v>
      </c>
      <c r="H147">
        <v>3066.5</v>
      </c>
      <c r="I147">
        <f ca="1" t="shared" si="2"/>
        <v>13049.2</v>
      </c>
    </row>
    <row r="148" spans="1:9">
      <c r="A148">
        <v>37696.01</v>
      </c>
      <c r="B148">
        <v>503.05</v>
      </c>
      <c r="C148">
        <v>6361</v>
      </c>
      <c r="D148">
        <v>321</v>
      </c>
      <c r="E148">
        <v>1980.74</v>
      </c>
      <c r="F148">
        <v>7221.65</v>
      </c>
      <c r="G148">
        <v>5181</v>
      </c>
      <c r="H148">
        <v>3071.12</v>
      </c>
      <c r="I148">
        <f ca="1" t="shared" si="2"/>
        <v>13056.45</v>
      </c>
    </row>
    <row r="149" spans="1:9">
      <c r="A149">
        <v>37837.06</v>
      </c>
      <c r="B149">
        <v>502.33</v>
      </c>
      <c r="C149">
        <v>6361</v>
      </c>
      <c r="D149">
        <v>321</v>
      </c>
      <c r="E149">
        <v>1958.06</v>
      </c>
      <c r="F149">
        <v>7135.67</v>
      </c>
      <c r="G149">
        <v>5374</v>
      </c>
      <c r="H149">
        <v>3081.09</v>
      </c>
      <c r="I149">
        <f ca="1" t="shared" si="2"/>
        <v>13103.91</v>
      </c>
    </row>
    <row r="150" spans="1:9">
      <c r="A150">
        <v>38049.72</v>
      </c>
      <c r="B150">
        <v>502.66</v>
      </c>
      <c r="C150">
        <v>6361</v>
      </c>
      <c r="D150">
        <v>310.52</v>
      </c>
      <c r="E150">
        <v>1930.27</v>
      </c>
      <c r="F150">
        <v>7017.21</v>
      </c>
      <c r="G150">
        <v>5564</v>
      </c>
      <c r="H150">
        <v>3070.98</v>
      </c>
      <c r="I150">
        <f ca="1" t="shared" si="2"/>
        <v>13293.08</v>
      </c>
    </row>
    <row r="151" spans="1:9">
      <c r="A151">
        <v>38015</v>
      </c>
      <c r="B151">
        <v>502.47</v>
      </c>
      <c r="C151">
        <v>6361</v>
      </c>
      <c r="D151">
        <v>309.54</v>
      </c>
      <c r="E151">
        <v>1906.56</v>
      </c>
      <c r="F151">
        <v>6894.76</v>
      </c>
      <c r="G151">
        <v>5599</v>
      </c>
      <c r="H151">
        <v>3074.25</v>
      </c>
      <c r="I151">
        <f ca="1" t="shared" si="2"/>
        <v>13367.42</v>
      </c>
    </row>
    <row r="152" spans="1:9">
      <c r="A152">
        <v>37990.05</v>
      </c>
      <c r="B152">
        <v>502.62</v>
      </c>
      <c r="C152">
        <v>6361</v>
      </c>
      <c r="D152">
        <v>309.54</v>
      </c>
      <c r="E152">
        <v>1878.76</v>
      </c>
      <c r="F152">
        <v>6725.45</v>
      </c>
      <c r="G152">
        <v>5636</v>
      </c>
      <c r="H152">
        <v>3077.34</v>
      </c>
      <c r="I152">
        <f ca="1" t="shared" si="2"/>
        <v>13499.34</v>
      </c>
    </row>
    <row r="153" spans="1:9">
      <c r="A153">
        <v>37927.12</v>
      </c>
      <c r="B153">
        <v>502.66</v>
      </c>
      <c r="C153">
        <v>6361</v>
      </c>
      <c r="D153">
        <v>309.54</v>
      </c>
      <c r="E153">
        <v>1850.94</v>
      </c>
      <c r="F153">
        <v>6541.92</v>
      </c>
      <c r="G153">
        <v>5672</v>
      </c>
      <c r="H153">
        <v>3083.86</v>
      </c>
      <c r="I153">
        <f ca="1" t="shared" si="2"/>
        <v>13605.2</v>
      </c>
    </row>
    <row r="154" spans="1:9">
      <c r="A154">
        <v>38098.55</v>
      </c>
      <c r="B154">
        <v>502.47</v>
      </c>
      <c r="C154">
        <v>6361</v>
      </c>
      <c r="D154">
        <v>309.54</v>
      </c>
      <c r="E154">
        <v>1819</v>
      </c>
      <c r="F154">
        <v>6310.14</v>
      </c>
      <c r="G154">
        <v>5704</v>
      </c>
      <c r="H154">
        <v>3071.87</v>
      </c>
      <c r="I154">
        <f ca="1" t="shared" si="2"/>
        <v>14020.53</v>
      </c>
    </row>
    <row r="155" spans="1:9">
      <c r="A155">
        <v>37998.73</v>
      </c>
      <c r="B155">
        <v>500.87</v>
      </c>
      <c r="C155">
        <v>6361</v>
      </c>
      <c r="D155">
        <v>309.54</v>
      </c>
      <c r="E155">
        <v>1777.81</v>
      </c>
      <c r="F155">
        <v>6026.1</v>
      </c>
      <c r="G155">
        <v>6045</v>
      </c>
      <c r="H155">
        <v>3069.8</v>
      </c>
      <c r="I155">
        <f ca="1" t="shared" si="2"/>
        <v>13908.61</v>
      </c>
    </row>
    <row r="156" spans="1:9">
      <c r="A156">
        <v>37934.45</v>
      </c>
      <c r="B156">
        <v>500.9</v>
      </c>
      <c r="C156">
        <v>6361</v>
      </c>
      <c r="D156">
        <v>310.52</v>
      </c>
      <c r="E156">
        <v>1734.56</v>
      </c>
      <c r="F156">
        <v>5704.49</v>
      </c>
      <c r="G156">
        <v>6360</v>
      </c>
      <c r="H156">
        <v>3074.08</v>
      </c>
      <c r="I156">
        <f ca="1" t="shared" si="2"/>
        <v>13888.9</v>
      </c>
    </row>
    <row r="157" spans="1:9">
      <c r="A157">
        <v>37759.81</v>
      </c>
      <c r="B157">
        <v>500.77</v>
      </c>
      <c r="C157">
        <v>6361</v>
      </c>
      <c r="D157">
        <v>310.52</v>
      </c>
      <c r="E157">
        <v>1696.43</v>
      </c>
      <c r="F157">
        <v>5361.84</v>
      </c>
      <c r="G157">
        <v>6675</v>
      </c>
      <c r="H157">
        <v>3068.5</v>
      </c>
      <c r="I157">
        <f ca="1" t="shared" si="2"/>
        <v>13785.75</v>
      </c>
    </row>
    <row r="158" spans="1:9">
      <c r="A158">
        <v>37759.81</v>
      </c>
      <c r="B158">
        <v>500.75</v>
      </c>
      <c r="C158">
        <v>6361</v>
      </c>
      <c r="D158">
        <v>310.52</v>
      </c>
      <c r="E158">
        <v>1636.69</v>
      </c>
      <c r="F158">
        <v>4979.34</v>
      </c>
      <c r="G158">
        <v>6758</v>
      </c>
      <c r="H158">
        <v>3070.92</v>
      </c>
      <c r="I158">
        <f ca="1" t="shared" si="2"/>
        <v>14142.59</v>
      </c>
    </row>
    <row r="159" spans="1:9">
      <c r="A159">
        <v>37915.91</v>
      </c>
      <c r="B159">
        <v>500.8</v>
      </c>
      <c r="C159">
        <v>6361</v>
      </c>
      <c r="D159">
        <v>310.52</v>
      </c>
      <c r="E159">
        <v>1575.92</v>
      </c>
      <c r="F159">
        <v>4589.99</v>
      </c>
      <c r="G159">
        <v>7070</v>
      </c>
      <c r="H159">
        <v>3068.79</v>
      </c>
      <c r="I159">
        <f ca="1" t="shared" si="2"/>
        <v>14438.89</v>
      </c>
    </row>
    <row r="160" spans="1:9">
      <c r="A160">
        <v>37689.14</v>
      </c>
      <c r="B160">
        <v>501</v>
      </c>
      <c r="C160">
        <v>6361</v>
      </c>
      <c r="D160">
        <v>310.52</v>
      </c>
      <c r="E160">
        <v>1515.16</v>
      </c>
      <c r="F160">
        <v>4147.27</v>
      </c>
      <c r="G160">
        <v>7357</v>
      </c>
      <c r="H160">
        <v>3063.26</v>
      </c>
      <c r="I160">
        <f ca="1" t="shared" si="2"/>
        <v>14433.93</v>
      </c>
    </row>
    <row r="161" spans="1:9">
      <c r="A161">
        <v>37734.71</v>
      </c>
      <c r="B161">
        <v>501.63</v>
      </c>
      <c r="C161">
        <v>6361</v>
      </c>
      <c r="D161">
        <v>310.52</v>
      </c>
      <c r="E161">
        <v>1457.48</v>
      </c>
      <c r="F161">
        <v>3684.95</v>
      </c>
      <c r="G161">
        <v>7898</v>
      </c>
      <c r="H161">
        <v>3071.44</v>
      </c>
      <c r="I161">
        <f ca="1" t="shared" si="2"/>
        <v>14449.69</v>
      </c>
    </row>
    <row r="162" spans="1:9">
      <c r="A162">
        <v>37813.92</v>
      </c>
      <c r="B162">
        <v>503.07</v>
      </c>
      <c r="C162">
        <v>6361</v>
      </c>
      <c r="D162">
        <v>310.52</v>
      </c>
      <c r="E162">
        <v>1410.09</v>
      </c>
      <c r="F162">
        <v>3240.15</v>
      </c>
      <c r="G162">
        <v>7854</v>
      </c>
      <c r="H162">
        <v>3053.92</v>
      </c>
      <c r="I162">
        <f ca="1" t="shared" si="2"/>
        <v>15081.17</v>
      </c>
    </row>
    <row r="163" spans="1:9">
      <c r="A163">
        <v>37603.56</v>
      </c>
      <c r="B163">
        <v>503.21</v>
      </c>
      <c r="C163">
        <v>6361</v>
      </c>
      <c r="D163">
        <v>310.52</v>
      </c>
      <c r="E163">
        <v>1373.01</v>
      </c>
      <c r="F163">
        <v>2743.66</v>
      </c>
      <c r="G163">
        <v>8341</v>
      </c>
      <c r="H163">
        <v>3063.89</v>
      </c>
      <c r="I163">
        <f ca="1" t="shared" si="2"/>
        <v>14907.27</v>
      </c>
    </row>
    <row r="164" spans="1:9">
      <c r="A164">
        <v>37471.06</v>
      </c>
      <c r="B164">
        <v>502.9</v>
      </c>
      <c r="C164">
        <v>6361</v>
      </c>
      <c r="D164">
        <v>310.52</v>
      </c>
      <c r="E164">
        <v>1331.81</v>
      </c>
      <c r="F164">
        <v>2239.86</v>
      </c>
      <c r="G164">
        <v>8775</v>
      </c>
      <c r="H164">
        <v>3055.31</v>
      </c>
      <c r="I164">
        <f ca="1" t="shared" si="2"/>
        <v>14894.66</v>
      </c>
    </row>
    <row r="165" spans="1:9">
      <c r="A165">
        <v>36811.38</v>
      </c>
      <c r="B165">
        <v>502.91</v>
      </c>
      <c r="C165">
        <v>6361</v>
      </c>
      <c r="D165">
        <v>310.52</v>
      </c>
      <c r="E165">
        <v>1292.68</v>
      </c>
      <c r="F165">
        <v>1773.71</v>
      </c>
      <c r="G165">
        <v>8951</v>
      </c>
      <c r="H165">
        <v>3051.82</v>
      </c>
      <c r="I165">
        <f ca="1" t="shared" si="2"/>
        <v>14567.74</v>
      </c>
    </row>
    <row r="166" spans="1:9">
      <c r="A166">
        <v>36571.59</v>
      </c>
      <c r="B166">
        <v>504.31</v>
      </c>
      <c r="C166">
        <v>6361</v>
      </c>
      <c r="D166">
        <v>300.05</v>
      </c>
      <c r="E166">
        <v>1265.91</v>
      </c>
      <c r="F166">
        <v>1356.78</v>
      </c>
      <c r="G166">
        <v>9129</v>
      </c>
      <c r="H166">
        <v>3056.62</v>
      </c>
      <c r="I166">
        <f ca="1" t="shared" si="2"/>
        <v>14597.92</v>
      </c>
    </row>
    <row r="167" spans="1:9">
      <c r="A167">
        <v>36508.66</v>
      </c>
      <c r="B167">
        <v>504.41</v>
      </c>
      <c r="C167">
        <v>6361</v>
      </c>
      <c r="D167">
        <v>300.05</v>
      </c>
      <c r="E167">
        <v>1257.66</v>
      </c>
      <c r="F167">
        <v>962.96</v>
      </c>
      <c r="G167">
        <v>9288</v>
      </c>
      <c r="H167">
        <v>3062.78</v>
      </c>
      <c r="I167">
        <f ca="1" t="shared" si="2"/>
        <v>14771.8</v>
      </c>
    </row>
    <row r="168" spans="1:9">
      <c r="A168">
        <v>36319.87</v>
      </c>
      <c r="B168">
        <v>506</v>
      </c>
      <c r="C168">
        <v>6361</v>
      </c>
      <c r="D168">
        <v>300.05</v>
      </c>
      <c r="E168">
        <v>1250.44</v>
      </c>
      <c r="F168">
        <v>619.4</v>
      </c>
      <c r="G168">
        <v>9293</v>
      </c>
      <c r="H168">
        <v>3063.88</v>
      </c>
      <c r="I168">
        <f ca="1" t="shared" si="2"/>
        <v>14926.1</v>
      </c>
    </row>
    <row r="169" spans="1:9">
      <c r="A169">
        <v>36186.42</v>
      </c>
      <c r="B169">
        <v>508.65</v>
      </c>
      <c r="C169">
        <v>6361</v>
      </c>
      <c r="D169">
        <v>300.05</v>
      </c>
      <c r="E169">
        <v>1241.19</v>
      </c>
      <c r="F169">
        <v>353.15</v>
      </c>
      <c r="G169">
        <v>9429</v>
      </c>
      <c r="H169">
        <v>3076.65</v>
      </c>
      <c r="I169">
        <f ca="1" t="shared" si="2"/>
        <v>14916.73</v>
      </c>
    </row>
    <row r="170" spans="1:9">
      <c r="A170">
        <v>36093.11</v>
      </c>
      <c r="B170">
        <v>508.59</v>
      </c>
      <c r="C170">
        <v>6361</v>
      </c>
      <c r="D170">
        <v>300.05</v>
      </c>
      <c r="E170">
        <v>1244.27</v>
      </c>
      <c r="F170">
        <v>152.43</v>
      </c>
      <c r="G170">
        <v>9254</v>
      </c>
      <c r="H170">
        <v>3064.59</v>
      </c>
      <c r="I170">
        <f ca="1" t="shared" si="2"/>
        <v>15208.18</v>
      </c>
    </row>
    <row r="171" spans="1:9">
      <c r="A171">
        <v>36071.41</v>
      </c>
      <c r="B171">
        <v>507.14</v>
      </c>
      <c r="C171">
        <v>6361</v>
      </c>
      <c r="D171">
        <v>300.05</v>
      </c>
      <c r="E171">
        <v>1240.16</v>
      </c>
      <c r="F171">
        <v>66.18</v>
      </c>
      <c r="G171">
        <v>8989</v>
      </c>
      <c r="H171">
        <v>3050.63</v>
      </c>
      <c r="I171">
        <f ca="1" t="shared" si="2"/>
        <v>15557.25</v>
      </c>
    </row>
    <row r="172" spans="1:9">
      <c r="A172">
        <v>36282.98</v>
      </c>
      <c r="B172">
        <v>508.15</v>
      </c>
      <c r="C172">
        <v>6361</v>
      </c>
      <c r="D172">
        <v>299.07</v>
      </c>
      <c r="E172">
        <v>1239.14</v>
      </c>
      <c r="F172">
        <v>16.69</v>
      </c>
      <c r="G172">
        <v>8726</v>
      </c>
      <c r="H172">
        <v>3044.09</v>
      </c>
      <c r="I172">
        <f ca="1" t="shared" si="2"/>
        <v>16088.84</v>
      </c>
    </row>
    <row r="173" spans="1:9">
      <c r="A173">
        <v>36388.23</v>
      </c>
      <c r="B173">
        <v>508.21</v>
      </c>
      <c r="C173">
        <v>6361</v>
      </c>
      <c r="D173">
        <v>299.07</v>
      </c>
      <c r="E173">
        <v>1243.25</v>
      </c>
      <c r="F173">
        <v>0</v>
      </c>
      <c r="G173">
        <v>8461</v>
      </c>
      <c r="H173">
        <v>3064.86</v>
      </c>
      <c r="I173">
        <f ca="1" t="shared" si="2"/>
        <v>16450.84</v>
      </c>
    </row>
    <row r="174" spans="1:9">
      <c r="A174">
        <v>36787.51</v>
      </c>
      <c r="B174">
        <v>508.02</v>
      </c>
      <c r="C174">
        <v>6361</v>
      </c>
      <c r="D174">
        <v>309.54</v>
      </c>
      <c r="E174">
        <v>1244.27</v>
      </c>
      <c r="F174">
        <v>0</v>
      </c>
      <c r="G174">
        <v>8195</v>
      </c>
      <c r="H174">
        <v>3073.1</v>
      </c>
      <c r="I174">
        <f ca="1" t="shared" si="2"/>
        <v>17096.58</v>
      </c>
    </row>
    <row r="175" spans="1:9">
      <c r="A175">
        <v>36838.5</v>
      </c>
      <c r="B175">
        <v>508.52</v>
      </c>
      <c r="C175">
        <v>6361</v>
      </c>
      <c r="D175">
        <v>309.54</v>
      </c>
      <c r="E175">
        <v>1232.96</v>
      </c>
      <c r="F175">
        <v>0</v>
      </c>
      <c r="G175">
        <v>8167</v>
      </c>
      <c r="H175">
        <v>3076.4</v>
      </c>
      <c r="I175">
        <f ca="1" t="shared" si="2"/>
        <v>17183.08</v>
      </c>
    </row>
    <row r="176" spans="1:9">
      <c r="A176">
        <v>36731.09</v>
      </c>
      <c r="B176">
        <v>511.4</v>
      </c>
      <c r="C176">
        <v>6361</v>
      </c>
      <c r="D176">
        <v>309.54</v>
      </c>
      <c r="E176">
        <v>1223.67</v>
      </c>
      <c r="F176">
        <v>0</v>
      </c>
      <c r="G176">
        <v>8140</v>
      </c>
      <c r="H176">
        <v>3075.29</v>
      </c>
      <c r="I176">
        <f ca="1" t="shared" si="2"/>
        <v>17110.19</v>
      </c>
    </row>
    <row r="177" spans="1:9">
      <c r="A177">
        <v>36205.95</v>
      </c>
      <c r="B177">
        <v>445.46</v>
      </c>
      <c r="C177">
        <v>6361</v>
      </c>
      <c r="D177">
        <v>309.54</v>
      </c>
      <c r="E177">
        <v>1212.36</v>
      </c>
      <c r="F177">
        <v>0</v>
      </c>
      <c r="G177">
        <v>8112</v>
      </c>
      <c r="H177">
        <v>3079.13</v>
      </c>
      <c r="I177">
        <f ca="1" t="shared" si="2"/>
        <v>16686.46</v>
      </c>
    </row>
    <row r="178" spans="1:9">
      <c r="A178">
        <v>35883.7</v>
      </c>
      <c r="B178">
        <v>446.5</v>
      </c>
      <c r="C178">
        <v>6361</v>
      </c>
      <c r="D178">
        <v>322.89</v>
      </c>
      <c r="E178">
        <v>1197.94</v>
      </c>
      <c r="F178">
        <v>0</v>
      </c>
      <c r="G178">
        <v>8087</v>
      </c>
      <c r="H178">
        <v>3065.34</v>
      </c>
      <c r="I178">
        <f ca="1" t="shared" si="2"/>
        <v>16403.03</v>
      </c>
    </row>
    <row r="179" spans="1:9">
      <c r="A179">
        <v>35595.09</v>
      </c>
      <c r="B179">
        <v>485.49</v>
      </c>
      <c r="C179">
        <v>6361</v>
      </c>
      <c r="D179">
        <v>322.89</v>
      </c>
      <c r="E179">
        <v>1186.59</v>
      </c>
      <c r="F179">
        <v>0</v>
      </c>
      <c r="G179">
        <v>7833</v>
      </c>
      <c r="H179">
        <v>3077.49</v>
      </c>
      <c r="I179">
        <f ca="1" t="shared" si="2"/>
        <v>16328.63</v>
      </c>
    </row>
    <row r="180" spans="1:9">
      <c r="A180">
        <v>35233.79</v>
      </c>
      <c r="B180">
        <v>485.35</v>
      </c>
      <c r="C180">
        <v>6361</v>
      </c>
      <c r="D180">
        <v>322.89</v>
      </c>
      <c r="E180">
        <v>1174.23</v>
      </c>
      <c r="F180">
        <v>0</v>
      </c>
      <c r="G180">
        <v>7579</v>
      </c>
      <c r="H180">
        <v>3066.45</v>
      </c>
      <c r="I180">
        <f ca="1" t="shared" si="2"/>
        <v>16244.87</v>
      </c>
    </row>
    <row r="181" spans="1:9">
      <c r="A181">
        <v>34701.05</v>
      </c>
      <c r="B181">
        <v>485.52</v>
      </c>
      <c r="C181">
        <v>6361</v>
      </c>
      <c r="D181">
        <v>322.89</v>
      </c>
      <c r="E181">
        <v>1159.82</v>
      </c>
      <c r="F181">
        <v>0</v>
      </c>
      <c r="G181">
        <v>7326</v>
      </c>
      <c r="H181">
        <v>3069.35</v>
      </c>
      <c r="I181">
        <f ca="1" t="shared" si="2"/>
        <v>15976.47</v>
      </c>
    </row>
    <row r="182" spans="1:9">
      <c r="A182">
        <v>34481.88</v>
      </c>
      <c r="B182">
        <v>485.46</v>
      </c>
      <c r="C182">
        <v>6361</v>
      </c>
      <c r="D182">
        <v>322.89</v>
      </c>
      <c r="E182">
        <v>1155.7</v>
      </c>
      <c r="F182">
        <v>0</v>
      </c>
      <c r="G182">
        <v>7075</v>
      </c>
      <c r="H182">
        <v>3054.65</v>
      </c>
      <c r="I182">
        <f ca="1" t="shared" si="2"/>
        <v>16027.18</v>
      </c>
    </row>
    <row r="183" spans="1:9">
      <c r="A183">
        <v>33930.7</v>
      </c>
      <c r="B183">
        <v>485.52</v>
      </c>
      <c r="C183">
        <v>6361</v>
      </c>
      <c r="D183">
        <v>322.89</v>
      </c>
      <c r="E183">
        <v>1154.69</v>
      </c>
      <c r="F183">
        <v>0</v>
      </c>
      <c r="G183">
        <v>6814</v>
      </c>
      <c r="H183">
        <v>3046.95</v>
      </c>
      <c r="I183">
        <f ca="1" t="shared" si="2"/>
        <v>15745.65</v>
      </c>
    </row>
    <row r="184" spans="1:9">
      <c r="A184">
        <v>33351.31</v>
      </c>
      <c r="B184">
        <v>485.55</v>
      </c>
      <c r="C184">
        <v>6361</v>
      </c>
      <c r="D184">
        <v>322.89</v>
      </c>
      <c r="E184">
        <v>1155.71</v>
      </c>
      <c r="F184">
        <v>0</v>
      </c>
      <c r="G184">
        <v>6429</v>
      </c>
      <c r="H184">
        <v>3033.86</v>
      </c>
      <c r="I184">
        <f ca="1" t="shared" si="2"/>
        <v>15563.3</v>
      </c>
    </row>
    <row r="185" spans="1:9">
      <c r="A185">
        <v>32833.77</v>
      </c>
      <c r="B185">
        <v>483.52</v>
      </c>
      <c r="C185">
        <v>6361</v>
      </c>
      <c r="D185">
        <v>322.89</v>
      </c>
      <c r="E185">
        <v>1158.79</v>
      </c>
      <c r="F185">
        <v>0</v>
      </c>
      <c r="G185">
        <v>6142</v>
      </c>
      <c r="H185">
        <v>3033.55</v>
      </c>
      <c r="I185">
        <f ca="1" t="shared" si="2"/>
        <v>15332.02</v>
      </c>
    </row>
    <row r="186" spans="1:9">
      <c r="A186">
        <v>32770.84</v>
      </c>
      <c r="B186">
        <v>483.57</v>
      </c>
      <c r="C186">
        <v>6361</v>
      </c>
      <c r="D186">
        <v>310.52</v>
      </c>
      <c r="E186">
        <v>1169.1</v>
      </c>
      <c r="F186">
        <v>0</v>
      </c>
      <c r="G186">
        <v>6295</v>
      </c>
      <c r="H186">
        <v>3041.91</v>
      </c>
      <c r="I186">
        <f ca="1" t="shared" si="2"/>
        <v>15109.74</v>
      </c>
    </row>
    <row r="187" spans="1:9">
      <c r="A187">
        <v>32273.91</v>
      </c>
      <c r="B187">
        <v>480.49</v>
      </c>
      <c r="C187">
        <v>6361</v>
      </c>
      <c r="D187">
        <v>310.52</v>
      </c>
      <c r="E187">
        <v>1182.48</v>
      </c>
      <c r="F187">
        <v>0</v>
      </c>
      <c r="G187">
        <v>5388</v>
      </c>
      <c r="H187">
        <v>3041.83</v>
      </c>
      <c r="I187">
        <f ca="1" t="shared" si="2"/>
        <v>15509.59</v>
      </c>
    </row>
    <row r="188" spans="1:9">
      <c r="A188">
        <v>31703.2</v>
      </c>
      <c r="B188">
        <v>478.86</v>
      </c>
      <c r="C188">
        <v>6361</v>
      </c>
      <c r="D188">
        <v>310.52</v>
      </c>
      <c r="E188">
        <v>1201.01</v>
      </c>
      <c r="F188">
        <v>0</v>
      </c>
      <c r="G188">
        <v>4456</v>
      </c>
      <c r="H188">
        <v>3049.06</v>
      </c>
      <c r="I188">
        <f ca="1" t="shared" si="2"/>
        <v>15846.75</v>
      </c>
    </row>
    <row r="189" spans="1:9">
      <c r="A189">
        <v>31142.25</v>
      </c>
      <c r="B189">
        <v>478.79</v>
      </c>
      <c r="C189">
        <v>6361</v>
      </c>
      <c r="D189">
        <v>310.52</v>
      </c>
      <c r="E189">
        <v>1214.41</v>
      </c>
      <c r="F189">
        <v>0</v>
      </c>
      <c r="G189">
        <v>3706</v>
      </c>
      <c r="H189">
        <v>3054.03</v>
      </c>
      <c r="I189">
        <f ca="1" t="shared" si="2"/>
        <v>16017.5</v>
      </c>
    </row>
    <row r="190" spans="1:9">
      <c r="A190">
        <v>30737.55</v>
      </c>
      <c r="B190">
        <v>478.72</v>
      </c>
      <c r="C190">
        <v>6361</v>
      </c>
      <c r="D190">
        <v>310.52</v>
      </c>
      <c r="E190">
        <v>1231.93</v>
      </c>
      <c r="F190">
        <v>0</v>
      </c>
      <c r="G190">
        <v>3616</v>
      </c>
      <c r="H190">
        <v>3045.01</v>
      </c>
      <c r="I190">
        <f ca="1" t="shared" si="2"/>
        <v>15694.37</v>
      </c>
    </row>
    <row r="191" spans="1:9">
      <c r="A191">
        <v>30305.72</v>
      </c>
      <c r="B191">
        <v>478.57</v>
      </c>
      <c r="C191">
        <v>6361</v>
      </c>
      <c r="D191">
        <v>310.52</v>
      </c>
      <c r="E191">
        <v>1252.52</v>
      </c>
      <c r="F191">
        <v>0</v>
      </c>
      <c r="G191">
        <v>3584</v>
      </c>
      <c r="H191">
        <v>3051.23</v>
      </c>
      <c r="I191">
        <f ca="1" t="shared" si="2"/>
        <v>15267.88</v>
      </c>
    </row>
    <row r="192" spans="1:9">
      <c r="A192">
        <v>29832.66</v>
      </c>
      <c r="B192">
        <v>478.52</v>
      </c>
      <c r="C192">
        <v>6361</v>
      </c>
      <c r="D192">
        <v>309.54</v>
      </c>
      <c r="E192">
        <v>1275.17</v>
      </c>
      <c r="F192">
        <v>0</v>
      </c>
      <c r="G192">
        <v>3321</v>
      </c>
      <c r="H192">
        <v>3040.97</v>
      </c>
      <c r="I192">
        <f ca="1" t="shared" si="2"/>
        <v>15046.46</v>
      </c>
    </row>
    <row r="193" spans="1:9">
      <c r="A193">
        <v>29363.94</v>
      </c>
      <c r="B193">
        <v>478.32</v>
      </c>
      <c r="C193">
        <v>6361</v>
      </c>
      <c r="D193">
        <v>309.54</v>
      </c>
      <c r="E193">
        <v>1298.87</v>
      </c>
      <c r="F193">
        <v>0</v>
      </c>
      <c r="G193">
        <v>3290</v>
      </c>
      <c r="H193">
        <v>3046.41</v>
      </c>
      <c r="I193">
        <f ca="1" t="shared" si="2"/>
        <v>14579.8</v>
      </c>
    </row>
    <row r="194" spans="1:9">
      <c r="A194">
        <v>29082.32</v>
      </c>
      <c r="B194">
        <v>301.45</v>
      </c>
      <c r="C194">
        <v>6363</v>
      </c>
      <c r="D194">
        <v>315.35</v>
      </c>
      <c r="E194">
        <v>1288.58</v>
      </c>
      <c r="F194">
        <v>0</v>
      </c>
      <c r="G194">
        <v>3622</v>
      </c>
      <c r="H194">
        <v>3029.48</v>
      </c>
      <c r="I194">
        <f ca="1" t="shared" si="2"/>
        <v>14162.46</v>
      </c>
    </row>
    <row r="195" spans="1:9">
      <c r="A195">
        <v>28868.79</v>
      </c>
      <c r="B195">
        <v>307.86</v>
      </c>
      <c r="C195">
        <v>6363</v>
      </c>
      <c r="D195">
        <v>315.35</v>
      </c>
      <c r="E195">
        <v>1320.5</v>
      </c>
      <c r="F195">
        <v>0</v>
      </c>
      <c r="G195">
        <v>3582</v>
      </c>
      <c r="H195">
        <v>3032.28</v>
      </c>
      <c r="I195">
        <f ca="1" t="shared" ref="I195:I258" si="3">A195-B195-C195-D195-E195-F195-G195-H195</f>
        <v>13947.8</v>
      </c>
    </row>
    <row r="196" spans="1:9">
      <c r="A196">
        <v>28590.66</v>
      </c>
      <c r="B196">
        <v>311.67</v>
      </c>
      <c r="C196">
        <v>6363</v>
      </c>
      <c r="D196">
        <v>315.35</v>
      </c>
      <c r="E196">
        <v>1352.43</v>
      </c>
      <c r="F196">
        <v>0</v>
      </c>
      <c r="G196">
        <v>3539</v>
      </c>
      <c r="H196">
        <v>3033.12</v>
      </c>
      <c r="I196">
        <f ca="1" t="shared" si="3"/>
        <v>13676.09</v>
      </c>
    </row>
    <row r="197" spans="1:9">
      <c r="A197">
        <v>28414.37</v>
      </c>
      <c r="B197">
        <v>311.63</v>
      </c>
      <c r="C197">
        <v>6363</v>
      </c>
      <c r="D197">
        <v>315.35</v>
      </c>
      <c r="E197">
        <v>1382.29</v>
      </c>
      <c r="F197">
        <v>0</v>
      </c>
      <c r="G197">
        <v>3342</v>
      </c>
      <c r="H197">
        <v>3036.16</v>
      </c>
      <c r="I197">
        <f ca="1" t="shared" si="3"/>
        <v>13663.94</v>
      </c>
    </row>
    <row r="198" spans="1:9">
      <c r="A198">
        <v>28221.65</v>
      </c>
      <c r="B198">
        <v>312.41</v>
      </c>
      <c r="C198">
        <v>6363</v>
      </c>
      <c r="D198">
        <v>302.39</v>
      </c>
      <c r="E198">
        <v>1415.26</v>
      </c>
      <c r="F198">
        <v>0</v>
      </c>
      <c r="G198">
        <v>2900</v>
      </c>
      <c r="H198">
        <v>3036.02</v>
      </c>
      <c r="I198">
        <f ca="1" t="shared" si="3"/>
        <v>13892.57</v>
      </c>
    </row>
    <row r="199" spans="1:9">
      <c r="A199">
        <v>28026.74</v>
      </c>
      <c r="B199">
        <v>313.22</v>
      </c>
      <c r="C199">
        <v>6363</v>
      </c>
      <c r="D199">
        <v>302.39</v>
      </c>
      <c r="E199">
        <v>1451.32</v>
      </c>
      <c r="F199">
        <v>0</v>
      </c>
      <c r="G199">
        <v>2715</v>
      </c>
      <c r="H199">
        <v>3037.82</v>
      </c>
      <c r="I199">
        <f ca="1" t="shared" si="3"/>
        <v>13843.99</v>
      </c>
    </row>
    <row r="200" spans="1:9">
      <c r="A200">
        <v>27943.52</v>
      </c>
      <c r="B200">
        <v>311</v>
      </c>
      <c r="C200">
        <v>6363</v>
      </c>
      <c r="D200">
        <v>302.39</v>
      </c>
      <c r="E200">
        <v>1488.39</v>
      </c>
      <c r="F200">
        <v>0</v>
      </c>
      <c r="G200">
        <v>2683</v>
      </c>
      <c r="H200">
        <v>3045.54</v>
      </c>
      <c r="I200">
        <f ca="1" t="shared" si="3"/>
        <v>13750.2</v>
      </c>
    </row>
    <row r="201" spans="1:9">
      <c r="A201">
        <v>27650.06</v>
      </c>
      <c r="B201">
        <v>311.7</v>
      </c>
      <c r="C201">
        <v>6363</v>
      </c>
      <c r="D201">
        <v>302.39</v>
      </c>
      <c r="E201">
        <v>1524.46</v>
      </c>
      <c r="F201">
        <v>0</v>
      </c>
      <c r="G201">
        <v>2651</v>
      </c>
      <c r="H201">
        <v>3048.66</v>
      </c>
      <c r="I201">
        <f ca="1" t="shared" si="3"/>
        <v>13448.85</v>
      </c>
    </row>
    <row r="202" spans="1:9">
      <c r="A202">
        <v>27597.5</v>
      </c>
      <c r="B202">
        <v>312.61</v>
      </c>
      <c r="C202">
        <v>6363</v>
      </c>
      <c r="D202">
        <v>306.04</v>
      </c>
      <c r="E202">
        <v>1555.34</v>
      </c>
      <c r="F202">
        <v>0</v>
      </c>
      <c r="G202">
        <v>2581</v>
      </c>
      <c r="H202">
        <v>3059.49</v>
      </c>
      <c r="I202">
        <f ca="1" t="shared" si="3"/>
        <v>13420.02</v>
      </c>
    </row>
    <row r="203" spans="1:9">
      <c r="A203">
        <v>27398.21</v>
      </c>
      <c r="B203">
        <v>311</v>
      </c>
      <c r="C203">
        <v>6363</v>
      </c>
      <c r="D203">
        <v>306.04</v>
      </c>
      <c r="E203">
        <v>1585.2</v>
      </c>
      <c r="F203">
        <v>0</v>
      </c>
      <c r="G203">
        <v>2557</v>
      </c>
      <c r="H203">
        <v>3065.99</v>
      </c>
      <c r="I203">
        <f ca="1" t="shared" si="3"/>
        <v>13209.98</v>
      </c>
    </row>
    <row r="204" spans="1:9">
      <c r="A204">
        <v>27374.12</v>
      </c>
      <c r="B204">
        <v>311.14</v>
      </c>
      <c r="C204">
        <v>6363</v>
      </c>
      <c r="D204">
        <v>306.04</v>
      </c>
      <c r="E204">
        <v>1615.09</v>
      </c>
      <c r="F204">
        <v>0</v>
      </c>
      <c r="G204">
        <v>2533</v>
      </c>
      <c r="H204">
        <v>3059.13</v>
      </c>
      <c r="I204">
        <f ca="1" t="shared" si="3"/>
        <v>13186.72</v>
      </c>
    </row>
    <row r="205" spans="1:9">
      <c r="A205">
        <v>27191.25</v>
      </c>
      <c r="B205">
        <v>310.71</v>
      </c>
      <c r="C205">
        <v>6363</v>
      </c>
      <c r="D205">
        <v>306.04</v>
      </c>
      <c r="E205">
        <v>1647.02</v>
      </c>
      <c r="F205">
        <v>0</v>
      </c>
      <c r="G205">
        <v>2509</v>
      </c>
      <c r="H205">
        <v>3063.3</v>
      </c>
      <c r="I205">
        <f ca="1" t="shared" si="3"/>
        <v>12992.18</v>
      </c>
    </row>
    <row r="206" spans="1:9">
      <c r="A206">
        <v>27177.02</v>
      </c>
      <c r="B206">
        <v>309.71</v>
      </c>
      <c r="C206">
        <v>6363</v>
      </c>
      <c r="D206">
        <v>316.69</v>
      </c>
      <c r="E206">
        <v>1679.99</v>
      </c>
      <c r="F206">
        <v>0</v>
      </c>
      <c r="G206">
        <v>2382</v>
      </c>
      <c r="H206">
        <v>3066.98</v>
      </c>
      <c r="I206">
        <f ca="1" t="shared" si="3"/>
        <v>13058.65</v>
      </c>
    </row>
    <row r="207" spans="1:9">
      <c r="A207">
        <v>27160.59</v>
      </c>
      <c r="B207">
        <v>309.4</v>
      </c>
      <c r="C207">
        <v>6363</v>
      </c>
      <c r="D207">
        <v>316.69</v>
      </c>
      <c r="E207">
        <v>1711.92</v>
      </c>
      <c r="F207">
        <v>0</v>
      </c>
      <c r="G207">
        <v>2380</v>
      </c>
      <c r="H207">
        <v>3075.35</v>
      </c>
      <c r="I207">
        <f ca="1" t="shared" si="3"/>
        <v>13004.23</v>
      </c>
    </row>
    <row r="208" spans="1:9">
      <c r="A208">
        <v>27075.18</v>
      </c>
      <c r="B208">
        <v>309.39</v>
      </c>
      <c r="C208">
        <v>6363</v>
      </c>
      <c r="D208">
        <v>316.69</v>
      </c>
      <c r="E208">
        <v>1749</v>
      </c>
      <c r="F208">
        <v>0</v>
      </c>
      <c r="G208">
        <v>2378</v>
      </c>
      <c r="H208">
        <v>3074.97</v>
      </c>
      <c r="I208">
        <f ca="1" t="shared" si="3"/>
        <v>12884.13</v>
      </c>
    </row>
    <row r="209" spans="1:9">
      <c r="A209">
        <v>27050</v>
      </c>
      <c r="B209">
        <v>309.33</v>
      </c>
      <c r="C209">
        <v>6363</v>
      </c>
      <c r="D209">
        <v>316.69</v>
      </c>
      <c r="E209">
        <v>1787.09</v>
      </c>
      <c r="F209">
        <v>0</v>
      </c>
      <c r="G209">
        <v>2376</v>
      </c>
      <c r="H209">
        <v>3071.91</v>
      </c>
      <c r="I209">
        <f ca="1" t="shared" si="3"/>
        <v>12825.98</v>
      </c>
    </row>
    <row r="210" spans="1:9">
      <c r="A210">
        <v>27198.92</v>
      </c>
      <c r="B210">
        <v>309.12</v>
      </c>
      <c r="C210">
        <v>6363</v>
      </c>
      <c r="D210">
        <v>312.93</v>
      </c>
      <c r="E210">
        <v>1829.33</v>
      </c>
      <c r="F210">
        <v>0</v>
      </c>
      <c r="G210">
        <v>2055</v>
      </c>
      <c r="H210">
        <v>3075.17</v>
      </c>
      <c r="I210">
        <f ca="1" t="shared" si="3"/>
        <v>13254.37</v>
      </c>
    </row>
    <row r="211" spans="1:9">
      <c r="A211">
        <v>27241.62</v>
      </c>
      <c r="B211">
        <v>309.14</v>
      </c>
      <c r="C211">
        <v>6363</v>
      </c>
      <c r="D211">
        <v>312.93</v>
      </c>
      <c r="E211">
        <v>1874.66</v>
      </c>
      <c r="F211">
        <v>0</v>
      </c>
      <c r="G211">
        <v>2117</v>
      </c>
      <c r="H211">
        <v>3081.49</v>
      </c>
      <c r="I211">
        <f ca="1" t="shared" si="3"/>
        <v>13183.4</v>
      </c>
    </row>
    <row r="212" spans="1:9">
      <c r="A212">
        <v>27341.27</v>
      </c>
      <c r="B212">
        <v>309.31</v>
      </c>
      <c r="C212">
        <v>6363</v>
      </c>
      <c r="D212">
        <v>312.93</v>
      </c>
      <c r="E212">
        <v>1919.98</v>
      </c>
      <c r="F212">
        <v>0</v>
      </c>
      <c r="G212">
        <v>2177</v>
      </c>
      <c r="H212">
        <v>3094.51</v>
      </c>
      <c r="I212">
        <f ca="1" t="shared" si="3"/>
        <v>13164.54</v>
      </c>
    </row>
    <row r="213" spans="1:9">
      <c r="A213">
        <v>27599.69</v>
      </c>
      <c r="B213">
        <v>308.93</v>
      </c>
      <c r="C213">
        <v>6363</v>
      </c>
      <c r="D213">
        <v>312.93</v>
      </c>
      <c r="E213">
        <v>1962.19</v>
      </c>
      <c r="F213">
        <v>0</v>
      </c>
      <c r="G213">
        <v>2238</v>
      </c>
      <c r="H213">
        <v>3096.33</v>
      </c>
      <c r="I213">
        <f ca="1" t="shared" si="3"/>
        <v>13318.31</v>
      </c>
    </row>
    <row r="214" spans="1:9">
      <c r="A214">
        <v>28012.5</v>
      </c>
      <c r="B214">
        <v>308.58</v>
      </c>
      <c r="C214">
        <v>6363</v>
      </c>
      <c r="D214">
        <v>314.76</v>
      </c>
      <c r="E214">
        <v>2004.43</v>
      </c>
      <c r="F214">
        <v>10.89</v>
      </c>
      <c r="G214">
        <v>2146</v>
      </c>
      <c r="H214">
        <v>3092.59</v>
      </c>
      <c r="I214">
        <f ca="1" t="shared" si="3"/>
        <v>13772.25</v>
      </c>
    </row>
    <row r="215" spans="1:9">
      <c r="A215">
        <v>28437.36</v>
      </c>
      <c r="B215">
        <v>308.43</v>
      </c>
      <c r="C215">
        <v>6363</v>
      </c>
      <c r="D215">
        <v>314.76</v>
      </c>
      <c r="E215">
        <v>2038.42</v>
      </c>
      <c r="F215">
        <v>77.48</v>
      </c>
      <c r="G215">
        <v>2346</v>
      </c>
      <c r="H215">
        <v>3100.83</v>
      </c>
      <c r="I215">
        <f ca="1" t="shared" si="3"/>
        <v>13888.44</v>
      </c>
    </row>
    <row r="216" spans="1:9">
      <c r="A216">
        <v>28975.01</v>
      </c>
      <c r="B216">
        <v>308.66</v>
      </c>
      <c r="C216">
        <v>6363</v>
      </c>
      <c r="D216">
        <v>314.76</v>
      </c>
      <c r="E216">
        <v>2074.49</v>
      </c>
      <c r="F216">
        <v>204.28</v>
      </c>
      <c r="G216">
        <v>2542</v>
      </c>
      <c r="H216">
        <v>3107.77</v>
      </c>
      <c r="I216">
        <f ca="1" t="shared" si="3"/>
        <v>14060.05</v>
      </c>
    </row>
    <row r="217" spans="1:9">
      <c r="A217">
        <v>29414.1</v>
      </c>
      <c r="B217">
        <v>308.52</v>
      </c>
      <c r="C217">
        <v>6363</v>
      </c>
      <c r="D217">
        <v>314.76</v>
      </c>
      <c r="E217">
        <v>2105.38</v>
      </c>
      <c r="F217">
        <v>399.7</v>
      </c>
      <c r="G217">
        <v>2738</v>
      </c>
      <c r="H217">
        <v>3095.38</v>
      </c>
      <c r="I217">
        <f ca="1" t="shared" si="3"/>
        <v>14089.36</v>
      </c>
    </row>
    <row r="218" spans="1:9">
      <c r="A218">
        <v>30026.21</v>
      </c>
      <c r="B218">
        <v>308.55</v>
      </c>
      <c r="C218">
        <v>6363</v>
      </c>
      <c r="D218">
        <v>315.93</v>
      </c>
      <c r="E218">
        <v>2121.85</v>
      </c>
      <c r="F218">
        <v>704.95</v>
      </c>
      <c r="G218">
        <v>2674</v>
      </c>
      <c r="H218">
        <v>3104.72</v>
      </c>
      <c r="I218">
        <f ca="1" t="shared" si="3"/>
        <v>14433.21</v>
      </c>
    </row>
    <row r="219" spans="1:9">
      <c r="A219">
        <v>30521.15</v>
      </c>
      <c r="B219">
        <v>308.55</v>
      </c>
      <c r="C219">
        <v>6363</v>
      </c>
      <c r="D219">
        <v>315.93</v>
      </c>
      <c r="E219">
        <v>2120.82</v>
      </c>
      <c r="F219">
        <v>1128.34</v>
      </c>
      <c r="G219">
        <v>2948</v>
      </c>
      <c r="H219">
        <v>3098.28</v>
      </c>
      <c r="I219">
        <f ca="1" t="shared" si="3"/>
        <v>14238.23</v>
      </c>
    </row>
    <row r="220" spans="1:9">
      <c r="A220">
        <v>30982.14</v>
      </c>
      <c r="B220">
        <v>308.76</v>
      </c>
      <c r="C220">
        <v>6363</v>
      </c>
      <c r="D220">
        <v>315.93</v>
      </c>
      <c r="E220">
        <v>2119.79</v>
      </c>
      <c r="F220">
        <v>1655.41</v>
      </c>
      <c r="G220">
        <v>3221</v>
      </c>
      <c r="H220">
        <v>3081.43</v>
      </c>
      <c r="I220">
        <f ca="1" t="shared" si="3"/>
        <v>13916.82</v>
      </c>
    </row>
    <row r="221" spans="1:9">
      <c r="A221">
        <v>31195.67</v>
      </c>
      <c r="B221">
        <v>308.72</v>
      </c>
      <c r="C221">
        <v>6363</v>
      </c>
      <c r="D221">
        <v>315.93</v>
      </c>
      <c r="E221">
        <v>2119.79</v>
      </c>
      <c r="F221">
        <v>2252.67</v>
      </c>
      <c r="G221">
        <v>3495</v>
      </c>
      <c r="H221">
        <v>3064.24</v>
      </c>
      <c r="I221">
        <f ca="1" t="shared" si="3"/>
        <v>13276.32</v>
      </c>
    </row>
    <row r="222" spans="1:9">
      <c r="A222">
        <v>31865.81</v>
      </c>
      <c r="B222">
        <v>308.75</v>
      </c>
      <c r="C222">
        <v>6363</v>
      </c>
      <c r="D222">
        <v>313.81</v>
      </c>
      <c r="E222">
        <v>2097.13</v>
      </c>
      <c r="F222">
        <v>2913.26</v>
      </c>
      <c r="G222">
        <v>3356</v>
      </c>
      <c r="H222">
        <v>3064.16</v>
      </c>
      <c r="I222">
        <f ca="1" t="shared" si="3"/>
        <v>13449.7</v>
      </c>
    </row>
    <row r="223" spans="1:9">
      <c r="A223">
        <v>32337.75</v>
      </c>
      <c r="B223">
        <v>308.74</v>
      </c>
      <c r="C223">
        <v>6363</v>
      </c>
      <c r="D223">
        <v>313.81</v>
      </c>
      <c r="E223">
        <v>2051.81</v>
      </c>
      <c r="F223">
        <v>3573.62</v>
      </c>
      <c r="G223">
        <v>3626</v>
      </c>
      <c r="H223">
        <v>3074.43</v>
      </c>
      <c r="I223">
        <f ca="1" t="shared" si="3"/>
        <v>13026.34</v>
      </c>
    </row>
    <row r="224" spans="1:9">
      <c r="A224">
        <v>32785.61</v>
      </c>
      <c r="B224">
        <v>308.37</v>
      </c>
      <c r="C224">
        <v>6363</v>
      </c>
      <c r="D224">
        <v>313.81</v>
      </c>
      <c r="E224">
        <v>2000.31</v>
      </c>
      <c r="F224">
        <v>4235.88</v>
      </c>
      <c r="G224">
        <v>3897</v>
      </c>
      <c r="H224">
        <v>3085.94</v>
      </c>
      <c r="I224">
        <f ca="1" t="shared" si="3"/>
        <v>12581.3</v>
      </c>
    </row>
    <row r="225" spans="1:9">
      <c r="A225">
        <v>33421.8</v>
      </c>
      <c r="B225">
        <v>308.3</v>
      </c>
      <c r="C225">
        <v>6363</v>
      </c>
      <c r="D225">
        <v>313.81</v>
      </c>
      <c r="E225">
        <v>1952.93</v>
      </c>
      <c r="F225">
        <v>4899.59</v>
      </c>
      <c r="G225">
        <v>4167</v>
      </c>
      <c r="H225">
        <v>3089.68</v>
      </c>
      <c r="I225">
        <f ca="1" t="shared" si="3"/>
        <v>12327.49</v>
      </c>
    </row>
    <row r="226" spans="1:9">
      <c r="A226">
        <v>34394.16</v>
      </c>
      <c r="B226">
        <v>308.51</v>
      </c>
      <c r="C226">
        <v>6363</v>
      </c>
      <c r="D226">
        <v>315.77</v>
      </c>
      <c r="E226">
        <v>1899.37</v>
      </c>
      <c r="F226">
        <v>5536.23</v>
      </c>
      <c r="G226">
        <v>4328</v>
      </c>
      <c r="H226">
        <v>3067.92</v>
      </c>
      <c r="I226">
        <f ca="1" t="shared" si="3"/>
        <v>12575.36</v>
      </c>
    </row>
    <row r="227" spans="1:9">
      <c r="A227">
        <v>34867.2</v>
      </c>
      <c r="B227">
        <v>307.55</v>
      </c>
      <c r="C227">
        <v>6363</v>
      </c>
      <c r="D227">
        <v>315.77</v>
      </c>
      <c r="E227">
        <v>1845.82</v>
      </c>
      <c r="F227">
        <v>6122.76</v>
      </c>
      <c r="G227">
        <v>4788</v>
      </c>
      <c r="H227">
        <v>3064.55</v>
      </c>
      <c r="I227">
        <f ca="1" t="shared" si="3"/>
        <v>12059.75</v>
      </c>
    </row>
    <row r="228" spans="1:9">
      <c r="A228">
        <v>35334.77</v>
      </c>
      <c r="B228">
        <v>242.1</v>
      </c>
      <c r="C228">
        <v>6363</v>
      </c>
      <c r="D228">
        <v>315.77</v>
      </c>
      <c r="E228">
        <v>1792.27</v>
      </c>
      <c r="F228">
        <v>6706.08</v>
      </c>
      <c r="G228">
        <v>5252</v>
      </c>
      <c r="H228">
        <v>3063.11</v>
      </c>
      <c r="I228">
        <f ca="1" t="shared" si="3"/>
        <v>11600.44</v>
      </c>
    </row>
    <row r="229" spans="1:9">
      <c r="A229">
        <v>35755.25</v>
      </c>
      <c r="B229">
        <v>242.07</v>
      </c>
      <c r="C229">
        <v>6363</v>
      </c>
      <c r="D229">
        <v>315.77</v>
      </c>
      <c r="E229">
        <v>1740.76</v>
      </c>
      <c r="F229">
        <v>7235.21</v>
      </c>
      <c r="G229">
        <v>5757</v>
      </c>
      <c r="H229">
        <v>3054.53</v>
      </c>
      <c r="I229">
        <f ca="1" t="shared" si="3"/>
        <v>11046.91</v>
      </c>
    </row>
    <row r="230" spans="1:9">
      <c r="A230">
        <v>36316.98</v>
      </c>
      <c r="B230">
        <v>242</v>
      </c>
      <c r="C230">
        <v>6363</v>
      </c>
      <c r="D230">
        <v>316.73</v>
      </c>
      <c r="E230">
        <v>1704.7</v>
      </c>
      <c r="F230">
        <v>7701.13</v>
      </c>
      <c r="G230">
        <v>6371</v>
      </c>
      <c r="H230">
        <v>3059.3</v>
      </c>
      <c r="I230">
        <f ca="1" t="shared" si="3"/>
        <v>10559.12</v>
      </c>
    </row>
    <row r="231" spans="1:9">
      <c r="A231">
        <v>36671.76</v>
      </c>
      <c r="B231">
        <v>242.36</v>
      </c>
      <c r="C231">
        <v>6363</v>
      </c>
      <c r="D231">
        <v>316.73</v>
      </c>
      <c r="E231">
        <v>1683.08</v>
      </c>
      <c r="F231">
        <v>8096.98</v>
      </c>
      <c r="G231">
        <v>6484</v>
      </c>
      <c r="H231">
        <v>3059.94</v>
      </c>
      <c r="I231">
        <f ca="1" t="shared" si="3"/>
        <v>10425.67</v>
      </c>
    </row>
    <row r="232" spans="1:9">
      <c r="A232">
        <v>36983.84</v>
      </c>
      <c r="B232">
        <v>243.35</v>
      </c>
      <c r="C232">
        <v>6363</v>
      </c>
      <c r="D232">
        <v>316.73</v>
      </c>
      <c r="E232">
        <v>1667.62</v>
      </c>
      <c r="F232">
        <v>8442.91</v>
      </c>
      <c r="G232">
        <v>6676</v>
      </c>
      <c r="H232">
        <v>3068.5</v>
      </c>
      <c r="I232">
        <f ca="1" t="shared" si="3"/>
        <v>10205.73</v>
      </c>
    </row>
    <row r="233" spans="1:9">
      <c r="A233">
        <v>37109.76</v>
      </c>
      <c r="B233">
        <v>242.69</v>
      </c>
      <c r="C233">
        <v>6363</v>
      </c>
      <c r="D233">
        <v>316.73</v>
      </c>
      <c r="E233">
        <v>1650.1</v>
      </c>
      <c r="F233">
        <v>8731.12</v>
      </c>
      <c r="G233">
        <v>6868</v>
      </c>
      <c r="H233">
        <v>3079.67</v>
      </c>
      <c r="I233">
        <f ca="1" t="shared" si="3"/>
        <v>9858.45</v>
      </c>
    </row>
    <row r="234" spans="1:9">
      <c r="A234">
        <v>37506.15</v>
      </c>
      <c r="B234">
        <v>242.64</v>
      </c>
      <c r="C234">
        <v>6353</v>
      </c>
      <c r="D234">
        <v>326.65</v>
      </c>
      <c r="E234">
        <v>1639.8</v>
      </c>
      <c r="F234">
        <v>8967.76</v>
      </c>
      <c r="G234">
        <v>7375</v>
      </c>
      <c r="H234">
        <v>3086.65</v>
      </c>
      <c r="I234">
        <f ca="1" t="shared" si="3"/>
        <v>9514.65</v>
      </c>
    </row>
    <row r="235" spans="1:9">
      <c r="A235">
        <v>37604.7</v>
      </c>
      <c r="B235">
        <v>242.53</v>
      </c>
      <c r="C235">
        <v>6353</v>
      </c>
      <c r="D235">
        <v>326.65</v>
      </c>
      <c r="E235">
        <v>1634.66</v>
      </c>
      <c r="F235">
        <v>9169.89</v>
      </c>
      <c r="G235">
        <v>7265</v>
      </c>
      <c r="H235">
        <v>3068.5</v>
      </c>
      <c r="I235">
        <f ca="1" t="shared" si="3"/>
        <v>9544.47</v>
      </c>
    </row>
    <row r="236" spans="1:9">
      <c r="A236">
        <v>37859.84</v>
      </c>
      <c r="B236">
        <v>242.51</v>
      </c>
      <c r="C236">
        <v>6343</v>
      </c>
      <c r="D236">
        <v>326.65</v>
      </c>
      <c r="E236">
        <v>1633.62</v>
      </c>
      <c r="F236">
        <v>9320.13</v>
      </c>
      <c r="G236">
        <v>7024</v>
      </c>
      <c r="H236">
        <v>3072.13</v>
      </c>
      <c r="I236">
        <f ca="1" t="shared" si="3"/>
        <v>9897.79999999999</v>
      </c>
    </row>
    <row r="237" spans="1:9">
      <c r="A237">
        <v>37749.24</v>
      </c>
      <c r="B237">
        <v>242.55</v>
      </c>
      <c r="C237">
        <v>6343</v>
      </c>
      <c r="D237">
        <v>326.65</v>
      </c>
      <c r="E237">
        <v>1634.67</v>
      </c>
      <c r="F237">
        <v>9432.61</v>
      </c>
      <c r="G237">
        <v>6758</v>
      </c>
      <c r="H237">
        <v>3063.47</v>
      </c>
      <c r="I237">
        <f ca="1" t="shared" si="3"/>
        <v>9948.29</v>
      </c>
    </row>
    <row r="238" spans="1:9">
      <c r="A238">
        <v>37839.03</v>
      </c>
      <c r="B238">
        <v>241.39</v>
      </c>
      <c r="C238">
        <v>6343</v>
      </c>
      <c r="D238">
        <v>326.39</v>
      </c>
      <c r="E238">
        <v>1641.87</v>
      </c>
      <c r="F238">
        <v>9487.77</v>
      </c>
      <c r="G238">
        <v>6503</v>
      </c>
      <c r="H238">
        <v>3074.88</v>
      </c>
      <c r="I238">
        <f ca="1" t="shared" si="3"/>
        <v>10220.73</v>
      </c>
    </row>
    <row r="239" spans="1:9">
      <c r="A239">
        <v>37428.41</v>
      </c>
      <c r="B239">
        <v>241.25</v>
      </c>
      <c r="C239">
        <v>6363</v>
      </c>
      <c r="D239">
        <v>326.39</v>
      </c>
      <c r="E239">
        <v>1656.3</v>
      </c>
      <c r="F239">
        <v>9509.58</v>
      </c>
      <c r="G239">
        <v>5995</v>
      </c>
      <c r="H239">
        <v>3062.28</v>
      </c>
      <c r="I239">
        <f ca="1" t="shared" si="3"/>
        <v>10274.61</v>
      </c>
    </row>
    <row r="240" spans="1:9">
      <c r="A240">
        <v>37155.75</v>
      </c>
      <c r="B240">
        <v>240.8</v>
      </c>
      <c r="C240">
        <v>6363</v>
      </c>
      <c r="D240">
        <v>326.39</v>
      </c>
      <c r="E240">
        <v>1672.77</v>
      </c>
      <c r="F240">
        <v>9507.71</v>
      </c>
      <c r="G240">
        <v>5487</v>
      </c>
      <c r="H240">
        <v>3063.89</v>
      </c>
      <c r="I240">
        <f ca="1" t="shared" si="3"/>
        <v>10494.19</v>
      </c>
    </row>
    <row r="241" spans="1:9">
      <c r="A241">
        <v>36992.6</v>
      </c>
      <c r="B241">
        <v>241.27</v>
      </c>
      <c r="C241">
        <v>6363</v>
      </c>
      <c r="D241">
        <v>326.39</v>
      </c>
      <c r="E241">
        <v>1689.24</v>
      </c>
      <c r="F241">
        <v>9481.37</v>
      </c>
      <c r="G241">
        <v>4953</v>
      </c>
      <c r="H241">
        <v>3054.78</v>
      </c>
      <c r="I241">
        <f ca="1" t="shared" si="3"/>
        <v>10883.55</v>
      </c>
    </row>
    <row r="242" spans="1:9">
      <c r="A242">
        <v>37224.74</v>
      </c>
      <c r="B242">
        <v>241.98</v>
      </c>
      <c r="C242">
        <v>6363</v>
      </c>
      <c r="D242">
        <v>327.13</v>
      </c>
      <c r="E242">
        <v>1715.01</v>
      </c>
      <c r="F242">
        <v>9423.83</v>
      </c>
      <c r="G242">
        <v>4723</v>
      </c>
      <c r="H242">
        <v>3047.47</v>
      </c>
      <c r="I242">
        <f ca="1" t="shared" si="3"/>
        <v>11383.32</v>
      </c>
    </row>
    <row r="243" spans="1:9">
      <c r="A243">
        <v>37375.85</v>
      </c>
      <c r="B243">
        <v>242.16</v>
      </c>
      <c r="C243">
        <v>6363</v>
      </c>
      <c r="D243">
        <v>327.13</v>
      </c>
      <c r="E243">
        <v>1748.98</v>
      </c>
      <c r="F243">
        <v>9341.51</v>
      </c>
      <c r="G243">
        <v>4901</v>
      </c>
      <c r="H243">
        <v>3056.27</v>
      </c>
      <c r="I243">
        <f ca="1" t="shared" si="3"/>
        <v>11395.8</v>
      </c>
    </row>
    <row r="244" spans="1:9">
      <c r="A244">
        <v>37510.53</v>
      </c>
      <c r="B244">
        <v>241.74</v>
      </c>
      <c r="C244">
        <v>6363</v>
      </c>
      <c r="D244">
        <v>327.13</v>
      </c>
      <c r="E244">
        <v>1782.98</v>
      </c>
      <c r="F244">
        <v>9208.57</v>
      </c>
      <c r="G244">
        <v>5083</v>
      </c>
      <c r="H244">
        <v>3063.04</v>
      </c>
      <c r="I244">
        <f ca="1" t="shared" si="3"/>
        <v>11441.07</v>
      </c>
    </row>
    <row r="245" spans="1:9">
      <c r="A245">
        <v>37457.97</v>
      </c>
      <c r="B245">
        <v>241.04</v>
      </c>
      <c r="C245">
        <v>6363</v>
      </c>
      <c r="D245">
        <v>327.13</v>
      </c>
      <c r="E245">
        <v>1820.06</v>
      </c>
      <c r="F245">
        <v>9053.97</v>
      </c>
      <c r="G245">
        <v>5614</v>
      </c>
      <c r="H245">
        <v>3075.39</v>
      </c>
      <c r="I245">
        <f ca="1" t="shared" si="3"/>
        <v>10963.38</v>
      </c>
    </row>
    <row r="246" spans="1:9">
      <c r="A246">
        <v>37793.04</v>
      </c>
      <c r="B246">
        <v>241.39</v>
      </c>
      <c r="C246">
        <v>6363</v>
      </c>
      <c r="D246">
        <v>318.67</v>
      </c>
      <c r="E246">
        <v>1863.32</v>
      </c>
      <c r="F246">
        <v>8874.84</v>
      </c>
      <c r="G246">
        <v>6093</v>
      </c>
      <c r="H246">
        <v>3066.82</v>
      </c>
      <c r="I246">
        <f ca="1" t="shared" si="3"/>
        <v>10972</v>
      </c>
    </row>
    <row r="247" spans="1:9">
      <c r="A247">
        <v>37751.43</v>
      </c>
      <c r="B247">
        <v>241.16</v>
      </c>
      <c r="C247">
        <v>6363</v>
      </c>
      <c r="D247">
        <v>318.67</v>
      </c>
      <c r="E247">
        <v>1912.76</v>
      </c>
      <c r="F247">
        <v>8647.64</v>
      </c>
      <c r="G247">
        <v>6442</v>
      </c>
      <c r="H247">
        <v>3069.35</v>
      </c>
      <c r="I247">
        <f ca="1" t="shared" si="3"/>
        <v>10756.85</v>
      </c>
    </row>
    <row r="248" spans="1:9">
      <c r="A248">
        <v>37784.28</v>
      </c>
      <c r="B248">
        <v>241.34</v>
      </c>
      <c r="C248">
        <v>6363</v>
      </c>
      <c r="D248">
        <v>318.67</v>
      </c>
      <c r="E248">
        <v>1963.23</v>
      </c>
      <c r="F248">
        <v>8369.79</v>
      </c>
      <c r="G248">
        <v>6817</v>
      </c>
      <c r="H248">
        <v>3071.77</v>
      </c>
      <c r="I248">
        <f ca="1" t="shared" si="3"/>
        <v>10639.48</v>
      </c>
    </row>
    <row r="249" spans="1:9">
      <c r="A249">
        <v>37747.05</v>
      </c>
      <c r="B249">
        <v>241.36</v>
      </c>
      <c r="C249">
        <v>6363</v>
      </c>
      <c r="D249">
        <v>318.67</v>
      </c>
      <c r="E249">
        <v>2009.58</v>
      </c>
      <c r="F249">
        <v>8051.72</v>
      </c>
      <c r="G249">
        <v>7192</v>
      </c>
      <c r="H249">
        <v>3080.51</v>
      </c>
      <c r="I249">
        <f ca="1" t="shared" si="3"/>
        <v>10490.21</v>
      </c>
    </row>
    <row r="250" spans="1:9">
      <c r="A250">
        <v>37874.07</v>
      </c>
      <c r="B250">
        <v>241.15</v>
      </c>
      <c r="C250">
        <v>6363</v>
      </c>
      <c r="D250">
        <v>319.86</v>
      </c>
      <c r="E250">
        <v>2063.14</v>
      </c>
      <c r="F250">
        <v>7671.06</v>
      </c>
      <c r="G250">
        <v>7578</v>
      </c>
      <c r="H250">
        <v>3068.45</v>
      </c>
      <c r="I250">
        <f ca="1" t="shared" si="3"/>
        <v>10569.41</v>
      </c>
    </row>
    <row r="251" spans="1:9">
      <c r="A251">
        <v>37687.92</v>
      </c>
      <c r="B251">
        <v>239.56</v>
      </c>
      <c r="C251">
        <v>6363</v>
      </c>
      <c r="D251">
        <v>319.86</v>
      </c>
      <c r="E251">
        <v>2117.72</v>
      </c>
      <c r="F251">
        <v>7243.07</v>
      </c>
      <c r="G251">
        <v>7894</v>
      </c>
      <c r="H251">
        <v>3069.07</v>
      </c>
      <c r="I251">
        <f ca="1" t="shared" si="3"/>
        <v>10441.64</v>
      </c>
    </row>
    <row r="252" spans="1:9">
      <c r="A252">
        <v>37857.65</v>
      </c>
      <c r="B252">
        <v>239.55</v>
      </c>
      <c r="C252">
        <v>6363</v>
      </c>
      <c r="D252">
        <v>319.86</v>
      </c>
      <c r="E252">
        <v>2173.33</v>
      </c>
      <c r="F252">
        <v>6785.58</v>
      </c>
      <c r="G252">
        <v>8235</v>
      </c>
      <c r="H252">
        <v>3071.1</v>
      </c>
      <c r="I252">
        <f ca="1" t="shared" si="3"/>
        <v>10670.23</v>
      </c>
    </row>
    <row r="253" spans="1:9">
      <c r="A253">
        <v>37892.69</v>
      </c>
      <c r="B253">
        <v>239.35</v>
      </c>
      <c r="C253">
        <v>6363</v>
      </c>
      <c r="D253">
        <v>319.86</v>
      </c>
      <c r="E253">
        <v>2231.03</v>
      </c>
      <c r="F253">
        <v>6299.55</v>
      </c>
      <c r="G253">
        <v>8472</v>
      </c>
      <c r="H253">
        <v>3073</v>
      </c>
      <c r="I253">
        <f ca="1" t="shared" si="3"/>
        <v>10894.9</v>
      </c>
    </row>
    <row r="254" spans="1:9">
      <c r="A254">
        <v>37956.2</v>
      </c>
      <c r="B254">
        <v>239.39</v>
      </c>
      <c r="C254">
        <v>6363</v>
      </c>
      <c r="D254">
        <v>320.58</v>
      </c>
      <c r="E254">
        <v>2288.69</v>
      </c>
      <c r="F254">
        <v>5765.79</v>
      </c>
      <c r="G254">
        <v>8129</v>
      </c>
      <c r="H254">
        <v>3071.18</v>
      </c>
      <c r="I254">
        <f ca="1" t="shared" si="3"/>
        <v>11778.57</v>
      </c>
    </row>
    <row r="255" spans="1:9">
      <c r="A255">
        <v>38000</v>
      </c>
      <c r="B255">
        <v>240.85</v>
      </c>
      <c r="C255">
        <v>6363</v>
      </c>
      <c r="D255">
        <v>320.58</v>
      </c>
      <c r="E255">
        <v>2347.42</v>
      </c>
      <c r="F255">
        <v>5187.93</v>
      </c>
      <c r="G255">
        <v>8102</v>
      </c>
      <c r="H255">
        <v>3074.32</v>
      </c>
      <c r="I255">
        <f ca="1" t="shared" si="3"/>
        <v>12363.9</v>
      </c>
    </row>
    <row r="256" spans="1:9">
      <c r="A256">
        <v>37725.15</v>
      </c>
      <c r="B256">
        <v>241.02</v>
      </c>
      <c r="C256">
        <v>6363</v>
      </c>
      <c r="D256">
        <v>320.58</v>
      </c>
      <c r="E256">
        <v>2409.2</v>
      </c>
      <c r="F256">
        <v>4594.47</v>
      </c>
      <c r="G256">
        <v>8077</v>
      </c>
      <c r="H256">
        <v>3066.9</v>
      </c>
      <c r="I256">
        <f ca="1" t="shared" si="3"/>
        <v>12652.98</v>
      </c>
    </row>
    <row r="257" spans="1:9">
      <c r="A257">
        <v>37725.15</v>
      </c>
      <c r="B257">
        <v>341.65</v>
      </c>
      <c r="C257">
        <v>6363</v>
      </c>
      <c r="D257">
        <v>320.58</v>
      </c>
      <c r="E257">
        <v>2469.98</v>
      </c>
      <c r="F257">
        <v>4003.64</v>
      </c>
      <c r="G257">
        <v>8537</v>
      </c>
      <c r="H257">
        <v>3078.47</v>
      </c>
      <c r="I257">
        <f ca="1" t="shared" si="3"/>
        <v>12610.83</v>
      </c>
    </row>
    <row r="258" spans="1:9">
      <c r="A258">
        <v>37860.93</v>
      </c>
      <c r="B258">
        <v>343.14</v>
      </c>
      <c r="C258">
        <v>6363</v>
      </c>
      <c r="D258">
        <v>319.43</v>
      </c>
      <c r="E258">
        <v>2548.25</v>
      </c>
      <c r="F258">
        <v>3442.3</v>
      </c>
      <c r="G258">
        <v>8553</v>
      </c>
      <c r="H258">
        <v>3065.93</v>
      </c>
      <c r="I258">
        <f ca="1" t="shared" si="3"/>
        <v>13225.88</v>
      </c>
    </row>
    <row r="259" spans="1:9">
      <c r="A259">
        <v>37777.71</v>
      </c>
      <c r="B259">
        <v>343.19</v>
      </c>
      <c r="C259">
        <v>6363</v>
      </c>
      <c r="D259">
        <v>319.43</v>
      </c>
      <c r="E259">
        <v>2633.74</v>
      </c>
      <c r="F259">
        <v>2836.02</v>
      </c>
      <c r="G259">
        <v>8417</v>
      </c>
      <c r="H259">
        <v>3078.55</v>
      </c>
      <c r="I259">
        <f ca="1" t="shared" ref="I259:I322" si="4">A259-B259-C259-D259-E259-F259-G259-H259</f>
        <v>13786.78</v>
      </c>
    </row>
    <row r="260" spans="1:9">
      <c r="A260">
        <v>37539</v>
      </c>
      <c r="B260">
        <v>409.1</v>
      </c>
      <c r="C260">
        <v>6363</v>
      </c>
      <c r="D260">
        <v>319.43</v>
      </c>
      <c r="E260">
        <v>2723.35</v>
      </c>
      <c r="F260">
        <v>2262.14</v>
      </c>
      <c r="G260">
        <v>8280</v>
      </c>
      <c r="H260">
        <v>3067.73</v>
      </c>
      <c r="I260">
        <f ca="1" t="shared" si="4"/>
        <v>14114.25</v>
      </c>
    </row>
    <row r="261" spans="1:9">
      <c r="A261">
        <v>36906.09</v>
      </c>
      <c r="B261">
        <v>406.39</v>
      </c>
      <c r="C261">
        <v>6363</v>
      </c>
      <c r="D261">
        <v>319.43</v>
      </c>
      <c r="E261">
        <v>2817.09</v>
      </c>
      <c r="F261">
        <v>1730.83</v>
      </c>
      <c r="G261">
        <v>8300</v>
      </c>
      <c r="H261">
        <v>3071.42</v>
      </c>
      <c r="I261">
        <f ca="1" t="shared" si="4"/>
        <v>13897.93</v>
      </c>
    </row>
    <row r="262" spans="1:9">
      <c r="A262">
        <v>36640.01</v>
      </c>
      <c r="B262">
        <v>407.43</v>
      </c>
      <c r="C262">
        <v>6363</v>
      </c>
      <c r="D262">
        <v>309.8</v>
      </c>
      <c r="E262">
        <v>2943.79</v>
      </c>
      <c r="F262">
        <v>1292.1</v>
      </c>
      <c r="G262">
        <v>8504</v>
      </c>
      <c r="H262">
        <v>3076.91</v>
      </c>
      <c r="I262">
        <f ca="1" t="shared" si="4"/>
        <v>13742.98</v>
      </c>
    </row>
    <row r="263" spans="1:9">
      <c r="A263">
        <v>36532.7</v>
      </c>
      <c r="B263">
        <v>406.51</v>
      </c>
      <c r="C263">
        <v>6363</v>
      </c>
      <c r="D263">
        <v>309.8</v>
      </c>
      <c r="E263">
        <v>3095.2</v>
      </c>
      <c r="F263">
        <v>894.45</v>
      </c>
      <c r="G263">
        <v>8637</v>
      </c>
      <c r="H263">
        <v>3077.27</v>
      </c>
      <c r="I263">
        <f ca="1" t="shared" si="4"/>
        <v>13749.47</v>
      </c>
    </row>
    <row r="264" spans="1:9">
      <c r="A264">
        <v>36350.93</v>
      </c>
      <c r="B264">
        <v>406.28</v>
      </c>
      <c r="C264">
        <v>6363</v>
      </c>
      <c r="D264">
        <v>309.8</v>
      </c>
      <c r="E264">
        <v>3252.77</v>
      </c>
      <c r="F264">
        <v>565.24</v>
      </c>
      <c r="G264">
        <v>8772</v>
      </c>
      <c r="H264">
        <v>3071.91</v>
      </c>
      <c r="I264">
        <f ca="1" t="shared" si="4"/>
        <v>13609.93</v>
      </c>
    </row>
    <row r="265" spans="1:9">
      <c r="A265">
        <v>36263.33</v>
      </c>
      <c r="B265">
        <v>406.42</v>
      </c>
      <c r="C265">
        <v>6363</v>
      </c>
      <c r="D265">
        <v>309.8</v>
      </c>
      <c r="E265">
        <v>3411.4</v>
      </c>
      <c r="F265">
        <v>314.17</v>
      </c>
      <c r="G265">
        <v>8934</v>
      </c>
      <c r="H265">
        <v>3085.8</v>
      </c>
      <c r="I265">
        <f ca="1" t="shared" si="4"/>
        <v>13438.74</v>
      </c>
    </row>
    <row r="266" spans="1:9">
      <c r="A266">
        <v>36074.99</v>
      </c>
      <c r="B266">
        <v>405.57</v>
      </c>
      <c r="C266">
        <v>6363</v>
      </c>
      <c r="D266">
        <v>310.14</v>
      </c>
      <c r="E266">
        <v>3587.53</v>
      </c>
      <c r="F266">
        <v>132.82</v>
      </c>
      <c r="G266">
        <v>8942</v>
      </c>
      <c r="H266">
        <v>3076.65</v>
      </c>
      <c r="I266">
        <f ca="1" t="shared" si="4"/>
        <v>13257.28</v>
      </c>
    </row>
    <row r="267" spans="1:9">
      <c r="A267">
        <v>36091.41</v>
      </c>
      <c r="B267">
        <v>402.72</v>
      </c>
      <c r="C267">
        <v>6363</v>
      </c>
      <c r="D267">
        <v>310.14</v>
      </c>
      <c r="E267">
        <v>3781.16</v>
      </c>
      <c r="F267">
        <v>55.71</v>
      </c>
      <c r="G267">
        <v>8989</v>
      </c>
      <c r="H267">
        <v>3057.26</v>
      </c>
      <c r="I267">
        <f ca="1" t="shared" si="4"/>
        <v>13132.42</v>
      </c>
    </row>
    <row r="268" spans="1:9">
      <c r="A268">
        <v>36221.72</v>
      </c>
      <c r="B268">
        <v>402.69</v>
      </c>
      <c r="C268">
        <v>6363</v>
      </c>
      <c r="D268">
        <v>310.14</v>
      </c>
      <c r="E268">
        <v>3976.85</v>
      </c>
      <c r="F268">
        <v>4.57</v>
      </c>
      <c r="G268">
        <v>8726</v>
      </c>
      <c r="H268">
        <v>3055.05</v>
      </c>
      <c r="I268">
        <f ca="1" t="shared" si="4"/>
        <v>13383.42</v>
      </c>
    </row>
    <row r="269" spans="1:9">
      <c r="A269">
        <v>36291.8</v>
      </c>
      <c r="B269">
        <v>402.83</v>
      </c>
      <c r="C269">
        <v>6363</v>
      </c>
      <c r="D269">
        <v>310.14</v>
      </c>
      <c r="E269">
        <v>4169.48</v>
      </c>
      <c r="F269">
        <v>0</v>
      </c>
      <c r="G269">
        <v>8461</v>
      </c>
      <c r="H269">
        <v>3074.41</v>
      </c>
      <c r="I269">
        <f ca="1" t="shared" si="4"/>
        <v>13510.94</v>
      </c>
    </row>
    <row r="270" spans="1:9">
      <c r="A270">
        <v>36690.38</v>
      </c>
      <c r="B270">
        <v>340.52</v>
      </c>
      <c r="C270">
        <v>6363</v>
      </c>
      <c r="D270">
        <v>318.74</v>
      </c>
      <c r="E270">
        <v>4340.47</v>
      </c>
      <c r="F270">
        <v>0</v>
      </c>
      <c r="G270">
        <v>8195</v>
      </c>
      <c r="H270">
        <v>3084.8</v>
      </c>
      <c r="I270">
        <f ca="1" t="shared" si="4"/>
        <v>14047.85</v>
      </c>
    </row>
    <row r="271" spans="1:9">
      <c r="A271">
        <v>36675.05</v>
      </c>
      <c r="B271">
        <v>340.58</v>
      </c>
      <c r="C271">
        <v>6363</v>
      </c>
      <c r="D271">
        <v>318.74</v>
      </c>
      <c r="E271">
        <v>4494.95</v>
      </c>
      <c r="F271">
        <v>0</v>
      </c>
      <c r="G271">
        <v>8167</v>
      </c>
      <c r="H271">
        <v>3086</v>
      </c>
      <c r="I271">
        <f ca="1" t="shared" si="4"/>
        <v>13904.78</v>
      </c>
    </row>
    <row r="272" spans="1:9">
      <c r="A272">
        <v>36598.4</v>
      </c>
      <c r="B272">
        <v>340.55</v>
      </c>
      <c r="C272">
        <v>6363</v>
      </c>
      <c r="D272">
        <v>318.74</v>
      </c>
      <c r="E272">
        <v>4642.25</v>
      </c>
      <c r="F272">
        <v>0</v>
      </c>
      <c r="G272">
        <v>8140</v>
      </c>
      <c r="H272">
        <v>3090.34</v>
      </c>
      <c r="I272">
        <f ca="1" t="shared" si="4"/>
        <v>13703.52</v>
      </c>
    </row>
    <row r="273" spans="1:9">
      <c r="A273">
        <v>36303.84</v>
      </c>
      <c r="B273">
        <v>340.5</v>
      </c>
      <c r="C273">
        <v>6363</v>
      </c>
      <c r="D273">
        <v>318.74</v>
      </c>
      <c r="E273">
        <v>4778.21</v>
      </c>
      <c r="F273">
        <v>0</v>
      </c>
      <c r="G273">
        <v>8112</v>
      </c>
      <c r="H273">
        <v>3094.41</v>
      </c>
      <c r="I273">
        <f ca="1" t="shared" si="4"/>
        <v>13296.98</v>
      </c>
    </row>
    <row r="274" spans="1:9">
      <c r="A274">
        <v>35941.4</v>
      </c>
      <c r="B274">
        <v>301.29</v>
      </c>
      <c r="C274">
        <v>6363</v>
      </c>
      <c r="D274">
        <v>331.69</v>
      </c>
      <c r="E274">
        <v>4898.72</v>
      </c>
      <c r="F274">
        <v>0</v>
      </c>
      <c r="G274">
        <v>8087</v>
      </c>
      <c r="H274">
        <v>3082.26</v>
      </c>
      <c r="I274">
        <f ca="1" t="shared" si="4"/>
        <v>12877.44</v>
      </c>
    </row>
    <row r="275" spans="1:9">
      <c r="A275">
        <v>35670.93</v>
      </c>
      <c r="B275">
        <v>301.32</v>
      </c>
      <c r="C275">
        <v>6363</v>
      </c>
      <c r="D275">
        <v>331.69</v>
      </c>
      <c r="E275">
        <v>4951.25</v>
      </c>
      <c r="F275">
        <v>0</v>
      </c>
      <c r="G275">
        <v>7833</v>
      </c>
      <c r="H275">
        <v>3097.01</v>
      </c>
      <c r="I275">
        <f ca="1" t="shared" si="4"/>
        <v>12793.66</v>
      </c>
    </row>
    <row r="276" spans="1:9">
      <c r="A276">
        <v>35322.72</v>
      </c>
      <c r="B276">
        <v>301.13</v>
      </c>
      <c r="C276">
        <v>6363</v>
      </c>
      <c r="D276">
        <v>331.69</v>
      </c>
      <c r="E276">
        <v>4995.54</v>
      </c>
      <c r="F276">
        <v>0</v>
      </c>
      <c r="G276">
        <v>7579</v>
      </c>
      <c r="H276">
        <v>3077.41</v>
      </c>
      <c r="I276">
        <f ca="1" t="shared" si="4"/>
        <v>12674.95</v>
      </c>
    </row>
    <row r="277" spans="1:9">
      <c r="A277">
        <v>34801.5</v>
      </c>
      <c r="B277">
        <v>301.12</v>
      </c>
      <c r="C277">
        <v>6363</v>
      </c>
      <c r="D277">
        <v>331.69</v>
      </c>
      <c r="E277">
        <v>5030.55</v>
      </c>
      <c r="F277">
        <v>0</v>
      </c>
      <c r="G277">
        <v>7326</v>
      </c>
      <c r="H277">
        <v>3080.09</v>
      </c>
      <c r="I277">
        <f ca="1" t="shared" si="4"/>
        <v>12369.05</v>
      </c>
    </row>
    <row r="278" spans="1:9">
      <c r="A278">
        <v>34627.4</v>
      </c>
      <c r="B278">
        <v>301.06</v>
      </c>
      <c r="C278">
        <v>6363</v>
      </c>
      <c r="D278">
        <v>330.82</v>
      </c>
      <c r="E278">
        <v>5040.85</v>
      </c>
      <c r="F278">
        <v>0</v>
      </c>
      <c r="G278">
        <v>7095</v>
      </c>
      <c r="H278">
        <v>3065.88</v>
      </c>
      <c r="I278">
        <f ca="1" t="shared" si="4"/>
        <v>12430.79</v>
      </c>
    </row>
    <row r="279" spans="1:9">
      <c r="A279">
        <v>34084.28</v>
      </c>
      <c r="B279">
        <v>300.95</v>
      </c>
      <c r="C279">
        <v>6363</v>
      </c>
      <c r="D279">
        <v>330.82</v>
      </c>
      <c r="E279">
        <v>5021.27</v>
      </c>
      <c r="F279">
        <v>0</v>
      </c>
      <c r="G279">
        <v>7147</v>
      </c>
      <c r="H279">
        <v>3053.81</v>
      </c>
      <c r="I279">
        <f ca="1" t="shared" si="4"/>
        <v>11867.43</v>
      </c>
    </row>
    <row r="280" spans="1:9">
      <c r="A280">
        <v>33494.07</v>
      </c>
      <c r="B280">
        <v>300.97</v>
      </c>
      <c r="C280">
        <v>6363</v>
      </c>
      <c r="D280">
        <v>330.82</v>
      </c>
      <c r="E280">
        <v>4996.57</v>
      </c>
      <c r="F280">
        <v>0</v>
      </c>
      <c r="G280">
        <v>6944</v>
      </c>
      <c r="H280">
        <v>3043.61</v>
      </c>
      <c r="I280">
        <f ca="1" t="shared" si="4"/>
        <v>11515.1</v>
      </c>
    </row>
    <row r="281" spans="1:9">
      <c r="A281">
        <v>32920.29</v>
      </c>
      <c r="B281">
        <v>299.82</v>
      </c>
      <c r="C281">
        <v>6363</v>
      </c>
      <c r="D281">
        <v>330.82</v>
      </c>
      <c r="E281">
        <v>4972.88</v>
      </c>
      <c r="F281">
        <v>0</v>
      </c>
      <c r="G281">
        <v>6996</v>
      </c>
      <c r="H281">
        <v>3042.3</v>
      </c>
      <c r="I281">
        <f ca="1" t="shared" si="4"/>
        <v>10915.47</v>
      </c>
    </row>
    <row r="282" spans="1:9">
      <c r="A282">
        <v>32872.11</v>
      </c>
      <c r="B282">
        <v>299.34</v>
      </c>
      <c r="C282">
        <v>6363</v>
      </c>
      <c r="D282">
        <v>316.16</v>
      </c>
      <c r="E282">
        <v>4926.51</v>
      </c>
      <c r="F282">
        <v>0</v>
      </c>
      <c r="G282">
        <v>7142</v>
      </c>
      <c r="H282">
        <v>3044.9</v>
      </c>
      <c r="I282">
        <f ca="1" t="shared" si="4"/>
        <v>10780.2</v>
      </c>
    </row>
    <row r="283" spans="1:9">
      <c r="A283">
        <v>32353.08</v>
      </c>
      <c r="B283">
        <v>298.96</v>
      </c>
      <c r="C283">
        <v>6363</v>
      </c>
      <c r="D283">
        <v>316.16</v>
      </c>
      <c r="E283">
        <v>4861.62</v>
      </c>
      <c r="F283">
        <v>0</v>
      </c>
      <c r="G283">
        <v>6548</v>
      </c>
      <c r="H283">
        <v>3045.76</v>
      </c>
      <c r="I283">
        <f ca="1" t="shared" si="4"/>
        <v>10919.58</v>
      </c>
    </row>
    <row r="284" spans="1:9">
      <c r="A284">
        <v>31825.29</v>
      </c>
      <c r="B284">
        <v>298.94</v>
      </c>
      <c r="C284">
        <v>6363</v>
      </c>
      <c r="D284">
        <v>316.16</v>
      </c>
      <c r="E284">
        <v>4792.62</v>
      </c>
      <c r="F284">
        <v>0</v>
      </c>
      <c r="G284">
        <v>5642</v>
      </c>
      <c r="H284">
        <v>3050.91</v>
      </c>
      <c r="I284">
        <f ca="1" t="shared" si="4"/>
        <v>11361.66</v>
      </c>
    </row>
    <row r="285" spans="1:9">
      <c r="A285">
        <v>31290.93</v>
      </c>
      <c r="B285">
        <v>299.01</v>
      </c>
      <c r="C285">
        <v>6363</v>
      </c>
      <c r="D285">
        <v>316.16</v>
      </c>
      <c r="E285">
        <v>4711.24</v>
      </c>
      <c r="F285">
        <v>0</v>
      </c>
      <c r="G285">
        <v>4866</v>
      </c>
      <c r="H285">
        <v>3057.68</v>
      </c>
      <c r="I285">
        <f ca="1" t="shared" si="4"/>
        <v>11677.84</v>
      </c>
    </row>
    <row r="286" spans="1:9">
      <c r="A286">
        <v>30762.05</v>
      </c>
      <c r="B286">
        <v>298.94</v>
      </c>
      <c r="C286">
        <v>6363</v>
      </c>
      <c r="D286">
        <v>316.2</v>
      </c>
      <c r="E286">
        <v>4630.91</v>
      </c>
      <c r="F286">
        <v>0</v>
      </c>
      <c r="G286">
        <v>4692</v>
      </c>
      <c r="H286">
        <v>3048.18</v>
      </c>
      <c r="I286">
        <f ca="1" t="shared" si="4"/>
        <v>11412.82</v>
      </c>
    </row>
    <row r="287" spans="1:9">
      <c r="A287">
        <v>30295.58</v>
      </c>
      <c r="B287">
        <v>298.85</v>
      </c>
      <c r="C287">
        <v>6363</v>
      </c>
      <c r="D287">
        <v>316.2</v>
      </c>
      <c r="E287">
        <v>4544.39</v>
      </c>
      <c r="F287">
        <v>0</v>
      </c>
      <c r="G287">
        <v>4348</v>
      </c>
      <c r="H287">
        <v>3052.39</v>
      </c>
      <c r="I287">
        <f ca="1" t="shared" si="4"/>
        <v>11372.75</v>
      </c>
    </row>
    <row r="288" spans="1:9">
      <c r="A288">
        <v>29866.34</v>
      </c>
      <c r="B288">
        <v>298.95</v>
      </c>
      <c r="C288">
        <v>6363</v>
      </c>
      <c r="D288">
        <v>316.2</v>
      </c>
      <c r="E288">
        <v>4451.71</v>
      </c>
      <c r="F288">
        <v>0</v>
      </c>
      <c r="G288">
        <v>3772</v>
      </c>
      <c r="H288">
        <v>3042.05</v>
      </c>
      <c r="I288">
        <f ca="1" t="shared" si="4"/>
        <v>11622.43</v>
      </c>
    </row>
    <row r="289" spans="1:9">
      <c r="A289">
        <v>29334.17</v>
      </c>
      <c r="B289">
        <v>298.86</v>
      </c>
      <c r="C289">
        <v>6363</v>
      </c>
      <c r="D289">
        <v>316.2</v>
      </c>
      <c r="E289">
        <v>4371.35</v>
      </c>
      <c r="F289">
        <v>0</v>
      </c>
      <c r="G289">
        <v>3403</v>
      </c>
      <c r="H289">
        <v>3057.35</v>
      </c>
      <c r="I289">
        <f ca="1" t="shared" si="4"/>
        <v>11524.41</v>
      </c>
    </row>
    <row r="290" spans="1:9">
      <c r="A290">
        <v>28479.68</v>
      </c>
      <c r="B290">
        <v>338.2</v>
      </c>
      <c r="C290">
        <v>6366</v>
      </c>
      <c r="D290">
        <v>316.18</v>
      </c>
      <c r="E290">
        <v>3929.5</v>
      </c>
      <c r="F290">
        <v>0</v>
      </c>
      <c r="G290">
        <v>2698</v>
      </c>
      <c r="H290">
        <v>3046.34</v>
      </c>
      <c r="I290">
        <f ca="1" t="shared" si="4"/>
        <v>11785.46</v>
      </c>
    </row>
    <row r="291" spans="1:9">
      <c r="A291">
        <v>28343</v>
      </c>
      <c r="B291">
        <v>345.62</v>
      </c>
      <c r="C291">
        <v>6366</v>
      </c>
      <c r="D291">
        <v>316.18</v>
      </c>
      <c r="E291">
        <v>3816.19</v>
      </c>
      <c r="F291">
        <v>0</v>
      </c>
      <c r="G291">
        <v>2658</v>
      </c>
      <c r="H291">
        <v>3042.7</v>
      </c>
      <c r="I291">
        <f ca="1" t="shared" si="4"/>
        <v>11798.31</v>
      </c>
    </row>
    <row r="292" spans="1:9">
      <c r="A292">
        <v>27877.88</v>
      </c>
      <c r="B292">
        <v>348.26</v>
      </c>
      <c r="C292">
        <v>6366</v>
      </c>
      <c r="D292">
        <v>316.18</v>
      </c>
      <c r="E292">
        <v>3701.88</v>
      </c>
      <c r="F292">
        <v>0</v>
      </c>
      <c r="G292">
        <v>2615</v>
      </c>
      <c r="H292">
        <v>3044.47</v>
      </c>
      <c r="I292">
        <f ca="1" t="shared" si="4"/>
        <v>11486.09</v>
      </c>
    </row>
    <row r="293" spans="1:9">
      <c r="A293">
        <v>27618.8</v>
      </c>
      <c r="B293">
        <v>348.39</v>
      </c>
      <c r="C293">
        <v>6366</v>
      </c>
      <c r="D293">
        <v>316.18</v>
      </c>
      <c r="E293">
        <v>3585.48</v>
      </c>
      <c r="F293">
        <v>0</v>
      </c>
      <c r="G293">
        <v>2574</v>
      </c>
      <c r="H293">
        <v>3059.9</v>
      </c>
      <c r="I293">
        <f ca="1" t="shared" si="4"/>
        <v>11368.85</v>
      </c>
    </row>
    <row r="294" spans="1:9">
      <c r="A294">
        <v>27480.08</v>
      </c>
      <c r="B294">
        <v>349.13</v>
      </c>
      <c r="C294">
        <v>6366</v>
      </c>
      <c r="D294">
        <v>305.04</v>
      </c>
      <c r="E294">
        <v>3483.52</v>
      </c>
      <c r="F294">
        <v>0</v>
      </c>
      <c r="G294">
        <v>2495</v>
      </c>
      <c r="H294">
        <v>3062.98</v>
      </c>
      <c r="I294">
        <f ca="1" t="shared" si="4"/>
        <v>11418.41</v>
      </c>
    </row>
    <row r="295" spans="1:9">
      <c r="A295">
        <v>27233.24</v>
      </c>
      <c r="B295">
        <v>349.99</v>
      </c>
      <c r="C295">
        <v>6366</v>
      </c>
      <c r="D295">
        <v>305.04</v>
      </c>
      <c r="E295">
        <v>3398.03</v>
      </c>
      <c r="F295">
        <v>0</v>
      </c>
      <c r="G295">
        <v>2466</v>
      </c>
      <c r="H295">
        <v>3066.81</v>
      </c>
      <c r="I295">
        <f ca="1" t="shared" si="4"/>
        <v>11281.37</v>
      </c>
    </row>
    <row r="296" spans="1:9">
      <c r="A296">
        <v>27125.12</v>
      </c>
      <c r="B296">
        <v>350</v>
      </c>
      <c r="C296">
        <v>6366</v>
      </c>
      <c r="D296">
        <v>305.04</v>
      </c>
      <c r="E296">
        <v>3317.68</v>
      </c>
      <c r="F296">
        <v>0</v>
      </c>
      <c r="G296">
        <v>2434</v>
      </c>
      <c r="H296">
        <v>3072.18</v>
      </c>
      <c r="I296">
        <f ca="1" t="shared" si="4"/>
        <v>11280.22</v>
      </c>
    </row>
    <row r="297" spans="1:9">
      <c r="A297">
        <v>26924.18</v>
      </c>
      <c r="B297">
        <v>350.19</v>
      </c>
      <c r="C297">
        <v>6366</v>
      </c>
      <c r="D297">
        <v>305.04</v>
      </c>
      <c r="E297">
        <v>3240.42</v>
      </c>
      <c r="F297">
        <v>0</v>
      </c>
      <c r="G297">
        <v>2402</v>
      </c>
      <c r="H297">
        <v>3080.34</v>
      </c>
      <c r="I297">
        <f ca="1" t="shared" si="4"/>
        <v>11180.19</v>
      </c>
    </row>
    <row r="298" spans="1:9">
      <c r="A298">
        <v>26755.88</v>
      </c>
      <c r="B298">
        <v>350.28</v>
      </c>
      <c r="C298">
        <v>6366</v>
      </c>
      <c r="D298">
        <v>304.76</v>
      </c>
      <c r="E298">
        <v>3179.65</v>
      </c>
      <c r="F298">
        <v>0</v>
      </c>
      <c r="G298">
        <v>2400</v>
      </c>
      <c r="H298">
        <v>3084.05</v>
      </c>
      <c r="I298">
        <f ca="1" t="shared" si="4"/>
        <v>11071.14</v>
      </c>
    </row>
    <row r="299" spans="1:9">
      <c r="A299">
        <v>26534.54</v>
      </c>
      <c r="B299">
        <v>350.41</v>
      </c>
      <c r="C299">
        <v>6366</v>
      </c>
      <c r="D299">
        <v>304.76</v>
      </c>
      <c r="E299">
        <v>3126.09</v>
      </c>
      <c r="F299">
        <v>0</v>
      </c>
      <c r="G299">
        <v>2376</v>
      </c>
      <c r="H299">
        <v>3088.09</v>
      </c>
      <c r="I299">
        <f ca="1" t="shared" si="4"/>
        <v>10923.19</v>
      </c>
    </row>
    <row r="300" spans="1:9">
      <c r="A300">
        <v>26354</v>
      </c>
      <c r="B300">
        <v>350.42</v>
      </c>
      <c r="C300">
        <v>6366</v>
      </c>
      <c r="D300">
        <v>304.76</v>
      </c>
      <c r="E300">
        <v>3078.71</v>
      </c>
      <c r="F300">
        <v>0</v>
      </c>
      <c r="G300">
        <v>2352</v>
      </c>
      <c r="H300">
        <v>3077.29</v>
      </c>
      <c r="I300">
        <f ca="1" t="shared" si="4"/>
        <v>10824.82</v>
      </c>
    </row>
    <row r="301" spans="1:9">
      <c r="A301">
        <v>26295.86</v>
      </c>
      <c r="B301">
        <v>350.55</v>
      </c>
      <c r="C301">
        <v>6366</v>
      </c>
      <c r="D301">
        <v>304.76</v>
      </c>
      <c r="E301">
        <v>3034.42</v>
      </c>
      <c r="F301">
        <v>0</v>
      </c>
      <c r="G301">
        <v>2328</v>
      </c>
      <c r="H301">
        <v>3082.7</v>
      </c>
      <c r="I301">
        <f ca="1" t="shared" si="4"/>
        <v>10829.43</v>
      </c>
    </row>
    <row r="302" spans="1:9">
      <c r="A302">
        <v>26242.82</v>
      </c>
      <c r="B302">
        <v>349.4</v>
      </c>
      <c r="C302">
        <v>6366</v>
      </c>
      <c r="D302">
        <v>315.72</v>
      </c>
      <c r="E302">
        <v>2999.42</v>
      </c>
      <c r="F302">
        <v>0</v>
      </c>
      <c r="G302">
        <v>2242</v>
      </c>
      <c r="H302">
        <v>3083.4</v>
      </c>
      <c r="I302">
        <f ca="1" t="shared" si="4"/>
        <v>10886.88</v>
      </c>
    </row>
    <row r="303" spans="1:9">
      <c r="A303">
        <v>26329.52</v>
      </c>
      <c r="B303">
        <v>349.19</v>
      </c>
      <c r="C303">
        <v>6366</v>
      </c>
      <c r="D303">
        <v>315.72</v>
      </c>
      <c r="E303">
        <v>2973.66</v>
      </c>
      <c r="F303">
        <v>0</v>
      </c>
      <c r="G303">
        <v>2240</v>
      </c>
      <c r="H303">
        <v>3089.2</v>
      </c>
      <c r="I303">
        <f ca="1" t="shared" si="4"/>
        <v>10995.75</v>
      </c>
    </row>
    <row r="304" spans="1:9">
      <c r="A304">
        <v>26205.08</v>
      </c>
      <c r="B304">
        <v>349.24</v>
      </c>
      <c r="C304">
        <v>6366</v>
      </c>
      <c r="D304">
        <v>315.72</v>
      </c>
      <c r="E304">
        <v>2949.98</v>
      </c>
      <c r="F304">
        <v>0</v>
      </c>
      <c r="G304">
        <v>2238</v>
      </c>
      <c r="H304">
        <v>3095.56</v>
      </c>
      <c r="I304">
        <f ca="1" t="shared" si="4"/>
        <v>10890.58</v>
      </c>
    </row>
    <row r="305" spans="1:9">
      <c r="A305">
        <v>26150</v>
      </c>
      <c r="B305">
        <v>349.35</v>
      </c>
      <c r="C305">
        <v>6366</v>
      </c>
      <c r="D305">
        <v>315.72</v>
      </c>
      <c r="E305">
        <v>2925.25</v>
      </c>
      <c r="F305">
        <v>0</v>
      </c>
      <c r="G305">
        <v>2236</v>
      </c>
      <c r="H305">
        <v>3101.17</v>
      </c>
      <c r="I305">
        <f ca="1" t="shared" si="4"/>
        <v>10856.51</v>
      </c>
    </row>
    <row r="306" spans="1:9">
      <c r="A306">
        <v>26290.76</v>
      </c>
      <c r="B306">
        <v>349.21</v>
      </c>
      <c r="C306">
        <v>6366</v>
      </c>
      <c r="D306">
        <v>316.21</v>
      </c>
      <c r="E306">
        <v>2900.53</v>
      </c>
      <c r="F306">
        <v>0</v>
      </c>
      <c r="G306">
        <v>2118</v>
      </c>
      <c r="H306">
        <v>3100</v>
      </c>
      <c r="I306">
        <f ca="1" t="shared" si="4"/>
        <v>11140.81</v>
      </c>
    </row>
    <row r="307" spans="1:9">
      <c r="A307">
        <v>26237.72</v>
      </c>
      <c r="B307">
        <v>310.11</v>
      </c>
      <c r="C307">
        <v>6366</v>
      </c>
      <c r="D307">
        <v>316.21</v>
      </c>
      <c r="E307">
        <v>2874.78</v>
      </c>
      <c r="F307">
        <v>0</v>
      </c>
      <c r="G307">
        <v>2179</v>
      </c>
      <c r="H307">
        <v>3098.83</v>
      </c>
      <c r="I307">
        <f ca="1" t="shared" si="4"/>
        <v>11092.79</v>
      </c>
    </row>
    <row r="308" spans="1:9">
      <c r="A308">
        <v>26258.12</v>
      </c>
      <c r="B308">
        <v>310.26</v>
      </c>
      <c r="C308">
        <v>6366</v>
      </c>
      <c r="D308">
        <v>316.21</v>
      </c>
      <c r="E308">
        <v>2844.91</v>
      </c>
      <c r="F308">
        <v>0</v>
      </c>
      <c r="G308">
        <v>2240</v>
      </c>
      <c r="H308">
        <v>3106.79</v>
      </c>
      <c r="I308">
        <f ca="1" t="shared" si="4"/>
        <v>11073.95</v>
      </c>
    </row>
    <row r="309" spans="1:9">
      <c r="A309">
        <v>26414.18</v>
      </c>
      <c r="B309">
        <v>310.34</v>
      </c>
      <c r="C309">
        <v>6366</v>
      </c>
      <c r="D309">
        <v>316.21</v>
      </c>
      <c r="E309">
        <v>2811.97</v>
      </c>
      <c r="F309">
        <v>0</v>
      </c>
      <c r="G309">
        <v>2300</v>
      </c>
      <c r="H309">
        <v>3107.87</v>
      </c>
      <c r="I309">
        <f ca="1" t="shared" si="4"/>
        <v>11201.79</v>
      </c>
    </row>
    <row r="310" spans="1:9">
      <c r="A310">
        <v>26807.9</v>
      </c>
      <c r="B310">
        <v>310.29</v>
      </c>
      <c r="C310">
        <v>6366</v>
      </c>
      <c r="D310">
        <v>316.27</v>
      </c>
      <c r="E310">
        <v>2767.66</v>
      </c>
      <c r="F310">
        <v>5.88</v>
      </c>
      <c r="G310">
        <v>2441</v>
      </c>
      <c r="H310">
        <v>3106.54</v>
      </c>
      <c r="I310">
        <f ca="1" t="shared" si="4"/>
        <v>11494.26</v>
      </c>
    </row>
    <row r="311" spans="1:9">
      <c r="A311">
        <v>27207.74</v>
      </c>
      <c r="B311">
        <v>310.42</v>
      </c>
      <c r="C311">
        <v>6366</v>
      </c>
      <c r="D311">
        <v>316.27</v>
      </c>
      <c r="E311">
        <v>2715.15</v>
      </c>
      <c r="F311">
        <v>30.58</v>
      </c>
      <c r="G311">
        <v>2640</v>
      </c>
      <c r="H311">
        <v>3104.6</v>
      </c>
      <c r="I311">
        <f ca="1" t="shared" si="4"/>
        <v>11724.72</v>
      </c>
    </row>
    <row r="312" spans="1:9">
      <c r="A312">
        <v>27839.12</v>
      </c>
      <c r="B312">
        <v>310.6</v>
      </c>
      <c r="C312">
        <v>6366</v>
      </c>
      <c r="D312">
        <v>316.27</v>
      </c>
      <c r="E312">
        <v>2658.48</v>
      </c>
      <c r="F312">
        <v>90.59</v>
      </c>
      <c r="G312">
        <v>2837</v>
      </c>
      <c r="H312">
        <v>3103.87</v>
      </c>
      <c r="I312">
        <f ca="1" t="shared" si="4"/>
        <v>12156.31</v>
      </c>
    </row>
    <row r="313" spans="1:9">
      <c r="A313">
        <v>28406.24</v>
      </c>
      <c r="B313">
        <v>310.5</v>
      </c>
      <c r="C313">
        <v>6366</v>
      </c>
      <c r="D313">
        <v>316.27</v>
      </c>
      <c r="E313">
        <v>2596.68</v>
      </c>
      <c r="F313">
        <v>165.52</v>
      </c>
      <c r="G313">
        <v>3288</v>
      </c>
      <c r="H313">
        <v>3089.91</v>
      </c>
      <c r="I313">
        <f ca="1" t="shared" si="4"/>
        <v>12273.36</v>
      </c>
    </row>
    <row r="314" spans="1:9">
      <c r="A314">
        <v>29019.26</v>
      </c>
      <c r="B314">
        <v>310.55</v>
      </c>
      <c r="C314">
        <v>6366</v>
      </c>
      <c r="D314">
        <v>317.19</v>
      </c>
      <c r="E314">
        <v>2502.94</v>
      </c>
      <c r="F314">
        <v>275.02</v>
      </c>
      <c r="G314">
        <v>3230</v>
      </c>
      <c r="H314">
        <v>3091.74</v>
      </c>
      <c r="I314">
        <f ca="1" t="shared" si="4"/>
        <v>12925.82</v>
      </c>
    </row>
    <row r="315" spans="1:9">
      <c r="A315">
        <v>29591.48</v>
      </c>
      <c r="B315">
        <v>310.54</v>
      </c>
      <c r="C315">
        <v>6366</v>
      </c>
      <c r="D315">
        <v>317.19</v>
      </c>
      <c r="E315">
        <v>2416.44</v>
      </c>
      <c r="F315">
        <v>408.56</v>
      </c>
      <c r="G315">
        <v>3660</v>
      </c>
      <c r="H315">
        <v>3083.44</v>
      </c>
      <c r="I315">
        <f ca="1" t="shared" si="4"/>
        <v>13029.31</v>
      </c>
    </row>
    <row r="316" spans="1:9">
      <c r="A316">
        <v>30157.58</v>
      </c>
      <c r="B316">
        <v>310.63</v>
      </c>
      <c r="C316">
        <v>6366</v>
      </c>
      <c r="D316">
        <v>317.19</v>
      </c>
      <c r="E316">
        <v>2333.01</v>
      </c>
      <c r="F316">
        <v>564.93</v>
      </c>
      <c r="G316">
        <v>4272</v>
      </c>
      <c r="H316">
        <v>3079.88</v>
      </c>
      <c r="I316">
        <f ca="1" t="shared" si="4"/>
        <v>12913.94</v>
      </c>
    </row>
    <row r="317" spans="1:9">
      <c r="A317">
        <v>30495.2</v>
      </c>
      <c r="B317">
        <v>310.55</v>
      </c>
      <c r="C317">
        <v>6366</v>
      </c>
      <c r="D317">
        <v>317.19</v>
      </c>
      <c r="E317">
        <v>2254.72</v>
      </c>
      <c r="F317">
        <v>767.74</v>
      </c>
      <c r="G317">
        <v>4859</v>
      </c>
      <c r="H317">
        <v>3052.35</v>
      </c>
      <c r="I317">
        <f ca="1" t="shared" si="4"/>
        <v>12567.65</v>
      </c>
    </row>
    <row r="318" spans="1:9">
      <c r="A318">
        <v>30970.52</v>
      </c>
      <c r="B318">
        <v>310.59</v>
      </c>
      <c r="C318">
        <v>6366</v>
      </c>
      <c r="D318">
        <v>317.62</v>
      </c>
      <c r="E318">
        <v>2158.93</v>
      </c>
      <c r="F318">
        <v>987.39</v>
      </c>
      <c r="G318">
        <v>5437</v>
      </c>
      <c r="H318">
        <v>3047.24</v>
      </c>
      <c r="I318">
        <f ca="1" t="shared" si="4"/>
        <v>12345.75</v>
      </c>
    </row>
    <row r="319" spans="1:9">
      <c r="A319">
        <v>31498.88</v>
      </c>
      <c r="B319">
        <v>310.57</v>
      </c>
      <c r="C319">
        <v>6366</v>
      </c>
      <c r="D319">
        <v>317.62</v>
      </c>
      <c r="E319">
        <v>2054.92</v>
      </c>
      <c r="F319">
        <v>1214.62</v>
      </c>
      <c r="G319">
        <v>6046</v>
      </c>
      <c r="H319">
        <v>3056.95</v>
      </c>
      <c r="I319">
        <f ca="1" t="shared" si="4"/>
        <v>12132.2</v>
      </c>
    </row>
    <row r="320" spans="1:9">
      <c r="A320">
        <v>32006.84</v>
      </c>
      <c r="B320">
        <v>310.57</v>
      </c>
      <c r="C320">
        <v>6366</v>
      </c>
      <c r="D320">
        <v>317.62</v>
      </c>
      <c r="E320">
        <v>1951.91</v>
      </c>
      <c r="F320">
        <v>1468.78</v>
      </c>
      <c r="G320">
        <v>6061</v>
      </c>
      <c r="H320">
        <v>3076.09</v>
      </c>
      <c r="I320">
        <f ca="1" t="shared" si="4"/>
        <v>12454.87</v>
      </c>
    </row>
    <row r="321" spans="1:9">
      <c r="A321">
        <v>32583.14</v>
      </c>
      <c r="B321">
        <v>310.51</v>
      </c>
      <c r="C321">
        <v>6366</v>
      </c>
      <c r="D321">
        <v>317.62</v>
      </c>
      <c r="E321">
        <v>1848.92</v>
      </c>
      <c r="F321">
        <v>1709.71</v>
      </c>
      <c r="G321">
        <v>6331</v>
      </c>
      <c r="H321">
        <v>3096.89</v>
      </c>
      <c r="I321">
        <f ca="1" t="shared" si="4"/>
        <v>12602.49</v>
      </c>
    </row>
    <row r="322" spans="1:9">
      <c r="A322">
        <v>33698</v>
      </c>
      <c r="B322">
        <v>244.65</v>
      </c>
      <c r="C322">
        <v>6366</v>
      </c>
      <c r="D322">
        <v>316.27</v>
      </c>
      <c r="E322">
        <v>1767.54</v>
      </c>
      <c r="F322">
        <v>1954.49</v>
      </c>
      <c r="G322">
        <v>6497</v>
      </c>
      <c r="H322">
        <v>3089.87</v>
      </c>
      <c r="I322">
        <f ca="1" t="shared" si="4"/>
        <v>13462.18</v>
      </c>
    </row>
    <row r="323" spans="1:9">
      <c r="A323">
        <v>34139.66</v>
      </c>
      <c r="B323">
        <v>244.57</v>
      </c>
      <c r="C323">
        <v>6366</v>
      </c>
      <c r="D323">
        <v>316.27</v>
      </c>
      <c r="E323">
        <v>1694.41</v>
      </c>
      <c r="F323">
        <v>2202.11</v>
      </c>
      <c r="G323">
        <v>6958</v>
      </c>
      <c r="H323">
        <v>3093.32</v>
      </c>
      <c r="I323">
        <f ca="1" t="shared" ref="I323:I386" si="5">A323-B323-C323-D323-E323-F323-G323-H323</f>
        <v>13264.98</v>
      </c>
    </row>
    <row r="324" spans="1:9">
      <c r="A324">
        <v>34558.88</v>
      </c>
      <c r="B324">
        <v>243.1</v>
      </c>
      <c r="C324">
        <v>6366</v>
      </c>
      <c r="D324">
        <v>316.27</v>
      </c>
      <c r="E324">
        <v>1616.13</v>
      </c>
      <c r="F324">
        <v>2439.77</v>
      </c>
      <c r="G324">
        <v>7422</v>
      </c>
      <c r="H324">
        <v>3088.94</v>
      </c>
      <c r="I324">
        <f ca="1" t="shared" si="5"/>
        <v>13066.67</v>
      </c>
    </row>
    <row r="325" spans="1:9">
      <c r="A325">
        <v>35084.18</v>
      </c>
      <c r="B325">
        <v>240.04</v>
      </c>
      <c r="C325">
        <v>6366</v>
      </c>
      <c r="D325">
        <v>316.27</v>
      </c>
      <c r="E325">
        <v>1541.99</v>
      </c>
      <c r="F325">
        <v>2670.32</v>
      </c>
      <c r="G325">
        <v>7587</v>
      </c>
      <c r="H325">
        <v>3078.15</v>
      </c>
      <c r="I325">
        <f ca="1" t="shared" si="5"/>
        <v>13284.41</v>
      </c>
    </row>
    <row r="326" spans="1:9">
      <c r="A326">
        <v>35284.1</v>
      </c>
      <c r="B326">
        <v>240.69</v>
      </c>
      <c r="C326">
        <v>6366</v>
      </c>
      <c r="D326">
        <v>313.19</v>
      </c>
      <c r="E326">
        <v>1485.33</v>
      </c>
      <c r="F326">
        <v>2917.32</v>
      </c>
      <c r="G326">
        <v>8118</v>
      </c>
      <c r="H326">
        <v>3079.38</v>
      </c>
      <c r="I326">
        <f ca="1" t="shared" si="5"/>
        <v>12764.19</v>
      </c>
    </row>
    <row r="327" spans="1:9">
      <c r="A327">
        <v>35681.9</v>
      </c>
      <c r="B327">
        <v>240.28</v>
      </c>
      <c r="C327">
        <v>6366</v>
      </c>
      <c r="D327">
        <v>313.19</v>
      </c>
      <c r="E327">
        <v>1435.88</v>
      </c>
      <c r="F327">
        <v>3143.24</v>
      </c>
      <c r="G327">
        <v>7996</v>
      </c>
      <c r="H327">
        <v>3078.06</v>
      </c>
      <c r="I327">
        <f ca="1" t="shared" si="5"/>
        <v>13109.25</v>
      </c>
    </row>
    <row r="328" spans="1:9">
      <c r="A328">
        <v>35920.58</v>
      </c>
      <c r="B328">
        <v>240.45</v>
      </c>
      <c r="C328">
        <v>6366</v>
      </c>
      <c r="D328">
        <v>313.19</v>
      </c>
      <c r="E328">
        <v>1390.57</v>
      </c>
      <c r="F328">
        <v>3409.91</v>
      </c>
      <c r="G328">
        <v>7850</v>
      </c>
      <c r="H328">
        <v>3087.85</v>
      </c>
      <c r="I328">
        <f ca="1" t="shared" si="5"/>
        <v>13262.61</v>
      </c>
    </row>
    <row r="329" spans="1:9">
      <c r="A329">
        <v>36108.26</v>
      </c>
      <c r="B329">
        <v>240.72</v>
      </c>
      <c r="C329">
        <v>6366</v>
      </c>
      <c r="D329">
        <v>313.19</v>
      </c>
      <c r="E329">
        <v>1349.38</v>
      </c>
      <c r="F329">
        <v>3633.19</v>
      </c>
      <c r="G329">
        <v>7651</v>
      </c>
      <c r="H329">
        <v>3102.74</v>
      </c>
      <c r="I329">
        <f ca="1" t="shared" si="5"/>
        <v>13452.04</v>
      </c>
    </row>
    <row r="330" spans="1:9">
      <c r="A330">
        <v>36295.94</v>
      </c>
      <c r="B330">
        <v>240.64</v>
      </c>
      <c r="C330">
        <v>6366</v>
      </c>
      <c r="D330">
        <v>320.1</v>
      </c>
      <c r="E330">
        <v>1304.04</v>
      </c>
      <c r="F330">
        <v>3850.96</v>
      </c>
      <c r="G330">
        <v>7627</v>
      </c>
      <c r="H330">
        <v>3115.78</v>
      </c>
      <c r="I330">
        <f ca="1" t="shared" si="5"/>
        <v>13471.42</v>
      </c>
    </row>
    <row r="331" spans="1:9">
      <c r="A331">
        <v>36229.64</v>
      </c>
      <c r="B331">
        <v>239.59</v>
      </c>
      <c r="C331">
        <v>6366</v>
      </c>
      <c r="D331">
        <v>320.1</v>
      </c>
      <c r="E331">
        <v>1257.7</v>
      </c>
      <c r="F331">
        <v>4049</v>
      </c>
      <c r="G331">
        <v>7387</v>
      </c>
      <c r="H331">
        <v>3099.4</v>
      </c>
      <c r="I331">
        <f ca="1" t="shared" si="5"/>
        <v>13510.85</v>
      </c>
    </row>
    <row r="332" spans="1:9">
      <c r="A332">
        <v>36350</v>
      </c>
      <c r="B332">
        <v>242.54</v>
      </c>
      <c r="C332">
        <v>6366</v>
      </c>
      <c r="D332">
        <v>320.1</v>
      </c>
      <c r="E332">
        <v>1218.55</v>
      </c>
      <c r="F332">
        <v>4241.59</v>
      </c>
      <c r="G332">
        <v>7146</v>
      </c>
      <c r="H332">
        <v>3103.33</v>
      </c>
      <c r="I332">
        <f ca="1" t="shared" si="5"/>
        <v>13711.89</v>
      </c>
    </row>
    <row r="333" spans="1:9">
      <c r="A333">
        <v>36316.34</v>
      </c>
      <c r="B333">
        <v>242.17</v>
      </c>
      <c r="C333">
        <v>6366</v>
      </c>
      <c r="D333">
        <v>320.1</v>
      </c>
      <c r="E333">
        <v>1181.46</v>
      </c>
      <c r="F333">
        <v>4433.67</v>
      </c>
      <c r="G333">
        <v>6880</v>
      </c>
      <c r="H333">
        <v>3094.34</v>
      </c>
      <c r="I333">
        <f ca="1" t="shared" si="5"/>
        <v>13798.6</v>
      </c>
    </row>
    <row r="334" spans="1:9">
      <c r="A334">
        <v>36222.5</v>
      </c>
      <c r="B334">
        <v>241.07</v>
      </c>
      <c r="C334">
        <v>6366</v>
      </c>
      <c r="D334">
        <v>323.12</v>
      </c>
      <c r="E334">
        <v>1144.39</v>
      </c>
      <c r="F334">
        <v>4584.27</v>
      </c>
      <c r="G334">
        <v>6644</v>
      </c>
      <c r="H334">
        <v>3099.3</v>
      </c>
      <c r="I334">
        <f ca="1" t="shared" si="5"/>
        <v>13820.35</v>
      </c>
    </row>
    <row r="335" spans="1:9">
      <c r="A335">
        <v>35486.06</v>
      </c>
      <c r="B335">
        <v>240.93</v>
      </c>
      <c r="C335">
        <v>6366</v>
      </c>
      <c r="D335">
        <v>323.12</v>
      </c>
      <c r="E335">
        <v>1107.3</v>
      </c>
      <c r="F335">
        <v>4710.11</v>
      </c>
      <c r="G335">
        <v>6136</v>
      </c>
      <c r="H335">
        <v>3091.53</v>
      </c>
      <c r="I335">
        <f ca="1" t="shared" si="5"/>
        <v>13511.07</v>
      </c>
    </row>
    <row r="336" spans="1:9">
      <c r="A336">
        <v>35268.8</v>
      </c>
      <c r="B336">
        <v>240.84</v>
      </c>
      <c r="C336">
        <v>6366</v>
      </c>
      <c r="D336">
        <v>323.12</v>
      </c>
      <c r="E336">
        <v>1069.18</v>
      </c>
      <c r="F336">
        <v>4815.68</v>
      </c>
      <c r="G336">
        <v>5628</v>
      </c>
      <c r="H336">
        <v>3090.83</v>
      </c>
      <c r="I336">
        <f ca="1" t="shared" si="5"/>
        <v>13735.15</v>
      </c>
    </row>
    <row r="337" spans="1:9">
      <c r="A337">
        <v>35076.02</v>
      </c>
      <c r="B337">
        <v>242.26</v>
      </c>
      <c r="C337">
        <v>6366</v>
      </c>
      <c r="D337">
        <v>323.12</v>
      </c>
      <c r="E337">
        <v>1031.09</v>
      </c>
      <c r="F337">
        <v>4893.25</v>
      </c>
      <c r="G337">
        <v>5094</v>
      </c>
      <c r="H337">
        <v>3083.66</v>
      </c>
      <c r="I337">
        <f ca="1" t="shared" si="5"/>
        <v>14042.64</v>
      </c>
    </row>
    <row r="338" spans="1:9">
      <c r="A338">
        <v>35238.2</v>
      </c>
      <c r="B338">
        <v>242.2</v>
      </c>
      <c r="C338">
        <v>6366</v>
      </c>
      <c r="D338">
        <v>329.44</v>
      </c>
      <c r="E338">
        <v>994</v>
      </c>
      <c r="F338">
        <v>4934.43</v>
      </c>
      <c r="G338">
        <v>5143</v>
      </c>
      <c r="H338">
        <v>3076.76</v>
      </c>
      <c r="I338">
        <f ca="1" t="shared" si="5"/>
        <v>14152.37</v>
      </c>
    </row>
    <row r="339" spans="1:9">
      <c r="A339">
        <v>35313.68</v>
      </c>
      <c r="B339">
        <v>242.22</v>
      </c>
      <c r="C339">
        <v>6366</v>
      </c>
      <c r="D339">
        <v>329.44</v>
      </c>
      <c r="E339">
        <v>961.03</v>
      </c>
      <c r="F339">
        <v>4972.39</v>
      </c>
      <c r="G339">
        <v>5321</v>
      </c>
      <c r="H339">
        <v>3080.48</v>
      </c>
      <c r="I339">
        <f ca="1" t="shared" si="5"/>
        <v>14041.12</v>
      </c>
    </row>
    <row r="340" spans="1:9">
      <c r="A340">
        <v>35543.18</v>
      </c>
      <c r="B340">
        <v>241.94</v>
      </c>
      <c r="C340">
        <v>6366</v>
      </c>
      <c r="D340">
        <v>329.44</v>
      </c>
      <c r="E340">
        <v>929.11</v>
      </c>
      <c r="F340">
        <v>4944.97</v>
      </c>
      <c r="G340">
        <v>5503</v>
      </c>
      <c r="H340">
        <v>3082.93</v>
      </c>
      <c r="I340">
        <f ca="1" t="shared" si="5"/>
        <v>14145.79</v>
      </c>
    </row>
    <row r="341" spans="1:9">
      <c r="A341">
        <v>35459.54</v>
      </c>
      <c r="B341">
        <v>241.69</v>
      </c>
      <c r="C341">
        <v>6366</v>
      </c>
      <c r="D341">
        <v>329.44</v>
      </c>
      <c r="E341">
        <v>896.14</v>
      </c>
      <c r="F341">
        <v>4895.2</v>
      </c>
      <c r="G341">
        <v>5696</v>
      </c>
      <c r="H341">
        <v>3091.5</v>
      </c>
      <c r="I341">
        <f ca="1" t="shared" si="5"/>
        <v>13943.57</v>
      </c>
    </row>
    <row r="342" spans="1:9">
      <c r="A342">
        <v>35696.18</v>
      </c>
      <c r="B342">
        <v>241.87</v>
      </c>
      <c r="C342">
        <v>6366</v>
      </c>
      <c r="D342">
        <v>317.65</v>
      </c>
      <c r="E342">
        <v>867.3</v>
      </c>
      <c r="F342">
        <v>4816.49</v>
      </c>
      <c r="G342">
        <v>5352</v>
      </c>
      <c r="H342">
        <v>3091.15</v>
      </c>
      <c r="I342">
        <f ca="1" t="shared" si="5"/>
        <v>14643.72</v>
      </c>
    </row>
    <row r="343" spans="1:9">
      <c r="A343">
        <v>35668.64</v>
      </c>
      <c r="B343">
        <v>241.65</v>
      </c>
      <c r="C343">
        <v>6366</v>
      </c>
      <c r="D343">
        <v>317.65</v>
      </c>
      <c r="E343">
        <v>844.65</v>
      </c>
      <c r="F343">
        <v>4704.27</v>
      </c>
      <c r="G343">
        <v>5387</v>
      </c>
      <c r="H343">
        <v>3092.56</v>
      </c>
      <c r="I343">
        <f ca="1" t="shared" si="5"/>
        <v>14714.86</v>
      </c>
    </row>
    <row r="344" spans="1:9">
      <c r="A344">
        <v>35907.32</v>
      </c>
      <c r="B344">
        <v>241.75</v>
      </c>
      <c r="C344">
        <v>6366</v>
      </c>
      <c r="D344">
        <v>317.65</v>
      </c>
      <c r="E344">
        <v>823.02</v>
      </c>
      <c r="F344">
        <v>4547.27</v>
      </c>
      <c r="G344">
        <v>5424</v>
      </c>
      <c r="H344">
        <v>3091.1</v>
      </c>
      <c r="I344">
        <f ca="1" t="shared" si="5"/>
        <v>15096.53</v>
      </c>
    </row>
    <row r="345" spans="1:9">
      <c r="A345">
        <v>35898.14</v>
      </c>
      <c r="B345">
        <v>241.77</v>
      </c>
      <c r="C345">
        <v>6366</v>
      </c>
      <c r="D345">
        <v>317.65</v>
      </c>
      <c r="E345">
        <v>804.46</v>
      </c>
      <c r="F345">
        <v>4398.68</v>
      </c>
      <c r="G345">
        <v>5460</v>
      </c>
      <c r="H345">
        <v>3090.66</v>
      </c>
      <c r="I345">
        <f ca="1" t="shared" si="5"/>
        <v>15218.92</v>
      </c>
    </row>
    <row r="346" spans="1:9">
      <c r="A346">
        <v>36060.32</v>
      </c>
      <c r="B346">
        <v>241.71</v>
      </c>
      <c r="C346">
        <v>6366</v>
      </c>
      <c r="D346">
        <v>317.7</v>
      </c>
      <c r="E346">
        <v>780.79</v>
      </c>
      <c r="F346">
        <v>4192.15</v>
      </c>
      <c r="G346">
        <v>5890</v>
      </c>
      <c r="H346">
        <v>3086.09</v>
      </c>
      <c r="I346">
        <f ca="1" t="shared" si="5"/>
        <v>15185.88</v>
      </c>
    </row>
    <row r="347" spans="1:9">
      <c r="A347">
        <v>35871.62</v>
      </c>
      <c r="B347">
        <v>240.1</v>
      </c>
      <c r="C347">
        <v>6366</v>
      </c>
      <c r="D347">
        <v>317.7</v>
      </c>
      <c r="E347">
        <v>766.35</v>
      </c>
      <c r="F347">
        <v>3956.29</v>
      </c>
      <c r="G347">
        <v>6206</v>
      </c>
      <c r="H347">
        <v>3081.58</v>
      </c>
      <c r="I347">
        <f ca="1" t="shared" si="5"/>
        <v>14937.6</v>
      </c>
    </row>
    <row r="348" spans="1:9">
      <c r="A348">
        <v>35947.1</v>
      </c>
      <c r="B348">
        <v>240.08</v>
      </c>
      <c r="C348">
        <v>6366</v>
      </c>
      <c r="D348">
        <v>317.7</v>
      </c>
      <c r="E348">
        <v>752.97</v>
      </c>
      <c r="F348">
        <v>3696.03</v>
      </c>
      <c r="G348">
        <v>6521</v>
      </c>
      <c r="H348">
        <v>3079.97</v>
      </c>
      <c r="I348">
        <f ca="1" t="shared" si="5"/>
        <v>14973.35</v>
      </c>
    </row>
    <row r="349" spans="1:9">
      <c r="A349">
        <v>36023.6</v>
      </c>
      <c r="B349">
        <v>239.82</v>
      </c>
      <c r="C349">
        <v>6366</v>
      </c>
      <c r="D349">
        <v>317.7</v>
      </c>
      <c r="E349">
        <v>739.59</v>
      </c>
      <c r="F349">
        <v>3433.65</v>
      </c>
      <c r="G349">
        <v>6862</v>
      </c>
      <c r="H349">
        <v>3082.52</v>
      </c>
      <c r="I349">
        <f ca="1" t="shared" si="5"/>
        <v>14982.32</v>
      </c>
    </row>
    <row r="350" spans="1:9">
      <c r="A350">
        <v>35962.4</v>
      </c>
      <c r="B350">
        <v>239.91</v>
      </c>
      <c r="C350">
        <v>6366</v>
      </c>
      <c r="D350">
        <v>317.16</v>
      </c>
      <c r="E350">
        <v>734.44</v>
      </c>
      <c r="F350">
        <v>3132.06</v>
      </c>
      <c r="G350">
        <v>6928</v>
      </c>
      <c r="H350">
        <v>3078.63</v>
      </c>
      <c r="I350">
        <f ca="1" t="shared" si="5"/>
        <v>15166.2</v>
      </c>
    </row>
    <row r="351" spans="1:9">
      <c r="A351">
        <v>35975.66</v>
      </c>
      <c r="B351">
        <v>241.37</v>
      </c>
      <c r="C351">
        <v>6366</v>
      </c>
      <c r="D351">
        <v>317.16</v>
      </c>
      <c r="E351">
        <v>736.49</v>
      </c>
      <c r="F351">
        <v>2827.69</v>
      </c>
      <c r="G351">
        <v>7214</v>
      </c>
      <c r="H351">
        <v>3084.44</v>
      </c>
      <c r="I351">
        <f ca="1" t="shared" si="5"/>
        <v>15188.51</v>
      </c>
    </row>
    <row r="352" spans="1:9">
      <c r="A352">
        <v>35869.58</v>
      </c>
      <c r="B352">
        <v>241.41</v>
      </c>
      <c r="C352">
        <v>6366</v>
      </c>
      <c r="D352">
        <v>317.16</v>
      </c>
      <c r="E352">
        <v>738.56</v>
      </c>
      <c r="F352">
        <v>2496.07</v>
      </c>
      <c r="G352">
        <v>7732</v>
      </c>
      <c r="H352">
        <v>3078.84</v>
      </c>
      <c r="I352">
        <f ca="1" t="shared" si="5"/>
        <v>14899.54</v>
      </c>
    </row>
    <row r="353" spans="1:9">
      <c r="A353">
        <v>35928.74</v>
      </c>
      <c r="B353">
        <v>240.91</v>
      </c>
      <c r="C353">
        <v>6366</v>
      </c>
      <c r="D353">
        <v>317.16</v>
      </c>
      <c r="E353">
        <v>744.74</v>
      </c>
      <c r="F353">
        <v>2169.2</v>
      </c>
      <c r="G353">
        <v>8347</v>
      </c>
      <c r="H353">
        <v>3094.57</v>
      </c>
      <c r="I353">
        <f ca="1" t="shared" si="5"/>
        <v>14649.16</v>
      </c>
    </row>
    <row r="354" spans="1:9">
      <c r="A354">
        <v>35930.78</v>
      </c>
      <c r="B354">
        <v>240.67</v>
      </c>
      <c r="C354">
        <v>6366</v>
      </c>
      <c r="D354">
        <v>318.94</v>
      </c>
      <c r="E354">
        <v>761.22</v>
      </c>
      <c r="F354">
        <v>1843.13</v>
      </c>
      <c r="G354">
        <v>8516</v>
      </c>
      <c r="H354">
        <v>3088.84</v>
      </c>
      <c r="I354">
        <f ca="1" t="shared" si="5"/>
        <v>14795.98</v>
      </c>
    </row>
    <row r="355" spans="1:9">
      <c r="A355">
        <v>35850.2</v>
      </c>
      <c r="B355">
        <v>240.65</v>
      </c>
      <c r="C355">
        <v>6366</v>
      </c>
      <c r="D355">
        <v>318.94</v>
      </c>
      <c r="E355">
        <v>785.92</v>
      </c>
      <c r="F355">
        <v>1519.51</v>
      </c>
      <c r="G355">
        <v>8719</v>
      </c>
      <c r="H355">
        <v>3099.08</v>
      </c>
      <c r="I355">
        <f ca="1" t="shared" si="5"/>
        <v>14801.1</v>
      </c>
    </row>
    <row r="356" spans="1:9">
      <c r="A356">
        <v>35605.4</v>
      </c>
      <c r="B356">
        <v>242.57</v>
      </c>
      <c r="C356">
        <v>6366</v>
      </c>
      <c r="D356">
        <v>318.94</v>
      </c>
      <c r="E356">
        <v>810.66</v>
      </c>
      <c r="F356">
        <v>1178.22</v>
      </c>
      <c r="G356">
        <v>8895</v>
      </c>
      <c r="H356">
        <v>3091.6</v>
      </c>
      <c r="I356">
        <f ca="1" t="shared" si="5"/>
        <v>14702.41</v>
      </c>
    </row>
    <row r="357" spans="1:9">
      <c r="A357">
        <v>34975.04</v>
      </c>
      <c r="B357">
        <v>239.81</v>
      </c>
      <c r="C357">
        <v>6366</v>
      </c>
      <c r="D357">
        <v>318.94</v>
      </c>
      <c r="E357">
        <v>837.44</v>
      </c>
      <c r="F357">
        <v>909.53</v>
      </c>
      <c r="G357">
        <v>9070</v>
      </c>
      <c r="H357">
        <v>3091.49</v>
      </c>
      <c r="I357">
        <f ca="1" t="shared" si="5"/>
        <v>14141.83</v>
      </c>
    </row>
    <row r="358" spans="1:9">
      <c r="A358">
        <v>34724.12</v>
      </c>
      <c r="B358">
        <v>239.49</v>
      </c>
      <c r="C358">
        <v>6366</v>
      </c>
      <c r="D358">
        <v>309.64</v>
      </c>
      <c r="E358">
        <v>874.49</v>
      </c>
      <c r="F358">
        <v>672.83</v>
      </c>
      <c r="G358">
        <v>9207</v>
      </c>
      <c r="H358">
        <v>3094.65</v>
      </c>
      <c r="I358">
        <f ca="1" t="shared" si="5"/>
        <v>13960.02</v>
      </c>
    </row>
    <row r="359" spans="1:9">
      <c r="A359">
        <v>34566.02</v>
      </c>
      <c r="B359">
        <v>238.64</v>
      </c>
      <c r="C359">
        <v>6366</v>
      </c>
      <c r="D359">
        <v>309.64</v>
      </c>
      <c r="E359">
        <v>912.62</v>
      </c>
      <c r="F359">
        <v>471.4</v>
      </c>
      <c r="G359">
        <v>9211</v>
      </c>
      <c r="H359">
        <v>3094.1</v>
      </c>
      <c r="I359">
        <f ca="1" t="shared" si="5"/>
        <v>13962.62</v>
      </c>
    </row>
    <row r="360" spans="1:9">
      <c r="A360">
        <v>34499.72</v>
      </c>
      <c r="B360">
        <v>239.54</v>
      </c>
      <c r="C360">
        <v>6366</v>
      </c>
      <c r="D360">
        <v>309.64</v>
      </c>
      <c r="E360">
        <v>954.85</v>
      </c>
      <c r="F360">
        <v>309.52</v>
      </c>
      <c r="G360">
        <v>9346</v>
      </c>
      <c r="H360">
        <v>3086.04</v>
      </c>
      <c r="I360">
        <f ca="1" t="shared" si="5"/>
        <v>13888.13</v>
      </c>
    </row>
    <row r="361" spans="1:9">
      <c r="A361">
        <v>34381.4</v>
      </c>
      <c r="B361">
        <v>240.08</v>
      </c>
      <c r="C361">
        <v>6366</v>
      </c>
      <c r="D361">
        <v>309.64</v>
      </c>
      <c r="E361">
        <v>1002.21</v>
      </c>
      <c r="F361">
        <v>175.9</v>
      </c>
      <c r="G361">
        <v>9169</v>
      </c>
      <c r="H361">
        <v>3101.69</v>
      </c>
      <c r="I361">
        <f ca="1" t="shared" si="5"/>
        <v>14016.88</v>
      </c>
    </row>
    <row r="362" spans="1:9">
      <c r="A362">
        <v>34197.8</v>
      </c>
      <c r="B362">
        <v>240.63</v>
      </c>
      <c r="C362">
        <v>6366</v>
      </c>
      <c r="D362">
        <v>307.77</v>
      </c>
      <c r="E362">
        <v>1052.71</v>
      </c>
      <c r="F362">
        <v>75.59</v>
      </c>
      <c r="G362">
        <v>9055</v>
      </c>
      <c r="H362">
        <v>3098.77</v>
      </c>
      <c r="I362">
        <f ca="1" t="shared" si="5"/>
        <v>14001.33</v>
      </c>
    </row>
    <row r="363" spans="1:9">
      <c r="A363">
        <v>34268.18</v>
      </c>
      <c r="B363">
        <v>239.13</v>
      </c>
      <c r="C363">
        <v>6366</v>
      </c>
      <c r="D363">
        <v>307.77</v>
      </c>
      <c r="E363">
        <v>1101.1</v>
      </c>
      <c r="F363">
        <v>25.65</v>
      </c>
      <c r="G363">
        <v>8790</v>
      </c>
      <c r="H363">
        <v>3090.5</v>
      </c>
      <c r="I363">
        <f ca="1" t="shared" si="5"/>
        <v>14348.03</v>
      </c>
    </row>
    <row r="364" spans="1:9">
      <c r="A364">
        <v>34435.46</v>
      </c>
      <c r="B364">
        <v>239</v>
      </c>
      <c r="C364">
        <v>6366</v>
      </c>
      <c r="D364">
        <v>307.77</v>
      </c>
      <c r="E364">
        <v>1150.53</v>
      </c>
      <c r="F364">
        <v>1.66</v>
      </c>
      <c r="G364">
        <v>8527</v>
      </c>
      <c r="H364">
        <v>3080.61</v>
      </c>
      <c r="I364">
        <f ca="1" t="shared" si="5"/>
        <v>14762.89</v>
      </c>
    </row>
    <row r="365" spans="1:9">
      <c r="A365">
        <v>34520.12</v>
      </c>
      <c r="B365">
        <v>239.21</v>
      </c>
      <c r="C365">
        <v>6366</v>
      </c>
      <c r="D365">
        <v>307.77</v>
      </c>
      <c r="E365">
        <v>1195.88</v>
      </c>
      <c r="F365">
        <v>0</v>
      </c>
      <c r="G365">
        <v>8262</v>
      </c>
      <c r="H365">
        <v>3094.09</v>
      </c>
      <c r="I365">
        <f ca="1" t="shared" si="5"/>
        <v>15055.17</v>
      </c>
    </row>
    <row r="366" spans="1:9">
      <c r="A366">
        <v>34687.4</v>
      </c>
      <c r="B366">
        <v>239.21</v>
      </c>
      <c r="C366">
        <v>6366</v>
      </c>
      <c r="D366">
        <v>319.03</v>
      </c>
      <c r="E366">
        <v>1244.26</v>
      </c>
      <c r="F366">
        <v>0</v>
      </c>
      <c r="G366">
        <v>8195</v>
      </c>
      <c r="H366">
        <v>3098.33</v>
      </c>
      <c r="I366">
        <f ca="1" t="shared" si="5"/>
        <v>15225.57</v>
      </c>
    </row>
    <row r="367" spans="1:9">
      <c r="A367">
        <v>34627.22</v>
      </c>
      <c r="B367">
        <v>239.21</v>
      </c>
      <c r="C367">
        <v>6366</v>
      </c>
      <c r="D367">
        <v>319.03</v>
      </c>
      <c r="E367">
        <v>1294.75</v>
      </c>
      <c r="F367">
        <v>0</v>
      </c>
      <c r="G367">
        <v>8167</v>
      </c>
      <c r="H367">
        <v>3102.23</v>
      </c>
      <c r="I367">
        <f ca="1" t="shared" si="5"/>
        <v>15139</v>
      </c>
    </row>
    <row r="368" spans="1:9">
      <c r="A368">
        <v>34485.44</v>
      </c>
      <c r="B368">
        <v>239.19</v>
      </c>
      <c r="C368">
        <v>6366</v>
      </c>
      <c r="D368">
        <v>319.03</v>
      </c>
      <c r="E368">
        <v>1343.16</v>
      </c>
      <c r="F368">
        <v>0</v>
      </c>
      <c r="G368">
        <v>8140</v>
      </c>
      <c r="H368">
        <v>3101.73</v>
      </c>
      <c r="I368">
        <f ca="1" t="shared" si="5"/>
        <v>14976.33</v>
      </c>
    </row>
    <row r="369" spans="1:9">
      <c r="A369">
        <v>34166.18</v>
      </c>
      <c r="B369">
        <v>239.29</v>
      </c>
      <c r="C369">
        <v>6366</v>
      </c>
      <c r="D369">
        <v>319.03</v>
      </c>
      <c r="E369">
        <v>1395.67</v>
      </c>
      <c r="F369">
        <v>0</v>
      </c>
      <c r="G369">
        <v>8112</v>
      </c>
      <c r="H369">
        <v>3110.81</v>
      </c>
      <c r="I369">
        <f ca="1" t="shared" si="5"/>
        <v>14623.38</v>
      </c>
    </row>
    <row r="370" spans="1:9">
      <c r="A370">
        <v>33949.94</v>
      </c>
      <c r="B370">
        <v>240.27</v>
      </c>
      <c r="C370">
        <v>6366</v>
      </c>
      <c r="D370">
        <v>331.43</v>
      </c>
      <c r="E370">
        <v>1439.98</v>
      </c>
      <c r="F370">
        <v>0</v>
      </c>
      <c r="G370">
        <v>8269</v>
      </c>
      <c r="H370">
        <v>3101.57</v>
      </c>
      <c r="I370">
        <f ca="1" t="shared" si="5"/>
        <v>14201.69</v>
      </c>
    </row>
    <row r="371" spans="1:9">
      <c r="A371">
        <v>33737.78</v>
      </c>
      <c r="B371">
        <v>240.17</v>
      </c>
      <c r="C371">
        <v>6366</v>
      </c>
      <c r="D371">
        <v>331.43</v>
      </c>
      <c r="E371">
        <v>1480.14</v>
      </c>
      <c r="F371">
        <v>0</v>
      </c>
      <c r="G371">
        <v>8014</v>
      </c>
      <c r="H371">
        <v>3108.88</v>
      </c>
      <c r="I371">
        <f ca="1" t="shared" si="5"/>
        <v>14197.16</v>
      </c>
    </row>
    <row r="372" spans="1:9">
      <c r="A372">
        <v>33298.16</v>
      </c>
      <c r="B372">
        <v>240.02</v>
      </c>
      <c r="C372">
        <v>6366</v>
      </c>
      <c r="D372">
        <v>331.43</v>
      </c>
      <c r="E372">
        <v>1518.24</v>
      </c>
      <c r="F372">
        <v>0</v>
      </c>
      <c r="G372">
        <v>7761</v>
      </c>
      <c r="H372">
        <v>3090.27</v>
      </c>
      <c r="I372">
        <f ca="1" t="shared" si="5"/>
        <v>13991.2</v>
      </c>
    </row>
    <row r="373" spans="1:9">
      <c r="A373">
        <v>32838.14</v>
      </c>
      <c r="B373">
        <v>240</v>
      </c>
      <c r="C373">
        <v>6366</v>
      </c>
      <c r="D373">
        <v>331.43</v>
      </c>
      <c r="E373">
        <v>1556.36</v>
      </c>
      <c r="F373">
        <v>0</v>
      </c>
      <c r="G373">
        <v>7507</v>
      </c>
      <c r="H373">
        <v>3093.37</v>
      </c>
      <c r="I373">
        <f ca="1" t="shared" si="5"/>
        <v>13743.98</v>
      </c>
    </row>
    <row r="374" spans="1:9">
      <c r="A374">
        <v>32546.42</v>
      </c>
      <c r="B374">
        <v>239.9</v>
      </c>
      <c r="C374">
        <v>6366</v>
      </c>
      <c r="D374">
        <v>330.71</v>
      </c>
      <c r="E374">
        <v>1591.39</v>
      </c>
      <c r="F374">
        <v>0</v>
      </c>
      <c r="G374">
        <v>7092</v>
      </c>
      <c r="H374">
        <v>3080.56</v>
      </c>
      <c r="I374">
        <f ca="1" t="shared" si="5"/>
        <v>13845.86</v>
      </c>
    </row>
    <row r="375" spans="1:9">
      <c r="A375">
        <v>32141.48</v>
      </c>
      <c r="B375">
        <v>239.96</v>
      </c>
      <c r="C375">
        <v>6366</v>
      </c>
      <c r="D375">
        <v>330.71</v>
      </c>
      <c r="E375">
        <v>1625.38</v>
      </c>
      <c r="F375">
        <v>0</v>
      </c>
      <c r="G375">
        <v>7144</v>
      </c>
      <c r="H375">
        <v>3071.81</v>
      </c>
      <c r="I375">
        <f ca="1" t="shared" si="5"/>
        <v>13363.62</v>
      </c>
    </row>
    <row r="376" spans="1:9">
      <c r="A376">
        <v>31522.34</v>
      </c>
      <c r="B376">
        <v>239.93</v>
      </c>
      <c r="C376">
        <v>6366</v>
      </c>
      <c r="D376">
        <v>330.71</v>
      </c>
      <c r="E376">
        <v>1661.43</v>
      </c>
      <c r="F376">
        <v>0</v>
      </c>
      <c r="G376">
        <v>7196</v>
      </c>
      <c r="H376">
        <v>3061.18</v>
      </c>
      <c r="I376">
        <f ca="1" t="shared" si="5"/>
        <v>12667.09</v>
      </c>
    </row>
    <row r="377" spans="1:9">
      <c r="A377">
        <v>30968.48</v>
      </c>
      <c r="B377">
        <v>239.07</v>
      </c>
      <c r="C377">
        <v>6366</v>
      </c>
      <c r="D377">
        <v>330.71</v>
      </c>
      <c r="E377">
        <v>1699.53</v>
      </c>
      <c r="F377">
        <v>0</v>
      </c>
      <c r="G377">
        <v>6935</v>
      </c>
      <c r="H377">
        <v>3063.25</v>
      </c>
      <c r="I377">
        <f ca="1" t="shared" si="5"/>
        <v>12334.92</v>
      </c>
    </row>
    <row r="378" spans="1:9">
      <c r="A378">
        <v>31033.76</v>
      </c>
      <c r="B378">
        <v>304.56</v>
      </c>
      <c r="C378">
        <v>6366</v>
      </c>
      <c r="D378">
        <v>317.24</v>
      </c>
      <c r="E378">
        <v>1736.62</v>
      </c>
      <c r="F378">
        <v>0</v>
      </c>
      <c r="G378">
        <v>6709</v>
      </c>
      <c r="H378">
        <v>3062.64</v>
      </c>
      <c r="I378">
        <f ca="1" t="shared" si="5"/>
        <v>12537.7</v>
      </c>
    </row>
    <row r="379" spans="1:9">
      <c r="A379">
        <v>30499.28</v>
      </c>
      <c r="B379">
        <v>304.02</v>
      </c>
      <c r="C379">
        <v>6366</v>
      </c>
      <c r="D379">
        <v>317.24</v>
      </c>
      <c r="E379">
        <v>1779.86</v>
      </c>
      <c r="F379">
        <v>0</v>
      </c>
      <c r="G379">
        <v>5776</v>
      </c>
      <c r="H379">
        <v>3062.5</v>
      </c>
      <c r="I379">
        <f ca="1" t="shared" si="5"/>
        <v>12893.66</v>
      </c>
    </row>
    <row r="380" spans="1:9">
      <c r="A380">
        <v>29966.84</v>
      </c>
      <c r="B380">
        <v>304.27</v>
      </c>
      <c r="C380">
        <v>6366</v>
      </c>
      <c r="D380">
        <v>317.24</v>
      </c>
      <c r="E380">
        <v>1819</v>
      </c>
      <c r="F380">
        <v>0</v>
      </c>
      <c r="G380">
        <v>4871</v>
      </c>
      <c r="H380">
        <v>3072.7</v>
      </c>
      <c r="I380">
        <f ca="1" t="shared" si="5"/>
        <v>13216.63</v>
      </c>
    </row>
    <row r="381" spans="1:9">
      <c r="A381">
        <v>29403.8</v>
      </c>
      <c r="B381">
        <v>263.3</v>
      </c>
      <c r="C381">
        <v>6366</v>
      </c>
      <c r="D381">
        <v>317.24</v>
      </c>
      <c r="E381">
        <v>1856.1</v>
      </c>
      <c r="F381">
        <v>0</v>
      </c>
      <c r="G381">
        <v>3964</v>
      </c>
      <c r="H381">
        <v>3083.57</v>
      </c>
      <c r="I381">
        <f ca="1" t="shared" si="5"/>
        <v>13553.59</v>
      </c>
    </row>
    <row r="382" spans="1:9">
      <c r="A382">
        <v>29090.66</v>
      </c>
      <c r="B382">
        <v>240.28</v>
      </c>
      <c r="C382">
        <v>6366</v>
      </c>
      <c r="D382">
        <v>317.21</v>
      </c>
      <c r="E382">
        <v>1891.11</v>
      </c>
      <c r="F382">
        <v>0</v>
      </c>
      <c r="G382">
        <v>3859</v>
      </c>
      <c r="H382">
        <v>3084.27</v>
      </c>
      <c r="I382">
        <f ca="1" t="shared" si="5"/>
        <v>13332.79</v>
      </c>
    </row>
    <row r="383" spans="1:9">
      <c r="A383">
        <v>28595.96</v>
      </c>
      <c r="B383">
        <v>240.55</v>
      </c>
      <c r="C383">
        <v>6366</v>
      </c>
      <c r="D383">
        <v>317.21</v>
      </c>
      <c r="E383">
        <v>1915.85</v>
      </c>
      <c r="F383">
        <v>0</v>
      </c>
      <c r="G383">
        <v>3671</v>
      </c>
      <c r="H383">
        <v>3085.57</v>
      </c>
      <c r="I383">
        <f ca="1" t="shared" si="5"/>
        <v>12999.78</v>
      </c>
    </row>
    <row r="384" spans="1:9">
      <c r="A384">
        <v>28180.82</v>
      </c>
      <c r="B384">
        <v>240.5</v>
      </c>
      <c r="C384">
        <v>6366</v>
      </c>
      <c r="D384">
        <v>317.21</v>
      </c>
      <c r="E384">
        <v>1943.64</v>
      </c>
      <c r="F384">
        <v>0</v>
      </c>
      <c r="G384">
        <v>3408</v>
      </c>
      <c r="H384">
        <v>3072.39</v>
      </c>
      <c r="I384">
        <f ca="1" t="shared" si="5"/>
        <v>12833.08</v>
      </c>
    </row>
    <row r="385" spans="1:9">
      <c r="A385">
        <v>27611.66</v>
      </c>
      <c r="B385">
        <v>240.37</v>
      </c>
      <c r="C385">
        <v>6366</v>
      </c>
      <c r="D385">
        <v>317.21</v>
      </c>
      <c r="E385">
        <v>1970.41</v>
      </c>
      <c r="F385">
        <v>0</v>
      </c>
      <c r="G385">
        <v>3145</v>
      </c>
      <c r="H385">
        <v>3087.42</v>
      </c>
      <c r="I385">
        <f ca="1" t="shared" si="5"/>
        <v>12485.25</v>
      </c>
    </row>
    <row r="386" spans="1:9">
      <c r="A386">
        <v>27861.64</v>
      </c>
      <c r="B386">
        <v>240.15</v>
      </c>
      <c r="C386">
        <v>6362</v>
      </c>
      <c r="D386">
        <v>314.51</v>
      </c>
      <c r="E386">
        <v>2026.06</v>
      </c>
      <c r="F386">
        <v>0</v>
      </c>
      <c r="G386">
        <v>2860</v>
      </c>
      <c r="H386">
        <v>3071.87</v>
      </c>
      <c r="I386">
        <f ca="1" t="shared" si="5"/>
        <v>12987.05</v>
      </c>
    </row>
    <row r="387" spans="1:9">
      <c r="A387">
        <v>27532.42</v>
      </c>
      <c r="B387">
        <v>242.81</v>
      </c>
      <c r="C387">
        <v>6362</v>
      </c>
      <c r="D387">
        <v>314.51</v>
      </c>
      <c r="E387">
        <v>2074.45</v>
      </c>
      <c r="F387">
        <v>0</v>
      </c>
      <c r="G387">
        <v>2820</v>
      </c>
      <c r="H387">
        <v>3068.41</v>
      </c>
      <c r="I387">
        <f ca="1" t="shared" ref="I387:I450" si="6">A387-B387-C387-D387-E387-F387-G387-H387</f>
        <v>12650.24</v>
      </c>
    </row>
    <row r="388" spans="1:9">
      <c r="A388">
        <v>27396.64</v>
      </c>
      <c r="B388">
        <v>244.09</v>
      </c>
      <c r="C388">
        <v>6362</v>
      </c>
      <c r="D388">
        <v>314.51</v>
      </c>
      <c r="E388">
        <v>2120.81</v>
      </c>
      <c r="F388">
        <v>0</v>
      </c>
      <c r="G388">
        <v>2777</v>
      </c>
      <c r="H388">
        <v>3065.83</v>
      </c>
      <c r="I388">
        <f ca="1" t="shared" si="6"/>
        <v>12512.4</v>
      </c>
    </row>
    <row r="389" spans="1:9">
      <c r="A389">
        <v>27225.52</v>
      </c>
      <c r="B389">
        <v>244.29</v>
      </c>
      <c r="C389">
        <v>6362</v>
      </c>
      <c r="D389">
        <v>314.51</v>
      </c>
      <c r="E389">
        <v>2169.23</v>
      </c>
      <c r="F389">
        <v>0</v>
      </c>
      <c r="G389">
        <v>2580</v>
      </c>
      <c r="H389">
        <v>3076.67</v>
      </c>
      <c r="I389">
        <f ca="1" t="shared" si="6"/>
        <v>12478.82</v>
      </c>
    </row>
    <row r="390" spans="1:9">
      <c r="A390">
        <v>26973.49</v>
      </c>
      <c r="B390">
        <v>244.02</v>
      </c>
      <c r="C390">
        <v>6362</v>
      </c>
      <c r="D390">
        <v>305.33</v>
      </c>
      <c r="E390">
        <v>2213.49</v>
      </c>
      <c r="F390">
        <v>0</v>
      </c>
      <c r="G390">
        <v>2098</v>
      </c>
      <c r="H390">
        <v>3080.69</v>
      </c>
      <c r="I390">
        <f ca="1" t="shared" si="6"/>
        <v>12669.96</v>
      </c>
    </row>
    <row r="391" spans="1:9">
      <c r="A391">
        <v>26797.72</v>
      </c>
      <c r="B391">
        <v>244.22</v>
      </c>
      <c r="C391">
        <v>6362</v>
      </c>
      <c r="D391">
        <v>305.33</v>
      </c>
      <c r="E391">
        <v>2253.67</v>
      </c>
      <c r="F391">
        <v>0</v>
      </c>
      <c r="G391">
        <v>1756</v>
      </c>
      <c r="H391">
        <v>3083.32</v>
      </c>
      <c r="I391">
        <f ca="1" t="shared" si="6"/>
        <v>12793.18</v>
      </c>
    </row>
    <row r="392" spans="1:9">
      <c r="A392">
        <v>26625.67</v>
      </c>
      <c r="B392">
        <v>244.22</v>
      </c>
      <c r="C392">
        <v>6362</v>
      </c>
      <c r="D392">
        <v>305.33</v>
      </c>
      <c r="E392">
        <v>2294.88</v>
      </c>
      <c r="F392">
        <v>0</v>
      </c>
      <c r="G392">
        <v>1412</v>
      </c>
      <c r="H392">
        <v>3081.75</v>
      </c>
      <c r="I392">
        <f ca="1" t="shared" si="6"/>
        <v>12925.49</v>
      </c>
    </row>
    <row r="393" spans="1:9">
      <c r="A393">
        <v>26567.08</v>
      </c>
      <c r="B393">
        <v>244.26</v>
      </c>
      <c r="C393">
        <v>6362</v>
      </c>
      <c r="D393">
        <v>305.33</v>
      </c>
      <c r="E393">
        <v>2334</v>
      </c>
      <c r="F393">
        <v>0</v>
      </c>
      <c r="G393">
        <v>1380</v>
      </c>
      <c r="H393">
        <v>3090.71</v>
      </c>
      <c r="I393">
        <f ca="1" t="shared" si="6"/>
        <v>12850.78</v>
      </c>
    </row>
    <row r="394" spans="1:9">
      <c r="A394">
        <v>26548.48</v>
      </c>
      <c r="B394">
        <v>244.22</v>
      </c>
      <c r="C394">
        <v>6362</v>
      </c>
      <c r="D394">
        <v>305.27</v>
      </c>
      <c r="E394">
        <v>2369.04</v>
      </c>
      <c r="F394">
        <v>0</v>
      </c>
      <c r="G394">
        <v>1307</v>
      </c>
      <c r="H394">
        <v>3093.94</v>
      </c>
      <c r="I394">
        <f ca="1" t="shared" si="6"/>
        <v>12867.01</v>
      </c>
    </row>
    <row r="395" spans="1:9">
      <c r="A395">
        <v>26376.43</v>
      </c>
      <c r="B395">
        <v>244.33</v>
      </c>
      <c r="C395">
        <v>6362</v>
      </c>
      <c r="D395">
        <v>305.27</v>
      </c>
      <c r="E395">
        <v>2403.03</v>
      </c>
      <c r="F395">
        <v>0</v>
      </c>
      <c r="G395">
        <v>1283</v>
      </c>
      <c r="H395">
        <v>3097.27</v>
      </c>
      <c r="I395">
        <f ca="1" t="shared" si="6"/>
        <v>12681.53</v>
      </c>
    </row>
    <row r="396" spans="1:9">
      <c r="A396">
        <v>26318.77</v>
      </c>
      <c r="B396">
        <v>244.18</v>
      </c>
      <c r="C396">
        <v>6362</v>
      </c>
      <c r="D396">
        <v>305.27</v>
      </c>
      <c r="E396">
        <v>2439.07</v>
      </c>
      <c r="F396">
        <v>0</v>
      </c>
      <c r="G396">
        <v>1259</v>
      </c>
      <c r="H396">
        <v>3095.99</v>
      </c>
      <c r="I396">
        <f ca="1" t="shared" si="6"/>
        <v>12613.26</v>
      </c>
    </row>
    <row r="397" spans="1:9">
      <c r="A397">
        <v>26199.73</v>
      </c>
      <c r="B397">
        <v>244.34</v>
      </c>
      <c r="C397">
        <v>6362</v>
      </c>
      <c r="D397">
        <v>305.27</v>
      </c>
      <c r="E397">
        <v>2474.11</v>
      </c>
      <c r="F397">
        <v>0</v>
      </c>
      <c r="G397">
        <v>1235</v>
      </c>
      <c r="H397">
        <v>3105.32</v>
      </c>
      <c r="I397">
        <f ca="1" t="shared" si="6"/>
        <v>12473.69</v>
      </c>
    </row>
    <row r="398" spans="1:9">
      <c r="A398">
        <v>26103.01</v>
      </c>
      <c r="B398">
        <v>243.03</v>
      </c>
      <c r="C398">
        <v>6362</v>
      </c>
      <c r="D398">
        <v>315.6</v>
      </c>
      <c r="E398">
        <v>2506.03</v>
      </c>
      <c r="F398">
        <v>0</v>
      </c>
      <c r="G398">
        <v>987</v>
      </c>
      <c r="H398">
        <v>3106.16</v>
      </c>
      <c r="I398">
        <f ca="1" t="shared" si="6"/>
        <v>12583.19</v>
      </c>
    </row>
    <row r="399" spans="1:9">
      <c r="A399">
        <v>26068.6</v>
      </c>
      <c r="B399">
        <v>242.84</v>
      </c>
      <c r="C399">
        <v>6362</v>
      </c>
      <c r="D399">
        <v>315.6</v>
      </c>
      <c r="E399">
        <v>2534.87</v>
      </c>
      <c r="F399">
        <v>0</v>
      </c>
      <c r="G399">
        <v>985</v>
      </c>
      <c r="H399">
        <v>3108.64</v>
      </c>
      <c r="I399">
        <f ca="1" t="shared" si="6"/>
        <v>12519.65</v>
      </c>
    </row>
    <row r="400" spans="1:9">
      <c r="A400">
        <v>26161.6</v>
      </c>
      <c r="B400">
        <v>242.83</v>
      </c>
      <c r="C400">
        <v>6362</v>
      </c>
      <c r="D400">
        <v>315.6</v>
      </c>
      <c r="E400">
        <v>2560.64</v>
      </c>
      <c r="F400">
        <v>0</v>
      </c>
      <c r="G400">
        <v>983</v>
      </c>
      <c r="H400">
        <v>3112.02</v>
      </c>
      <c r="I400">
        <f ca="1" t="shared" si="6"/>
        <v>12585.51</v>
      </c>
    </row>
    <row r="401" spans="1:9">
      <c r="A401">
        <v>26121.61</v>
      </c>
      <c r="B401">
        <v>242.85</v>
      </c>
      <c r="C401">
        <v>6362</v>
      </c>
      <c r="D401">
        <v>315.6</v>
      </c>
      <c r="E401">
        <v>2586.37</v>
      </c>
      <c r="F401">
        <v>0</v>
      </c>
      <c r="G401">
        <v>1293</v>
      </c>
      <c r="H401">
        <v>3117.52</v>
      </c>
      <c r="I401">
        <f ca="1" t="shared" si="6"/>
        <v>12204.27</v>
      </c>
    </row>
    <row r="402" spans="1:9">
      <c r="A402">
        <v>26050</v>
      </c>
      <c r="B402">
        <v>242.75</v>
      </c>
      <c r="C402">
        <v>6362</v>
      </c>
      <c r="D402">
        <v>316.18</v>
      </c>
      <c r="E402">
        <v>2616.26</v>
      </c>
      <c r="F402">
        <v>0</v>
      </c>
      <c r="G402">
        <v>1690</v>
      </c>
      <c r="H402">
        <v>3116.1</v>
      </c>
      <c r="I402">
        <f ca="1" t="shared" si="6"/>
        <v>11706.71</v>
      </c>
    </row>
    <row r="403" spans="1:9">
      <c r="A403">
        <v>26102.08</v>
      </c>
      <c r="B403">
        <v>242.71</v>
      </c>
      <c r="C403">
        <v>6362</v>
      </c>
      <c r="D403">
        <v>316.18</v>
      </c>
      <c r="E403">
        <v>2645.08</v>
      </c>
      <c r="F403">
        <v>0</v>
      </c>
      <c r="G403">
        <v>2090</v>
      </c>
      <c r="H403">
        <v>3113.99</v>
      </c>
      <c r="I403">
        <f ca="1" t="shared" si="6"/>
        <v>11332.12</v>
      </c>
    </row>
    <row r="404" spans="1:9">
      <c r="A404">
        <v>26224.84</v>
      </c>
      <c r="B404">
        <v>242.7</v>
      </c>
      <c r="C404">
        <v>6362</v>
      </c>
      <c r="D404">
        <v>316.18</v>
      </c>
      <c r="E404">
        <v>2654.34</v>
      </c>
      <c r="F404">
        <v>0</v>
      </c>
      <c r="G404">
        <v>2695</v>
      </c>
      <c r="H404">
        <v>3119.46</v>
      </c>
      <c r="I404">
        <f ca="1" t="shared" si="6"/>
        <v>10835.16</v>
      </c>
    </row>
    <row r="405" spans="1:9">
      <c r="A405">
        <v>26594.05</v>
      </c>
      <c r="B405">
        <v>242.68</v>
      </c>
      <c r="C405">
        <v>6362</v>
      </c>
      <c r="D405">
        <v>316.18</v>
      </c>
      <c r="E405">
        <v>2681.13</v>
      </c>
      <c r="F405">
        <v>0</v>
      </c>
      <c r="G405">
        <v>3326</v>
      </c>
      <c r="H405">
        <v>3117.81</v>
      </c>
      <c r="I405">
        <f ca="1" t="shared" si="6"/>
        <v>10548.25</v>
      </c>
    </row>
    <row r="406" spans="1:9">
      <c r="A406">
        <v>26936.29</v>
      </c>
      <c r="B406">
        <v>242.86</v>
      </c>
      <c r="C406">
        <v>6362</v>
      </c>
      <c r="D406">
        <v>316.04</v>
      </c>
      <c r="E406">
        <v>2691.44</v>
      </c>
      <c r="F406">
        <v>6.18</v>
      </c>
      <c r="G406">
        <v>3946</v>
      </c>
      <c r="H406">
        <v>3120.97</v>
      </c>
      <c r="I406">
        <f ca="1" t="shared" si="6"/>
        <v>10250.8</v>
      </c>
    </row>
    <row r="407" spans="1:9">
      <c r="A407">
        <v>27325.96</v>
      </c>
      <c r="B407">
        <v>243.06</v>
      </c>
      <c r="C407">
        <v>6362</v>
      </c>
      <c r="D407">
        <v>316.04</v>
      </c>
      <c r="E407">
        <v>2685.26</v>
      </c>
      <c r="F407">
        <v>38.77</v>
      </c>
      <c r="G407">
        <v>4458</v>
      </c>
      <c r="H407">
        <v>3115.5</v>
      </c>
      <c r="I407">
        <f ca="1" t="shared" si="6"/>
        <v>10107.33</v>
      </c>
    </row>
    <row r="408" spans="1:9">
      <c r="A408">
        <v>27852.34</v>
      </c>
      <c r="B408">
        <v>242.97</v>
      </c>
      <c r="C408">
        <v>6362</v>
      </c>
      <c r="D408">
        <v>316.04</v>
      </c>
      <c r="E408">
        <v>2675.98</v>
      </c>
      <c r="F408">
        <v>124.94</v>
      </c>
      <c r="G408">
        <v>4993</v>
      </c>
      <c r="H408">
        <v>3117</v>
      </c>
      <c r="I408">
        <f ca="1" t="shared" si="6"/>
        <v>10020.41</v>
      </c>
    </row>
    <row r="409" spans="1:9">
      <c r="A409">
        <v>28076.47</v>
      </c>
      <c r="B409">
        <v>242.81</v>
      </c>
      <c r="C409">
        <v>6362</v>
      </c>
      <c r="D409">
        <v>316.04</v>
      </c>
      <c r="E409">
        <v>2664.65</v>
      </c>
      <c r="F409">
        <v>243.47</v>
      </c>
      <c r="G409">
        <v>5627</v>
      </c>
      <c r="H409">
        <v>3107.11</v>
      </c>
      <c r="I409">
        <f ca="1" t="shared" si="6"/>
        <v>9513.39</v>
      </c>
    </row>
    <row r="410" spans="1:9">
      <c r="A410">
        <v>28614.01</v>
      </c>
      <c r="B410">
        <v>242.93</v>
      </c>
      <c r="C410">
        <v>6362</v>
      </c>
      <c r="D410">
        <v>316.52</v>
      </c>
      <c r="E410">
        <v>2653.34</v>
      </c>
      <c r="F410">
        <v>423.98</v>
      </c>
      <c r="G410">
        <v>5287</v>
      </c>
      <c r="H410">
        <v>3106.75</v>
      </c>
      <c r="I410">
        <f ca="1" t="shared" si="6"/>
        <v>10221.49</v>
      </c>
    </row>
    <row r="411" spans="1:9">
      <c r="A411">
        <v>28927.42</v>
      </c>
      <c r="B411">
        <v>242.9</v>
      </c>
      <c r="C411">
        <v>6362</v>
      </c>
      <c r="D411">
        <v>316.52</v>
      </c>
      <c r="E411">
        <v>2648.19</v>
      </c>
      <c r="F411">
        <v>671.13</v>
      </c>
      <c r="G411">
        <v>5562</v>
      </c>
      <c r="H411">
        <v>3095.84</v>
      </c>
      <c r="I411">
        <f ca="1" t="shared" si="6"/>
        <v>10028.84</v>
      </c>
    </row>
    <row r="412" spans="1:9">
      <c r="A412">
        <v>29285.47</v>
      </c>
      <c r="B412">
        <v>242.87</v>
      </c>
      <c r="C412">
        <v>6362</v>
      </c>
      <c r="D412">
        <v>316.52</v>
      </c>
      <c r="E412">
        <v>2649.21</v>
      </c>
      <c r="F412">
        <v>979.92</v>
      </c>
      <c r="G412">
        <v>5835</v>
      </c>
      <c r="H412">
        <v>3094.39</v>
      </c>
      <c r="I412">
        <f ca="1" t="shared" si="6"/>
        <v>9805.56</v>
      </c>
    </row>
    <row r="413" spans="1:9">
      <c r="A413">
        <v>29644.45</v>
      </c>
      <c r="B413">
        <v>242.83</v>
      </c>
      <c r="C413">
        <v>6362</v>
      </c>
      <c r="D413">
        <v>316.52</v>
      </c>
      <c r="E413">
        <v>2643.03</v>
      </c>
      <c r="F413">
        <v>1345.33</v>
      </c>
      <c r="G413">
        <v>5877</v>
      </c>
      <c r="H413">
        <v>3063.81</v>
      </c>
      <c r="I413">
        <f ca="1" t="shared" si="6"/>
        <v>9793.93</v>
      </c>
    </row>
    <row r="414" spans="1:9">
      <c r="A414">
        <v>30137.35</v>
      </c>
      <c r="B414">
        <v>242.86</v>
      </c>
      <c r="C414">
        <v>6362</v>
      </c>
      <c r="D414">
        <v>317.42</v>
      </c>
      <c r="E414">
        <v>2622.44</v>
      </c>
      <c r="F414">
        <v>1775.92</v>
      </c>
      <c r="G414">
        <v>5725</v>
      </c>
      <c r="H414">
        <v>3070.14</v>
      </c>
      <c r="I414">
        <f ca="1" t="shared" si="6"/>
        <v>10021.57</v>
      </c>
    </row>
    <row r="415" spans="1:9">
      <c r="A415">
        <v>30585.61</v>
      </c>
      <c r="B415">
        <v>242.74</v>
      </c>
      <c r="C415">
        <v>6362</v>
      </c>
      <c r="D415">
        <v>317.42</v>
      </c>
      <c r="E415">
        <v>2590.49</v>
      </c>
      <c r="F415">
        <v>2218.77</v>
      </c>
      <c r="G415">
        <v>5656</v>
      </c>
      <c r="H415">
        <v>3079.88</v>
      </c>
      <c r="I415">
        <f ca="1" t="shared" si="6"/>
        <v>10118.31</v>
      </c>
    </row>
    <row r="416" spans="1:9">
      <c r="A416">
        <v>30988.3</v>
      </c>
      <c r="B416">
        <v>242.77</v>
      </c>
      <c r="C416">
        <v>6362</v>
      </c>
      <c r="D416">
        <v>317.42</v>
      </c>
      <c r="E416">
        <v>2571.96</v>
      </c>
      <c r="F416">
        <v>2689.69</v>
      </c>
      <c r="G416">
        <v>5359</v>
      </c>
      <c r="H416">
        <v>3098.2</v>
      </c>
      <c r="I416">
        <f ca="1" t="shared" si="6"/>
        <v>10347.26</v>
      </c>
    </row>
    <row r="417" spans="1:9">
      <c r="A417">
        <v>31667.2</v>
      </c>
      <c r="B417">
        <v>242.71</v>
      </c>
      <c r="C417">
        <v>6362</v>
      </c>
      <c r="D417">
        <v>317.42</v>
      </c>
      <c r="E417">
        <v>2547.24</v>
      </c>
      <c r="F417">
        <v>3156.21</v>
      </c>
      <c r="G417">
        <v>5316</v>
      </c>
      <c r="H417">
        <v>3120.13</v>
      </c>
      <c r="I417">
        <f ca="1" t="shared" si="6"/>
        <v>10605.49</v>
      </c>
    </row>
    <row r="418" spans="1:9">
      <c r="A418">
        <v>32578.6</v>
      </c>
      <c r="B418">
        <v>239.98</v>
      </c>
      <c r="C418">
        <v>6362</v>
      </c>
      <c r="D418">
        <v>317.04</v>
      </c>
      <c r="E418">
        <v>2552.37</v>
      </c>
      <c r="F418">
        <v>3651.19</v>
      </c>
      <c r="G418">
        <v>5199</v>
      </c>
      <c r="H418">
        <v>3113.84</v>
      </c>
      <c r="I418">
        <f ca="1" t="shared" si="6"/>
        <v>11143.18</v>
      </c>
    </row>
    <row r="419" spans="1:9">
      <c r="A419">
        <v>32990.59</v>
      </c>
      <c r="B419">
        <v>240.11</v>
      </c>
      <c r="C419">
        <v>6362</v>
      </c>
      <c r="D419">
        <v>317.04</v>
      </c>
      <c r="E419">
        <v>2620.37</v>
      </c>
      <c r="F419">
        <v>4143.17</v>
      </c>
      <c r="G419">
        <v>5503</v>
      </c>
      <c r="H419">
        <v>3125.75</v>
      </c>
      <c r="I419">
        <f ca="1" t="shared" si="6"/>
        <v>10679.15</v>
      </c>
    </row>
    <row r="420" spans="1:9">
      <c r="A420">
        <v>33346.78</v>
      </c>
      <c r="B420">
        <v>171.1</v>
      </c>
      <c r="C420">
        <v>6362</v>
      </c>
      <c r="D420">
        <v>317.04</v>
      </c>
      <c r="E420">
        <v>2694.53</v>
      </c>
      <c r="F420">
        <v>4642.27</v>
      </c>
      <c r="G420">
        <v>5968</v>
      </c>
      <c r="H420">
        <v>3115.01</v>
      </c>
      <c r="I420">
        <f ca="1" t="shared" si="6"/>
        <v>10076.83</v>
      </c>
    </row>
    <row r="421" spans="1:9">
      <c r="A421">
        <v>33633.22</v>
      </c>
      <c r="B421">
        <v>170.58</v>
      </c>
      <c r="C421">
        <v>6362</v>
      </c>
      <c r="D421">
        <v>317.04</v>
      </c>
      <c r="E421">
        <v>2772.79</v>
      </c>
      <c r="F421">
        <v>5118.77</v>
      </c>
      <c r="G421">
        <v>6472</v>
      </c>
      <c r="H421">
        <v>3104.85</v>
      </c>
      <c r="I421">
        <f ca="1" t="shared" si="6"/>
        <v>9315.19</v>
      </c>
    </row>
    <row r="422" spans="1:9">
      <c r="A422">
        <v>33928.96</v>
      </c>
      <c r="B422">
        <v>171.22</v>
      </c>
      <c r="C422">
        <v>6362</v>
      </c>
      <c r="D422">
        <v>317.36</v>
      </c>
      <c r="E422">
        <v>2884.04</v>
      </c>
      <c r="F422">
        <v>5568.84</v>
      </c>
      <c r="G422">
        <v>7237</v>
      </c>
      <c r="H422">
        <v>3101.19</v>
      </c>
      <c r="I422">
        <f ca="1" t="shared" si="6"/>
        <v>8287.31</v>
      </c>
    </row>
    <row r="423" spans="1:9">
      <c r="A423">
        <v>34275.85</v>
      </c>
      <c r="B423">
        <v>93.64</v>
      </c>
      <c r="C423">
        <v>6362</v>
      </c>
      <c r="D423">
        <v>317.36</v>
      </c>
      <c r="E423">
        <v>3016.91</v>
      </c>
      <c r="F423">
        <v>5942.21</v>
      </c>
      <c r="G423">
        <v>7428</v>
      </c>
      <c r="H423">
        <v>3103.59</v>
      </c>
      <c r="I423">
        <f ca="1" t="shared" si="6"/>
        <v>8012.14</v>
      </c>
    </row>
    <row r="424" spans="1:9">
      <c r="A424">
        <v>34454.41</v>
      </c>
      <c r="B424">
        <v>93.81</v>
      </c>
      <c r="C424">
        <v>6362</v>
      </c>
      <c r="D424">
        <v>317.36</v>
      </c>
      <c r="E424">
        <v>3153.9</v>
      </c>
      <c r="F424">
        <v>6318.45</v>
      </c>
      <c r="G424">
        <v>7386</v>
      </c>
      <c r="H424">
        <v>3104.26</v>
      </c>
      <c r="I424">
        <f ca="1" t="shared" si="6"/>
        <v>7718.63</v>
      </c>
    </row>
    <row r="425" spans="1:9">
      <c r="A425">
        <v>34632.97</v>
      </c>
      <c r="B425">
        <v>94.03</v>
      </c>
      <c r="C425">
        <v>6362</v>
      </c>
      <c r="D425">
        <v>317.36</v>
      </c>
      <c r="E425">
        <v>3295.02</v>
      </c>
      <c r="F425">
        <v>6631.06</v>
      </c>
      <c r="G425">
        <v>7239</v>
      </c>
      <c r="H425">
        <v>3116.82</v>
      </c>
      <c r="I425">
        <f ca="1" t="shared" si="6"/>
        <v>7577.68</v>
      </c>
    </row>
    <row r="426" spans="1:9">
      <c r="A426">
        <v>34811.53</v>
      </c>
      <c r="B426">
        <v>94.06</v>
      </c>
      <c r="C426">
        <v>6362</v>
      </c>
      <c r="D426">
        <v>328.06</v>
      </c>
      <c r="E426">
        <v>3445.41</v>
      </c>
      <c r="F426">
        <v>6920.7</v>
      </c>
      <c r="G426">
        <v>7225</v>
      </c>
      <c r="H426">
        <v>3129.81</v>
      </c>
      <c r="I426">
        <f ca="1" t="shared" si="6"/>
        <v>7306.49</v>
      </c>
    </row>
    <row r="427" spans="1:9">
      <c r="A427">
        <v>35215.15</v>
      </c>
      <c r="B427">
        <v>93.09</v>
      </c>
      <c r="C427">
        <v>6362</v>
      </c>
      <c r="D427">
        <v>328.06</v>
      </c>
      <c r="E427">
        <v>3596.79</v>
      </c>
      <c r="F427">
        <v>7192.15</v>
      </c>
      <c r="G427">
        <v>6986</v>
      </c>
      <c r="H427">
        <v>3118.36</v>
      </c>
      <c r="I427">
        <f ca="1" t="shared" si="6"/>
        <v>7538.7</v>
      </c>
    </row>
    <row r="428" spans="1:9">
      <c r="A428">
        <v>35350</v>
      </c>
      <c r="B428">
        <v>92.65</v>
      </c>
      <c r="C428">
        <v>6362</v>
      </c>
      <c r="D428">
        <v>328.06</v>
      </c>
      <c r="E428">
        <v>3743.06</v>
      </c>
      <c r="F428">
        <v>7441.7</v>
      </c>
      <c r="G428">
        <v>6718</v>
      </c>
      <c r="H428">
        <v>3120.82</v>
      </c>
      <c r="I428">
        <f ca="1" t="shared" si="6"/>
        <v>7543.71</v>
      </c>
    </row>
    <row r="429" spans="1:9">
      <c r="A429">
        <v>35094.25</v>
      </c>
      <c r="B429">
        <v>92.44</v>
      </c>
      <c r="C429">
        <v>6362</v>
      </c>
      <c r="D429">
        <v>328.06</v>
      </c>
      <c r="E429">
        <v>3885.2</v>
      </c>
      <c r="F429">
        <v>7649.32</v>
      </c>
      <c r="G429">
        <v>6452</v>
      </c>
      <c r="H429">
        <v>3109.64</v>
      </c>
      <c r="I429">
        <f ca="1" t="shared" si="6"/>
        <v>7215.59</v>
      </c>
    </row>
    <row r="430" spans="1:9">
      <c r="A430">
        <v>35256.07</v>
      </c>
      <c r="B430">
        <v>92.31</v>
      </c>
      <c r="C430">
        <v>6362</v>
      </c>
      <c r="D430">
        <v>326.19</v>
      </c>
      <c r="E430">
        <v>4010.87</v>
      </c>
      <c r="F430">
        <v>7776.24</v>
      </c>
      <c r="G430">
        <v>6125</v>
      </c>
      <c r="H430">
        <v>3109.29</v>
      </c>
      <c r="I430">
        <f ca="1" t="shared" si="6"/>
        <v>7454.17000000001</v>
      </c>
    </row>
    <row r="431" spans="1:9">
      <c r="A431">
        <v>34828.27</v>
      </c>
      <c r="B431">
        <v>92.33</v>
      </c>
      <c r="C431">
        <v>6362</v>
      </c>
      <c r="D431">
        <v>326.19</v>
      </c>
      <c r="E431">
        <v>4130.34</v>
      </c>
      <c r="F431">
        <v>7870.54</v>
      </c>
      <c r="G431">
        <v>5616</v>
      </c>
      <c r="H431">
        <v>3100.5</v>
      </c>
      <c r="I431">
        <f ca="1" t="shared" si="6"/>
        <v>7330.37</v>
      </c>
    </row>
    <row r="432" spans="1:9">
      <c r="A432">
        <v>34708.3</v>
      </c>
      <c r="B432">
        <v>92.48</v>
      </c>
      <c r="C432">
        <v>6362</v>
      </c>
      <c r="D432">
        <v>326.19</v>
      </c>
      <c r="E432">
        <v>4241.57</v>
      </c>
      <c r="F432">
        <v>7933.87</v>
      </c>
      <c r="G432">
        <v>5082</v>
      </c>
      <c r="H432">
        <v>3086.26</v>
      </c>
      <c r="I432">
        <f ca="1" t="shared" si="6"/>
        <v>7583.93</v>
      </c>
    </row>
    <row r="433" spans="1:9">
      <c r="A433">
        <v>34293.52</v>
      </c>
      <c r="B433">
        <v>93.63</v>
      </c>
      <c r="C433">
        <v>6362</v>
      </c>
      <c r="D433">
        <v>326.19</v>
      </c>
      <c r="E433">
        <v>4348.7</v>
      </c>
      <c r="F433">
        <v>7965.47</v>
      </c>
      <c r="G433">
        <v>4886</v>
      </c>
      <c r="H433">
        <v>3073.51</v>
      </c>
      <c r="I433">
        <f ca="1" t="shared" si="6"/>
        <v>7238.02</v>
      </c>
    </row>
    <row r="434" spans="1:9">
      <c r="A434">
        <v>34244.23</v>
      </c>
      <c r="B434">
        <v>93.63</v>
      </c>
      <c r="C434">
        <v>6362</v>
      </c>
      <c r="D434">
        <v>326.97</v>
      </c>
      <c r="E434">
        <v>4445.53</v>
      </c>
      <c r="F434">
        <v>7950.96</v>
      </c>
      <c r="G434">
        <v>4795</v>
      </c>
      <c r="H434">
        <v>3075.31</v>
      </c>
      <c r="I434">
        <f ca="1" t="shared" si="6"/>
        <v>7194.83000000001</v>
      </c>
    </row>
    <row r="435" spans="1:9">
      <c r="A435">
        <v>34430.23</v>
      </c>
      <c r="B435">
        <v>93.52</v>
      </c>
      <c r="C435">
        <v>6362</v>
      </c>
      <c r="D435">
        <v>326.97</v>
      </c>
      <c r="E435">
        <v>4554.71</v>
      </c>
      <c r="F435">
        <v>7905.62</v>
      </c>
      <c r="G435">
        <v>4973</v>
      </c>
      <c r="H435">
        <v>3079.96</v>
      </c>
      <c r="I435">
        <f ca="1" t="shared" si="6"/>
        <v>7134.45000000001</v>
      </c>
    </row>
    <row r="436" spans="1:9">
      <c r="A436">
        <v>34805.02</v>
      </c>
      <c r="B436">
        <v>93.26</v>
      </c>
      <c r="C436">
        <v>6362</v>
      </c>
      <c r="D436">
        <v>326.97</v>
      </c>
      <c r="E436">
        <v>4628.86</v>
      </c>
      <c r="F436">
        <v>7808.75</v>
      </c>
      <c r="G436">
        <v>5155</v>
      </c>
      <c r="H436">
        <v>3082.09</v>
      </c>
      <c r="I436">
        <f ca="1" t="shared" si="6"/>
        <v>7348.08999999999</v>
      </c>
    </row>
    <row r="437" spans="1:9">
      <c r="A437">
        <v>34640.41</v>
      </c>
      <c r="B437">
        <v>93.28</v>
      </c>
      <c r="C437">
        <v>6362</v>
      </c>
      <c r="D437">
        <v>326.97</v>
      </c>
      <c r="E437">
        <v>4713.32</v>
      </c>
      <c r="F437">
        <v>7669.01</v>
      </c>
      <c r="G437">
        <v>5340</v>
      </c>
      <c r="H437">
        <v>3086.63</v>
      </c>
      <c r="I437">
        <f ca="1" t="shared" si="6"/>
        <v>7049.2</v>
      </c>
    </row>
    <row r="438" spans="1:9">
      <c r="A438">
        <v>35135.17</v>
      </c>
      <c r="B438">
        <v>93.29</v>
      </c>
      <c r="C438">
        <v>6362</v>
      </c>
      <c r="D438">
        <v>316.58</v>
      </c>
      <c r="E438">
        <v>4793.65</v>
      </c>
      <c r="F438">
        <v>7533.25</v>
      </c>
      <c r="G438">
        <v>5476</v>
      </c>
      <c r="H438">
        <v>3087.01</v>
      </c>
      <c r="I438">
        <f ca="1" t="shared" si="6"/>
        <v>7473.38999999999</v>
      </c>
    </row>
    <row r="439" spans="1:9">
      <c r="A439">
        <v>35073.79</v>
      </c>
      <c r="B439">
        <v>93.26</v>
      </c>
      <c r="C439">
        <v>6362</v>
      </c>
      <c r="D439">
        <v>316.58</v>
      </c>
      <c r="E439">
        <v>4871.93</v>
      </c>
      <c r="F439">
        <v>7318.13</v>
      </c>
      <c r="G439">
        <v>5512</v>
      </c>
      <c r="H439">
        <v>3096.67</v>
      </c>
      <c r="I439">
        <f ca="1" t="shared" si="6"/>
        <v>7503.22</v>
      </c>
    </row>
    <row r="440" spans="1:9">
      <c r="A440">
        <v>35115.64</v>
      </c>
      <c r="B440">
        <v>93.27</v>
      </c>
      <c r="C440">
        <v>6362</v>
      </c>
      <c r="D440">
        <v>316.58</v>
      </c>
      <c r="E440">
        <v>4939.9</v>
      </c>
      <c r="F440">
        <v>7060.88</v>
      </c>
      <c r="G440">
        <v>5887</v>
      </c>
      <c r="H440">
        <v>3094.28</v>
      </c>
      <c r="I440">
        <f ca="1" t="shared" si="6"/>
        <v>7361.73</v>
      </c>
    </row>
    <row r="441" spans="1:9">
      <c r="A441">
        <v>35133.31</v>
      </c>
      <c r="B441">
        <v>93.33</v>
      </c>
      <c r="C441">
        <v>6362</v>
      </c>
      <c r="D441">
        <v>316.58</v>
      </c>
      <c r="E441">
        <v>5014.07</v>
      </c>
      <c r="F441">
        <v>6791.58</v>
      </c>
      <c r="G441">
        <v>6236</v>
      </c>
      <c r="H441">
        <v>3088.21</v>
      </c>
      <c r="I441">
        <f ca="1" t="shared" si="6"/>
        <v>7231.53999999999</v>
      </c>
    </row>
    <row r="442" spans="1:9">
      <c r="A442">
        <v>35242.12</v>
      </c>
      <c r="B442">
        <v>91.92</v>
      </c>
      <c r="C442">
        <v>6362</v>
      </c>
      <c r="D442">
        <v>317.56</v>
      </c>
      <c r="E442">
        <v>5075.87</v>
      </c>
      <c r="F442">
        <v>6475.72</v>
      </c>
      <c r="G442">
        <v>6560</v>
      </c>
      <c r="H442">
        <v>3092.89</v>
      </c>
      <c r="I442">
        <f ca="1" t="shared" si="6"/>
        <v>7266.16</v>
      </c>
    </row>
    <row r="443" spans="1:9">
      <c r="A443">
        <v>35314.66</v>
      </c>
      <c r="B443">
        <v>91.89</v>
      </c>
      <c r="C443">
        <v>6362</v>
      </c>
      <c r="D443">
        <v>317.56</v>
      </c>
      <c r="E443">
        <v>5126.35</v>
      </c>
      <c r="F443">
        <v>6129.16</v>
      </c>
      <c r="G443">
        <v>6902</v>
      </c>
      <c r="H443">
        <v>3091.18</v>
      </c>
      <c r="I443">
        <f ca="1" t="shared" si="6"/>
        <v>7294.52</v>
      </c>
    </row>
    <row r="444" spans="1:9">
      <c r="A444">
        <v>35150.05</v>
      </c>
      <c r="B444">
        <v>91.84</v>
      </c>
      <c r="C444">
        <v>6362</v>
      </c>
      <c r="D444">
        <v>317.56</v>
      </c>
      <c r="E444">
        <v>5173.73</v>
      </c>
      <c r="F444">
        <v>5761.59</v>
      </c>
      <c r="G444">
        <v>7243</v>
      </c>
      <c r="H444">
        <v>3083.2</v>
      </c>
      <c r="I444">
        <f ca="1" t="shared" si="6"/>
        <v>7117.13000000001</v>
      </c>
    </row>
    <row r="445" spans="1:9">
      <c r="A445">
        <v>35248.63</v>
      </c>
      <c r="B445">
        <v>91.68</v>
      </c>
      <c r="C445">
        <v>6362</v>
      </c>
      <c r="D445">
        <v>317.56</v>
      </c>
      <c r="E445">
        <v>5220.07</v>
      </c>
      <c r="F445">
        <v>5375.17</v>
      </c>
      <c r="G445">
        <v>7558</v>
      </c>
      <c r="H445">
        <v>3096.31</v>
      </c>
      <c r="I445">
        <f ca="1" t="shared" si="6"/>
        <v>7227.83999999999</v>
      </c>
    </row>
    <row r="446" spans="1:9">
      <c r="A446">
        <v>35036.59</v>
      </c>
      <c r="B446">
        <v>232.81</v>
      </c>
      <c r="C446">
        <v>6362</v>
      </c>
      <c r="D446">
        <v>317.65</v>
      </c>
      <c r="E446">
        <v>5256.13</v>
      </c>
      <c r="F446">
        <v>4940.63</v>
      </c>
      <c r="G446">
        <v>7668</v>
      </c>
      <c r="H446">
        <v>3088.98</v>
      </c>
      <c r="I446">
        <f ca="1" t="shared" si="6"/>
        <v>7170.39</v>
      </c>
    </row>
    <row r="447" spans="1:9">
      <c r="A447">
        <v>34882.21</v>
      </c>
      <c r="B447">
        <v>234.18</v>
      </c>
      <c r="C447">
        <v>6362</v>
      </c>
      <c r="D447">
        <v>317.65</v>
      </c>
      <c r="E447">
        <v>5279.82</v>
      </c>
      <c r="F447">
        <v>4487.52</v>
      </c>
      <c r="G447">
        <v>7980</v>
      </c>
      <c r="H447">
        <v>3095.48</v>
      </c>
      <c r="I447">
        <f ca="1" t="shared" si="6"/>
        <v>7125.56</v>
      </c>
    </row>
    <row r="448" spans="1:9">
      <c r="A448">
        <v>34882.21</v>
      </c>
      <c r="B448">
        <v>234.17</v>
      </c>
      <c r="C448">
        <v>6362</v>
      </c>
      <c r="D448">
        <v>317.65</v>
      </c>
      <c r="E448">
        <v>5304.54</v>
      </c>
      <c r="F448">
        <v>4024.91</v>
      </c>
      <c r="G448">
        <v>8577</v>
      </c>
      <c r="H448">
        <v>3090.73</v>
      </c>
      <c r="I448">
        <f ca="1" t="shared" si="6"/>
        <v>6971.21</v>
      </c>
    </row>
    <row r="449" spans="1:9">
      <c r="A449">
        <v>34920.34</v>
      </c>
      <c r="B449">
        <v>272.85</v>
      </c>
      <c r="C449">
        <v>6362</v>
      </c>
      <c r="D449">
        <v>317.65</v>
      </c>
      <c r="E449">
        <v>5328.23</v>
      </c>
      <c r="F449">
        <v>3560.95</v>
      </c>
      <c r="G449">
        <v>9191</v>
      </c>
      <c r="H449">
        <v>3106.84</v>
      </c>
      <c r="I449">
        <f ca="1" t="shared" si="6"/>
        <v>6780.82</v>
      </c>
    </row>
    <row r="450" spans="1:9">
      <c r="A450">
        <v>34882.21</v>
      </c>
      <c r="B450">
        <v>272.52</v>
      </c>
      <c r="C450">
        <v>6362</v>
      </c>
      <c r="D450">
        <v>317.82</v>
      </c>
      <c r="E450">
        <v>5345.73</v>
      </c>
      <c r="F450">
        <v>3107.01</v>
      </c>
      <c r="G450">
        <v>9038</v>
      </c>
      <c r="H450">
        <v>3106.07</v>
      </c>
      <c r="I450">
        <f ca="1" t="shared" si="6"/>
        <v>7333.06</v>
      </c>
    </row>
    <row r="451" spans="1:9">
      <c r="A451">
        <v>34805.95</v>
      </c>
      <c r="B451">
        <v>272.5</v>
      </c>
      <c r="C451">
        <v>6362</v>
      </c>
      <c r="D451">
        <v>317.82</v>
      </c>
      <c r="E451">
        <v>5335.42</v>
      </c>
      <c r="F451">
        <v>2611.87</v>
      </c>
      <c r="G451">
        <v>9215</v>
      </c>
      <c r="H451">
        <v>3111.35</v>
      </c>
      <c r="I451">
        <f ca="1" t="shared" ref="I451:I514" si="7">A451-B451-C451-D451-E451-F451-G451-H451</f>
        <v>7579.99</v>
      </c>
    </row>
    <row r="452" spans="1:9">
      <c r="A452">
        <v>34577.17</v>
      </c>
      <c r="B452">
        <v>340.42</v>
      </c>
      <c r="C452">
        <v>6362</v>
      </c>
      <c r="D452">
        <v>317.82</v>
      </c>
      <c r="E452">
        <v>5315.85</v>
      </c>
      <c r="F452">
        <v>2115.61</v>
      </c>
      <c r="G452">
        <v>9416</v>
      </c>
      <c r="H452">
        <v>3102.39</v>
      </c>
      <c r="I452">
        <f ca="1" t="shared" si="7"/>
        <v>7607.08</v>
      </c>
    </row>
    <row r="453" spans="1:9">
      <c r="A453">
        <v>34006.15</v>
      </c>
      <c r="B453">
        <v>337.66</v>
      </c>
      <c r="C453">
        <v>6362</v>
      </c>
      <c r="D453">
        <v>317.82</v>
      </c>
      <c r="E453">
        <v>5296.28</v>
      </c>
      <c r="F453">
        <v>1661.81</v>
      </c>
      <c r="G453">
        <v>9462</v>
      </c>
      <c r="H453">
        <v>3104.38</v>
      </c>
      <c r="I453">
        <f ca="1" t="shared" si="7"/>
        <v>7464.2</v>
      </c>
    </row>
    <row r="454" spans="1:9">
      <c r="A454">
        <v>33815.5</v>
      </c>
      <c r="B454">
        <v>337.38</v>
      </c>
      <c r="C454">
        <v>6362</v>
      </c>
      <c r="D454">
        <v>306.39</v>
      </c>
      <c r="E454">
        <v>5258.19</v>
      </c>
      <c r="F454">
        <v>1258</v>
      </c>
      <c r="G454">
        <v>9732</v>
      </c>
      <c r="H454">
        <v>3113.77</v>
      </c>
      <c r="I454">
        <f ca="1" t="shared" si="7"/>
        <v>7447.77</v>
      </c>
    </row>
    <row r="455" spans="1:9">
      <c r="A455">
        <v>33815.5</v>
      </c>
      <c r="B455">
        <v>336.49</v>
      </c>
      <c r="C455">
        <v>6362</v>
      </c>
      <c r="D455">
        <v>306.39</v>
      </c>
      <c r="E455">
        <v>5201.53</v>
      </c>
      <c r="F455">
        <v>873.38</v>
      </c>
      <c r="G455">
        <v>9553</v>
      </c>
      <c r="H455">
        <v>3106.94</v>
      </c>
      <c r="I455">
        <f ca="1" t="shared" si="7"/>
        <v>8075.77</v>
      </c>
    </row>
    <row r="456" spans="1:9">
      <c r="A456">
        <v>33777.37</v>
      </c>
      <c r="B456">
        <v>337.45</v>
      </c>
      <c r="C456">
        <v>6362</v>
      </c>
      <c r="D456">
        <v>306.39</v>
      </c>
      <c r="E456">
        <v>5142.81</v>
      </c>
      <c r="F456">
        <v>548.25</v>
      </c>
      <c r="G456">
        <v>9375</v>
      </c>
      <c r="H456">
        <v>3102.07</v>
      </c>
      <c r="I456">
        <f ca="1" t="shared" si="7"/>
        <v>8603.40000000001</v>
      </c>
    </row>
    <row r="457" spans="1:9">
      <c r="A457">
        <v>33624.85</v>
      </c>
      <c r="B457">
        <v>337.8</v>
      </c>
      <c r="C457">
        <v>6362</v>
      </c>
      <c r="D457">
        <v>306.39</v>
      </c>
      <c r="E457">
        <v>5076.91</v>
      </c>
      <c r="F457">
        <v>296.89</v>
      </c>
      <c r="G457">
        <v>9198</v>
      </c>
      <c r="H457">
        <v>3114.17</v>
      </c>
      <c r="I457">
        <f ca="1" t="shared" si="7"/>
        <v>8932.69</v>
      </c>
    </row>
    <row r="458" spans="1:9">
      <c r="A458">
        <v>33624.85</v>
      </c>
      <c r="B458">
        <v>338.33</v>
      </c>
      <c r="C458">
        <v>6362</v>
      </c>
      <c r="D458">
        <v>305.99</v>
      </c>
      <c r="E458">
        <v>5024.36</v>
      </c>
      <c r="F458">
        <v>124.39</v>
      </c>
      <c r="G458">
        <v>9233</v>
      </c>
      <c r="H458">
        <v>3110.81</v>
      </c>
      <c r="I458">
        <f ca="1" t="shared" si="7"/>
        <v>9125.97</v>
      </c>
    </row>
    <row r="459" spans="1:9">
      <c r="A459">
        <v>33586.72</v>
      </c>
      <c r="B459">
        <v>336.85</v>
      </c>
      <c r="C459">
        <v>6362</v>
      </c>
      <c r="D459">
        <v>305.99</v>
      </c>
      <c r="E459">
        <v>4985.24</v>
      </c>
      <c r="F459">
        <v>45.13</v>
      </c>
      <c r="G459">
        <v>8967</v>
      </c>
      <c r="H459">
        <v>3103.24</v>
      </c>
      <c r="I459">
        <f ca="1" t="shared" si="7"/>
        <v>9481.27</v>
      </c>
    </row>
    <row r="460" spans="1:9">
      <c r="A460">
        <v>33586.72</v>
      </c>
      <c r="B460">
        <v>336.58</v>
      </c>
      <c r="C460">
        <v>6362</v>
      </c>
      <c r="D460">
        <v>305.99</v>
      </c>
      <c r="E460">
        <v>4912.11</v>
      </c>
      <c r="F460">
        <v>1.91</v>
      </c>
      <c r="G460">
        <v>8704</v>
      </c>
      <c r="H460">
        <v>3091.58</v>
      </c>
      <c r="I460">
        <f ca="1" t="shared" si="7"/>
        <v>9872.55</v>
      </c>
    </row>
    <row r="461" spans="1:9">
      <c r="A461">
        <v>33739.24</v>
      </c>
      <c r="B461">
        <v>336.71</v>
      </c>
      <c r="C461">
        <v>6362</v>
      </c>
      <c r="D461">
        <v>305.99</v>
      </c>
      <c r="E461">
        <v>4819.4</v>
      </c>
      <c r="F461">
        <v>0</v>
      </c>
      <c r="G461">
        <v>8439</v>
      </c>
      <c r="H461">
        <v>3104.62</v>
      </c>
      <c r="I461">
        <f ca="1" t="shared" si="7"/>
        <v>10371.52</v>
      </c>
    </row>
    <row r="462" spans="1:9">
      <c r="A462">
        <v>33777.37</v>
      </c>
      <c r="B462">
        <v>336.61</v>
      </c>
      <c r="C462">
        <v>6362</v>
      </c>
      <c r="D462">
        <v>316.64</v>
      </c>
      <c r="E462">
        <v>4790.55</v>
      </c>
      <c r="F462">
        <v>0</v>
      </c>
      <c r="G462">
        <v>8385</v>
      </c>
      <c r="H462">
        <v>3112.26</v>
      </c>
      <c r="I462">
        <f ca="1" t="shared" si="7"/>
        <v>10474.31</v>
      </c>
    </row>
    <row r="463" spans="1:9">
      <c r="A463">
        <v>33777.37</v>
      </c>
      <c r="B463">
        <v>336.62</v>
      </c>
      <c r="C463">
        <v>6362</v>
      </c>
      <c r="D463">
        <v>316.64</v>
      </c>
      <c r="E463">
        <v>4748.32</v>
      </c>
      <c r="F463">
        <v>0</v>
      </c>
      <c r="G463">
        <v>8357</v>
      </c>
      <c r="H463">
        <v>3111.57</v>
      </c>
      <c r="I463">
        <f ca="1" t="shared" si="7"/>
        <v>10545.22</v>
      </c>
    </row>
    <row r="464" spans="1:9">
      <c r="A464">
        <v>33701.11</v>
      </c>
      <c r="B464">
        <v>336.63</v>
      </c>
      <c r="C464">
        <v>6362</v>
      </c>
      <c r="D464">
        <v>316.64</v>
      </c>
      <c r="E464">
        <v>4680.35</v>
      </c>
      <c r="F464">
        <v>0</v>
      </c>
      <c r="G464">
        <v>8330</v>
      </c>
      <c r="H464">
        <v>3117.82</v>
      </c>
      <c r="I464">
        <f ca="1" t="shared" si="7"/>
        <v>10557.67</v>
      </c>
    </row>
    <row r="465" spans="1:9">
      <c r="A465">
        <v>33434.2</v>
      </c>
      <c r="B465">
        <v>336.64</v>
      </c>
      <c r="C465">
        <v>6362</v>
      </c>
      <c r="D465">
        <v>316.64</v>
      </c>
      <c r="E465">
        <v>4610.3</v>
      </c>
      <c r="F465">
        <v>0</v>
      </c>
      <c r="G465">
        <v>8302</v>
      </c>
      <c r="H465">
        <v>3128.7</v>
      </c>
      <c r="I465">
        <f ca="1" t="shared" si="7"/>
        <v>10377.92</v>
      </c>
    </row>
    <row r="466" spans="1:9">
      <c r="A466">
        <v>33205.42</v>
      </c>
      <c r="B466">
        <v>298.66</v>
      </c>
      <c r="C466">
        <v>6362</v>
      </c>
      <c r="D466">
        <v>328.93</v>
      </c>
      <c r="E466">
        <v>4531.01</v>
      </c>
      <c r="F466">
        <v>0</v>
      </c>
      <c r="G466">
        <v>7790</v>
      </c>
      <c r="H466">
        <v>3113.97</v>
      </c>
      <c r="I466">
        <f ca="1" t="shared" si="7"/>
        <v>10780.85</v>
      </c>
    </row>
    <row r="467" spans="1:9">
      <c r="A467">
        <v>33015.7</v>
      </c>
      <c r="B467">
        <v>298.57</v>
      </c>
      <c r="C467">
        <v>6362</v>
      </c>
      <c r="D467">
        <v>328.93</v>
      </c>
      <c r="E467">
        <v>4438.31</v>
      </c>
      <c r="F467">
        <v>0</v>
      </c>
      <c r="G467">
        <v>7353</v>
      </c>
      <c r="H467">
        <v>3116.44</v>
      </c>
      <c r="I467">
        <f ca="1" t="shared" si="7"/>
        <v>11118.45</v>
      </c>
    </row>
    <row r="468" spans="1:9">
      <c r="A468">
        <v>32731.12</v>
      </c>
      <c r="B468">
        <v>298.46</v>
      </c>
      <c r="C468">
        <v>6362</v>
      </c>
      <c r="D468">
        <v>328.93</v>
      </c>
      <c r="E468">
        <v>4343.54</v>
      </c>
      <c r="F468">
        <v>0</v>
      </c>
      <c r="G468">
        <v>6761</v>
      </c>
      <c r="H468">
        <v>3108.02</v>
      </c>
      <c r="I468">
        <f ca="1" t="shared" si="7"/>
        <v>11529.17</v>
      </c>
    </row>
    <row r="469" spans="1:9">
      <c r="A469">
        <v>32375.86</v>
      </c>
      <c r="B469">
        <v>298.44</v>
      </c>
      <c r="C469">
        <v>6362</v>
      </c>
      <c r="D469">
        <v>328.93</v>
      </c>
      <c r="E469">
        <v>4246.71</v>
      </c>
      <c r="F469">
        <v>0</v>
      </c>
      <c r="G469">
        <v>6195</v>
      </c>
      <c r="H469">
        <v>3122.21</v>
      </c>
      <c r="I469">
        <f ca="1" t="shared" si="7"/>
        <v>11822.57</v>
      </c>
    </row>
    <row r="470" spans="1:9">
      <c r="A470">
        <v>32091.28</v>
      </c>
      <c r="B470">
        <v>298.4</v>
      </c>
      <c r="C470">
        <v>6362</v>
      </c>
      <c r="D470">
        <v>329.59</v>
      </c>
      <c r="E470">
        <v>4169.46</v>
      </c>
      <c r="F470">
        <v>0</v>
      </c>
      <c r="G470">
        <v>5506</v>
      </c>
      <c r="H470">
        <v>3116.85</v>
      </c>
      <c r="I470">
        <f ca="1" t="shared" si="7"/>
        <v>12308.98</v>
      </c>
    </row>
    <row r="471" spans="1:9">
      <c r="A471">
        <v>31622.56</v>
      </c>
      <c r="B471">
        <v>298.39</v>
      </c>
      <c r="C471">
        <v>6362</v>
      </c>
      <c r="D471">
        <v>329.59</v>
      </c>
      <c r="E471">
        <v>4120.02</v>
      </c>
      <c r="F471">
        <v>0</v>
      </c>
      <c r="G471">
        <v>4987</v>
      </c>
      <c r="H471">
        <v>3108.26</v>
      </c>
      <c r="I471">
        <f ca="1" t="shared" si="7"/>
        <v>12417.3</v>
      </c>
    </row>
    <row r="472" spans="1:9">
      <c r="A472">
        <v>31181.74</v>
      </c>
      <c r="B472">
        <v>298.35</v>
      </c>
      <c r="C472">
        <v>6362</v>
      </c>
      <c r="D472">
        <v>329.59</v>
      </c>
      <c r="E472">
        <v>4058.22</v>
      </c>
      <c r="F472">
        <v>0</v>
      </c>
      <c r="G472">
        <v>4652</v>
      </c>
      <c r="H472">
        <v>3108.59</v>
      </c>
      <c r="I472">
        <f ca="1" t="shared" si="7"/>
        <v>12372.99</v>
      </c>
    </row>
    <row r="473" spans="1:9">
      <c r="A473">
        <v>30658.15</v>
      </c>
      <c r="B473">
        <v>298.69</v>
      </c>
      <c r="C473">
        <v>6362</v>
      </c>
      <c r="D473">
        <v>329.59</v>
      </c>
      <c r="E473">
        <v>3994.37</v>
      </c>
      <c r="F473">
        <v>0</v>
      </c>
      <c r="G473">
        <v>4703</v>
      </c>
      <c r="H473">
        <v>3121.82</v>
      </c>
      <c r="I473">
        <f ca="1" t="shared" si="7"/>
        <v>11848.68</v>
      </c>
    </row>
    <row r="474" spans="1:9">
      <c r="A474">
        <v>30688.84</v>
      </c>
      <c r="B474">
        <v>300.58</v>
      </c>
      <c r="C474">
        <v>6362</v>
      </c>
      <c r="D474">
        <v>316.87</v>
      </c>
      <c r="E474">
        <v>3936.69</v>
      </c>
      <c r="F474">
        <v>0</v>
      </c>
      <c r="G474">
        <v>4702</v>
      </c>
      <c r="H474">
        <v>3127.02</v>
      </c>
      <c r="I474">
        <f ca="1" t="shared" si="7"/>
        <v>11943.68</v>
      </c>
    </row>
    <row r="475" spans="1:9">
      <c r="A475">
        <v>30128.98</v>
      </c>
      <c r="B475">
        <v>300.43</v>
      </c>
      <c r="C475">
        <v>6362</v>
      </c>
      <c r="D475">
        <v>316.87</v>
      </c>
      <c r="E475">
        <v>3901.68</v>
      </c>
      <c r="F475">
        <v>0</v>
      </c>
      <c r="G475">
        <v>4108</v>
      </c>
      <c r="H475">
        <v>3137.11</v>
      </c>
      <c r="I475">
        <f ca="1" t="shared" si="7"/>
        <v>12002.89</v>
      </c>
    </row>
    <row r="476" spans="1:9">
      <c r="A476">
        <v>29727.22</v>
      </c>
      <c r="B476">
        <v>301.1</v>
      </c>
      <c r="C476">
        <v>6362</v>
      </c>
      <c r="D476">
        <v>316.87</v>
      </c>
      <c r="E476">
        <v>3877.99</v>
      </c>
      <c r="F476">
        <v>0</v>
      </c>
      <c r="G476">
        <v>3515</v>
      </c>
      <c r="H476">
        <v>3141.79</v>
      </c>
      <c r="I476">
        <f ca="1" t="shared" si="7"/>
        <v>12212.47</v>
      </c>
    </row>
    <row r="477" spans="1:9">
      <c r="A477">
        <v>29197.12</v>
      </c>
      <c r="B477">
        <v>301.44</v>
      </c>
      <c r="C477">
        <v>6362</v>
      </c>
      <c r="D477">
        <v>316.87</v>
      </c>
      <c r="E477">
        <v>3851.19</v>
      </c>
      <c r="F477">
        <v>0</v>
      </c>
      <c r="G477">
        <v>2921</v>
      </c>
      <c r="H477">
        <v>3147.84</v>
      </c>
      <c r="I477">
        <f ca="1" t="shared" si="7"/>
        <v>12296.78</v>
      </c>
    </row>
    <row r="478" spans="1:9">
      <c r="A478">
        <v>29065.99</v>
      </c>
      <c r="B478">
        <v>301.48</v>
      </c>
      <c r="C478">
        <v>6362</v>
      </c>
      <c r="D478">
        <v>316.41</v>
      </c>
      <c r="E478">
        <v>3826.47</v>
      </c>
      <c r="F478">
        <v>0</v>
      </c>
      <c r="G478">
        <v>2663</v>
      </c>
      <c r="H478">
        <v>3139.72</v>
      </c>
      <c r="I478">
        <f ca="1" t="shared" si="7"/>
        <v>12456.91</v>
      </c>
    </row>
    <row r="479" spans="1:9">
      <c r="A479">
        <v>28622.38</v>
      </c>
      <c r="B479">
        <v>301.79</v>
      </c>
      <c r="C479">
        <v>6362</v>
      </c>
      <c r="D479">
        <v>316.41</v>
      </c>
      <c r="E479">
        <v>3816.17</v>
      </c>
      <c r="F479">
        <v>0</v>
      </c>
      <c r="G479">
        <v>2632</v>
      </c>
      <c r="H479">
        <v>3140.97</v>
      </c>
      <c r="I479">
        <f ca="1" t="shared" si="7"/>
        <v>12053.04</v>
      </c>
    </row>
    <row r="480" spans="1:9">
      <c r="A480">
        <v>28219.69</v>
      </c>
      <c r="B480">
        <v>301.62</v>
      </c>
      <c r="C480">
        <v>6362</v>
      </c>
      <c r="D480">
        <v>316.41</v>
      </c>
      <c r="E480">
        <v>3805.88</v>
      </c>
      <c r="F480">
        <v>0</v>
      </c>
      <c r="G480">
        <v>2601</v>
      </c>
      <c r="H480">
        <v>3132.8</v>
      </c>
      <c r="I480">
        <f ca="1" t="shared" si="7"/>
        <v>11699.98</v>
      </c>
    </row>
    <row r="481" spans="1:9">
      <c r="A481">
        <v>27817</v>
      </c>
      <c r="B481">
        <v>301.63</v>
      </c>
      <c r="C481">
        <v>6362</v>
      </c>
      <c r="D481">
        <v>316.41</v>
      </c>
      <c r="E481">
        <v>3798.66</v>
      </c>
      <c r="F481">
        <v>0</v>
      </c>
      <c r="G481">
        <v>2570</v>
      </c>
      <c r="H481">
        <v>3150.88</v>
      </c>
      <c r="I481">
        <f ca="1" t="shared" si="7"/>
        <v>11317.42</v>
      </c>
    </row>
    <row r="482" spans="1:9">
      <c r="A482">
        <v>27542.53</v>
      </c>
      <c r="B482">
        <v>236.48</v>
      </c>
      <c r="C482">
        <v>6361</v>
      </c>
      <c r="D482">
        <v>310.85</v>
      </c>
      <c r="E482">
        <v>3424.77</v>
      </c>
      <c r="F482">
        <v>0</v>
      </c>
      <c r="G482">
        <v>2935</v>
      </c>
      <c r="H482">
        <v>3136.11</v>
      </c>
      <c r="I482">
        <f ca="1" t="shared" si="7"/>
        <v>11138.32</v>
      </c>
    </row>
    <row r="483" spans="1:9">
      <c r="A483">
        <v>27296.14</v>
      </c>
      <c r="B483">
        <v>239.14</v>
      </c>
      <c r="C483">
        <v>6361</v>
      </c>
      <c r="D483">
        <v>310.85</v>
      </c>
      <c r="E483">
        <v>3426.84</v>
      </c>
      <c r="F483">
        <v>0</v>
      </c>
      <c r="G483">
        <v>2556</v>
      </c>
      <c r="H483">
        <v>3130.77</v>
      </c>
      <c r="I483">
        <f ca="1" t="shared" si="7"/>
        <v>11271.54</v>
      </c>
    </row>
    <row r="484" spans="1:9">
      <c r="A484">
        <v>27130.93</v>
      </c>
      <c r="B484">
        <v>240.39</v>
      </c>
      <c r="C484">
        <v>6361</v>
      </c>
      <c r="D484">
        <v>310.85</v>
      </c>
      <c r="E484">
        <v>3431.99</v>
      </c>
      <c r="F484">
        <v>0</v>
      </c>
      <c r="G484">
        <v>2200</v>
      </c>
      <c r="H484">
        <v>3120.79</v>
      </c>
      <c r="I484">
        <f ca="1" t="shared" si="7"/>
        <v>11465.91</v>
      </c>
    </row>
    <row r="485" spans="1:9">
      <c r="A485">
        <v>26918.92</v>
      </c>
      <c r="B485">
        <v>240.61</v>
      </c>
      <c r="C485">
        <v>6361</v>
      </c>
      <c r="D485">
        <v>310.85</v>
      </c>
      <c r="E485">
        <v>3437.15</v>
      </c>
      <c r="F485">
        <v>0</v>
      </c>
      <c r="G485">
        <v>1846</v>
      </c>
      <c r="H485">
        <v>3137.83</v>
      </c>
      <c r="I485">
        <f ca="1" t="shared" si="7"/>
        <v>11585.48</v>
      </c>
    </row>
    <row r="486" spans="1:9">
      <c r="A486">
        <v>26748.93</v>
      </c>
      <c r="B486">
        <v>240.56</v>
      </c>
      <c r="C486">
        <v>6361</v>
      </c>
      <c r="D486">
        <v>298.02</v>
      </c>
      <c r="E486">
        <v>3442.29</v>
      </c>
      <c r="F486">
        <v>0</v>
      </c>
      <c r="G486">
        <v>1201</v>
      </c>
      <c r="H486">
        <v>3140.35</v>
      </c>
      <c r="I486">
        <f ca="1" t="shared" si="7"/>
        <v>12065.71</v>
      </c>
    </row>
    <row r="487" spans="1:9">
      <c r="A487">
        <v>26557.93</v>
      </c>
      <c r="B487">
        <v>240.76</v>
      </c>
      <c r="C487">
        <v>6361</v>
      </c>
      <c r="D487">
        <v>298.02</v>
      </c>
      <c r="E487">
        <v>3437.14</v>
      </c>
      <c r="F487">
        <v>0</v>
      </c>
      <c r="G487">
        <v>834</v>
      </c>
      <c r="H487">
        <v>3126.3</v>
      </c>
      <c r="I487">
        <f ca="1" t="shared" si="7"/>
        <v>12260.71</v>
      </c>
    </row>
    <row r="488" spans="1:9">
      <c r="A488">
        <v>26451.92</v>
      </c>
      <c r="B488">
        <v>240.76</v>
      </c>
      <c r="C488">
        <v>6361</v>
      </c>
      <c r="D488">
        <v>298.02</v>
      </c>
      <c r="E488">
        <v>3429.94</v>
      </c>
      <c r="F488">
        <v>0</v>
      </c>
      <c r="G488">
        <v>802</v>
      </c>
      <c r="H488">
        <v>3124.76</v>
      </c>
      <c r="I488">
        <f ca="1" t="shared" si="7"/>
        <v>12195.44</v>
      </c>
    </row>
    <row r="489" spans="1:9">
      <c r="A489">
        <v>26253.28</v>
      </c>
      <c r="B489">
        <v>240.75</v>
      </c>
      <c r="C489">
        <v>6361</v>
      </c>
      <c r="D489">
        <v>298.02</v>
      </c>
      <c r="E489">
        <v>3423.77</v>
      </c>
      <c r="F489">
        <v>0</v>
      </c>
      <c r="G489">
        <v>770</v>
      </c>
      <c r="H489">
        <v>3137.16</v>
      </c>
      <c r="I489">
        <f ca="1" t="shared" si="7"/>
        <v>12022.58</v>
      </c>
    </row>
    <row r="490" spans="1:9">
      <c r="A490">
        <v>26114.81</v>
      </c>
      <c r="B490">
        <v>240.83</v>
      </c>
      <c r="C490">
        <v>6361</v>
      </c>
      <c r="D490">
        <v>299.69</v>
      </c>
      <c r="E490">
        <v>3390.78</v>
      </c>
      <c r="F490">
        <v>0</v>
      </c>
      <c r="G490">
        <v>729</v>
      </c>
      <c r="H490">
        <v>3127.64</v>
      </c>
      <c r="I490">
        <f ca="1" t="shared" si="7"/>
        <v>11965.87</v>
      </c>
    </row>
    <row r="491" spans="1:9">
      <c r="A491">
        <v>26029.81</v>
      </c>
      <c r="B491">
        <v>241.01</v>
      </c>
      <c r="C491">
        <v>6361</v>
      </c>
      <c r="D491">
        <v>299.69</v>
      </c>
      <c r="E491">
        <v>3338.25</v>
      </c>
      <c r="F491">
        <v>0</v>
      </c>
      <c r="G491">
        <v>705</v>
      </c>
      <c r="H491">
        <v>3120.52</v>
      </c>
      <c r="I491">
        <f ca="1" t="shared" si="7"/>
        <v>11964.34</v>
      </c>
    </row>
    <row r="492" spans="1:9">
      <c r="A492">
        <v>25956.28</v>
      </c>
      <c r="B492">
        <v>242.32</v>
      </c>
      <c r="C492">
        <v>6361</v>
      </c>
      <c r="D492">
        <v>299.69</v>
      </c>
      <c r="E492">
        <v>3281.61</v>
      </c>
      <c r="F492">
        <v>0</v>
      </c>
      <c r="G492">
        <v>681</v>
      </c>
      <c r="H492">
        <v>3122.51</v>
      </c>
      <c r="I492">
        <f ca="1" t="shared" si="7"/>
        <v>11968.15</v>
      </c>
    </row>
    <row r="493" spans="1:9">
      <c r="A493">
        <v>25868.42</v>
      </c>
      <c r="B493">
        <v>242.55</v>
      </c>
      <c r="C493">
        <v>6361</v>
      </c>
      <c r="D493">
        <v>299.69</v>
      </c>
      <c r="E493">
        <v>3225.99</v>
      </c>
      <c r="F493">
        <v>0</v>
      </c>
      <c r="G493">
        <v>657</v>
      </c>
      <c r="H493">
        <v>3135.68</v>
      </c>
      <c r="I493">
        <f ca="1" t="shared" si="7"/>
        <v>11946.51</v>
      </c>
    </row>
    <row r="494" spans="1:9">
      <c r="A494">
        <v>25844.54</v>
      </c>
      <c r="B494">
        <v>242.19</v>
      </c>
      <c r="C494">
        <v>6361</v>
      </c>
      <c r="D494">
        <v>312.45</v>
      </c>
      <c r="E494">
        <v>3173.48</v>
      </c>
      <c r="F494">
        <v>0</v>
      </c>
      <c r="G494">
        <v>519</v>
      </c>
      <c r="H494">
        <v>3130.08</v>
      </c>
      <c r="I494">
        <f ca="1" t="shared" si="7"/>
        <v>12106.34</v>
      </c>
    </row>
    <row r="495" spans="1:9">
      <c r="A495">
        <v>25780.56</v>
      </c>
      <c r="B495">
        <v>242.33</v>
      </c>
      <c r="C495">
        <v>6361</v>
      </c>
      <c r="D495">
        <v>312.45</v>
      </c>
      <c r="E495">
        <v>3118.87</v>
      </c>
      <c r="F495">
        <v>0</v>
      </c>
      <c r="G495">
        <v>517</v>
      </c>
      <c r="H495">
        <v>3130.8</v>
      </c>
      <c r="I495">
        <f ca="1" t="shared" si="7"/>
        <v>12098.11</v>
      </c>
    </row>
    <row r="496" spans="1:9">
      <c r="A496">
        <v>25783.42</v>
      </c>
      <c r="B496">
        <v>242.28</v>
      </c>
      <c r="C496">
        <v>6361</v>
      </c>
      <c r="D496">
        <v>312.45</v>
      </c>
      <c r="E496">
        <v>3051.93</v>
      </c>
      <c r="F496">
        <v>0</v>
      </c>
      <c r="G496">
        <v>515</v>
      </c>
      <c r="H496">
        <v>3134.38</v>
      </c>
      <c r="I496">
        <f ca="1" t="shared" si="7"/>
        <v>12166.38</v>
      </c>
    </row>
    <row r="497" spans="1:9">
      <c r="A497">
        <v>25750</v>
      </c>
      <c r="B497">
        <v>242.35</v>
      </c>
      <c r="C497">
        <v>6361</v>
      </c>
      <c r="D497">
        <v>312.45</v>
      </c>
      <c r="E497">
        <v>2995.28</v>
      </c>
      <c r="F497">
        <v>0</v>
      </c>
      <c r="G497">
        <v>513</v>
      </c>
      <c r="H497">
        <v>3142.87</v>
      </c>
      <c r="I497">
        <f ca="1" t="shared" si="7"/>
        <v>12183.05</v>
      </c>
    </row>
    <row r="498" spans="1:9">
      <c r="A498">
        <v>25868.42</v>
      </c>
      <c r="B498">
        <v>242.32</v>
      </c>
      <c r="C498">
        <v>6361</v>
      </c>
      <c r="D498">
        <v>312.62</v>
      </c>
      <c r="E498">
        <v>2937.6</v>
      </c>
      <c r="F498">
        <v>0</v>
      </c>
      <c r="G498">
        <v>633</v>
      </c>
      <c r="H498">
        <v>3138.67</v>
      </c>
      <c r="I498">
        <f ca="1" t="shared" si="7"/>
        <v>12243.21</v>
      </c>
    </row>
    <row r="499" spans="1:9">
      <c r="A499">
        <v>25989.7</v>
      </c>
      <c r="B499">
        <v>242.28</v>
      </c>
      <c r="C499">
        <v>6361</v>
      </c>
      <c r="D499">
        <v>312.62</v>
      </c>
      <c r="E499">
        <v>2878.89</v>
      </c>
      <c r="F499">
        <v>0</v>
      </c>
      <c r="G499">
        <v>695</v>
      </c>
      <c r="H499">
        <v>3130.15</v>
      </c>
      <c r="I499">
        <f ca="1" t="shared" si="7"/>
        <v>12369.76</v>
      </c>
    </row>
    <row r="500" spans="1:9">
      <c r="A500">
        <v>26111.94</v>
      </c>
      <c r="B500">
        <v>242.28</v>
      </c>
      <c r="C500">
        <v>6361</v>
      </c>
      <c r="D500">
        <v>312.62</v>
      </c>
      <c r="E500">
        <v>2810.92</v>
      </c>
      <c r="F500">
        <v>0</v>
      </c>
      <c r="G500">
        <v>755</v>
      </c>
      <c r="H500">
        <v>3119.68</v>
      </c>
      <c r="I500">
        <f ca="1" t="shared" si="7"/>
        <v>12510.44</v>
      </c>
    </row>
    <row r="501" spans="1:9">
      <c r="A501">
        <v>26284.8</v>
      </c>
      <c r="B501">
        <v>242.12</v>
      </c>
      <c r="C501">
        <v>6361</v>
      </c>
      <c r="D501">
        <v>312.62</v>
      </c>
      <c r="E501">
        <v>2743.98</v>
      </c>
      <c r="F501">
        <v>0</v>
      </c>
      <c r="G501">
        <v>816</v>
      </c>
      <c r="H501">
        <v>3123.44</v>
      </c>
      <c r="I501">
        <f ca="1" t="shared" si="7"/>
        <v>12685.64</v>
      </c>
    </row>
    <row r="502" spans="1:9">
      <c r="A502">
        <v>26741.29</v>
      </c>
      <c r="B502">
        <v>242.37</v>
      </c>
      <c r="C502">
        <v>6361</v>
      </c>
      <c r="D502">
        <v>313.11</v>
      </c>
      <c r="E502">
        <v>2678.05</v>
      </c>
      <c r="F502">
        <v>4.2</v>
      </c>
      <c r="G502">
        <v>1013</v>
      </c>
      <c r="H502">
        <v>3132.98</v>
      </c>
      <c r="I502">
        <f ca="1" t="shared" si="7"/>
        <v>12996.58</v>
      </c>
    </row>
    <row r="503" spans="1:9">
      <c r="A503">
        <v>27171.04</v>
      </c>
      <c r="B503">
        <v>242.52</v>
      </c>
      <c r="C503">
        <v>6361</v>
      </c>
      <c r="D503">
        <v>313.11</v>
      </c>
      <c r="E503">
        <v>2610.07</v>
      </c>
      <c r="F503">
        <v>49.59</v>
      </c>
      <c r="G503">
        <v>1212</v>
      </c>
      <c r="H503">
        <v>3129.95</v>
      </c>
      <c r="I503">
        <f ca="1" t="shared" si="7"/>
        <v>13252.8</v>
      </c>
    </row>
    <row r="504" spans="1:9">
      <c r="A504">
        <v>27669.55</v>
      </c>
      <c r="B504">
        <v>242.46</v>
      </c>
      <c r="C504">
        <v>6361</v>
      </c>
      <c r="D504">
        <v>313.11</v>
      </c>
      <c r="E504">
        <v>2541.07</v>
      </c>
      <c r="F504">
        <v>162.89</v>
      </c>
      <c r="G504">
        <v>1409</v>
      </c>
      <c r="H504">
        <v>3132.31</v>
      </c>
      <c r="I504">
        <f ca="1" t="shared" si="7"/>
        <v>13507.71</v>
      </c>
    </row>
    <row r="505" spans="1:9">
      <c r="A505">
        <v>28020.99</v>
      </c>
      <c r="B505">
        <v>242.22</v>
      </c>
      <c r="C505">
        <v>6361</v>
      </c>
      <c r="D505">
        <v>313.11</v>
      </c>
      <c r="E505">
        <v>2465.87</v>
      </c>
      <c r="F505">
        <v>335.19</v>
      </c>
      <c r="G505">
        <v>2198</v>
      </c>
      <c r="H505">
        <v>3120.21</v>
      </c>
      <c r="I505">
        <f ca="1" t="shared" si="7"/>
        <v>12985.39</v>
      </c>
    </row>
    <row r="506" spans="1:9">
      <c r="A506">
        <v>28532.87</v>
      </c>
      <c r="B506">
        <v>242.37</v>
      </c>
      <c r="C506">
        <v>6361</v>
      </c>
      <c r="D506">
        <v>313.56</v>
      </c>
      <c r="E506">
        <v>2394.79</v>
      </c>
      <c r="F506">
        <v>617.28</v>
      </c>
      <c r="G506">
        <v>2799</v>
      </c>
      <c r="H506">
        <v>3126.63</v>
      </c>
      <c r="I506">
        <f ca="1" t="shared" si="7"/>
        <v>12678.24</v>
      </c>
    </row>
    <row r="507" spans="1:9">
      <c r="A507">
        <v>28880.49</v>
      </c>
      <c r="B507">
        <v>242.35</v>
      </c>
      <c r="C507">
        <v>6361</v>
      </c>
      <c r="D507">
        <v>313.56</v>
      </c>
      <c r="E507">
        <v>2312.39</v>
      </c>
      <c r="F507">
        <v>1019.1</v>
      </c>
      <c r="G507">
        <v>3386</v>
      </c>
      <c r="H507">
        <v>3119.41</v>
      </c>
      <c r="I507">
        <f ca="1" t="shared" si="7"/>
        <v>12126.68</v>
      </c>
    </row>
    <row r="508" spans="1:9">
      <c r="A508">
        <v>29229.06</v>
      </c>
      <c r="B508">
        <v>242.33</v>
      </c>
      <c r="C508">
        <v>6361</v>
      </c>
      <c r="D508">
        <v>313.56</v>
      </c>
      <c r="E508">
        <v>2233.09</v>
      </c>
      <c r="F508">
        <v>1524.78</v>
      </c>
      <c r="G508">
        <v>4229</v>
      </c>
      <c r="H508">
        <v>3121.44</v>
      </c>
      <c r="I508">
        <f ca="1" t="shared" si="7"/>
        <v>11203.86</v>
      </c>
    </row>
    <row r="509" spans="1:9">
      <c r="A509">
        <v>29433.43</v>
      </c>
      <c r="B509">
        <v>242.24</v>
      </c>
      <c r="C509">
        <v>6361</v>
      </c>
      <c r="D509">
        <v>313.56</v>
      </c>
      <c r="E509">
        <v>2146.56</v>
      </c>
      <c r="F509">
        <v>2109.55</v>
      </c>
      <c r="G509">
        <v>4892</v>
      </c>
      <c r="H509">
        <v>3094.32</v>
      </c>
      <c r="I509">
        <f ca="1" t="shared" si="7"/>
        <v>10274.2</v>
      </c>
    </row>
    <row r="510" spans="1:9">
      <c r="A510">
        <v>30002.61</v>
      </c>
      <c r="B510">
        <v>242.26</v>
      </c>
      <c r="C510">
        <v>6361</v>
      </c>
      <c r="D510">
        <v>313.9</v>
      </c>
      <c r="E510">
        <v>2051.8</v>
      </c>
      <c r="F510">
        <v>2775.69</v>
      </c>
      <c r="G510">
        <v>4887</v>
      </c>
      <c r="H510">
        <v>3100.24</v>
      </c>
      <c r="I510">
        <f ca="1" t="shared" si="7"/>
        <v>10270.72</v>
      </c>
    </row>
    <row r="511" spans="1:9">
      <c r="A511">
        <v>30385.57</v>
      </c>
      <c r="B511">
        <v>242.11</v>
      </c>
      <c r="C511">
        <v>6361</v>
      </c>
      <c r="D511">
        <v>313.9</v>
      </c>
      <c r="E511">
        <v>1971.47</v>
      </c>
      <c r="F511">
        <v>3433.83</v>
      </c>
      <c r="G511">
        <v>5156</v>
      </c>
      <c r="H511">
        <v>3111.97</v>
      </c>
      <c r="I511">
        <f ca="1" t="shared" si="7"/>
        <v>9795.29</v>
      </c>
    </row>
    <row r="512" spans="1:9">
      <c r="A512">
        <v>30857.34</v>
      </c>
      <c r="B512">
        <v>242.21</v>
      </c>
      <c r="C512">
        <v>6361</v>
      </c>
      <c r="D512">
        <v>313.9</v>
      </c>
      <c r="E512">
        <v>1907.61</v>
      </c>
      <c r="F512">
        <v>4126.3</v>
      </c>
      <c r="G512">
        <v>5171</v>
      </c>
      <c r="H512">
        <v>3134.3</v>
      </c>
      <c r="I512">
        <f ca="1" t="shared" si="7"/>
        <v>9601.02</v>
      </c>
    </row>
    <row r="513" spans="1:9">
      <c r="A513">
        <v>31266.08</v>
      </c>
      <c r="B513">
        <v>242.01</v>
      </c>
      <c r="C513">
        <v>6361</v>
      </c>
      <c r="D513">
        <v>313.9</v>
      </c>
      <c r="E513">
        <v>1845.8</v>
      </c>
      <c r="F513">
        <v>4801.44</v>
      </c>
      <c r="G513">
        <v>5442</v>
      </c>
      <c r="H513">
        <v>3148.99</v>
      </c>
      <c r="I513">
        <f ca="1" t="shared" si="7"/>
        <v>9110.94</v>
      </c>
    </row>
    <row r="514" spans="1:9">
      <c r="A514">
        <v>32128.44</v>
      </c>
      <c r="B514">
        <v>239.23</v>
      </c>
      <c r="C514">
        <v>6361</v>
      </c>
      <c r="D514">
        <v>311.7</v>
      </c>
      <c r="E514">
        <v>1794.32</v>
      </c>
      <c r="F514">
        <v>5475.79</v>
      </c>
      <c r="G514">
        <v>5578</v>
      </c>
      <c r="H514">
        <v>3140.78</v>
      </c>
      <c r="I514">
        <f ca="1" t="shared" si="7"/>
        <v>9227.62</v>
      </c>
    </row>
    <row r="515" spans="1:9">
      <c r="A515">
        <v>32536.23</v>
      </c>
      <c r="B515">
        <v>99.36</v>
      </c>
      <c r="C515">
        <v>6361</v>
      </c>
      <c r="D515">
        <v>311.7</v>
      </c>
      <c r="E515">
        <v>1755.18</v>
      </c>
      <c r="F515">
        <v>6097.14</v>
      </c>
      <c r="G515">
        <v>6038</v>
      </c>
      <c r="H515">
        <v>3145.81</v>
      </c>
      <c r="I515">
        <f ca="1" t="shared" ref="I515:I578" si="8">A515-B515-C515-D515-E515-F515-G515-H515</f>
        <v>8728.04</v>
      </c>
    </row>
    <row r="516" spans="1:9">
      <c r="A516">
        <v>32891.49</v>
      </c>
      <c r="B516">
        <v>92.97</v>
      </c>
      <c r="C516">
        <v>6361</v>
      </c>
      <c r="D516">
        <v>311.7</v>
      </c>
      <c r="E516">
        <v>1718.09</v>
      </c>
      <c r="F516">
        <v>6701.53</v>
      </c>
      <c r="G516">
        <v>6503</v>
      </c>
      <c r="H516">
        <v>3132.21</v>
      </c>
      <c r="I516">
        <f ca="1" t="shared" si="8"/>
        <v>8070.99</v>
      </c>
    </row>
    <row r="517" spans="1:9">
      <c r="A517">
        <v>33320.28</v>
      </c>
      <c r="B517">
        <v>89.24</v>
      </c>
      <c r="C517">
        <v>6361</v>
      </c>
      <c r="D517">
        <v>311.7</v>
      </c>
      <c r="E517">
        <v>1684.09</v>
      </c>
      <c r="F517">
        <v>7253.94</v>
      </c>
      <c r="G517">
        <v>6772</v>
      </c>
      <c r="H517">
        <v>3122.64</v>
      </c>
      <c r="I517">
        <f ca="1" t="shared" si="8"/>
        <v>7725.67</v>
      </c>
    </row>
    <row r="518" spans="1:9">
      <c r="A518">
        <v>33652.62</v>
      </c>
      <c r="B518">
        <v>90.67</v>
      </c>
      <c r="C518">
        <v>6361</v>
      </c>
      <c r="D518">
        <v>310.35</v>
      </c>
      <c r="E518">
        <v>1686.16</v>
      </c>
      <c r="F518">
        <v>7753.18</v>
      </c>
      <c r="G518">
        <v>6886</v>
      </c>
      <c r="H518">
        <v>3117.07</v>
      </c>
      <c r="I518">
        <f ca="1" t="shared" si="8"/>
        <v>7448.19000000001</v>
      </c>
    </row>
    <row r="519" spans="1:9">
      <c r="A519">
        <v>34041.31</v>
      </c>
      <c r="B519">
        <v>89.42</v>
      </c>
      <c r="C519">
        <v>6361</v>
      </c>
      <c r="D519">
        <v>310.35</v>
      </c>
      <c r="E519">
        <v>1728.37</v>
      </c>
      <c r="F519">
        <v>8169.62</v>
      </c>
      <c r="G519">
        <v>6532</v>
      </c>
      <c r="H519">
        <v>3111.54</v>
      </c>
      <c r="I519">
        <f ca="1" t="shared" si="8"/>
        <v>7739.01</v>
      </c>
    </row>
    <row r="520" spans="1:9">
      <c r="A520">
        <v>34260.96</v>
      </c>
      <c r="B520">
        <v>89.68</v>
      </c>
      <c r="C520">
        <v>6361</v>
      </c>
      <c r="D520">
        <v>310.35</v>
      </c>
      <c r="E520">
        <v>1775.76</v>
      </c>
      <c r="F520">
        <v>8529.58</v>
      </c>
      <c r="G520">
        <v>6412</v>
      </c>
      <c r="H520">
        <v>3116.64</v>
      </c>
      <c r="I520">
        <f ca="1" t="shared" si="8"/>
        <v>7665.95</v>
      </c>
    </row>
    <row r="521" spans="1:9">
      <c r="A521">
        <v>34673.52</v>
      </c>
      <c r="B521">
        <v>89.64</v>
      </c>
      <c r="C521">
        <v>6361</v>
      </c>
      <c r="D521">
        <v>310.35</v>
      </c>
      <c r="E521">
        <v>1826.24</v>
      </c>
      <c r="F521">
        <v>8831.9</v>
      </c>
      <c r="G521">
        <v>6033</v>
      </c>
      <c r="H521">
        <v>3124.9</v>
      </c>
      <c r="I521">
        <f ca="1" t="shared" si="8"/>
        <v>8096.49</v>
      </c>
    </row>
    <row r="522" spans="1:9">
      <c r="A522">
        <v>34909.4</v>
      </c>
      <c r="B522">
        <v>89.7</v>
      </c>
      <c r="C522">
        <v>6361</v>
      </c>
      <c r="D522">
        <v>322.83</v>
      </c>
      <c r="E522">
        <v>1892.14</v>
      </c>
      <c r="F522">
        <v>9074.6</v>
      </c>
      <c r="G522">
        <v>6118</v>
      </c>
      <c r="H522">
        <v>3135.72</v>
      </c>
      <c r="I522">
        <f ca="1" t="shared" si="8"/>
        <v>7915.41000000001</v>
      </c>
    </row>
    <row r="523" spans="1:9">
      <c r="A523">
        <v>35155.79</v>
      </c>
      <c r="B523">
        <v>90.22</v>
      </c>
      <c r="C523">
        <v>6361</v>
      </c>
      <c r="D523">
        <v>322.83</v>
      </c>
      <c r="E523">
        <v>1976.62</v>
      </c>
      <c r="F523">
        <v>9272.73</v>
      </c>
      <c r="G523">
        <v>5879</v>
      </c>
      <c r="H523">
        <v>3135.15</v>
      </c>
      <c r="I523">
        <f ca="1" t="shared" si="8"/>
        <v>8118.24</v>
      </c>
    </row>
    <row r="524" spans="1:9">
      <c r="A524">
        <v>35300</v>
      </c>
      <c r="B524">
        <v>90.86</v>
      </c>
      <c r="C524">
        <v>6361</v>
      </c>
      <c r="D524">
        <v>322.83</v>
      </c>
      <c r="E524">
        <v>2067.25</v>
      </c>
      <c r="F524">
        <v>9428.22</v>
      </c>
      <c r="G524">
        <v>5637</v>
      </c>
      <c r="H524">
        <v>3134.54</v>
      </c>
      <c r="I524">
        <f ca="1" t="shared" si="8"/>
        <v>8258.3</v>
      </c>
    </row>
    <row r="525" spans="1:9">
      <c r="A525">
        <v>35175.85</v>
      </c>
      <c r="B525">
        <v>95.39</v>
      </c>
      <c r="C525">
        <v>6361</v>
      </c>
      <c r="D525">
        <v>322.83</v>
      </c>
      <c r="E525">
        <v>2158.92</v>
      </c>
      <c r="F525">
        <v>9533.61</v>
      </c>
      <c r="G525">
        <v>5528</v>
      </c>
      <c r="H525">
        <v>3131.22</v>
      </c>
      <c r="I525">
        <f ca="1" t="shared" si="8"/>
        <v>8044.88</v>
      </c>
    </row>
    <row r="526" spans="1:9">
      <c r="A526">
        <v>35229.33</v>
      </c>
      <c r="B526">
        <v>95.25</v>
      </c>
      <c r="C526">
        <v>6361</v>
      </c>
      <c r="D526">
        <v>321.65</v>
      </c>
      <c r="E526">
        <v>2255.74</v>
      </c>
      <c r="F526">
        <v>9586.62</v>
      </c>
      <c r="G526">
        <v>5344</v>
      </c>
      <c r="H526">
        <v>3127.98</v>
      </c>
      <c r="I526">
        <f ca="1" t="shared" si="8"/>
        <v>8137.09</v>
      </c>
    </row>
    <row r="527" spans="1:9">
      <c r="A527">
        <v>34729.86</v>
      </c>
      <c r="B527">
        <v>95.2</v>
      </c>
      <c r="C527">
        <v>6361</v>
      </c>
      <c r="D527">
        <v>321.65</v>
      </c>
      <c r="E527">
        <v>2358.74</v>
      </c>
      <c r="F527">
        <v>9602.42</v>
      </c>
      <c r="G527">
        <v>5149</v>
      </c>
      <c r="H527">
        <v>3114.58</v>
      </c>
      <c r="I527">
        <f ca="1" t="shared" si="8"/>
        <v>7727.27</v>
      </c>
    </row>
    <row r="528" spans="1:9">
      <c r="A528">
        <v>34475.83</v>
      </c>
      <c r="B528">
        <v>95.54</v>
      </c>
      <c r="C528">
        <v>6361</v>
      </c>
      <c r="D528">
        <v>321.65</v>
      </c>
      <c r="E528">
        <v>2463.78</v>
      </c>
      <c r="F528">
        <v>9595.83</v>
      </c>
      <c r="G528">
        <v>4955</v>
      </c>
      <c r="H528">
        <v>3098.56</v>
      </c>
      <c r="I528">
        <f ca="1" t="shared" si="8"/>
        <v>7584.47</v>
      </c>
    </row>
    <row r="529" spans="1:9">
      <c r="A529">
        <v>34260.96</v>
      </c>
      <c r="B529">
        <v>96.67</v>
      </c>
      <c r="C529">
        <v>6361</v>
      </c>
      <c r="D529">
        <v>321.65</v>
      </c>
      <c r="E529">
        <v>2570.92</v>
      </c>
      <c r="F529">
        <v>9582.88</v>
      </c>
      <c r="G529">
        <v>4760</v>
      </c>
      <c r="H529">
        <v>3086.35</v>
      </c>
      <c r="I529">
        <f ca="1" t="shared" si="8"/>
        <v>7481.49</v>
      </c>
    </row>
    <row r="530" spans="1:9">
      <c r="A530">
        <v>34342.13</v>
      </c>
      <c r="B530">
        <v>97.51</v>
      </c>
      <c r="C530">
        <v>6361</v>
      </c>
      <c r="D530">
        <v>322.23</v>
      </c>
      <c r="E530">
        <v>2695.56</v>
      </c>
      <c r="F530">
        <v>9521.97</v>
      </c>
      <c r="G530">
        <v>4621</v>
      </c>
      <c r="H530">
        <v>3089.06</v>
      </c>
      <c r="I530">
        <f ca="1" t="shared" si="8"/>
        <v>7633.8</v>
      </c>
    </row>
    <row r="531" spans="1:9">
      <c r="A531">
        <v>34440.5</v>
      </c>
      <c r="B531">
        <v>98.12</v>
      </c>
      <c r="C531">
        <v>6361</v>
      </c>
      <c r="D531">
        <v>322.23</v>
      </c>
      <c r="E531">
        <v>2786.2</v>
      </c>
      <c r="F531">
        <v>9431.62</v>
      </c>
      <c r="G531">
        <v>4798</v>
      </c>
      <c r="H531">
        <v>3099.19</v>
      </c>
      <c r="I531">
        <f ca="1" t="shared" si="8"/>
        <v>7544.14</v>
      </c>
    </row>
    <row r="532" spans="1:9">
      <c r="A532">
        <v>34831.09</v>
      </c>
      <c r="B532">
        <v>97.95</v>
      </c>
      <c r="C532">
        <v>6361</v>
      </c>
      <c r="D532">
        <v>322.23</v>
      </c>
      <c r="E532">
        <v>2867.55</v>
      </c>
      <c r="F532">
        <v>9294.76</v>
      </c>
      <c r="G532">
        <v>4979</v>
      </c>
      <c r="H532">
        <v>3101.53</v>
      </c>
      <c r="I532">
        <f ca="1" t="shared" si="8"/>
        <v>7807.07</v>
      </c>
    </row>
    <row r="533" spans="1:9">
      <c r="A533">
        <v>34906.54</v>
      </c>
      <c r="B533">
        <v>97.98</v>
      </c>
      <c r="C533">
        <v>6361</v>
      </c>
      <c r="D533">
        <v>322.23</v>
      </c>
      <c r="E533">
        <v>2971.59</v>
      </c>
      <c r="F533">
        <v>9122.79</v>
      </c>
      <c r="G533">
        <v>5158</v>
      </c>
      <c r="H533">
        <v>3102.4</v>
      </c>
      <c r="I533">
        <f ca="1" t="shared" si="8"/>
        <v>7770.55</v>
      </c>
    </row>
    <row r="534" spans="1:9">
      <c r="A534">
        <v>35079.39</v>
      </c>
      <c r="B534">
        <v>98.02</v>
      </c>
      <c r="C534">
        <v>6361</v>
      </c>
      <c r="D534">
        <v>311.75</v>
      </c>
      <c r="E534">
        <v>3068.41</v>
      </c>
      <c r="F534">
        <v>8941.63</v>
      </c>
      <c r="G534">
        <v>5318</v>
      </c>
      <c r="H534">
        <v>3105.45</v>
      </c>
      <c r="I534">
        <f ca="1" t="shared" si="8"/>
        <v>7875.13</v>
      </c>
    </row>
    <row r="535" spans="1:9">
      <c r="A535">
        <v>35123.32</v>
      </c>
      <c r="B535">
        <v>98.04</v>
      </c>
      <c r="C535">
        <v>6361</v>
      </c>
      <c r="D535">
        <v>311.75</v>
      </c>
      <c r="E535">
        <v>3174.5</v>
      </c>
      <c r="F535">
        <v>8713.36</v>
      </c>
      <c r="G535">
        <v>5353</v>
      </c>
      <c r="H535">
        <v>3124.54</v>
      </c>
      <c r="I535">
        <f ca="1" t="shared" si="8"/>
        <v>7987.13</v>
      </c>
    </row>
    <row r="536" spans="1:9">
      <c r="A536">
        <v>35132.87</v>
      </c>
      <c r="B536">
        <v>98.07</v>
      </c>
      <c r="C536">
        <v>6361</v>
      </c>
      <c r="D536">
        <v>311.75</v>
      </c>
      <c r="E536">
        <v>3253.8</v>
      </c>
      <c r="F536">
        <v>8440.51</v>
      </c>
      <c r="G536">
        <v>5390</v>
      </c>
      <c r="H536">
        <v>3123.29</v>
      </c>
      <c r="I536">
        <f ca="1" t="shared" si="8"/>
        <v>8154.45000000001</v>
      </c>
    </row>
    <row r="537" spans="1:9">
      <c r="A537">
        <v>35034.51</v>
      </c>
      <c r="B537">
        <v>98.11</v>
      </c>
      <c r="C537">
        <v>6361</v>
      </c>
      <c r="D537">
        <v>311.75</v>
      </c>
      <c r="E537">
        <v>3342.4</v>
      </c>
      <c r="F537">
        <v>8124.39</v>
      </c>
      <c r="G537">
        <v>5426</v>
      </c>
      <c r="H537">
        <v>3116.23</v>
      </c>
      <c r="I537">
        <f ca="1" t="shared" si="8"/>
        <v>8254.63</v>
      </c>
    </row>
    <row r="538" spans="1:9">
      <c r="A538">
        <v>35119.5</v>
      </c>
      <c r="B538">
        <v>96.68</v>
      </c>
      <c r="C538">
        <v>6361</v>
      </c>
      <c r="D538">
        <v>312.3</v>
      </c>
      <c r="E538">
        <v>3394.9</v>
      </c>
      <c r="F538">
        <v>7744.67</v>
      </c>
      <c r="G538">
        <v>5649</v>
      </c>
      <c r="H538">
        <v>3116.26</v>
      </c>
      <c r="I538">
        <f ca="1" t="shared" si="8"/>
        <v>8444.69</v>
      </c>
    </row>
    <row r="539" spans="1:9">
      <c r="A539">
        <v>35053.61</v>
      </c>
      <c r="B539">
        <v>96.63</v>
      </c>
      <c r="C539">
        <v>6361</v>
      </c>
      <c r="D539">
        <v>312.3</v>
      </c>
      <c r="E539">
        <v>3425.81</v>
      </c>
      <c r="F539">
        <v>7303.27</v>
      </c>
      <c r="G539">
        <v>5834</v>
      </c>
      <c r="H539">
        <v>3116.16</v>
      </c>
      <c r="I539">
        <f ca="1" t="shared" si="8"/>
        <v>8604.44</v>
      </c>
    </row>
    <row r="540" spans="1:9">
      <c r="A540">
        <v>35038.33</v>
      </c>
      <c r="B540">
        <v>96.71</v>
      </c>
      <c r="C540">
        <v>6361</v>
      </c>
      <c r="D540">
        <v>312.3</v>
      </c>
      <c r="E540">
        <v>3459.81</v>
      </c>
      <c r="F540">
        <v>6876.12</v>
      </c>
      <c r="G540">
        <v>6381</v>
      </c>
      <c r="H540">
        <v>3101.68</v>
      </c>
      <c r="I540">
        <f ca="1" t="shared" si="8"/>
        <v>8449.71</v>
      </c>
    </row>
    <row r="541" spans="1:9">
      <c r="A541">
        <v>35013.5</v>
      </c>
      <c r="B541">
        <v>96.66</v>
      </c>
      <c r="C541">
        <v>6361</v>
      </c>
      <c r="D541">
        <v>312.3</v>
      </c>
      <c r="E541">
        <v>3486.59</v>
      </c>
      <c r="F541">
        <v>6405.28</v>
      </c>
      <c r="G541">
        <v>6928</v>
      </c>
      <c r="H541">
        <v>3117.66</v>
      </c>
      <c r="I541">
        <f ca="1" t="shared" si="8"/>
        <v>8306.01</v>
      </c>
    </row>
    <row r="542" spans="1:9">
      <c r="A542">
        <v>35151.02</v>
      </c>
      <c r="B542">
        <v>99.69</v>
      </c>
      <c r="C542">
        <v>6361</v>
      </c>
      <c r="D542">
        <v>311.41</v>
      </c>
      <c r="E542">
        <v>3482.48</v>
      </c>
      <c r="F542">
        <v>5867.85</v>
      </c>
      <c r="G542">
        <v>7198</v>
      </c>
      <c r="H542">
        <v>3107.84</v>
      </c>
      <c r="I542">
        <f ca="1" t="shared" si="8"/>
        <v>8722.75</v>
      </c>
    </row>
    <row r="543" spans="1:9">
      <c r="A543">
        <v>35158.66</v>
      </c>
      <c r="B543">
        <v>95.78</v>
      </c>
      <c r="C543">
        <v>6361</v>
      </c>
      <c r="D543">
        <v>311.41</v>
      </c>
      <c r="E543">
        <v>3477.32</v>
      </c>
      <c r="F543">
        <v>5275.9</v>
      </c>
      <c r="G543">
        <v>7510</v>
      </c>
      <c r="H543">
        <v>3118.51</v>
      </c>
      <c r="I543">
        <f ca="1" t="shared" si="8"/>
        <v>9008.74000000001</v>
      </c>
    </row>
    <row r="544" spans="1:9">
      <c r="A544">
        <v>35199.72</v>
      </c>
      <c r="B544">
        <v>95.8</v>
      </c>
      <c r="C544">
        <v>6361</v>
      </c>
      <c r="D544">
        <v>311.41</v>
      </c>
      <c r="E544">
        <v>3464.96</v>
      </c>
      <c r="F544">
        <v>4665.86</v>
      </c>
      <c r="G544">
        <v>7797</v>
      </c>
      <c r="H544">
        <v>3114.59</v>
      </c>
      <c r="I544">
        <f ca="1" t="shared" si="8"/>
        <v>9389.1</v>
      </c>
    </row>
    <row r="545" spans="1:9">
      <c r="A545">
        <v>35190.17</v>
      </c>
      <c r="B545">
        <v>223.94</v>
      </c>
      <c r="C545">
        <v>6361</v>
      </c>
      <c r="D545">
        <v>311.41</v>
      </c>
      <c r="E545">
        <v>3447.43</v>
      </c>
      <c r="F545">
        <v>4056.76</v>
      </c>
      <c r="G545">
        <v>8338</v>
      </c>
      <c r="H545">
        <v>3123.92</v>
      </c>
      <c r="I545">
        <f ca="1" t="shared" si="8"/>
        <v>9327.71</v>
      </c>
    </row>
    <row r="546" spans="1:9">
      <c r="A546">
        <v>35181.58</v>
      </c>
      <c r="B546">
        <v>298.55</v>
      </c>
      <c r="C546">
        <v>6361</v>
      </c>
      <c r="D546">
        <v>312.53</v>
      </c>
      <c r="E546">
        <v>3429.92</v>
      </c>
      <c r="F546">
        <v>3465.19</v>
      </c>
      <c r="G546">
        <v>8499</v>
      </c>
      <c r="H546">
        <v>3109.67</v>
      </c>
      <c r="I546">
        <f ca="1" t="shared" si="8"/>
        <v>9705.72</v>
      </c>
    </row>
    <row r="547" spans="1:9">
      <c r="A547">
        <v>35151.02</v>
      </c>
      <c r="B547">
        <v>298.48</v>
      </c>
      <c r="C547">
        <v>6361</v>
      </c>
      <c r="D547">
        <v>312.53</v>
      </c>
      <c r="E547">
        <v>3429.92</v>
      </c>
      <c r="F547">
        <v>2847.12</v>
      </c>
      <c r="G547">
        <v>8597</v>
      </c>
      <c r="H547">
        <v>3109.08</v>
      </c>
      <c r="I547">
        <f ca="1" t="shared" si="8"/>
        <v>10195.89</v>
      </c>
    </row>
    <row r="548" spans="1:9">
      <c r="A548">
        <v>34942.83</v>
      </c>
      <c r="B548">
        <v>300.5</v>
      </c>
      <c r="C548">
        <v>6361</v>
      </c>
      <c r="D548">
        <v>312.53</v>
      </c>
      <c r="E548">
        <v>3436.12</v>
      </c>
      <c r="F548">
        <v>2264.11</v>
      </c>
      <c r="G548">
        <v>8617</v>
      </c>
      <c r="H548">
        <v>3101.71</v>
      </c>
      <c r="I548">
        <f ca="1" t="shared" si="8"/>
        <v>10549.86</v>
      </c>
    </row>
    <row r="549" spans="1:9">
      <c r="A549">
        <v>34433.81</v>
      </c>
      <c r="B549">
        <v>300.39</v>
      </c>
      <c r="C549">
        <v>6361</v>
      </c>
      <c r="D549">
        <v>312.53</v>
      </c>
      <c r="E549">
        <v>3476.27</v>
      </c>
      <c r="F549">
        <v>1728.45</v>
      </c>
      <c r="G549">
        <v>8793</v>
      </c>
      <c r="H549">
        <v>3107.2</v>
      </c>
      <c r="I549">
        <f ca="1" t="shared" si="8"/>
        <v>10354.97</v>
      </c>
    </row>
    <row r="550" spans="1:9">
      <c r="A550">
        <v>34332.58</v>
      </c>
      <c r="B550">
        <v>302.65</v>
      </c>
      <c r="C550">
        <v>6361</v>
      </c>
      <c r="D550">
        <v>302.05</v>
      </c>
      <c r="E550">
        <v>3495.84</v>
      </c>
      <c r="F550">
        <v>1278.77</v>
      </c>
      <c r="G550">
        <v>8917</v>
      </c>
      <c r="H550">
        <v>3121.99</v>
      </c>
      <c r="I550">
        <f ca="1" t="shared" si="8"/>
        <v>10553.28</v>
      </c>
    </row>
    <row r="551" spans="1:9">
      <c r="A551">
        <v>34172.14</v>
      </c>
      <c r="B551">
        <v>302.74</v>
      </c>
      <c r="C551">
        <v>6361</v>
      </c>
      <c r="D551">
        <v>302.05</v>
      </c>
      <c r="E551">
        <v>3535</v>
      </c>
      <c r="F551">
        <v>868.7</v>
      </c>
      <c r="G551">
        <v>9050</v>
      </c>
      <c r="H551">
        <v>3114.62</v>
      </c>
      <c r="I551">
        <f ca="1" t="shared" si="8"/>
        <v>10638.03</v>
      </c>
    </row>
    <row r="552" spans="1:9">
      <c r="A552">
        <v>34066.14</v>
      </c>
      <c r="B552">
        <v>303.82</v>
      </c>
      <c r="C552">
        <v>6361</v>
      </c>
      <c r="D552">
        <v>302.05</v>
      </c>
      <c r="E552">
        <v>3566.91</v>
      </c>
      <c r="F552">
        <v>524.67</v>
      </c>
      <c r="G552">
        <v>9186</v>
      </c>
      <c r="H552">
        <v>3114.39</v>
      </c>
      <c r="I552">
        <f ca="1" t="shared" si="8"/>
        <v>10707.3</v>
      </c>
    </row>
    <row r="553" spans="1:9">
      <c r="A553">
        <v>33953.45</v>
      </c>
      <c r="B553">
        <v>301.26</v>
      </c>
      <c r="C553">
        <v>6361</v>
      </c>
      <c r="D553">
        <v>302.05</v>
      </c>
      <c r="E553">
        <v>3615.32</v>
      </c>
      <c r="F553">
        <v>275.33</v>
      </c>
      <c r="G553">
        <v>9008</v>
      </c>
      <c r="H553">
        <v>3127.8</v>
      </c>
      <c r="I553">
        <f ca="1" t="shared" si="8"/>
        <v>10962.69</v>
      </c>
    </row>
    <row r="554" spans="1:9">
      <c r="A554">
        <v>33826.43</v>
      </c>
      <c r="B554">
        <v>302.91</v>
      </c>
      <c r="C554">
        <v>6361</v>
      </c>
      <c r="D554">
        <v>298.89</v>
      </c>
      <c r="E554">
        <v>3664.77</v>
      </c>
      <c r="F554">
        <v>113.93</v>
      </c>
      <c r="G554">
        <v>8979</v>
      </c>
      <c r="H554">
        <v>3130.01</v>
      </c>
      <c r="I554">
        <f ca="1" t="shared" si="8"/>
        <v>10975.92</v>
      </c>
    </row>
    <row r="555" spans="1:9">
      <c r="A555">
        <v>33878.96</v>
      </c>
      <c r="B555">
        <v>302.32</v>
      </c>
      <c r="C555">
        <v>6361</v>
      </c>
      <c r="D555">
        <v>298.89</v>
      </c>
      <c r="E555">
        <v>3726.58</v>
      </c>
      <c r="F555">
        <v>38.8</v>
      </c>
      <c r="G555">
        <v>8714</v>
      </c>
      <c r="H555">
        <v>3119.29</v>
      </c>
      <c r="I555">
        <f ca="1" t="shared" si="8"/>
        <v>11318.08</v>
      </c>
    </row>
    <row r="556" spans="1:9">
      <c r="A556">
        <v>34083.33</v>
      </c>
      <c r="B556">
        <v>300.54</v>
      </c>
      <c r="C556">
        <v>6361</v>
      </c>
      <c r="D556">
        <v>298.89</v>
      </c>
      <c r="E556">
        <v>3781.16</v>
      </c>
      <c r="F556">
        <v>2.58</v>
      </c>
      <c r="G556">
        <v>8451</v>
      </c>
      <c r="H556">
        <v>3110.68</v>
      </c>
      <c r="I556">
        <f ca="1" t="shared" si="8"/>
        <v>11777.48</v>
      </c>
    </row>
    <row r="557" spans="1:9">
      <c r="A557">
        <v>34176.92</v>
      </c>
      <c r="B557">
        <v>300.92</v>
      </c>
      <c r="C557">
        <v>6361</v>
      </c>
      <c r="D557">
        <v>298.89</v>
      </c>
      <c r="E557">
        <v>3855.32</v>
      </c>
      <c r="F557">
        <v>0</v>
      </c>
      <c r="G557">
        <v>8186</v>
      </c>
      <c r="H557">
        <v>3124.98</v>
      </c>
      <c r="I557">
        <f ca="1" t="shared" si="8"/>
        <v>12049.81</v>
      </c>
    </row>
    <row r="558" spans="1:9">
      <c r="A558">
        <v>34458.64</v>
      </c>
      <c r="B558">
        <v>236.83</v>
      </c>
      <c r="C558">
        <v>6361</v>
      </c>
      <c r="D558">
        <v>315.06</v>
      </c>
      <c r="E558">
        <v>3905.79</v>
      </c>
      <c r="F558">
        <v>0</v>
      </c>
      <c r="G558">
        <v>7872</v>
      </c>
      <c r="H558">
        <v>3125.18</v>
      </c>
      <c r="I558">
        <f ca="1" t="shared" si="8"/>
        <v>12642.78</v>
      </c>
    </row>
    <row r="559" spans="1:9">
      <c r="A559">
        <v>34396.57</v>
      </c>
      <c r="B559">
        <v>302.82</v>
      </c>
      <c r="C559">
        <v>6361</v>
      </c>
      <c r="D559">
        <v>315.06</v>
      </c>
      <c r="E559">
        <v>4003.63</v>
      </c>
      <c r="F559">
        <v>0</v>
      </c>
      <c r="G559">
        <v>7844</v>
      </c>
      <c r="H559">
        <v>3122.45</v>
      </c>
      <c r="I559">
        <f ca="1" t="shared" si="8"/>
        <v>12447.61</v>
      </c>
    </row>
    <row r="560" spans="1:9">
      <c r="A560">
        <v>34308.71</v>
      </c>
      <c r="B560">
        <v>302.73</v>
      </c>
      <c r="C560">
        <v>6361</v>
      </c>
      <c r="D560">
        <v>315.06</v>
      </c>
      <c r="E560">
        <v>4091.2</v>
      </c>
      <c r="F560">
        <v>0</v>
      </c>
      <c r="G560">
        <v>7585</v>
      </c>
      <c r="H560">
        <v>3127.51</v>
      </c>
      <c r="I560">
        <f ca="1" t="shared" si="8"/>
        <v>12526.21</v>
      </c>
    </row>
    <row r="561" spans="1:9">
      <c r="A561">
        <v>34040.35</v>
      </c>
      <c r="B561">
        <v>302.63</v>
      </c>
      <c r="C561">
        <v>6361</v>
      </c>
      <c r="D561">
        <v>315.06</v>
      </c>
      <c r="E561">
        <v>4196.25</v>
      </c>
      <c r="F561">
        <v>0</v>
      </c>
      <c r="G561">
        <v>7325</v>
      </c>
      <c r="H561">
        <v>3133.06</v>
      </c>
      <c r="I561">
        <f ca="1" t="shared" si="8"/>
        <v>12407.35</v>
      </c>
    </row>
    <row r="562" spans="1:9">
      <c r="A562">
        <v>33753.85</v>
      </c>
      <c r="B562">
        <v>342.69</v>
      </c>
      <c r="C562">
        <v>6361</v>
      </c>
      <c r="D562">
        <v>324.09</v>
      </c>
      <c r="E562">
        <v>4329.12</v>
      </c>
      <c r="F562">
        <v>0</v>
      </c>
      <c r="G562">
        <v>7005</v>
      </c>
      <c r="H562">
        <v>3118.38</v>
      </c>
      <c r="I562">
        <f ca="1" t="shared" si="8"/>
        <v>12273.57</v>
      </c>
    </row>
    <row r="563" spans="1:9">
      <c r="A563">
        <v>33533.25</v>
      </c>
      <c r="B563">
        <v>342.67</v>
      </c>
      <c r="C563">
        <v>6361</v>
      </c>
      <c r="D563">
        <v>324.09</v>
      </c>
      <c r="E563">
        <v>4396.07</v>
      </c>
      <c r="F563">
        <v>0</v>
      </c>
      <c r="G563">
        <v>6438</v>
      </c>
      <c r="H563">
        <v>3116.77</v>
      </c>
      <c r="I563">
        <f ca="1" t="shared" si="8"/>
        <v>12554.65</v>
      </c>
    </row>
    <row r="564" spans="1:9">
      <c r="A564">
        <v>33167.48</v>
      </c>
      <c r="B564">
        <v>341.73</v>
      </c>
      <c r="C564">
        <v>6361</v>
      </c>
      <c r="D564">
        <v>324.09</v>
      </c>
      <c r="E564">
        <v>4459.94</v>
      </c>
      <c r="F564">
        <v>0</v>
      </c>
      <c r="G564">
        <v>5872</v>
      </c>
      <c r="H564">
        <v>3112.5</v>
      </c>
      <c r="I564">
        <f ca="1" t="shared" si="8"/>
        <v>12696.22</v>
      </c>
    </row>
    <row r="565" spans="1:9">
      <c r="A565">
        <v>32735.82</v>
      </c>
      <c r="B565">
        <v>341.76</v>
      </c>
      <c r="C565">
        <v>6361</v>
      </c>
      <c r="D565">
        <v>324.09</v>
      </c>
      <c r="E565">
        <v>4517.6</v>
      </c>
      <c r="F565">
        <v>0</v>
      </c>
      <c r="G565">
        <v>5306</v>
      </c>
      <c r="H565">
        <v>3128.11</v>
      </c>
      <c r="I565">
        <f ca="1" t="shared" si="8"/>
        <v>12757.26</v>
      </c>
    </row>
    <row r="566" spans="1:9">
      <c r="A566">
        <v>32350</v>
      </c>
      <c r="B566">
        <v>341.64</v>
      </c>
      <c r="C566">
        <v>6361</v>
      </c>
      <c r="D566">
        <v>323.52</v>
      </c>
      <c r="E566">
        <v>4583.54</v>
      </c>
      <c r="F566">
        <v>0</v>
      </c>
      <c r="G566">
        <v>4576</v>
      </c>
      <c r="H566">
        <v>3113.47</v>
      </c>
      <c r="I566">
        <f ca="1" t="shared" si="8"/>
        <v>13050.83</v>
      </c>
    </row>
    <row r="567" spans="1:9">
      <c r="A567">
        <v>31821.89</v>
      </c>
      <c r="B567">
        <v>341.59</v>
      </c>
      <c r="C567">
        <v>6361</v>
      </c>
      <c r="D567">
        <v>323.52</v>
      </c>
      <c r="E567">
        <v>4625.75</v>
      </c>
      <c r="F567">
        <v>0</v>
      </c>
      <c r="G567">
        <v>4628</v>
      </c>
      <c r="H567">
        <v>3101.48</v>
      </c>
      <c r="I567">
        <f ca="1" t="shared" si="8"/>
        <v>12440.55</v>
      </c>
    </row>
    <row r="568" spans="1:9">
      <c r="A568">
        <v>31283.27</v>
      </c>
      <c r="B568">
        <v>340.65</v>
      </c>
      <c r="C568">
        <v>6361</v>
      </c>
      <c r="D568">
        <v>323.52</v>
      </c>
      <c r="E568">
        <v>4657.7</v>
      </c>
      <c r="F568">
        <v>0</v>
      </c>
      <c r="G568">
        <v>4681</v>
      </c>
      <c r="H568">
        <v>3104.26</v>
      </c>
      <c r="I568">
        <f ca="1" t="shared" si="8"/>
        <v>11815.14</v>
      </c>
    </row>
    <row r="569" spans="1:9">
      <c r="A569">
        <v>30720.77</v>
      </c>
      <c r="B569">
        <v>341.07</v>
      </c>
      <c r="C569">
        <v>6361</v>
      </c>
      <c r="D569">
        <v>323.52</v>
      </c>
      <c r="E569">
        <v>4719.48</v>
      </c>
      <c r="F569">
        <v>0</v>
      </c>
      <c r="G569">
        <v>4732</v>
      </c>
      <c r="H569">
        <v>3119.02</v>
      </c>
      <c r="I569">
        <f ca="1" t="shared" si="8"/>
        <v>11124.68</v>
      </c>
    </row>
    <row r="570" spans="1:9">
      <c r="A570">
        <v>30701.67</v>
      </c>
      <c r="B570">
        <v>343.49</v>
      </c>
      <c r="C570">
        <v>6361</v>
      </c>
      <c r="D570">
        <v>311.87</v>
      </c>
      <c r="E570">
        <v>4785.41</v>
      </c>
      <c r="F570">
        <v>0</v>
      </c>
      <c r="G570">
        <v>4825</v>
      </c>
      <c r="H570">
        <v>3126.46</v>
      </c>
      <c r="I570">
        <f ca="1" t="shared" si="8"/>
        <v>10948.44</v>
      </c>
    </row>
    <row r="571" spans="1:9">
      <c r="A571">
        <v>30187.88</v>
      </c>
      <c r="B571">
        <v>343.6</v>
      </c>
      <c r="C571">
        <v>6361</v>
      </c>
      <c r="D571">
        <v>311.87</v>
      </c>
      <c r="E571">
        <v>4870.9</v>
      </c>
      <c r="F571">
        <v>0</v>
      </c>
      <c r="G571">
        <v>4231</v>
      </c>
      <c r="H571">
        <v>3141.1</v>
      </c>
      <c r="I571">
        <f ca="1" t="shared" si="8"/>
        <v>10928.41</v>
      </c>
    </row>
    <row r="572" spans="1:9">
      <c r="A572">
        <v>29692.24</v>
      </c>
      <c r="B572">
        <v>343.46</v>
      </c>
      <c r="C572">
        <v>6361</v>
      </c>
      <c r="D572">
        <v>311.87</v>
      </c>
      <c r="E572">
        <v>4932.69</v>
      </c>
      <c r="F572">
        <v>0</v>
      </c>
      <c r="G572">
        <v>3638</v>
      </c>
      <c r="H572">
        <v>3149.52</v>
      </c>
      <c r="I572">
        <f ca="1" t="shared" si="8"/>
        <v>10955.7</v>
      </c>
    </row>
    <row r="573" spans="1:9">
      <c r="A573">
        <v>29204.23</v>
      </c>
      <c r="B573">
        <v>343.68</v>
      </c>
      <c r="C573">
        <v>6361</v>
      </c>
      <c r="D573">
        <v>311.87</v>
      </c>
      <c r="E573">
        <v>4998.61</v>
      </c>
      <c r="F573">
        <v>0</v>
      </c>
      <c r="G573">
        <v>3044</v>
      </c>
      <c r="H573">
        <v>3155.29</v>
      </c>
      <c r="I573">
        <f ca="1" t="shared" si="8"/>
        <v>10989.78</v>
      </c>
    </row>
    <row r="574" spans="1:9">
      <c r="A574">
        <v>28947.34</v>
      </c>
      <c r="B574">
        <v>343.78</v>
      </c>
      <c r="C574">
        <v>6361</v>
      </c>
      <c r="D574">
        <v>311.35</v>
      </c>
      <c r="E574">
        <v>5063.52</v>
      </c>
      <c r="F574">
        <v>0</v>
      </c>
      <c r="G574">
        <v>2775</v>
      </c>
      <c r="H574">
        <v>3146.9</v>
      </c>
      <c r="I574">
        <f ca="1" t="shared" si="8"/>
        <v>10945.79</v>
      </c>
    </row>
    <row r="575" spans="1:9">
      <c r="A575">
        <v>28529.05</v>
      </c>
      <c r="B575">
        <v>344.15</v>
      </c>
      <c r="C575">
        <v>6361</v>
      </c>
      <c r="D575">
        <v>311.35</v>
      </c>
      <c r="E575">
        <v>5134.59</v>
      </c>
      <c r="F575">
        <v>0</v>
      </c>
      <c r="G575">
        <v>2744</v>
      </c>
      <c r="H575">
        <v>3142.69</v>
      </c>
      <c r="I575">
        <f ca="1" t="shared" si="8"/>
        <v>10491.27</v>
      </c>
    </row>
    <row r="576" spans="1:9">
      <c r="A576">
        <v>28114.58</v>
      </c>
      <c r="B576">
        <v>343.91</v>
      </c>
      <c r="C576">
        <v>6361</v>
      </c>
      <c r="D576">
        <v>311.35</v>
      </c>
      <c r="E576">
        <v>5205.66</v>
      </c>
      <c r="F576">
        <v>0</v>
      </c>
      <c r="G576">
        <v>2713</v>
      </c>
      <c r="H576">
        <v>3132.22</v>
      </c>
      <c r="I576">
        <f ca="1" t="shared" si="8"/>
        <v>10047.44</v>
      </c>
    </row>
    <row r="577" spans="1:9">
      <c r="A577">
        <v>27715.39</v>
      </c>
      <c r="B577">
        <v>343.91</v>
      </c>
      <c r="C577">
        <v>6361</v>
      </c>
      <c r="D577">
        <v>311.35</v>
      </c>
      <c r="E577">
        <v>5282.9</v>
      </c>
      <c r="F577">
        <v>0</v>
      </c>
      <c r="G577">
        <v>2682</v>
      </c>
      <c r="H577">
        <v>3148.27</v>
      </c>
      <c r="I577">
        <f ca="1" t="shared" si="8"/>
        <v>9585.96</v>
      </c>
    </row>
    <row r="578" spans="1:9">
      <c r="A578">
        <v>27407.6</v>
      </c>
      <c r="B578">
        <v>126</v>
      </c>
      <c r="C578">
        <v>6361</v>
      </c>
      <c r="D578">
        <v>304.3</v>
      </c>
      <c r="E578">
        <v>4539.26</v>
      </c>
      <c r="F578">
        <v>0</v>
      </c>
      <c r="G578">
        <v>2549</v>
      </c>
      <c r="H578">
        <v>3136.66</v>
      </c>
      <c r="I578">
        <f ca="1" t="shared" si="8"/>
        <v>10391.38</v>
      </c>
    </row>
    <row r="579" spans="1:9">
      <c r="A579">
        <v>27232.88</v>
      </c>
      <c r="B579">
        <v>126</v>
      </c>
      <c r="C579">
        <v>6361</v>
      </c>
      <c r="D579">
        <v>304.3</v>
      </c>
      <c r="E579">
        <v>4607.22</v>
      </c>
      <c r="F579">
        <v>0</v>
      </c>
      <c r="G579">
        <v>2169</v>
      </c>
      <c r="H579">
        <v>3132.19</v>
      </c>
      <c r="I579">
        <f ca="1" t="shared" ref="I579:I642" si="9">A579-B579-C579-D579-E579-F579-G579-H579</f>
        <v>10533.17</v>
      </c>
    </row>
    <row r="580" spans="1:9">
      <c r="A580">
        <v>26952.08</v>
      </c>
      <c r="B580">
        <v>126</v>
      </c>
      <c r="C580">
        <v>6361</v>
      </c>
      <c r="D580">
        <v>304.3</v>
      </c>
      <c r="E580">
        <v>4689.61</v>
      </c>
      <c r="F580">
        <v>0</v>
      </c>
      <c r="G580">
        <v>1813</v>
      </c>
      <c r="H580">
        <v>3136.53</v>
      </c>
      <c r="I580">
        <f ca="1" t="shared" si="9"/>
        <v>10521.64</v>
      </c>
    </row>
    <row r="581" spans="1:9">
      <c r="A581">
        <v>26833.52</v>
      </c>
      <c r="B581">
        <v>126</v>
      </c>
      <c r="C581">
        <v>6361</v>
      </c>
      <c r="D581">
        <v>304.3</v>
      </c>
      <c r="E581">
        <v>4789.53</v>
      </c>
      <c r="F581">
        <v>0</v>
      </c>
      <c r="G581">
        <v>1460</v>
      </c>
      <c r="H581">
        <v>3155.06</v>
      </c>
      <c r="I581">
        <f ca="1" t="shared" si="9"/>
        <v>10637.63</v>
      </c>
    </row>
    <row r="582" spans="1:9">
      <c r="A582">
        <v>26683.76</v>
      </c>
      <c r="B582">
        <v>126</v>
      </c>
      <c r="C582">
        <v>6361</v>
      </c>
      <c r="D582">
        <v>293.92</v>
      </c>
      <c r="E582">
        <v>4890.49</v>
      </c>
      <c r="F582">
        <v>0</v>
      </c>
      <c r="G582">
        <v>1398</v>
      </c>
      <c r="H582">
        <v>3149.18</v>
      </c>
      <c r="I582">
        <f ca="1" t="shared" si="9"/>
        <v>10465.17</v>
      </c>
    </row>
    <row r="583" spans="1:9">
      <c r="A583">
        <v>26466.4</v>
      </c>
      <c r="B583">
        <v>126</v>
      </c>
      <c r="C583">
        <v>6361</v>
      </c>
      <c r="D583">
        <v>293.92</v>
      </c>
      <c r="E583">
        <v>5014.06</v>
      </c>
      <c r="F583">
        <v>0</v>
      </c>
      <c r="G583">
        <v>1369</v>
      </c>
      <c r="H583">
        <v>3128.72</v>
      </c>
      <c r="I583">
        <f ca="1" t="shared" si="9"/>
        <v>10173.7</v>
      </c>
    </row>
    <row r="584" spans="1:9">
      <c r="A584">
        <v>26379.04</v>
      </c>
      <c r="B584">
        <v>126</v>
      </c>
      <c r="C584">
        <v>6361</v>
      </c>
      <c r="D584">
        <v>293.92</v>
      </c>
      <c r="E584">
        <v>5142.83</v>
      </c>
      <c r="F584">
        <v>0</v>
      </c>
      <c r="G584">
        <v>1337</v>
      </c>
      <c r="H584">
        <v>3125.6</v>
      </c>
      <c r="I584">
        <f ca="1" t="shared" si="9"/>
        <v>9992.69</v>
      </c>
    </row>
    <row r="585" spans="1:9">
      <c r="A585">
        <v>26183.52</v>
      </c>
      <c r="B585">
        <v>126</v>
      </c>
      <c r="C585">
        <v>6361</v>
      </c>
      <c r="D585">
        <v>293.92</v>
      </c>
      <c r="E585">
        <v>5275.7</v>
      </c>
      <c r="F585">
        <v>0</v>
      </c>
      <c r="G585">
        <v>1305</v>
      </c>
      <c r="H585">
        <v>3134.52</v>
      </c>
      <c r="I585">
        <f ca="1" t="shared" si="9"/>
        <v>9687.38</v>
      </c>
    </row>
    <row r="586" spans="1:9">
      <c r="A586">
        <v>26017.12</v>
      </c>
      <c r="B586">
        <v>167</v>
      </c>
      <c r="C586">
        <v>6361</v>
      </c>
      <c r="D586">
        <v>293.58</v>
      </c>
      <c r="E586">
        <v>5425.04</v>
      </c>
      <c r="F586">
        <v>0</v>
      </c>
      <c r="G586">
        <v>1285</v>
      </c>
      <c r="H586">
        <v>3126.41</v>
      </c>
      <c r="I586">
        <f ca="1" t="shared" si="9"/>
        <v>9359.09</v>
      </c>
    </row>
    <row r="587" spans="1:9">
      <c r="A587">
        <v>25842.4</v>
      </c>
      <c r="B587">
        <v>167</v>
      </c>
      <c r="C587">
        <v>6361</v>
      </c>
      <c r="D587">
        <v>293.58</v>
      </c>
      <c r="E587">
        <v>5577.48</v>
      </c>
      <c r="F587">
        <v>0</v>
      </c>
      <c r="G587">
        <v>1261</v>
      </c>
      <c r="H587">
        <v>3123.47</v>
      </c>
      <c r="I587">
        <f ca="1" t="shared" si="9"/>
        <v>9058.87</v>
      </c>
    </row>
    <row r="588" spans="1:9">
      <c r="A588">
        <v>25827.84</v>
      </c>
      <c r="B588">
        <v>167</v>
      </c>
      <c r="C588">
        <v>6361</v>
      </c>
      <c r="D588">
        <v>293.58</v>
      </c>
      <c r="E588">
        <v>5700.06</v>
      </c>
      <c r="F588">
        <v>0</v>
      </c>
      <c r="G588">
        <v>1237</v>
      </c>
      <c r="H588">
        <v>3123.5</v>
      </c>
      <c r="I588">
        <f ca="1" t="shared" si="9"/>
        <v>8945.7</v>
      </c>
    </row>
    <row r="589" spans="1:9">
      <c r="A589">
        <v>25752.96</v>
      </c>
      <c r="B589">
        <v>167</v>
      </c>
      <c r="C589">
        <v>6361</v>
      </c>
      <c r="D589">
        <v>293.58</v>
      </c>
      <c r="E589">
        <v>5843.23</v>
      </c>
      <c r="F589">
        <v>0</v>
      </c>
      <c r="G589">
        <v>1213</v>
      </c>
      <c r="H589">
        <v>3138.79</v>
      </c>
      <c r="I589">
        <f ca="1" t="shared" si="9"/>
        <v>8736.36</v>
      </c>
    </row>
    <row r="590" spans="1:9">
      <c r="A590">
        <v>25715.52</v>
      </c>
      <c r="B590">
        <v>167</v>
      </c>
      <c r="C590">
        <v>6361</v>
      </c>
      <c r="D590">
        <v>303.94</v>
      </c>
      <c r="E590">
        <v>6001.86</v>
      </c>
      <c r="F590">
        <v>0</v>
      </c>
      <c r="G590">
        <v>1200</v>
      </c>
      <c r="H590">
        <v>3121.82</v>
      </c>
      <c r="I590">
        <f ca="1" t="shared" si="9"/>
        <v>8559.9</v>
      </c>
    </row>
    <row r="591" spans="1:9">
      <c r="A591">
        <v>25699.92</v>
      </c>
      <c r="B591">
        <v>167</v>
      </c>
      <c r="C591">
        <v>6361</v>
      </c>
      <c r="D591">
        <v>303.94</v>
      </c>
      <c r="E591">
        <v>6142.97</v>
      </c>
      <c r="F591">
        <v>0</v>
      </c>
      <c r="G591">
        <v>1199</v>
      </c>
      <c r="H591">
        <v>3117.16</v>
      </c>
      <c r="I591">
        <f ca="1" t="shared" si="9"/>
        <v>8408.85</v>
      </c>
    </row>
    <row r="592" spans="1:9">
      <c r="A592">
        <v>25692.64</v>
      </c>
      <c r="B592">
        <v>167</v>
      </c>
      <c r="C592">
        <v>6361</v>
      </c>
      <c r="D592">
        <v>303.94</v>
      </c>
      <c r="E592">
        <v>6270.68</v>
      </c>
      <c r="F592">
        <v>0</v>
      </c>
      <c r="G592">
        <v>1197</v>
      </c>
      <c r="H592">
        <v>3120.94</v>
      </c>
      <c r="I592">
        <f ca="1" t="shared" si="9"/>
        <v>8272.08</v>
      </c>
    </row>
    <row r="593" spans="1:9">
      <c r="A593">
        <v>25650</v>
      </c>
      <c r="B593">
        <v>167</v>
      </c>
      <c r="C593">
        <v>6361</v>
      </c>
      <c r="D593">
        <v>303.94</v>
      </c>
      <c r="E593">
        <v>6420.04</v>
      </c>
      <c r="F593">
        <v>0</v>
      </c>
      <c r="G593">
        <v>1195</v>
      </c>
      <c r="H593">
        <v>3129.53</v>
      </c>
      <c r="I593">
        <f ca="1" t="shared" si="9"/>
        <v>8073.49</v>
      </c>
    </row>
    <row r="594" spans="1:9">
      <c r="A594">
        <v>25846.56</v>
      </c>
      <c r="B594">
        <v>167</v>
      </c>
      <c r="C594">
        <v>6361</v>
      </c>
      <c r="D594">
        <v>303.97</v>
      </c>
      <c r="E594">
        <v>6557.01</v>
      </c>
      <c r="F594">
        <v>0</v>
      </c>
      <c r="G594">
        <v>1167</v>
      </c>
      <c r="H594">
        <v>3127</v>
      </c>
      <c r="I594">
        <f ca="1" t="shared" si="9"/>
        <v>8163.58</v>
      </c>
    </row>
    <row r="595" spans="1:9">
      <c r="A595">
        <v>25921.44</v>
      </c>
      <c r="B595">
        <v>167</v>
      </c>
      <c r="C595">
        <v>6361</v>
      </c>
      <c r="D595">
        <v>303.97</v>
      </c>
      <c r="E595">
        <v>6673.42</v>
      </c>
      <c r="F595">
        <v>0</v>
      </c>
      <c r="G595">
        <v>1228</v>
      </c>
      <c r="H595">
        <v>3126.1</v>
      </c>
      <c r="I595">
        <f ca="1" t="shared" si="9"/>
        <v>8061.95</v>
      </c>
    </row>
    <row r="596" spans="1:9">
      <c r="A596">
        <v>26100.32</v>
      </c>
      <c r="B596">
        <v>167</v>
      </c>
      <c r="C596">
        <v>6361</v>
      </c>
      <c r="D596">
        <v>303.97</v>
      </c>
      <c r="E596">
        <v>6779.52</v>
      </c>
      <c r="F596">
        <v>0</v>
      </c>
      <c r="G596">
        <v>1289</v>
      </c>
      <c r="H596">
        <v>3132.14</v>
      </c>
      <c r="I596">
        <f ca="1" t="shared" si="9"/>
        <v>8067.69</v>
      </c>
    </row>
    <row r="597" spans="1:9">
      <c r="A597">
        <v>26323.92</v>
      </c>
      <c r="B597">
        <v>167</v>
      </c>
      <c r="C597">
        <v>6361</v>
      </c>
      <c r="D597">
        <v>303.97</v>
      </c>
      <c r="E597">
        <v>6880.44</v>
      </c>
      <c r="F597">
        <v>0</v>
      </c>
      <c r="G597">
        <v>1349</v>
      </c>
      <c r="H597">
        <v>3138.34</v>
      </c>
      <c r="I597">
        <f ca="1" t="shared" si="9"/>
        <v>8124.17</v>
      </c>
    </row>
    <row r="598" spans="1:9">
      <c r="A598">
        <v>26889.68</v>
      </c>
      <c r="B598">
        <v>167</v>
      </c>
      <c r="C598">
        <v>6361</v>
      </c>
      <c r="D598">
        <v>304.07</v>
      </c>
      <c r="E598">
        <v>6946.37</v>
      </c>
      <c r="F598">
        <v>2.42</v>
      </c>
      <c r="G598">
        <v>1359</v>
      </c>
      <c r="H598">
        <v>3145.89</v>
      </c>
      <c r="I598">
        <f ca="1" t="shared" si="9"/>
        <v>8603.93</v>
      </c>
    </row>
    <row r="599" spans="1:9">
      <c r="A599">
        <v>27334.8</v>
      </c>
      <c r="B599">
        <v>167</v>
      </c>
      <c r="C599">
        <v>6361</v>
      </c>
      <c r="D599">
        <v>304.07</v>
      </c>
      <c r="E599">
        <v>6972.11</v>
      </c>
      <c r="F599">
        <v>41.04</v>
      </c>
      <c r="G599">
        <v>1558</v>
      </c>
      <c r="H599">
        <v>3147.58</v>
      </c>
      <c r="I599">
        <f ca="1" t="shared" si="9"/>
        <v>8784</v>
      </c>
    </row>
    <row r="600" spans="1:9">
      <c r="A600">
        <v>27961.92</v>
      </c>
      <c r="B600">
        <v>167</v>
      </c>
      <c r="C600">
        <v>6361</v>
      </c>
      <c r="D600">
        <v>304.07</v>
      </c>
      <c r="E600">
        <v>6998.9</v>
      </c>
      <c r="F600">
        <v>150.61</v>
      </c>
      <c r="G600">
        <v>1755</v>
      </c>
      <c r="H600">
        <v>3152.85</v>
      </c>
      <c r="I600">
        <f ca="1" t="shared" si="9"/>
        <v>9072.49</v>
      </c>
    </row>
    <row r="601" spans="1:9">
      <c r="A601">
        <v>28526.64</v>
      </c>
      <c r="B601">
        <v>167</v>
      </c>
      <c r="C601">
        <v>6361</v>
      </c>
      <c r="D601">
        <v>304.07</v>
      </c>
      <c r="E601">
        <v>7019.49</v>
      </c>
      <c r="F601">
        <v>313.73</v>
      </c>
      <c r="G601">
        <v>2207</v>
      </c>
      <c r="H601">
        <v>3155.17</v>
      </c>
      <c r="I601">
        <f ca="1" t="shared" si="9"/>
        <v>8999.18</v>
      </c>
    </row>
    <row r="602" spans="1:9">
      <c r="A602">
        <v>29165.2</v>
      </c>
      <c r="B602">
        <v>167</v>
      </c>
      <c r="C602">
        <v>6361</v>
      </c>
      <c r="D602">
        <v>304.37</v>
      </c>
      <c r="E602">
        <v>6906.2</v>
      </c>
      <c r="F602">
        <v>584.23</v>
      </c>
      <c r="G602">
        <v>2272</v>
      </c>
      <c r="H602">
        <v>3165.31</v>
      </c>
      <c r="I602">
        <f ca="1" t="shared" si="9"/>
        <v>9405.09</v>
      </c>
    </row>
    <row r="603" spans="1:9">
      <c r="A603">
        <v>29616.56</v>
      </c>
      <c r="B603">
        <v>167</v>
      </c>
      <c r="C603">
        <v>6361</v>
      </c>
      <c r="D603">
        <v>304.37</v>
      </c>
      <c r="E603">
        <v>6843.35</v>
      </c>
      <c r="F603">
        <v>986.52</v>
      </c>
      <c r="G603">
        <v>2906</v>
      </c>
      <c r="H603">
        <v>3164.22</v>
      </c>
      <c r="I603">
        <f ca="1" t="shared" si="9"/>
        <v>8884.1</v>
      </c>
    </row>
    <row r="604" spans="1:9">
      <c r="A604">
        <v>30108.48</v>
      </c>
      <c r="B604">
        <v>167</v>
      </c>
      <c r="C604">
        <v>6361</v>
      </c>
      <c r="D604">
        <v>304.37</v>
      </c>
      <c r="E604">
        <v>6779.5</v>
      </c>
      <c r="F604">
        <v>1493.77</v>
      </c>
      <c r="G604">
        <v>3703</v>
      </c>
      <c r="H604">
        <v>3172.15</v>
      </c>
      <c r="I604">
        <f ca="1" t="shared" si="9"/>
        <v>8127.69</v>
      </c>
    </row>
    <row r="605" spans="1:9">
      <c r="A605">
        <v>30449.6</v>
      </c>
      <c r="B605">
        <v>167</v>
      </c>
      <c r="C605">
        <v>6361</v>
      </c>
      <c r="D605">
        <v>304.37</v>
      </c>
      <c r="E605">
        <v>6714.61</v>
      </c>
      <c r="F605">
        <v>2067.72</v>
      </c>
      <c r="G605">
        <v>4366</v>
      </c>
      <c r="H605">
        <v>3166.18</v>
      </c>
      <c r="I605">
        <f ca="1" t="shared" si="9"/>
        <v>7302.72</v>
      </c>
    </row>
    <row r="606" spans="1:9">
      <c r="A606">
        <v>31084</v>
      </c>
      <c r="B606">
        <v>167</v>
      </c>
      <c r="C606">
        <v>6361</v>
      </c>
      <c r="D606">
        <v>305.02</v>
      </c>
      <c r="E606">
        <v>6649.72</v>
      </c>
      <c r="F606">
        <v>2713.47</v>
      </c>
      <c r="G606">
        <v>4661</v>
      </c>
      <c r="H606">
        <v>3173.31</v>
      </c>
      <c r="I606">
        <f ca="1" t="shared" si="9"/>
        <v>7053.48</v>
      </c>
    </row>
    <row r="607" spans="1:9">
      <c r="A607">
        <v>31552</v>
      </c>
      <c r="B607">
        <v>167</v>
      </c>
      <c r="C607">
        <v>6361</v>
      </c>
      <c r="D607">
        <v>305.02</v>
      </c>
      <c r="E607">
        <v>6573.52</v>
      </c>
      <c r="F607">
        <v>3360.73</v>
      </c>
      <c r="G607">
        <v>4930</v>
      </c>
      <c r="H607">
        <v>3171.25</v>
      </c>
      <c r="I607">
        <f ca="1" t="shared" si="9"/>
        <v>6683.48</v>
      </c>
    </row>
    <row r="608" spans="1:9">
      <c r="A608">
        <v>32066.8</v>
      </c>
      <c r="B608">
        <v>167</v>
      </c>
      <c r="C608">
        <v>6361</v>
      </c>
      <c r="D608">
        <v>305.02</v>
      </c>
      <c r="E608">
        <v>6528.19</v>
      </c>
      <c r="F608">
        <v>4041.58</v>
      </c>
      <c r="G608">
        <v>4945</v>
      </c>
      <c r="H608">
        <v>3175.37</v>
      </c>
      <c r="I608">
        <f ca="1" t="shared" si="9"/>
        <v>6543.64</v>
      </c>
    </row>
    <row r="609" spans="1:9">
      <c r="A609">
        <v>32542.08</v>
      </c>
      <c r="B609">
        <v>167</v>
      </c>
      <c r="C609">
        <v>6361</v>
      </c>
      <c r="D609">
        <v>305.02</v>
      </c>
      <c r="E609">
        <v>6459.18</v>
      </c>
      <c r="F609">
        <v>4700.04</v>
      </c>
      <c r="G609">
        <v>5216</v>
      </c>
      <c r="H609">
        <v>3185.95</v>
      </c>
      <c r="I609">
        <f ca="1" t="shared" si="9"/>
        <v>6147.89</v>
      </c>
    </row>
    <row r="610" spans="1:9">
      <c r="A610">
        <v>33379.28</v>
      </c>
      <c r="B610">
        <v>167</v>
      </c>
      <c r="C610">
        <v>6361</v>
      </c>
      <c r="D610">
        <v>304.34</v>
      </c>
      <c r="E610">
        <v>6407.68</v>
      </c>
      <c r="F610">
        <v>5342.26</v>
      </c>
      <c r="G610">
        <v>5341</v>
      </c>
      <c r="H610">
        <v>3177.71</v>
      </c>
      <c r="I610">
        <f ca="1" t="shared" si="9"/>
        <v>6278.29</v>
      </c>
    </row>
    <row r="611" spans="1:9">
      <c r="A611">
        <v>33960.64</v>
      </c>
      <c r="B611">
        <v>29</v>
      </c>
      <c r="C611">
        <v>6361</v>
      </c>
      <c r="D611">
        <v>304.34</v>
      </c>
      <c r="E611">
        <v>6381.94</v>
      </c>
      <c r="F611">
        <v>5923.65</v>
      </c>
      <c r="G611">
        <v>5801</v>
      </c>
      <c r="H611">
        <v>3182.73</v>
      </c>
      <c r="I611">
        <f ca="1" t="shared" si="9"/>
        <v>5976.98</v>
      </c>
    </row>
    <row r="612" spans="1:9">
      <c r="A612">
        <v>34346.48</v>
      </c>
      <c r="B612">
        <v>29</v>
      </c>
      <c r="C612">
        <v>6361</v>
      </c>
      <c r="D612">
        <v>304.34</v>
      </c>
      <c r="E612">
        <v>6358.24</v>
      </c>
      <c r="F612">
        <v>6495.01</v>
      </c>
      <c r="G612">
        <v>6266</v>
      </c>
      <c r="H612">
        <v>3154.56</v>
      </c>
      <c r="I612">
        <f ca="1" t="shared" si="9"/>
        <v>5378.33</v>
      </c>
    </row>
    <row r="613" spans="1:9">
      <c r="A613">
        <v>34844.64</v>
      </c>
      <c r="B613">
        <v>29</v>
      </c>
      <c r="C613">
        <v>6361</v>
      </c>
      <c r="D613">
        <v>304.34</v>
      </c>
      <c r="E613">
        <v>6335.57</v>
      </c>
      <c r="F613">
        <v>7020.21</v>
      </c>
      <c r="G613">
        <v>6691</v>
      </c>
      <c r="H613">
        <v>3144.24</v>
      </c>
      <c r="I613">
        <f ca="1" t="shared" si="9"/>
        <v>4959.28</v>
      </c>
    </row>
    <row r="614" spans="1:9">
      <c r="A614">
        <v>35135.84</v>
      </c>
      <c r="B614">
        <v>26</v>
      </c>
      <c r="C614">
        <v>6361</v>
      </c>
      <c r="D614">
        <v>304.24</v>
      </c>
      <c r="E614">
        <v>6308.79</v>
      </c>
      <c r="F614">
        <v>7482.21</v>
      </c>
      <c r="G614">
        <v>7420</v>
      </c>
      <c r="H614">
        <v>3140.38</v>
      </c>
      <c r="I614">
        <f ca="1" t="shared" si="9"/>
        <v>4093.21999999999</v>
      </c>
    </row>
    <row r="615" spans="1:9">
      <c r="A615">
        <v>35416.64</v>
      </c>
      <c r="B615">
        <v>26</v>
      </c>
      <c r="C615">
        <v>6361</v>
      </c>
      <c r="D615">
        <v>304.24</v>
      </c>
      <c r="E615">
        <v>6261.43</v>
      </c>
      <c r="F615">
        <v>7854.35</v>
      </c>
      <c r="G615">
        <v>7378</v>
      </c>
      <c r="H615">
        <v>3136.42</v>
      </c>
      <c r="I615">
        <f ca="1" t="shared" si="9"/>
        <v>4095.2</v>
      </c>
    </row>
    <row r="616" spans="1:9">
      <c r="A616">
        <v>35636.08</v>
      </c>
      <c r="B616">
        <v>26</v>
      </c>
      <c r="C616">
        <v>6361</v>
      </c>
      <c r="D616">
        <v>304.24</v>
      </c>
      <c r="E616">
        <v>6205.8</v>
      </c>
      <c r="F616">
        <v>8198.19</v>
      </c>
      <c r="G616">
        <v>7571</v>
      </c>
      <c r="H616">
        <v>3143.85</v>
      </c>
      <c r="I616">
        <f ca="1" t="shared" si="9"/>
        <v>3826</v>
      </c>
    </row>
    <row r="617" spans="1:9">
      <c r="A617">
        <v>35748.4</v>
      </c>
      <c r="B617">
        <v>26</v>
      </c>
      <c r="C617">
        <v>6361</v>
      </c>
      <c r="D617">
        <v>304.24</v>
      </c>
      <c r="E617">
        <v>6155.33</v>
      </c>
      <c r="F617">
        <v>8476.99</v>
      </c>
      <c r="G617">
        <v>7531</v>
      </c>
      <c r="H617">
        <v>3156.8</v>
      </c>
      <c r="I617">
        <f ca="1" t="shared" si="9"/>
        <v>3737.04</v>
      </c>
    </row>
    <row r="618" spans="1:9">
      <c r="A618">
        <v>35870.08</v>
      </c>
      <c r="B618">
        <v>26</v>
      </c>
      <c r="C618">
        <v>6361</v>
      </c>
      <c r="D618">
        <v>314.48</v>
      </c>
      <c r="E618">
        <v>6093.51</v>
      </c>
      <c r="F618">
        <v>8705.3</v>
      </c>
      <c r="G618">
        <v>7814</v>
      </c>
      <c r="H618">
        <v>3163.44</v>
      </c>
      <c r="I618">
        <f ca="1" t="shared" si="9"/>
        <v>3392.35</v>
      </c>
    </row>
    <row r="619" spans="1:9">
      <c r="A619">
        <v>36050</v>
      </c>
      <c r="B619">
        <v>26</v>
      </c>
      <c r="C619">
        <v>6361</v>
      </c>
      <c r="D619">
        <v>314.48</v>
      </c>
      <c r="E619">
        <v>6025.53</v>
      </c>
      <c r="F619">
        <v>8895.05</v>
      </c>
      <c r="G619">
        <v>7887</v>
      </c>
      <c r="H619">
        <v>3162.54</v>
      </c>
      <c r="I619">
        <f ca="1" t="shared" si="9"/>
        <v>3378.4</v>
      </c>
    </row>
    <row r="620" spans="1:9">
      <c r="A620">
        <v>36029.2</v>
      </c>
      <c r="B620">
        <v>26</v>
      </c>
      <c r="C620">
        <v>6361</v>
      </c>
      <c r="D620">
        <v>314.48</v>
      </c>
      <c r="E620">
        <v>5956.55</v>
      </c>
      <c r="F620">
        <v>9051.2</v>
      </c>
      <c r="G620">
        <v>7958</v>
      </c>
      <c r="H620">
        <v>3164.8</v>
      </c>
      <c r="I620">
        <f ca="1" t="shared" si="9"/>
        <v>3197.17</v>
      </c>
    </row>
    <row r="621" spans="1:9">
      <c r="A621">
        <v>35950.16</v>
      </c>
      <c r="B621">
        <v>26</v>
      </c>
      <c r="C621">
        <v>6361</v>
      </c>
      <c r="D621">
        <v>314.48</v>
      </c>
      <c r="E621">
        <v>5889.58</v>
      </c>
      <c r="F621">
        <v>9163.88</v>
      </c>
      <c r="G621">
        <v>8031</v>
      </c>
      <c r="H621">
        <v>3162.52</v>
      </c>
      <c r="I621">
        <f ca="1" t="shared" si="9"/>
        <v>3001.70000000001</v>
      </c>
    </row>
    <row r="622" spans="1:9">
      <c r="A622">
        <v>35767.12</v>
      </c>
      <c r="B622">
        <v>26</v>
      </c>
      <c r="C622">
        <v>6361</v>
      </c>
      <c r="D622">
        <v>316.22</v>
      </c>
      <c r="E622">
        <v>5824.68</v>
      </c>
      <c r="F622">
        <v>9214.78</v>
      </c>
      <c r="G622">
        <v>7805</v>
      </c>
      <c r="H622">
        <v>3156.22</v>
      </c>
      <c r="I622">
        <f ca="1" t="shared" si="9"/>
        <v>3063.22</v>
      </c>
    </row>
    <row r="623" spans="1:9">
      <c r="A623">
        <v>35159.76</v>
      </c>
      <c r="B623">
        <v>26</v>
      </c>
      <c r="C623">
        <v>6361</v>
      </c>
      <c r="D623">
        <v>316.22</v>
      </c>
      <c r="E623">
        <v>5757.75</v>
      </c>
      <c r="F623">
        <v>9227.73</v>
      </c>
      <c r="G623">
        <v>7609</v>
      </c>
      <c r="H623">
        <v>3143.05</v>
      </c>
      <c r="I623">
        <f ca="1" t="shared" si="9"/>
        <v>2719.01</v>
      </c>
    </row>
    <row r="624" spans="1:9">
      <c r="A624">
        <v>34799.92</v>
      </c>
      <c r="B624">
        <v>26</v>
      </c>
      <c r="C624">
        <v>6361</v>
      </c>
      <c r="D624">
        <v>316.22</v>
      </c>
      <c r="E624">
        <v>5693.89</v>
      </c>
      <c r="F624">
        <v>9206.38</v>
      </c>
      <c r="G624">
        <v>7414</v>
      </c>
      <c r="H624">
        <v>3126.17</v>
      </c>
      <c r="I624">
        <f ca="1" t="shared" si="9"/>
        <v>2656.26</v>
      </c>
    </row>
    <row r="625" spans="1:9">
      <c r="A625">
        <v>34543.04</v>
      </c>
      <c r="B625">
        <v>26</v>
      </c>
      <c r="C625">
        <v>6361</v>
      </c>
      <c r="D625">
        <v>316.22</v>
      </c>
      <c r="E625">
        <v>5639.3</v>
      </c>
      <c r="F625">
        <v>9160.95</v>
      </c>
      <c r="G625">
        <v>7218</v>
      </c>
      <c r="H625">
        <v>3112.48</v>
      </c>
      <c r="I625">
        <f ca="1" t="shared" si="9"/>
        <v>2709.09</v>
      </c>
    </row>
    <row r="626" spans="1:9">
      <c r="A626">
        <v>34571.12</v>
      </c>
      <c r="B626">
        <v>26</v>
      </c>
      <c r="C626">
        <v>6361</v>
      </c>
      <c r="D626">
        <v>316.31</v>
      </c>
      <c r="E626">
        <v>5583.67</v>
      </c>
      <c r="F626">
        <v>9065.94</v>
      </c>
      <c r="G626">
        <v>7126</v>
      </c>
      <c r="H626">
        <v>3112.67</v>
      </c>
      <c r="I626">
        <f ca="1" t="shared" si="9"/>
        <v>2979.53</v>
      </c>
    </row>
    <row r="627" spans="1:9">
      <c r="A627">
        <v>34638.72</v>
      </c>
      <c r="B627">
        <v>26</v>
      </c>
      <c r="C627">
        <v>6361</v>
      </c>
      <c r="D627">
        <v>316.31</v>
      </c>
      <c r="E627">
        <v>5534.23</v>
      </c>
      <c r="F627">
        <v>8941.34</v>
      </c>
      <c r="G627">
        <v>7305</v>
      </c>
      <c r="H627">
        <v>3118.62</v>
      </c>
      <c r="I627">
        <f ca="1" t="shared" si="9"/>
        <v>3036.22</v>
      </c>
    </row>
    <row r="628" spans="1:9">
      <c r="A628">
        <v>34959.04</v>
      </c>
      <c r="B628">
        <v>26</v>
      </c>
      <c r="C628">
        <v>6361</v>
      </c>
      <c r="D628">
        <v>316.31</v>
      </c>
      <c r="E628">
        <v>5486.85</v>
      </c>
      <c r="F628">
        <v>8771.68</v>
      </c>
      <c r="G628">
        <v>7487</v>
      </c>
      <c r="H628">
        <v>3122.28</v>
      </c>
      <c r="I628">
        <f ca="1" t="shared" si="9"/>
        <v>3387.92</v>
      </c>
    </row>
    <row r="629" spans="1:9">
      <c r="A629">
        <v>35003.76</v>
      </c>
      <c r="B629">
        <v>26</v>
      </c>
      <c r="C629">
        <v>6361</v>
      </c>
      <c r="D629">
        <v>316.31</v>
      </c>
      <c r="E629">
        <v>5441.52</v>
      </c>
      <c r="F629">
        <v>8569.7</v>
      </c>
      <c r="G629">
        <v>7672</v>
      </c>
      <c r="H629">
        <v>3124.05</v>
      </c>
      <c r="I629">
        <f ca="1" t="shared" si="9"/>
        <v>3493.18</v>
      </c>
    </row>
    <row r="630" spans="1:9">
      <c r="A630">
        <v>35204.48</v>
      </c>
      <c r="B630">
        <v>26</v>
      </c>
      <c r="C630">
        <v>6361</v>
      </c>
      <c r="D630">
        <v>306.42</v>
      </c>
      <c r="E630">
        <v>5404.45</v>
      </c>
      <c r="F630">
        <v>8378.62</v>
      </c>
      <c r="G630">
        <v>7789</v>
      </c>
      <c r="H630">
        <v>3129.92</v>
      </c>
      <c r="I630">
        <f ca="1" t="shared" si="9"/>
        <v>3809.07</v>
      </c>
    </row>
    <row r="631" spans="1:9">
      <c r="A631">
        <v>35225.28</v>
      </c>
      <c r="B631">
        <v>26</v>
      </c>
      <c r="C631">
        <v>6361</v>
      </c>
      <c r="D631">
        <v>306.42</v>
      </c>
      <c r="E631">
        <v>5378.69</v>
      </c>
      <c r="F631">
        <v>8150.45</v>
      </c>
      <c r="G631">
        <v>7825</v>
      </c>
      <c r="H631">
        <v>3139.17</v>
      </c>
      <c r="I631">
        <f ca="1" t="shared" si="9"/>
        <v>4038.55</v>
      </c>
    </row>
    <row r="632" spans="1:9">
      <c r="A632">
        <v>35320.96</v>
      </c>
      <c r="B632">
        <v>26</v>
      </c>
      <c r="C632">
        <v>6361</v>
      </c>
      <c r="D632">
        <v>306.42</v>
      </c>
      <c r="E632">
        <v>5355.01</v>
      </c>
      <c r="F632">
        <v>7881.92</v>
      </c>
      <c r="G632">
        <v>7861</v>
      </c>
      <c r="H632">
        <v>3146.38</v>
      </c>
      <c r="I632">
        <f ca="1" t="shared" si="9"/>
        <v>4383.23</v>
      </c>
    </row>
    <row r="633" spans="1:9">
      <c r="A633">
        <v>35335.52</v>
      </c>
      <c r="B633">
        <v>29</v>
      </c>
      <c r="C633">
        <v>6361</v>
      </c>
      <c r="D633">
        <v>306.42</v>
      </c>
      <c r="E633">
        <v>5361.19</v>
      </c>
      <c r="F633">
        <v>7587.81</v>
      </c>
      <c r="G633">
        <v>7898</v>
      </c>
      <c r="H633">
        <v>3140.58</v>
      </c>
      <c r="I633">
        <f ca="1" t="shared" si="9"/>
        <v>4651.52</v>
      </c>
    </row>
    <row r="634" spans="1:9">
      <c r="A634">
        <v>35389.6</v>
      </c>
      <c r="B634">
        <v>29</v>
      </c>
      <c r="C634">
        <v>6361</v>
      </c>
      <c r="D634">
        <v>305.23</v>
      </c>
      <c r="E634">
        <v>5340.58</v>
      </c>
      <c r="F634">
        <v>7245.95</v>
      </c>
      <c r="G634">
        <v>8206</v>
      </c>
      <c r="H634">
        <v>3139.43</v>
      </c>
      <c r="I634">
        <f ca="1" t="shared" si="9"/>
        <v>4762.41</v>
      </c>
    </row>
    <row r="635" spans="1:9">
      <c r="A635">
        <v>35338.64</v>
      </c>
      <c r="B635">
        <v>29</v>
      </c>
      <c r="C635">
        <v>6361</v>
      </c>
      <c r="D635">
        <v>305.23</v>
      </c>
      <c r="E635">
        <v>5336.47</v>
      </c>
      <c r="F635">
        <v>6853.85</v>
      </c>
      <c r="G635">
        <v>8210</v>
      </c>
      <c r="H635">
        <v>3132.61</v>
      </c>
      <c r="I635">
        <f ca="1" t="shared" si="9"/>
        <v>5110.48</v>
      </c>
    </row>
    <row r="636" spans="1:9">
      <c r="A636">
        <v>35282.48</v>
      </c>
      <c r="B636">
        <v>29</v>
      </c>
      <c r="C636">
        <v>6361</v>
      </c>
      <c r="D636">
        <v>305.23</v>
      </c>
      <c r="E636">
        <v>5337.48</v>
      </c>
      <c r="F636">
        <v>6469.81</v>
      </c>
      <c r="G636">
        <v>8444</v>
      </c>
      <c r="H636">
        <v>3112.11</v>
      </c>
      <c r="I636">
        <f ca="1" t="shared" si="9"/>
        <v>5223.85</v>
      </c>
    </row>
    <row r="637" spans="1:9">
      <c r="A637">
        <v>35206.56</v>
      </c>
      <c r="B637">
        <v>29</v>
      </c>
      <c r="C637">
        <v>6361</v>
      </c>
      <c r="D637">
        <v>305.23</v>
      </c>
      <c r="E637">
        <v>5347.79</v>
      </c>
      <c r="F637">
        <v>6054.42</v>
      </c>
      <c r="G637">
        <v>8678</v>
      </c>
      <c r="H637">
        <v>3135.32</v>
      </c>
      <c r="I637">
        <f ca="1" t="shared" si="9"/>
        <v>5295.8</v>
      </c>
    </row>
    <row r="638" spans="1:9">
      <c r="A638">
        <v>35364.64</v>
      </c>
      <c r="B638">
        <v>29</v>
      </c>
      <c r="C638">
        <v>6361</v>
      </c>
      <c r="D638">
        <v>304.41</v>
      </c>
      <c r="E638">
        <v>5364.26</v>
      </c>
      <c r="F638">
        <v>5583.81</v>
      </c>
      <c r="G638">
        <v>8505</v>
      </c>
      <c r="H638">
        <v>3119.94</v>
      </c>
      <c r="I638">
        <f ca="1" t="shared" si="9"/>
        <v>6097.22</v>
      </c>
    </row>
    <row r="639" spans="1:9">
      <c r="A639">
        <v>35302.24</v>
      </c>
      <c r="B639">
        <v>29</v>
      </c>
      <c r="C639">
        <v>6361</v>
      </c>
      <c r="D639">
        <v>304.41</v>
      </c>
      <c r="E639">
        <v>5388.98</v>
      </c>
      <c r="F639">
        <v>5058.98</v>
      </c>
      <c r="G639">
        <v>8478</v>
      </c>
      <c r="H639">
        <v>3132.69</v>
      </c>
      <c r="I639">
        <f ca="1" t="shared" si="9"/>
        <v>6549.18</v>
      </c>
    </row>
    <row r="640" spans="1:9">
      <c r="A640">
        <v>35283.52</v>
      </c>
      <c r="B640">
        <v>29</v>
      </c>
      <c r="C640">
        <v>6361</v>
      </c>
      <c r="D640">
        <v>304.41</v>
      </c>
      <c r="E640">
        <v>5414.75</v>
      </c>
      <c r="F640">
        <v>4538.48</v>
      </c>
      <c r="G640">
        <v>8452</v>
      </c>
      <c r="H640">
        <v>3130.81</v>
      </c>
      <c r="I640">
        <f ca="1" t="shared" si="9"/>
        <v>7053.07</v>
      </c>
    </row>
    <row r="641" spans="1:9">
      <c r="A641">
        <v>35333.44</v>
      </c>
      <c r="B641">
        <v>29</v>
      </c>
      <c r="C641">
        <v>6361</v>
      </c>
      <c r="D641">
        <v>304.41</v>
      </c>
      <c r="E641">
        <v>5442.55</v>
      </c>
      <c r="F641">
        <v>4011.5</v>
      </c>
      <c r="G641">
        <v>8681</v>
      </c>
      <c r="H641">
        <v>3126.63</v>
      </c>
      <c r="I641">
        <f ca="1" t="shared" si="9"/>
        <v>7377.35</v>
      </c>
    </row>
    <row r="642" spans="1:9">
      <c r="A642">
        <v>35160.8</v>
      </c>
      <c r="B642">
        <v>165</v>
      </c>
      <c r="C642">
        <v>6361</v>
      </c>
      <c r="D642">
        <v>304.84</v>
      </c>
      <c r="E642">
        <v>5459.05</v>
      </c>
      <c r="F642">
        <v>3498.37</v>
      </c>
      <c r="G642">
        <v>7641</v>
      </c>
      <c r="H642">
        <v>3107.38</v>
      </c>
      <c r="I642">
        <f ca="1" t="shared" si="9"/>
        <v>8624.16</v>
      </c>
    </row>
    <row r="643" spans="1:9">
      <c r="A643">
        <v>35103.6</v>
      </c>
      <c r="B643">
        <v>165</v>
      </c>
      <c r="C643">
        <v>6361</v>
      </c>
      <c r="D643">
        <v>304.84</v>
      </c>
      <c r="E643">
        <v>5464.19</v>
      </c>
      <c r="F643">
        <v>2924.24</v>
      </c>
      <c r="G643">
        <v>7583</v>
      </c>
      <c r="H643">
        <v>3109.74</v>
      </c>
      <c r="I643">
        <f ca="1" t="shared" ref="I643:I673" si="10">A643-B643-C643-D643-E643-F643-G643-H643</f>
        <v>9191.59</v>
      </c>
    </row>
    <row r="644" spans="1:9">
      <c r="A644">
        <v>34685.52</v>
      </c>
      <c r="B644">
        <v>165</v>
      </c>
      <c r="C644">
        <v>6361</v>
      </c>
      <c r="D644">
        <v>304.84</v>
      </c>
      <c r="E644">
        <v>5467.28</v>
      </c>
      <c r="F644">
        <v>2356.67</v>
      </c>
      <c r="G644">
        <v>7602</v>
      </c>
      <c r="H644">
        <v>3100.5</v>
      </c>
      <c r="I644">
        <f ca="1" t="shared" si="10"/>
        <v>9328.23</v>
      </c>
    </row>
    <row r="645" spans="1:9">
      <c r="A645">
        <v>34113.52</v>
      </c>
      <c r="B645">
        <v>206</v>
      </c>
      <c r="C645">
        <v>6361</v>
      </c>
      <c r="D645">
        <v>304.84</v>
      </c>
      <c r="E645">
        <v>5469.32</v>
      </c>
      <c r="F645">
        <v>1822.65</v>
      </c>
      <c r="G645">
        <v>7778</v>
      </c>
      <c r="H645">
        <v>3103.72</v>
      </c>
      <c r="I645">
        <f ca="1" t="shared" si="10"/>
        <v>9067.99</v>
      </c>
    </row>
    <row r="646" spans="1:9">
      <c r="A646">
        <v>33985.6</v>
      </c>
      <c r="B646">
        <v>206</v>
      </c>
      <c r="C646">
        <v>6361</v>
      </c>
      <c r="D646">
        <v>295.08</v>
      </c>
      <c r="E646">
        <v>5478.6</v>
      </c>
      <c r="F646">
        <v>1365.49</v>
      </c>
      <c r="G646">
        <v>7870</v>
      </c>
      <c r="H646">
        <v>3109.96</v>
      </c>
      <c r="I646">
        <f ca="1" t="shared" si="10"/>
        <v>9299.47</v>
      </c>
    </row>
    <row r="647" spans="1:9">
      <c r="A647">
        <v>33790.08</v>
      </c>
      <c r="B647">
        <v>206</v>
      </c>
      <c r="C647">
        <v>6361</v>
      </c>
      <c r="D647">
        <v>295.08</v>
      </c>
      <c r="E647">
        <v>5497.14</v>
      </c>
      <c r="F647">
        <v>929.08</v>
      </c>
      <c r="G647">
        <v>8003</v>
      </c>
      <c r="H647">
        <v>3095.77</v>
      </c>
      <c r="I647">
        <f ca="1" t="shared" si="10"/>
        <v>9403.01</v>
      </c>
    </row>
    <row r="648" spans="1:9">
      <c r="A648">
        <v>33697.52</v>
      </c>
      <c r="B648">
        <v>206</v>
      </c>
      <c r="C648">
        <v>6361</v>
      </c>
      <c r="D648">
        <v>295.08</v>
      </c>
      <c r="E648">
        <v>5518.77</v>
      </c>
      <c r="F648">
        <v>555.26</v>
      </c>
      <c r="G648">
        <v>7826</v>
      </c>
      <c r="H648">
        <v>3085.04</v>
      </c>
      <c r="I648">
        <f ca="1" t="shared" si="10"/>
        <v>9850.37</v>
      </c>
    </row>
    <row r="649" spans="1:9">
      <c r="A649">
        <v>33682.96</v>
      </c>
      <c r="B649">
        <v>206</v>
      </c>
      <c r="C649">
        <v>6361</v>
      </c>
      <c r="D649">
        <v>295.08</v>
      </c>
      <c r="E649">
        <v>5535.25</v>
      </c>
      <c r="F649">
        <v>275.52</v>
      </c>
      <c r="G649">
        <v>7649</v>
      </c>
      <c r="H649">
        <v>3084.12</v>
      </c>
      <c r="I649">
        <f ca="1" t="shared" si="10"/>
        <v>10276.99</v>
      </c>
    </row>
    <row r="650" spans="1:9">
      <c r="A650">
        <v>33614.32</v>
      </c>
      <c r="B650">
        <v>206</v>
      </c>
      <c r="C650">
        <v>6361</v>
      </c>
      <c r="D650">
        <v>294.74</v>
      </c>
      <c r="E650">
        <v>5580.56</v>
      </c>
      <c r="F650">
        <v>117.8</v>
      </c>
      <c r="G650">
        <v>8045</v>
      </c>
      <c r="H650">
        <v>3093.66</v>
      </c>
      <c r="I650">
        <f ca="1" t="shared" si="10"/>
        <v>9915.56</v>
      </c>
    </row>
    <row r="651" spans="1:9">
      <c r="A651">
        <v>33651.76</v>
      </c>
      <c r="B651">
        <v>206</v>
      </c>
      <c r="C651">
        <v>6361</v>
      </c>
      <c r="D651">
        <v>294.74</v>
      </c>
      <c r="E651">
        <v>5650.62</v>
      </c>
      <c r="F651">
        <v>40.56</v>
      </c>
      <c r="G651">
        <v>7779</v>
      </c>
      <c r="H651">
        <v>3094.51</v>
      </c>
      <c r="I651">
        <f ca="1" t="shared" si="10"/>
        <v>10225.33</v>
      </c>
    </row>
    <row r="652" spans="1:9">
      <c r="A652">
        <v>33923.2</v>
      </c>
      <c r="B652">
        <v>206</v>
      </c>
      <c r="C652">
        <v>6361</v>
      </c>
      <c r="D652">
        <v>294.74</v>
      </c>
      <c r="E652">
        <v>5721.68</v>
      </c>
      <c r="F652">
        <v>2.29</v>
      </c>
      <c r="G652">
        <v>7516</v>
      </c>
      <c r="H652">
        <v>3096.41</v>
      </c>
      <c r="I652">
        <f ca="1" t="shared" si="10"/>
        <v>10725.08</v>
      </c>
    </row>
    <row r="653" spans="1:9">
      <c r="A653">
        <v>33928.4</v>
      </c>
      <c r="B653">
        <v>206</v>
      </c>
      <c r="C653">
        <v>6361</v>
      </c>
      <c r="D653">
        <v>294.74</v>
      </c>
      <c r="E653">
        <v>5792.74</v>
      </c>
      <c r="F653">
        <v>0</v>
      </c>
      <c r="G653">
        <v>7251</v>
      </c>
      <c r="H653">
        <v>3108.07</v>
      </c>
      <c r="I653">
        <f ca="1" t="shared" si="10"/>
        <v>10914.85</v>
      </c>
    </row>
    <row r="654" spans="1:9">
      <c r="A654">
        <v>34085.44</v>
      </c>
      <c r="B654">
        <v>206</v>
      </c>
      <c r="C654">
        <v>6361</v>
      </c>
      <c r="D654">
        <v>305.47</v>
      </c>
      <c r="E654">
        <v>5852.51</v>
      </c>
      <c r="F654">
        <v>0</v>
      </c>
      <c r="G654">
        <v>7336</v>
      </c>
      <c r="H654">
        <v>3112.76</v>
      </c>
      <c r="I654">
        <f ca="1" t="shared" si="10"/>
        <v>10911.7</v>
      </c>
    </row>
    <row r="655" spans="1:9">
      <c r="A655">
        <v>34013.68</v>
      </c>
      <c r="B655">
        <v>206</v>
      </c>
      <c r="C655">
        <v>6361</v>
      </c>
      <c r="D655">
        <v>305.47</v>
      </c>
      <c r="E655">
        <v>5898.85</v>
      </c>
      <c r="F655">
        <v>0</v>
      </c>
      <c r="G655">
        <v>7308</v>
      </c>
      <c r="H655">
        <v>3101.86</v>
      </c>
      <c r="I655">
        <f ca="1" t="shared" si="10"/>
        <v>10832.5</v>
      </c>
    </row>
    <row r="656" spans="1:9">
      <c r="A656">
        <v>33814</v>
      </c>
      <c r="B656">
        <v>206</v>
      </c>
      <c r="C656">
        <v>6361</v>
      </c>
      <c r="D656">
        <v>305.47</v>
      </c>
      <c r="E656">
        <v>5936.96</v>
      </c>
      <c r="F656">
        <v>0</v>
      </c>
      <c r="G656">
        <v>7049</v>
      </c>
      <c r="H656">
        <v>3108.34</v>
      </c>
      <c r="I656">
        <f ca="1" t="shared" si="10"/>
        <v>10847.23</v>
      </c>
    </row>
    <row r="657" spans="1:9">
      <c r="A657">
        <v>33396.96</v>
      </c>
      <c r="B657">
        <v>206</v>
      </c>
      <c r="C657">
        <v>6361</v>
      </c>
      <c r="D657">
        <v>305.47</v>
      </c>
      <c r="E657">
        <v>5956.52</v>
      </c>
      <c r="F657">
        <v>0</v>
      </c>
      <c r="G657">
        <v>6789</v>
      </c>
      <c r="H657">
        <v>3111.87</v>
      </c>
      <c r="I657">
        <f ca="1" t="shared" si="10"/>
        <v>10667.1</v>
      </c>
    </row>
    <row r="658" spans="1:9">
      <c r="A658">
        <v>33199.36</v>
      </c>
      <c r="B658">
        <v>206</v>
      </c>
      <c r="C658">
        <v>6361</v>
      </c>
      <c r="D658">
        <v>318.59</v>
      </c>
      <c r="E658">
        <v>5929.74</v>
      </c>
      <c r="F658">
        <v>0</v>
      </c>
      <c r="G658">
        <v>6508</v>
      </c>
      <c r="H658">
        <v>3096.17</v>
      </c>
      <c r="I658">
        <f ca="1" t="shared" si="10"/>
        <v>10779.86</v>
      </c>
    </row>
    <row r="659" spans="1:9">
      <c r="A659">
        <v>32973.68</v>
      </c>
      <c r="B659">
        <v>167</v>
      </c>
      <c r="C659">
        <v>6361</v>
      </c>
      <c r="D659">
        <v>318.59</v>
      </c>
      <c r="E659">
        <v>5855.58</v>
      </c>
      <c r="F659">
        <v>0</v>
      </c>
      <c r="G659">
        <v>5941</v>
      </c>
      <c r="H659">
        <v>3099.57</v>
      </c>
      <c r="I659">
        <f ca="1" t="shared" si="10"/>
        <v>11230.94</v>
      </c>
    </row>
    <row r="660" spans="1:9">
      <c r="A660">
        <v>32542.08</v>
      </c>
      <c r="B660">
        <v>167</v>
      </c>
      <c r="C660">
        <v>6361</v>
      </c>
      <c r="D660">
        <v>318.59</v>
      </c>
      <c r="E660">
        <v>5771.13</v>
      </c>
      <c r="F660">
        <v>0</v>
      </c>
      <c r="G660">
        <v>5375</v>
      </c>
      <c r="H660">
        <v>3105.19</v>
      </c>
      <c r="I660">
        <f ca="1" t="shared" si="10"/>
        <v>11444.17</v>
      </c>
    </row>
    <row r="661" spans="1:9">
      <c r="A661">
        <v>32020</v>
      </c>
      <c r="B661">
        <v>167</v>
      </c>
      <c r="C661">
        <v>6361</v>
      </c>
      <c r="D661">
        <v>318.59</v>
      </c>
      <c r="E661">
        <v>5680.47</v>
      </c>
      <c r="F661">
        <v>0</v>
      </c>
      <c r="G661">
        <v>4809</v>
      </c>
      <c r="H661">
        <v>3123.46</v>
      </c>
      <c r="I661">
        <f ca="1" t="shared" si="10"/>
        <v>11560.48</v>
      </c>
    </row>
    <row r="662" spans="1:9">
      <c r="A662">
        <v>31713.2</v>
      </c>
      <c r="B662">
        <v>167</v>
      </c>
      <c r="C662">
        <v>6361</v>
      </c>
      <c r="D662">
        <v>318.32</v>
      </c>
      <c r="E662">
        <v>5572.34</v>
      </c>
      <c r="F662">
        <v>0</v>
      </c>
      <c r="G662">
        <v>4401</v>
      </c>
      <c r="H662">
        <v>3107.53</v>
      </c>
      <c r="I662">
        <f ca="1" t="shared" si="10"/>
        <v>11786.01</v>
      </c>
    </row>
    <row r="663" spans="1:9">
      <c r="A663">
        <v>31139.12</v>
      </c>
      <c r="B663">
        <v>167</v>
      </c>
      <c r="C663">
        <v>6361</v>
      </c>
      <c r="D663">
        <v>318.32</v>
      </c>
      <c r="E663">
        <v>5451.82</v>
      </c>
      <c r="F663">
        <v>0</v>
      </c>
      <c r="G663">
        <v>4453</v>
      </c>
      <c r="H663">
        <v>3099.38</v>
      </c>
      <c r="I663">
        <f ca="1" t="shared" si="10"/>
        <v>11288.6</v>
      </c>
    </row>
    <row r="664" spans="1:9">
      <c r="A664">
        <v>30666.96</v>
      </c>
      <c r="B664">
        <v>167</v>
      </c>
      <c r="C664">
        <v>6361</v>
      </c>
      <c r="D664">
        <v>318.32</v>
      </c>
      <c r="E664">
        <v>5331.32</v>
      </c>
      <c r="F664">
        <v>0</v>
      </c>
      <c r="G664">
        <v>4506</v>
      </c>
      <c r="H664">
        <v>3104.59</v>
      </c>
      <c r="I664">
        <f ca="1" t="shared" si="10"/>
        <v>10878.73</v>
      </c>
    </row>
    <row r="665" spans="1:9">
      <c r="A665">
        <v>30233.28</v>
      </c>
      <c r="B665">
        <v>167</v>
      </c>
      <c r="C665">
        <v>6361</v>
      </c>
      <c r="D665">
        <v>318.32</v>
      </c>
      <c r="E665">
        <v>5215.94</v>
      </c>
      <c r="F665">
        <v>0</v>
      </c>
      <c r="G665">
        <v>4557</v>
      </c>
      <c r="H665">
        <v>3114.68</v>
      </c>
      <c r="I665">
        <f ca="1" t="shared" si="10"/>
        <v>10499.34</v>
      </c>
    </row>
    <row r="666" spans="1:9">
      <c r="A666">
        <v>30247.84</v>
      </c>
      <c r="B666">
        <v>167</v>
      </c>
      <c r="C666">
        <v>6361</v>
      </c>
      <c r="D666">
        <v>304.79</v>
      </c>
      <c r="E666">
        <v>5099.55</v>
      </c>
      <c r="F666">
        <v>0</v>
      </c>
      <c r="G666">
        <v>4273</v>
      </c>
      <c r="H666">
        <v>3123.67</v>
      </c>
      <c r="I666">
        <f ca="1" t="shared" si="10"/>
        <v>10918.83</v>
      </c>
    </row>
    <row r="667" spans="1:9">
      <c r="A667">
        <v>29778.8</v>
      </c>
      <c r="B667">
        <v>167</v>
      </c>
      <c r="C667">
        <v>6361</v>
      </c>
      <c r="D667">
        <v>304.79</v>
      </c>
      <c r="E667">
        <v>4986.25</v>
      </c>
      <c r="F667">
        <v>0</v>
      </c>
      <c r="G667">
        <v>3679</v>
      </c>
      <c r="H667">
        <v>3122.09</v>
      </c>
      <c r="I667">
        <f ca="1" t="shared" si="10"/>
        <v>11158.67</v>
      </c>
    </row>
    <row r="668" spans="1:9">
      <c r="A668">
        <v>29314.96</v>
      </c>
      <c r="B668">
        <v>167</v>
      </c>
      <c r="C668">
        <v>6361</v>
      </c>
      <c r="D668">
        <v>304.79</v>
      </c>
      <c r="E668">
        <v>4876.05</v>
      </c>
      <c r="F668">
        <v>0</v>
      </c>
      <c r="G668">
        <v>3086</v>
      </c>
      <c r="H668">
        <v>3129.8</v>
      </c>
      <c r="I668">
        <f ca="1" t="shared" si="10"/>
        <v>11390.32</v>
      </c>
    </row>
    <row r="669" spans="1:9">
      <c r="A669">
        <v>28842.8</v>
      </c>
      <c r="B669">
        <v>167</v>
      </c>
      <c r="C669">
        <v>6361</v>
      </c>
      <c r="D669">
        <v>304.79</v>
      </c>
      <c r="E669">
        <v>4787.47</v>
      </c>
      <c r="F669">
        <v>0</v>
      </c>
      <c r="G669">
        <v>2492</v>
      </c>
      <c r="H669">
        <v>3149.08</v>
      </c>
      <c r="I669">
        <f ca="1" t="shared" si="10"/>
        <v>11581.46</v>
      </c>
    </row>
    <row r="670" spans="1:9">
      <c r="A670">
        <v>28560.96</v>
      </c>
      <c r="B670">
        <v>188</v>
      </c>
      <c r="C670">
        <v>6361</v>
      </c>
      <c r="D670">
        <v>305.38</v>
      </c>
      <c r="E670">
        <v>4688.58</v>
      </c>
      <c r="F670">
        <v>0</v>
      </c>
      <c r="G670">
        <v>2588</v>
      </c>
      <c r="H670">
        <v>3142.43</v>
      </c>
      <c r="I670">
        <f ca="1" t="shared" si="10"/>
        <v>11287.57</v>
      </c>
    </row>
    <row r="671" spans="1:9">
      <c r="A671">
        <v>28169.92</v>
      </c>
      <c r="B671">
        <v>188</v>
      </c>
      <c r="C671">
        <v>6361</v>
      </c>
      <c r="D671">
        <v>305.38</v>
      </c>
      <c r="E671">
        <v>4593.83</v>
      </c>
      <c r="F671">
        <v>0</v>
      </c>
      <c r="G671">
        <v>2590</v>
      </c>
      <c r="H671">
        <v>3126.06</v>
      </c>
      <c r="I671">
        <f ca="1" t="shared" si="10"/>
        <v>11005.65</v>
      </c>
    </row>
    <row r="672" spans="1:9">
      <c r="A672">
        <v>27789.28</v>
      </c>
      <c r="B672">
        <v>188</v>
      </c>
      <c r="C672">
        <v>6361</v>
      </c>
      <c r="D672">
        <v>305.38</v>
      </c>
      <c r="E672">
        <v>4511.42</v>
      </c>
      <c r="F672">
        <v>0</v>
      </c>
      <c r="G672">
        <v>2593</v>
      </c>
      <c r="H672">
        <v>3122.67</v>
      </c>
      <c r="I672">
        <f ca="1" t="shared" si="10"/>
        <v>10707.81</v>
      </c>
    </row>
    <row r="673" spans="1:9">
      <c r="A673">
        <v>27385.76</v>
      </c>
      <c r="B673">
        <v>188</v>
      </c>
      <c r="C673">
        <v>6361</v>
      </c>
      <c r="D673">
        <v>305.38</v>
      </c>
      <c r="E673">
        <v>4428.01</v>
      </c>
      <c r="F673">
        <v>0</v>
      </c>
      <c r="G673">
        <v>2596</v>
      </c>
      <c r="H673">
        <v>3130.4</v>
      </c>
      <c r="I673">
        <f ca="1" t="shared" si="10"/>
        <v>10376.97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S97"/>
  <sheetViews>
    <sheetView workbookViewId="0">
      <selection activeCell="K50" sqref="K50"/>
    </sheetView>
  </sheetViews>
  <sheetFormatPr defaultColWidth="8.89166666666667" defaultRowHeight="13.5"/>
  <cols>
    <col min="1" max="1" width="11.8916666666667" customWidth="1"/>
    <col min="9" max="9" width="9.66666666666667"/>
  </cols>
  <sheetData>
    <row r="1" spans="1:97">
      <c r="A1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</row>
    <row r="2" spans="1:97">
      <c r="A2" cm="1">
        <f ca="1" t="array" ref="A2:A97">_xlfn.TOCOL(OFFSET(负荷!B$1,COUNTA(负荷!B:B)-2,,,96),3,FALSE)</f>
        <v>27542.53</v>
      </c>
      <c r="B2" cm="1">
        <f ca="1" t="array" ref="B2:B97">_xlfn.TOCOL(OFFSET(水电!B$1,COUNTA(水电!B:B)-2,,1,96),3,FALSE)</f>
        <v>236.48</v>
      </c>
      <c r="C2" cm="1">
        <f ca="1" t="array" ref="C2:C97">_xlfn.TOCOL(OFFSET(核电!B$1,COUNTA(核电!B:B)-2,,1,96),3,FALSE)</f>
        <v>6361</v>
      </c>
      <c r="D2" cm="1">
        <f ca="1" t="array" ref="D2:D97">_xlfn.TOCOL(OFFSET(地方燃煤!B$1,COUNTA(地方燃煤!B:B)-2,,1,96),3,FALSE)</f>
        <v>310.85</v>
      </c>
      <c r="E2" cm="1">
        <f ca="1" t="array" ref="E2:E97">_xlfn.TOCOL(OFFSET(风电!B$1,COUNTA(风电!B:B)-2,,1,96),3,FALSE)</f>
        <v>3424.77</v>
      </c>
      <c r="F2" cm="1">
        <f ca="1" t="array" ref="F2:F97">_xlfn.TOCOL(OFFSET(光伏!B$1,COUNTA(光伏!B:B)-2,,1,96),3,FALSE)</f>
        <v>0</v>
      </c>
      <c r="G2" cm="1">
        <f ca="1" t="array" ref="G2:G97">_xlfn.TOCOL(OFFSET(联络线!B$1,COUNTA(联络线!B:B)-2,,1,96),3,FALSE)</f>
        <v>2935</v>
      </c>
      <c r="H2" cm="1">
        <f ca="1" t="array" ref="H2:H97">_xlfn.TOCOL(OFFSET(非市场化!B$1,COUNTA(非市场化!B:B)-2,,1,96),3,FALSE)</f>
        <v>3136.11</v>
      </c>
      <c r="I2">
        <f ca="1" t="shared" ref="I2:I65" si="0">A2-B2-C2-D2-E2-F2-G2-H2</f>
        <v>11138.32</v>
      </c>
    </row>
    <row r="3" spans="1:97">
      <c r="A3">
        <v>27296.14</v>
      </c>
      <c r="B3">
        <v>239.14</v>
      </c>
      <c r="C3">
        <v>6361</v>
      </c>
      <c r="D3">
        <v>310.85</v>
      </c>
      <c r="E3">
        <v>3426.84</v>
      </c>
      <c r="F3">
        <v>0</v>
      </c>
      <c r="G3">
        <v>2556</v>
      </c>
      <c r="H3">
        <v>3130.77</v>
      </c>
      <c r="I3">
        <f ca="1" t="shared" si="0"/>
        <v>11271.54</v>
      </c>
    </row>
    <row r="4" spans="1:97">
      <c r="A4">
        <v>27130.93</v>
      </c>
      <c r="B4">
        <v>240.39</v>
      </c>
      <c r="C4">
        <v>6361</v>
      </c>
      <c r="D4">
        <v>310.85</v>
      </c>
      <c r="E4">
        <v>3431.99</v>
      </c>
      <c r="F4">
        <v>0</v>
      </c>
      <c r="G4">
        <v>2200</v>
      </c>
      <c r="H4">
        <v>3120.79</v>
      </c>
      <c r="I4">
        <f ca="1" t="shared" si="0"/>
        <v>11465.91</v>
      </c>
    </row>
    <row r="5" spans="1:97">
      <c r="A5">
        <v>26918.92</v>
      </c>
      <c r="B5">
        <v>240.61</v>
      </c>
      <c r="C5">
        <v>6361</v>
      </c>
      <c r="D5">
        <v>310.85</v>
      </c>
      <c r="E5">
        <v>3437.15</v>
      </c>
      <c r="F5">
        <v>0</v>
      </c>
      <c r="G5">
        <v>1846</v>
      </c>
      <c r="H5">
        <v>3137.83</v>
      </c>
      <c r="I5">
        <f ca="1" t="shared" si="0"/>
        <v>11585.48</v>
      </c>
    </row>
    <row r="6" spans="1:97">
      <c r="A6">
        <v>26748.93</v>
      </c>
      <c r="B6">
        <v>240.56</v>
      </c>
      <c r="C6">
        <v>6361</v>
      </c>
      <c r="D6">
        <v>298.02</v>
      </c>
      <c r="E6">
        <v>3442.29</v>
      </c>
      <c r="F6">
        <v>0</v>
      </c>
      <c r="G6">
        <v>1201</v>
      </c>
      <c r="H6">
        <v>3140.35</v>
      </c>
      <c r="I6">
        <f ca="1" t="shared" si="0"/>
        <v>12065.71</v>
      </c>
    </row>
    <row r="7" spans="1:97">
      <c r="A7">
        <v>26557.93</v>
      </c>
      <c r="B7">
        <v>240.76</v>
      </c>
      <c r="C7">
        <v>6361</v>
      </c>
      <c r="D7">
        <v>298.02</v>
      </c>
      <c r="E7">
        <v>3437.14</v>
      </c>
      <c r="F7">
        <v>0</v>
      </c>
      <c r="G7">
        <v>834</v>
      </c>
      <c r="H7">
        <v>3126.3</v>
      </c>
      <c r="I7">
        <f ca="1" t="shared" si="0"/>
        <v>12260.71</v>
      </c>
    </row>
    <row r="8" spans="1:97">
      <c r="A8">
        <v>26451.92</v>
      </c>
      <c r="B8">
        <v>240.76</v>
      </c>
      <c r="C8">
        <v>6361</v>
      </c>
      <c r="D8">
        <v>298.02</v>
      </c>
      <c r="E8">
        <v>3429.94</v>
      </c>
      <c r="F8">
        <v>0</v>
      </c>
      <c r="G8">
        <v>802</v>
      </c>
      <c r="H8">
        <v>3124.76</v>
      </c>
      <c r="I8">
        <f ca="1" t="shared" si="0"/>
        <v>12195.44</v>
      </c>
    </row>
    <row r="9" spans="1:97">
      <c r="A9">
        <v>26253.28</v>
      </c>
      <c r="B9">
        <v>240.75</v>
      </c>
      <c r="C9">
        <v>6361</v>
      </c>
      <c r="D9">
        <v>298.02</v>
      </c>
      <c r="E9">
        <v>3423.77</v>
      </c>
      <c r="F9">
        <v>0</v>
      </c>
      <c r="G9">
        <v>770</v>
      </c>
      <c r="H9">
        <v>3137.16</v>
      </c>
      <c r="I9">
        <f ca="1" t="shared" si="0"/>
        <v>12022.58</v>
      </c>
    </row>
    <row r="10" spans="1:97">
      <c r="A10">
        <v>26114.81</v>
      </c>
      <c r="B10">
        <v>240.83</v>
      </c>
      <c r="C10">
        <v>6361</v>
      </c>
      <c r="D10">
        <v>299.69</v>
      </c>
      <c r="E10">
        <v>3390.78</v>
      </c>
      <c r="F10">
        <v>0</v>
      </c>
      <c r="G10">
        <v>729</v>
      </c>
      <c r="H10">
        <v>3127.64</v>
      </c>
      <c r="I10">
        <f ca="1" t="shared" si="0"/>
        <v>11965.87</v>
      </c>
    </row>
    <row r="11" spans="1:97">
      <c r="A11">
        <v>26029.81</v>
      </c>
      <c r="B11">
        <v>241.01</v>
      </c>
      <c r="C11">
        <v>6361</v>
      </c>
      <c r="D11">
        <v>299.69</v>
      </c>
      <c r="E11">
        <v>3338.25</v>
      </c>
      <c r="F11">
        <v>0</v>
      </c>
      <c r="G11">
        <v>705</v>
      </c>
      <c r="H11">
        <v>3120.52</v>
      </c>
      <c r="I11">
        <f ca="1" t="shared" si="0"/>
        <v>11964.34</v>
      </c>
    </row>
    <row r="12" spans="1:97">
      <c r="A12">
        <v>25956.28</v>
      </c>
      <c r="B12">
        <v>242.32</v>
      </c>
      <c r="C12">
        <v>6361</v>
      </c>
      <c r="D12">
        <v>299.69</v>
      </c>
      <c r="E12">
        <v>3281.61</v>
      </c>
      <c r="F12">
        <v>0</v>
      </c>
      <c r="G12">
        <v>681</v>
      </c>
      <c r="H12">
        <v>3122.51</v>
      </c>
      <c r="I12">
        <f ca="1" t="shared" si="0"/>
        <v>11968.15</v>
      </c>
    </row>
    <row r="13" spans="1:97">
      <c r="A13">
        <v>25868.42</v>
      </c>
      <c r="B13">
        <v>242.55</v>
      </c>
      <c r="C13">
        <v>6361</v>
      </c>
      <c r="D13">
        <v>299.69</v>
      </c>
      <c r="E13">
        <v>3225.99</v>
      </c>
      <c r="F13">
        <v>0</v>
      </c>
      <c r="G13">
        <v>657</v>
      </c>
      <c r="H13">
        <v>3135.68</v>
      </c>
      <c r="I13">
        <f ca="1" t="shared" si="0"/>
        <v>11946.51</v>
      </c>
    </row>
    <row r="14" spans="1:97">
      <c r="A14">
        <v>25844.54</v>
      </c>
      <c r="B14">
        <v>242.19</v>
      </c>
      <c r="C14">
        <v>6361</v>
      </c>
      <c r="D14">
        <v>312.45</v>
      </c>
      <c r="E14">
        <v>3173.48</v>
      </c>
      <c r="F14">
        <v>0</v>
      </c>
      <c r="G14">
        <v>519</v>
      </c>
      <c r="H14">
        <v>3130.08</v>
      </c>
      <c r="I14">
        <f ca="1" t="shared" si="0"/>
        <v>12106.34</v>
      </c>
    </row>
    <row r="15" spans="1:97">
      <c r="A15">
        <v>25780.56</v>
      </c>
      <c r="B15">
        <v>242.33</v>
      </c>
      <c r="C15">
        <v>6361</v>
      </c>
      <c r="D15">
        <v>312.45</v>
      </c>
      <c r="E15">
        <v>3118.87</v>
      </c>
      <c r="F15">
        <v>0</v>
      </c>
      <c r="G15">
        <v>517</v>
      </c>
      <c r="H15">
        <v>3130.8</v>
      </c>
      <c r="I15">
        <f ca="1" t="shared" si="0"/>
        <v>12098.11</v>
      </c>
    </row>
    <row r="16" spans="1:97">
      <c r="A16">
        <v>25783.42</v>
      </c>
      <c r="B16">
        <v>242.28</v>
      </c>
      <c r="C16">
        <v>6361</v>
      </c>
      <c r="D16">
        <v>312.45</v>
      </c>
      <c r="E16">
        <v>3051.93</v>
      </c>
      <c r="F16">
        <v>0</v>
      </c>
      <c r="G16">
        <v>515</v>
      </c>
      <c r="H16">
        <v>3134.38</v>
      </c>
      <c r="I16">
        <f ca="1" t="shared" si="0"/>
        <v>12166.38</v>
      </c>
    </row>
    <row r="17" spans="1:9">
      <c r="A17">
        <v>25750</v>
      </c>
      <c r="B17">
        <v>242.35</v>
      </c>
      <c r="C17">
        <v>6361</v>
      </c>
      <c r="D17">
        <v>312.45</v>
      </c>
      <c r="E17">
        <v>2995.28</v>
      </c>
      <c r="F17">
        <v>0</v>
      </c>
      <c r="G17">
        <v>513</v>
      </c>
      <c r="H17">
        <v>3142.87</v>
      </c>
      <c r="I17">
        <f ca="1" t="shared" si="0"/>
        <v>12183.05</v>
      </c>
    </row>
    <row r="18" spans="1:9">
      <c r="A18">
        <v>25868.42</v>
      </c>
      <c r="B18">
        <v>242.32</v>
      </c>
      <c r="C18">
        <v>6361</v>
      </c>
      <c r="D18">
        <v>312.62</v>
      </c>
      <c r="E18">
        <v>2937.6</v>
      </c>
      <c r="F18">
        <v>0</v>
      </c>
      <c r="G18">
        <v>633</v>
      </c>
      <c r="H18">
        <v>3138.67</v>
      </c>
      <c r="I18">
        <f ca="1" t="shared" si="0"/>
        <v>12243.21</v>
      </c>
    </row>
    <row r="19" spans="1:9">
      <c r="A19">
        <v>25989.7</v>
      </c>
      <c r="B19">
        <v>242.28</v>
      </c>
      <c r="C19">
        <v>6361</v>
      </c>
      <c r="D19">
        <v>312.62</v>
      </c>
      <c r="E19">
        <v>2878.89</v>
      </c>
      <c r="F19">
        <v>0</v>
      </c>
      <c r="G19">
        <v>695</v>
      </c>
      <c r="H19">
        <v>3130.15</v>
      </c>
      <c r="I19">
        <f ca="1" t="shared" si="0"/>
        <v>12369.76</v>
      </c>
    </row>
    <row r="20" spans="1:9">
      <c r="A20">
        <v>26111.94</v>
      </c>
      <c r="B20">
        <v>242.28</v>
      </c>
      <c r="C20">
        <v>6361</v>
      </c>
      <c r="D20">
        <v>312.62</v>
      </c>
      <c r="E20">
        <v>2810.92</v>
      </c>
      <c r="F20">
        <v>0</v>
      </c>
      <c r="G20">
        <v>755</v>
      </c>
      <c r="H20">
        <v>3119.68</v>
      </c>
      <c r="I20">
        <f ca="1" t="shared" si="0"/>
        <v>12510.44</v>
      </c>
    </row>
    <row r="21" spans="1:9">
      <c r="A21">
        <v>26284.8</v>
      </c>
      <c r="B21">
        <v>242.12</v>
      </c>
      <c r="C21">
        <v>6361</v>
      </c>
      <c r="D21">
        <v>312.62</v>
      </c>
      <c r="E21">
        <v>2743.98</v>
      </c>
      <c r="F21">
        <v>0</v>
      </c>
      <c r="G21">
        <v>816</v>
      </c>
      <c r="H21">
        <v>3123.44</v>
      </c>
      <c r="I21">
        <f ca="1" t="shared" si="0"/>
        <v>12685.64</v>
      </c>
    </row>
    <row r="22" spans="1:9">
      <c r="A22">
        <v>26741.29</v>
      </c>
      <c r="B22">
        <v>242.37</v>
      </c>
      <c r="C22">
        <v>6361</v>
      </c>
      <c r="D22">
        <v>313.11</v>
      </c>
      <c r="E22">
        <v>2678.05</v>
      </c>
      <c r="F22">
        <v>4.2</v>
      </c>
      <c r="G22">
        <v>1013</v>
      </c>
      <c r="H22">
        <v>3132.98</v>
      </c>
      <c r="I22">
        <f ca="1" t="shared" si="0"/>
        <v>12996.58</v>
      </c>
    </row>
    <row r="23" spans="1:9">
      <c r="A23">
        <v>27171.04</v>
      </c>
      <c r="B23">
        <v>242.52</v>
      </c>
      <c r="C23">
        <v>6361</v>
      </c>
      <c r="D23">
        <v>313.11</v>
      </c>
      <c r="E23">
        <v>2610.07</v>
      </c>
      <c r="F23">
        <v>49.59</v>
      </c>
      <c r="G23">
        <v>1212</v>
      </c>
      <c r="H23">
        <v>3129.95</v>
      </c>
      <c r="I23">
        <f ca="1" t="shared" si="0"/>
        <v>13252.8</v>
      </c>
    </row>
    <row r="24" spans="1:9">
      <c r="A24">
        <v>27669.55</v>
      </c>
      <c r="B24">
        <v>242.46</v>
      </c>
      <c r="C24">
        <v>6361</v>
      </c>
      <c r="D24">
        <v>313.11</v>
      </c>
      <c r="E24">
        <v>2541.07</v>
      </c>
      <c r="F24">
        <v>162.89</v>
      </c>
      <c r="G24">
        <v>1409</v>
      </c>
      <c r="H24">
        <v>3132.31</v>
      </c>
      <c r="I24">
        <f ca="1" t="shared" si="0"/>
        <v>13507.71</v>
      </c>
    </row>
    <row r="25" spans="1:9">
      <c r="A25">
        <v>28020.99</v>
      </c>
      <c r="B25">
        <v>242.22</v>
      </c>
      <c r="C25">
        <v>6361</v>
      </c>
      <c r="D25">
        <v>313.11</v>
      </c>
      <c r="E25">
        <v>2465.87</v>
      </c>
      <c r="F25">
        <v>335.19</v>
      </c>
      <c r="G25">
        <v>2198</v>
      </c>
      <c r="H25">
        <v>3120.21</v>
      </c>
      <c r="I25">
        <f ca="1" t="shared" si="0"/>
        <v>12985.39</v>
      </c>
    </row>
    <row r="26" spans="1:9">
      <c r="A26">
        <v>28532.87</v>
      </c>
      <c r="B26">
        <v>242.37</v>
      </c>
      <c r="C26">
        <v>6361</v>
      </c>
      <c r="D26">
        <v>313.56</v>
      </c>
      <c r="E26">
        <v>2394.79</v>
      </c>
      <c r="F26">
        <v>617.28</v>
      </c>
      <c r="G26">
        <v>2799</v>
      </c>
      <c r="H26">
        <v>3126.63</v>
      </c>
      <c r="I26">
        <f ca="1" t="shared" si="0"/>
        <v>12678.24</v>
      </c>
    </row>
    <row r="27" spans="1:9">
      <c r="A27">
        <v>28880.49</v>
      </c>
      <c r="B27">
        <v>242.35</v>
      </c>
      <c r="C27">
        <v>6361</v>
      </c>
      <c r="D27">
        <v>313.56</v>
      </c>
      <c r="E27">
        <v>2312.39</v>
      </c>
      <c r="F27">
        <v>1019.1</v>
      </c>
      <c r="G27">
        <v>3386</v>
      </c>
      <c r="H27">
        <v>3119.41</v>
      </c>
      <c r="I27">
        <f ca="1" t="shared" si="0"/>
        <v>12126.68</v>
      </c>
    </row>
    <row r="28" spans="1:9">
      <c r="A28">
        <v>29229.06</v>
      </c>
      <c r="B28">
        <v>242.33</v>
      </c>
      <c r="C28">
        <v>6361</v>
      </c>
      <c r="D28">
        <v>313.56</v>
      </c>
      <c r="E28">
        <v>2233.09</v>
      </c>
      <c r="F28">
        <v>1524.78</v>
      </c>
      <c r="G28">
        <v>4229</v>
      </c>
      <c r="H28">
        <v>3121.44</v>
      </c>
      <c r="I28">
        <f ca="1" t="shared" si="0"/>
        <v>11203.86</v>
      </c>
    </row>
    <row r="29" spans="1:9">
      <c r="A29">
        <v>29433.43</v>
      </c>
      <c r="B29">
        <v>242.24</v>
      </c>
      <c r="C29">
        <v>6361</v>
      </c>
      <c r="D29">
        <v>313.56</v>
      </c>
      <c r="E29">
        <v>2146.56</v>
      </c>
      <c r="F29">
        <v>2109.55</v>
      </c>
      <c r="G29">
        <v>4892</v>
      </c>
      <c r="H29">
        <v>3094.32</v>
      </c>
      <c r="I29">
        <f ca="1" t="shared" si="0"/>
        <v>10274.2</v>
      </c>
    </row>
    <row r="30" spans="1:9">
      <c r="A30">
        <v>30002.61</v>
      </c>
      <c r="B30">
        <v>242.26</v>
      </c>
      <c r="C30">
        <v>6361</v>
      </c>
      <c r="D30">
        <v>313.9</v>
      </c>
      <c r="E30">
        <v>2051.8</v>
      </c>
      <c r="F30">
        <v>2775.69</v>
      </c>
      <c r="G30">
        <v>4887</v>
      </c>
      <c r="H30">
        <v>3100.24</v>
      </c>
      <c r="I30">
        <f ca="1" t="shared" si="0"/>
        <v>10270.72</v>
      </c>
    </row>
    <row r="31" spans="1:9">
      <c r="A31">
        <v>30385.57</v>
      </c>
      <c r="B31">
        <v>242.11</v>
      </c>
      <c r="C31">
        <v>6361</v>
      </c>
      <c r="D31">
        <v>313.9</v>
      </c>
      <c r="E31">
        <v>1971.47</v>
      </c>
      <c r="F31">
        <v>3433.83</v>
      </c>
      <c r="G31">
        <v>5156</v>
      </c>
      <c r="H31">
        <v>3111.97</v>
      </c>
      <c r="I31">
        <f ca="1" t="shared" si="0"/>
        <v>9795.29</v>
      </c>
    </row>
    <row r="32" spans="1:9">
      <c r="A32">
        <v>30857.34</v>
      </c>
      <c r="B32">
        <v>242.21</v>
      </c>
      <c r="C32">
        <v>6361</v>
      </c>
      <c r="D32">
        <v>313.9</v>
      </c>
      <c r="E32">
        <v>1907.61</v>
      </c>
      <c r="F32">
        <v>4126.3</v>
      </c>
      <c r="G32">
        <v>5171</v>
      </c>
      <c r="H32">
        <v>3134.3</v>
      </c>
      <c r="I32">
        <f ca="1" t="shared" si="0"/>
        <v>9601.02</v>
      </c>
    </row>
    <row r="33" spans="1:9">
      <c r="A33">
        <v>31266.08</v>
      </c>
      <c r="B33">
        <v>242.01</v>
      </c>
      <c r="C33">
        <v>6361</v>
      </c>
      <c r="D33">
        <v>313.9</v>
      </c>
      <c r="E33">
        <v>1845.8</v>
      </c>
      <c r="F33">
        <v>4801.44</v>
      </c>
      <c r="G33">
        <v>5442</v>
      </c>
      <c r="H33">
        <v>3148.99</v>
      </c>
      <c r="I33">
        <f ca="1" t="shared" si="0"/>
        <v>9110.94</v>
      </c>
    </row>
    <row r="34" spans="1:9">
      <c r="A34">
        <v>32128.44</v>
      </c>
      <c r="B34">
        <v>239.23</v>
      </c>
      <c r="C34">
        <v>6361</v>
      </c>
      <c r="D34">
        <v>311.7</v>
      </c>
      <c r="E34">
        <v>1794.32</v>
      </c>
      <c r="F34">
        <v>5475.79</v>
      </c>
      <c r="G34">
        <v>5578</v>
      </c>
      <c r="H34">
        <v>3140.78</v>
      </c>
      <c r="I34">
        <f ca="1" t="shared" si="0"/>
        <v>9227.62</v>
      </c>
    </row>
    <row r="35" spans="1:9">
      <c r="A35">
        <v>32536.23</v>
      </c>
      <c r="B35">
        <v>99.36</v>
      </c>
      <c r="C35">
        <v>6361</v>
      </c>
      <c r="D35">
        <v>311.7</v>
      </c>
      <c r="E35">
        <v>1755.18</v>
      </c>
      <c r="F35">
        <v>6097.14</v>
      </c>
      <c r="G35">
        <v>6038</v>
      </c>
      <c r="H35">
        <v>3145.81</v>
      </c>
      <c r="I35">
        <f ca="1" t="shared" si="0"/>
        <v>8728.04</v>
      </c>
    </row>
    <row r="36" spans="1:9">
      <c r="A36">
        <v>32891.49</v>
      </c>
      <c r="B36">
        <v>92.97</v>
      </c>
      <c r="C36">
        <v>6361</v>
      </c>
      <c r="D36">
        <v>311.7</v>
      </c>
      <c r="E36">
        <v>1718.09</v>
      </c>
      <c r="F36">
        <v>6701.53</v>
      </c>
      <c r="G36">
        <v>6503</v>
      </c>
      <c r="H36">
        <v>3132.21</v>
      </c>
      <c r="I36">
        <f ca="1" t="shared" si="0"/>
        <v>8070.99</v>
      </c>
    </row>
    <row r="37" spans="1:9">
      <c r="A37">
        <v>33320.28</v>
      </c>
      <c r="B37">
        <v>89.24</v>
      </c>
      <c r="C37">
        <v>6361</v>
      </c>
      <c r="D37">
        <v>311.7</v>
      </c>
      <c r="E37">
        <v>1684.09</v>
      </c>
      <c r="F37">
        <v>7253.94</v>
      </c>
      <c r="G37">
        <v>6772</v>
      </c>
      <c r="H37">
        <v>3122.64</v>
      </c>
      <c r="I37">
        <f ca="1" t="shared" si="0"/>
        <v>7725.67</v>
      </c>
    </row>
    <row r="38" spans="1:9">
      <c r="A38">
        <v>33652.62</v>
      </c>
      <c r="B38">
        <v>90.67</v>
      </c>
      <c r="C38">
        <v>6361</v>
      </c>
      <c r="D38">
        <v>310.35</v>
      </c>
      <c r="E38">
        <v>1686.16</v>
      </c>
      <c r="F38">
        <v>7753.18</v>
      </c>
      <c r="G38">
        <v>6886</v>
      </c>
      <c r="H38">
        <v>3117.07</v>
      </c>
      <c r="I38">
        <f ca="1" t="shared" si="0"/>
        <v>7448.19000000001</v>
      </c>
    </row>
    <row r="39" spans="1:9">
      <c r="A39">
        <v>34041.31</v>
      </c>
      <c r="B39">
        <v>89.42</v>
      </c>
      <c r="C39">
        <v>6361</v>
      </c>
      <c r="D39">
        <v>310.35</v>
      </c>
      <c r="E39">
        <v>1728.37</v>
      </c>
      <c r="F39">
        <v>8169.62</v>
      </c>
      <c r="G39">
        <v>6532</v>
      </c>
      <c r="H39">
        <v>3111.54</v>
      </c>
      <c r="I39">
        <f ca="1" t="shared" si="0"/>
        <v>7739.01</v>
      </c>
    </row>
    <row r="40" spans="1:9">
      <c r="A40">
        <v>34260.96</v>
      </c>
      <c r="B40">
        <v>89.68</v>
      </c>
      <c r="C40">
        <v>6361</v>
      </c>
      <c r="D40">
        <v>310.35</v>
      </c>
      <c r="E40">
        <v>1775.76</v>
      </c>
      <c r="F40">
        <v>8529.58</v>
      </c>
      <c r="G40">
        <v>6412</v>
      </c>
      <c r="H40">
        <v>3116.64</v>
      </c>
      <c r="I40">
        <f ca="1" t="shared" si="0"/>
        <v>7665.95</v>
      </c>
    </row>
    <row r="41" spans="1:9">
      <c r="A41">
        <v>34673.52</v>
      </c>
      <c r="B41">
        <v>89.64</v>
      </c>
      <c r="C41">
        <v>6361</v>
      </c>
      <c r="D41">
        <v>310.35</v>
      </c>
      <c r="E41">
        <v>1826.24</v>
      </c>
      <c r="F41">
        <v>8831.9</v>
      </c>
      <c r="G41">
        <v>6033</v>
      </c>
      <c r="H41">
        <v>3124.9</v>
      </c>
      <c r="I41">
        <f ca="1" t="shared" si="0"/>
        <v>8096.49</v>
      </c>
    </row>
    <row r="42" spans="1:9">
      <c r="A42">
        <v>34909.4</v>
      </c>
      <c r="B42">
        <v>89.7</v>
      </c>
      <c r="C42">
        <v>6361</v>
      </c>
      <c r="D42">
        <v>322.83</v>
      </c>
      <c r="E42">
        <v>1892.14</v>
      </c>
      <c r="F42">
        <v>9074.6</v>
      </c>
      <c r="G42">
        <v>6118</v>
      </c>
      <c r="H42">
        <v>3135.72</v>
      </c>
      <c r="I42">
        <f ca="1" t="shared" si="0"/>
        <v>7915.41000000001</v>
      </c>
    </row>
    <row r="43" spans="1:9">
      <c r="A43">
        <v>35155.79</v>
      </c>
      <c r="B43">
        <v>90.22</v>
      </c>
      <c r="C43">
        <v>6361</v>
      </c>
      <c r="D43">
        <v>322.83</v>
      </c>
      <c r="E43">
        <v>1976.62</v>
      </c>
      <c r="F43">
        <v>9272.73</v>
      </c>
      <c r="G43">
        <v>5879</v>
      </c>
      <c r="H43">
        <v>3135.15</v>
      </c>
      <c r="I43">
        <f ca="1" t="shared" si="0"/>
        <v>8118.24</v>
      </c>
    </row>
    <row r="44" spans="1:9">
      <c r="A44">
        <v>35300</v>
      </c>
      <c r="B44">
        <v>90.86</v>
      </c>
      <c r="C44">
        <v>6361</v>
      </c>
      <c r="D44">
        <v>322.83</v>
      </c>
      <c r="E44">
        <v>2067.25</v>
      </c>
      <c r="F44">
        <v>9428.22</v>
      </c>
      <c r="G44">
        <v>5637</v>
      </c>
      <c r="H44">
        <v>3134.54</v>
      </c>
      <c r="I44">
        <f ca="1" t="shared" si="0"/>
        <v>8258.3</v>
      </c>
    </row>
    <row r="45" spans="1:9">
      <c r="A45">
        <v>35175.85</v>
      </c>
      <c r="B45">
        <v>95.39</v>
      </c>
      <c r="C45">
        <v>6361</v>
      </c>
      <c r="D45">
        <v>322.83</v>
      </c>
      <c r="E45">
        <v>2158.92</v>
      </c>
      <c r="F45">
        <v>9533.61</v>
      </c>
      <c r="G45">
        <v>5528</v>
      </c>
      <c r="H45">
        <v>3131.22</v>
      </c>
      <c r="I45">
        <f ca="1" t="shared" si="0"/>
        <v>8044.88</v>
      </c>
    </row>
    <row r="46" spans="1:9">
      <c r="A46">
        <v>35229.33</v>
      </c>
      <c r="B46">
        <v>95.25</v>
      </c>
      <c r="C46">
        <v>6361</v>
      </c>
      <c r="D46">
        <v>321.65</v>
      </c>
      <c r="E46">
        <v>2255.74</v>
      </c>
      <c r="F46">
        <v>9586.62</v>
      </c>
      <c r="G46">
        <v>5344</v>
      </c>
      <c r="H46">
        <v>3127.98</v>
      </c>
      <c r="I46">
        <f ca="1" t="shared" si="0"/>
        <v>8137.09</v>
      </c>
    </row>
    <row r="47" spans="1:9">
      <c r="A47">
        <v>34729.86</v>
      </c>
      <c r="B47">
        <v>95.2</v>
      </c>
      <c r="C47">
        <v>6361</v>
      </c>
      <c r="D47">
        <v>321.65</v>
      </c>
      <c r="E47">
        <v>2358.74</v>
      </c>
      <c r="F47">
        <v>9602.42</v>
      </c>
      <c r="G47">
        <v>5149</v>
      </c>
      <c r="H47">
        <v>3114.58</v>
      </c>
      <c r="I47">
        <f ca="1" t="shared" si="0"/>
        <v>7727.27</v>
      </c>
    </row>
    <row r="48" spans="1:9">
      <c r="A48">
        <v>34475.83</v>
      </c>
      <c r="B48">
        <v>95.54</v>
      </c>
      <c r="C48">
        <v>6361</v>
      </c>
      <c r="D48">
        <v>321.65</v>
      </c>
      <c r="E48">
        <v>2463.78</v>
      </c>
      <c r="F48">
        <v>9595.83</v>
      </c>
      <c r="G48">
        <v>4955</v>
      </c>
      <c r="H48">
        <v>3098.56</v>
      </c>
      <c r="I48">
        <f ca="1" t="shared" si="0"/>
        <v>7584.47</v>
      </c>
    </row>
    <row r="49" spans="1:9">
      <c r="A49">
        <v>34260.96</v>
      </c>
      <c r="B49">
        <v>96.67</v>
      </c>
      <c r="C49">
        <v>6361</v>
      </c>
      <c r="D49">
        <v>321.65</v>
      </c>
      <c r="E49">
        <v>2570.92</v>
      </c>
      <c r="F49">
        <v>9582.88</v>
      </c>
      <c r="G49">
        <v>4760</v>
      </c>
      <c r="H49">
        <v>3086.35</v>
      </c>
      <c r="I49">
        <f ca="1" t="shared" si="0"/>
        <v>7481.49</v>
      </c>
    </row>
    <row r="50" spans="1:9">
      <c r="A50">
        <v>34342.13</v>
      </c>
      <c r="B50">
        <v>97.51</v>
      </c>
      <c r="C50">
        <v>6361</v>
      </c>
      <c r="D50">
        <v>322.23</v>
      </c>
      <c r="E50">
        <v>2695.56</v>
      </c>
      <c r="F50">
        <v>9521.97</v>
      </c>
      <c r="G50">
        <v>4621</v>
      </c>
      <c r="H50">
        <v>3089.06</v>
      </c>
      <c r="I50">
        <f ca="1" t="shared" si="0"/>
        <v>7633.8</v>
      </c>
    </row>
    <row r="51" spans="1:9">
      <c r="A51">
        <v>34440.5</v>
      </c>
      <c r="B51">
        <v>98.12</v>
      </c>
      <c r="C51">
        <v>6361</v>
      </c>
      <c r="D51">
        <v>322.23</v>
      </c>
      <c r="E51">
        <v>2786.2</v>
      </c>
      <c r="F51">
        <v>9431.62</v>
      </c>
      <c r="G51">
        <v>4798</v>
      </c>
      <c r="H51">
        <v>3099.19</v>
      </c>
      <c r="I51">
        <f ca="1" t="shared" si="0"/>
        <v>7544.14</v>
      </c>
    </row>
    <row r="52" spans="1:9">
      <c r="A52">
        <v>34831.09</v>
      </c>
      <c r="B52">
        <v>97.95</v>
      </c>
      <c r="C52">
        <v>6361</v>
      </c>
      <c r="D52">
        <v>322.23</v>
      </c>
      <c r="E52">
        <v>2867.55</v>
      </c>
      <c r="F52">
        <v>9294.76</v>
      </c>
      <c r="G52">
        <v>4979</v>
      </c>
      <c r="H52">
        <v>3101.53</v>
      </c>
      <c r="I52">
        <f ca="1" t="shared" si="0"/>
        <v>7807.07</v>
      </c>
    </row>
    <row r="53" spans="1:9">
      <c r="A53">
        <v>34906.54</v>
      </c>
      <c r="B53">
        <v>97.98</v>
      </c>
      <c r="C53">
        <v>6361</v>
      </c>
      <c r="D53">
        <v>322.23</v>
      </c>
      <c r="E53">
        <v>2971.59</v>
      </c>
      <c r="F53">
        <v>9122.79</v>
      </c>
      <c r="G53">
        <v>5158</v>
      </c>
      <c r="H53">
        <v>3102.4</v>
      </c>
      <c r="I53">
        <f ca="1" t="shared" si="0"/>
        <v>7770.55</v>
      </c>
    </row>
    <row r="54" spans="1:9">
      <c r="A54">
        <v>35079.39</v>
      </c>
      <c r="B54">
        <v>98.02</v>
      </c>
      <c r="C54">
        <v>6361</v>
      </c>
      <c r="D54">
        <v>311.75</v>
      </c>
      <c r="E54">
        <v>3068.41</v>
      </c>
      <c r="F54">
        <v>8941.63</v>
      </c>
      <c r="G54">
        <v>5318</v>
      </c>
      <c r="H54">
        <v>3105.45</v>
      </c>
      <c r="I54">
        <f ca="1" t="shared" si="0"/>
        <v>7875.13</v>
      </c>
    </row>
    <row r="55" spans="1:9">
      <c r="A55">
        <v>35123.32</v>
      </c>
      <c r="B55">
        <v>98.04</v>
      </c>
      <c r="C55">
        <v>6361</v>
      </c>
      <c r="D55">
        <v>311.75</v>
      </c>
      <c r="E55">
        <v>3174.5</v>
      </c>
      <c r="F55">
        <v>8713.36</v>
      </c>
      <c r="G55">
        <v>5353</v>
      </c>
      <c r="H55">
        <v>3124.54</v>
      </c>
      <c r="I55">
        <f ca="1" t="shared" si="0"/>
        <v>7987.13</v>
      </c>
    </row>
    <row r="56" spans="1:9">
      <c r="A56">
        <v>35132.87</v>
      </c>
      <c r="B56">
        <v>98.07</v>
      </c>
      <c r="C56">
        <v>6361</v>
      </c>
      <c r="D56">
        <v>311.75</v>
      </c>
      <c r="E56">
        <v>3253.8</v>
      </c>
      <c r="F56">
        <v>8440.51</v>
      </c>
      <c r="G56">
        <v>5390</v>
      </c>
      <c r="H56">
        <v>3123.29</v>
      </c>
      <c r="I56">
        <f ca="1" t="shared" si="0"/>
        <v>8154.45000000001</v>
      </c>
    </row>
    <row r="57" spans="1:9">
      <c r="A57">
        <v>35034.51</v>
      </c>
      <c r="B57">
        <v>98.11</v>
      </c>
      <c r="C57">
        <v>6361</v>
      </c>
      <c r="D57">
        <v>311.75</v>
      </c>
      <c r="E57">
        <v>3342.4</v>
      </c>
      <c r="F57">
        <v>8124.39</v>
      </c>
      <c r="G57">
        <v>5426</v>
      </c>
      <c r="H57">
        <v>3116.23</v>
      </c>
      <c r="I57">
        <f ca="1" t="shared" si="0"/>
        <v>8254.63</v>
      </c>
    </row>
    <row r="58" spans="1:9">
      <c r="A58">
        <v>35119.5</v>
      </c>
      <c r="B58">
        <v>96.68</v>
      </c>
      <c r="C58">
        <v>6361</v>
      </c>
      <c r="D58">
        <v>312.3</v>
      </c>
      <c r="E58">
        <v>3394.9</v>
      </c>
      <c r="F58">
        <v>7744.67</v>
      </c>
      <c r="G58">
        <v>5649</v>
      </c>
      <c r="H58">
        <v>3116.26</v>
      </c>
      <c r="I58">
        <f ca="1" t="shared" si="0"/>
        <v>8444.69</v>
      </c>
    </row>
    <row r="59" spans="1:9">
      <c r="A59">
        <v>35053.61</v>
      </c>
      <c r="B59">
        <v>96.63</v>
      </c>
      <c r="C59">
        <v>6361</v>
      </c>
      <c r="D59">
        <v>312.3</v>
      </c>
      <c r="E59">
        <v>3425.81</v>
      </c>
      <c r="F59">
        <v>7303.27</v>
      </c>
      <c r="G59">
        <v>5834</v>
      </c>
      <c r="H59">
        <v>3116.16</v>
      </c>
      <c r="I59">
        <f ca="1" t="shared" si="0"/>
        <v>8604.44</v>
      </c>
    </row>
    <row r="60" spans="1:9">
      <c r="A60">
        <v>35038.33</v>
      </c>
      <c r="B60">
        <v>96.71</v>
      </c>
      <c r="C60">
        <v>6361</v>
      </c>
      <c r="D60">
        <v>312.3</v>
      </c>
      <c r="E60">
        <v>3459.81</v>
      </c>
      <c r="F60">
        <v>6876.12</v>
      </c>
      <c r="G60">
        <v>6381</v>
      </c>
      <c r="H60">
        <v>3101.68</v>
      </c>
      <c r="I60">
        <f ca="1" t="shared" si="0"/>
        <v>8449.71</v>
      </c>
    </row>
    <row r="61" spans="1:9">
      <c r="A61">
        <v>35013.5</v>
      </c>
      <c r="B61">
        <v>96.66</v>
      </c>
      <c r="C61">
        <v>6361</v>
      </c>
      <c r="D61">
        <v>312.3</v>
      </c>
      <c r="E61">
        <v>3486.59</v>
      </c>
      <c r="F61">
        <v>6405.28</v>
      </c>
      <c r="G61">
        <v>6928</v>
      </c>
      <c r="H61">
        <v>3117.66</v>
      </c>
      <c r="I61">
        <f ca="1" t="shared" si="0"/>
        <v>8306.01</v>
      </c>
    </row>
    <row r="62" spans="1:9">
      <c r="A62">
        <v>35151.02</v>
      </c>
      <c r="B62">
        <v>99.69</v>
      </c>
      <c r="C62">
        <v>6361</v>
      </c>
      <c r="D62">
        <v>311.41</v>
      </c>
      <c r="E62">
        <v>3482.48</v>
      </c>
      <c r="F62">
        <v>5867.85</v>
      </c>
      <c r="G62">
        <v>7198</v>
      </c>
      <c r="H62">
        <v>3107.84</v>
      </c>
      <c r="I62">
        <f ca="1" t="shared" si="0"/>
        <v>8722.75</v>
      </c>
    </row>
    <row r="63" spans="1:9">
      <c r="A63">
        <v>35158.66</v>
      </c>
      <c r="B63">
        <v>95.78</v>
      </c>
      <c r="C63">
        <v>6361</v>
      </c>
      <c r="D63">
        <v>311.41</v>
      </c>
      <c r="E63">
        <v>3477.32</v>
      </c>
      <c r="F63">
        <v>5275.9</v>
      </c>
      <c r="G63">
        <v>7510</v>
      </c>
      <c r="H63">
        <v>3118.51</v>
      </c>
      <c r="I63">
        <f ca="1" t="shared" si="0"/>
        <v>9008.74000000001</v>
      </c>
    </row>
    <row r="64" spans="1:9">
      <c r="A64">
        <v>35199.72</v>
      </c>
      <c r="B64">
        <v>95.8</v>
      </c>
      <c r="C64">
        <v>6361</v>
      </c>
      <c r="D64">
        <v>311.41</v>
      </c>
      <c r="E64">
        <v>3464.96</v>
      </c>
      <c r="F64">
        <v>4665.86</v>
      </c>
      <c r="G64">
        <v>7797</v>
      </c>
      <c r="H64">
        <v>3114.59</v>
      </c>
      <c r="I64">
        <f ca="1" t="shared" si="0"/>
        <v>9389.1</v>
      </c>
    </row>
    <row r="65" spans="1:9">
      <c r="A65">
        <v>35190.17</v>
      </c>
      <c r="B65">
        <v>223.94</v>
      </c>
      <c r="C65">
        <v>6361</v>
      </c>
      <c r="D65">
        <v>311.41</v>
      </c>
      <c r="E65">
        <v>3447.43</v>
      </c>
      <c r="F65">
        <v>4056.76</v>
      </c>
      <c r="G65">
        <v>8338</v>
      </c>
      <c r="H65">
        <v>3123.92</v>
      </c>
      <c r="I65">
        <f ca="1" t="shared" si="0"/>
        <v>9327.71</v>
      </c>
    </row>
    <row r="66" spans="1:9">
      <c r="A66">
        <v>35181.58</v>
      </c>
      <c r="B66">
        <v>298.55</v>
      </c>
      <c r="C66">
        <v>6361</v>
      </c>
      <c r="D66">
        <v>312.53</v>
      </c>
      <c r="E66">
        <v>3429.92</v>
      </c>
      <c r="F66">
        <v>3465.19</v>
      </c>
      <c r="G66">
        <v>8499</v>
      </c>
      <c r="H66">
        <v>3109.67</v>
      </c>
      <c r="I66">
        <f ca="1" t="shared" ref="I66:I129" si="1">A66-B66-C66-D66-E66-F66-G66-H66</f>
        <v>9705.72</v>
      </c>
    </row>
    <row r="67" spans="1:9">
      <c r="A67">
        <v>35151.02</v>
      </c>
      <c r="B67">
        <v>298.48</v>
      </c>
      <c r="C67">
        <v>6361</v>
      </c>
      <c r="D67">
        <v>312.53</v>
      </c>
      <c r="E67">
        <v>3429.92</v>
      </c>
      <c r="F67">
        <v>2847.12</v>
      </c>
      <c r="G67">
        <v>8597</v>
      </c>
      <c r="H67">
        <v>3109.08</v>
      </c>
      <c r="I67">
        <f ca="1" t="shared" si="1"/>
        <v>10195.89</v>
      </c>
    </row>
    <row r="68" spans="1:9">
      <c r="A68">
        <v>34942.83</v>
      </c>
      <c r="B68">
        <v>300.5</v>
      </c>
      <c r="C68">
        <v>6361</v>
      </c>
      <c r="D68">
        <v>312.53</v>
      </c>
      <c r="E68">
        <v>3436.12</v>
      </c>
      <c r="F68">
        <v>2264.11</v>
      </c>
      <c r="G68">
        <v>8617</v>
      </c>
      <c r="H68">
        <v>3101.71</v>
      </c>
      <c r="I68">
        <f ca="1" t="shared" si="1"/>
        <v>10549.86</v>
      </c>
    </row>
    <row r="69" spans="1:9">
      <c r="A69">
        <v>34433.81</v>
      </c>
      <c r="B69">
        <v>300.39</v>
      </c>
      <c r="C69">
        <v>6361</v>
      </c>
      <c r="D69">
        <v>312.53</v>
      </c>
      <c r="E69">
        <v>3476.27</v>
      </c>
      <c r="F69">
        <v>1728.45</v>
      </c>
      <c r="G69">
        <v>8793</v>
      </c>
      <c r="H69">
        <v>3107.2</v>
      </c>
      <c r="I69">
        <f ca="1" t="shared" si="1"/>
        <v>10354.97</v>
      </c>
    </row>
    <row r="70" spans="1:9">
      <c r="A70">
        <v>34332.58</v>
      </c>
      <c r="B70">
        <v>302.65</v>
      </c>
      <c r="C70">
        <v>6361</v>
      </c>
      <c r="D70">
        <v>302.05</v>
      </c>
      <c r="E70">
        <v>3495.84</v>
      </c>
      <c r="F70">
        <v>1278.77</v>
      </c>
      <c r="G70">
        <v>8917</v>
      </c>
      <c r="H70">
        <v>3121.99</v>
      </c>
      <c r="I70">
        <f ca="1" t="shared" si="1"/>
        <v>10553.28</v>
      </c>
    </row>
    <row r="71" spans="1:9">
      <c r="A71">
        <v>34172.14</v>
      </c>
      <c r="B71">
        <v>302.74</v>
      </c>
      <c r="C71">
        <v>6361</v>
      </c>
      <c r="D71">
        <v>302.05</v>
      </c>
      <c r="E71">
        <v>3535</v>
      </c>
      <c r="F71">
        <v>868.7</v>
      </c>
      <c r="G71">
        <v>9050</v>
      </c>
      <c r="H71">
        <v>3114.62</v>
      </c>
      <c r="I71">
        <f ca="1" t="shared" si="1"/>
        <v>10638.03</v>
      </c>
    </row>
    <row r="72" spans="1:9">
      <c r="A72">
        <v>34066.14</v>
      </c>
      <c r="B72">
        <v>303.82</v>
      </c>
      <c r="C72">
        <v>6361</v>
      </c>
      <c r="D72">
        <v>302.05</v>
      </c>
      <c r="E72">
        <v>3566.91</v>
      </c>
      <c r="F72">
        <v>524.67</v>
      </c>
      <c r="G72">
        <v>9186</v>
      </c>
      <c r="H72">
        <v>3114.39</v>
      </c>
      <c r="I72">
        <f ca="1" t="shared" si="1"/>
        <v>10707.3</v>
      </c>
    </row>
    <row r="73" spans="1:9">
      <c r="A73">
        <v>33953.45</v>
      </c>
      <c r="B73">
        <v>301.26</v>
      </c>
      <c r="C73">
        <v>6361</v>
      </c>
      <c r="D73">
        <v>302.05</v>
      </c>
      <c r="E73">
        <v>3615.32</v>
      </c>
      <c r="F73">
        <v>275.33</v>
      </c>
      <c r="G73">
        <v>9008</v>
      </c>
      <c r="H73">
        <v>3127.8</v>
      </c>
      <c r="I73">
        <f ca="1" t="shared" si="1"/>
        <v>10962.69</v>
      </c>
    </row>
    <row r="74" spans="1:9">
      <c r="A74">
        <v>33826.43</v>
      </c>
      <c r="B74">
        <v>302.91</v>
      </c>
      <c r="C74">
        <v>6361</v>
      </c>
      <c r="D74">
        <v>298.89</v>
      </c>
      <c r="E74">
        <v>3664.77</v>
      </c>
      <c r="F74">
        <v>113.93</v>
      </c>
      <c r="G74">
        <v>8979</v>
      </c>
      <c r="H74">
        <v>3130.01</v>
      </c>
      <c r="I74">
        <f ca="1" t="shared" si="1"/>
        <v>10975.92</v>
      </c>
    </row>
    <row r="75" spans="1:9">
      <c r="A75">
        <v>33878.96</v>
      </c>
      <c r="B75">
        <v>302.32</v>
      </c>
      <c r="C75">
        <v>6361</v>
      </c>
      <c r="D75">
        <v>298.89</v>
      </c>
      <c r="E75">
        <v>3726.58</v>
      </c>
      <c r="F75">
        <v>38.8</v>
      </c>
      <c r="G75">
        <v>8714</v>
      </c>
      <c r="H75">
        <v>3119.29</v>
      </c>
      <c r="I75">
        <f ca="1" t="shared" si="1"/>
        <v>11318.08</v>
      </c>
    </row>
    <row r="76" spans="1:9">
      <c r="A76">
        <v>34083.33</v>
      </c>
      <c r="B76">
        <v>300.54</v>
      </c>
      <c r="C76">
        <v>6361</v>
      </c>
      <c r="D76">
        <v>298.89</v>
      </c>
      <c r="E76">
        <v>3781.16</v>
      </c>
      <c r="F76">
        <v>2.58</v>
      </c>
      <c r="G76">
        <v>8451</v>
      </c>
      <c r="H76">
        <v>3110.68</v>
      </c>
      <c r="I76">
        <f ca="1" t="shared" si="1"/>
        <v>11777.48</v>
      </c>
    </row>
    <row r="77" spans="1:9">
      <c r="A77">
        <v>34176.92</v>
      </c>
      <c r="B77">
        <v>300.92</v>
      </c>
      <c r="C77">
        <v>6361</v>
      </c>
      <c r="D77">
        <v>298.89</v>
      </c>
      <c r="E77">
        <v>3855.32</v>
      </c>
      <c r="F77">
        <v>0</v>
      </c>
      <c r="G77">
        <v>8186</v>
      </c>
      <c r="H77">
        <v>3124.98</v>
      </c>
      <c r="I77">
        <f ca="1" t="shared" si="1"/>
        <v>12049.81</v>
      </c>
    </row>
    <row r="78" spans="1:9">
      <c r="A78">
        <v>34458.64</v>
      </c>
      <c r="B78">
        <v>236.83</v>
      </c>
      <c r="C78">
        <v>6361</v>
      </c>
      <c r="D78">
        <v>315.06</v>
      </c>
      <c r="E78">
        <v>3905.79</v>
      </c>
      <c r="F78">
        <v>0</v>
      </c>
      <c r="G78">
        <v>7872</v>
      </c>
      <c r="H78">
        <v>3125.18</v>
      </c>
      <c r="I78">
        <f ca="1" t="shared" si="1"/>
        <v>12642.78</v>
      </c>
    </row>
    <row r="79" spans="1:9">
      <c r="A79">
        <v>34396.57</v>
      </c>
      <c r="B79">
        <v>302.82</v>
      </c>
      <c r="C79">
        <v>6361</v>
      </c>
      <c r="D79">
        <v>315.06</v>
      </c>
      <c r="E79">
        <v>4003.63</v>
      </c>
      <c r="F79">
        <v>0</v>
      </c>
      <c r="G79">
        <v>7844</v>
      </c>
      <c r="H79">
        <v>3122.45</v>
      </c>
      <c r="I79">
        <f ca="1" t="shared" si="1"/>
        <v>12447.61</v>
      </c>
    </row>
    <row r="80" spans="1:9">
      <c r="A80">
        <v>34308.71</v>
      </c>
      <c r="B80">
        <v>302.73</v>
      </c>
      <c r="C80">
        <v>6361</v>
      </c>
      <c r="D80">
        <v>315.06</v>
      </c>
      <c r="E80">
        <v>4091.2</v>
      </c>
      <c r="F80">
        <v>0</v>
      </c>
      <c r="G80">
        <v>7585</v>
      </c>
      <c r="H80">
        <v>3127.51</v>
      </c>
      <c r="I80">
        <f ca="1" t="shared" si="1"/>
        <v>12526.21</v>
      </c>
    </row>
    <row r="81" spans="1:9">
      <c r="A81">
        <v>34040.35</v>
      </c>
      <c r="B81">
        <v>302.63</v>
      </c>
      <c r="C81">
        <v>6361</v>
      </c>
      <c r="D81">
        <v>315.06</v>
      </c>
      <c r="E81">
        <v>4196.25</v>
      </c>
      <c r="F81">
        <v>0</v>
      </c>
      <c r="G81">
        <v>7325</v>
      </c>
      <c r="H81">
        <v>3133.06</v>
      </c>
      <c r="I81">
        <f ca="1" t="shared" si="1"/>
        <v>12407.35</v>
      </c>
    </row>
    <row r="82" spans="1:9">
      <c r="A82">
        <v>33753.85</v>
      </c>
      <c r="B82">
        <v>342.69</v>
      </c>
      <c r="C82">
        <v>6361</v>
      </c>
      <c r="D82">
        <v>324.09</v>
      </c>
      <c r="E82">
        <v>4329.12</v>
      </c>
      <c r="F82">
        <v>0</v>
      </c>
      <c r="G82">
        <v>7005</v>
      </c>
      <c r="H82">
        <v>3118.38</v>
      </c>
      <c r="I82">
        <f ca="1" t="shared" si="1"/>
        <v>12273.57</v>
      </c>
    </row>
    <row r="83" spans="1:9">
      <c r="A83">
        <v>33533.25</v>
      </c>
      <c r="B83">
        <v>342.67</v>
      </c>
      <c r="C83">
        <v>6361</v>
      </c>
      <c r="D83">
        <v>324.09</v>
      </c>
      <c r="E83">
        <v>4396.07</v>
      </c>
      <c r="F83">
        <v>0</v>
      </c>
      <c r="G83">
        <v>6438</v>
      </c>
      <c r="H83">
        <v>3116.77</v>
      </c>
      <c r="I83">
        <f ca="1" t="shared" si="1"/>
        <v>12554.65</v>
      </c>
    </row>
    <row r="84" spans="1:9">
      <c r="A84">
        <v>33167.48</v>
      </c>
      <c r="B84">
        <v>341.73</v>
      </c>
      <c r="C84">
        <v>6361</v>
      </c>
      <c r="D84">
        <v>324.09</v>
      </c>
      <c r="E84">
        <v>4459.94</v>
      </c>
      <c r="F84">
        <v>0</v>
      </c>
      <c r="G84">
        <v>5872</v>
      </c>
      <c r="H84">
        <v>3112.5</v>
      </c>
      <c r="I84">
        <f ca="1" t="shared" si="1"/>
        <v>12696.22</v>
      </c>
    </row>
    <row r="85" spans="1:9">
      <c r="A85">
        <v>32735.82</v>
      </c>
      <c r="B85">
        <v>341.76</v>
      </c>
      <c r="C85">
        <v>6361</v>
      </c>
      <c r="D85">
        <v>324.09</v>
      </c>
      <c r="E85">
        <v>4517.6</v>
      </c>
      <c r="F85">
        <v>0</v>
      </c>
      <c r="G85">
        <v>5306</v>
      </c>
      <c r="H85">
        <v>3128.11</v>
      </c>
      <c r="I85">
        <f ca="1" t="shared" si="1"/>
        <v>12757.26</v>
      </c>
    </row>
    <row r="86" spans="1:9">
      <c r="A86">
        <v>32350</v>
      </c>
      <c r="B86">
        <v>341.64</v>
      </c>
      <c r="C86">
        <v>6361</v>
      </c>
      <c r="D86">
        <v>323.52</v>
      </c>
      <c r="E86">
        <v>4583.54</v>
      </c>
      <c r="F86">
        <v>0</v>
      </c>
      <c r="G86">
        <v>4576</v>
      </c>
      <c r="H86">
        <v>3113.47</v>
      </c>
      <c r="I86">
        <f ca="1" t="shared" si="1"/>
        <v>13050.83</v>
      </c>
    </row>
    <row r="87" spans="1:9">
      <c r="A87">
        <v>31821.89</v>
      </c>
      <c r="B87">
        <v>341.59</v>
      </c>
      <c r="C87">
        <v>6361</v>
      </c>
      <c r="D87">
        <v>323.52</v>
      </c>
      <c r="E87">
        <v>4625.75</v>
      </c>
      <c r="F87">
        <v>0</v>
      </c>
      <c r="G87">
        <v>4628</v>
      </c>
      <c r="H87">
        <v>3101.48</v>
      </c>
      <c r="I87">
        <f ca="1" t="shared" si="1"/>
        <v>12440.55</v>
      </c>
    </row>
    <row r="88" spans="1:9">
      <c r="A88">
        <v>31283.27</v>
      </c>
      <c r="B88">
        <v>340.65</v>
      </c>
      <c r="C88">
        <v>6361</v>
      </c>
      <c r="D88">
        <v>323.52</v>
      </c>
      <c r="E88">
        <v>4657.7</v>
      </c>
      <c r="F88">
        <v>0</v>
      </c>
      <c r="G88">
        <v>4681</v>
      </c>
      <c r="H88">
        <v>3104.26</v>
      </c>
      <c r="I88">
        <f ca="1" t="shared" si="1"/>
        <v>11815.14</v>
      </c>
    </row>
    <row r="89" spans="1:9">
      <c r="A89">
        <v>30720.77</v>
      </c>
      <c r="B89">
        <v>341.07</v>
      </c>
      <c r="C89">
        <v>6361</v>
      </c>
      <c r="D89">
        <v>323.52</v>
      </c>
      <c r="E89">
        <v>4719.48</v>
      </c>
      <c r="F89">
        <v>0</v>
      </c>
      <c r="G89">
        <v>4732</v>
      </c>
      <c r="H89">
        <v>3119.02</v>
      </c>
      <c r="I89">
        <f ca="1" t="shared" si="1"/>
        <v>11124.68</v>
      </c>
    </row>
    <row r="90" spans="1:9">
      <c r="A90">
        <v>30701.67</v>
      </c>
      <c r="B90">
        <v>343.49</v>
      </c>
      <c r="C90">
        <v>6361</v>
      </c>
      <c r="D90">
        <v>311.87</v>
      </c>
      <c r="E90">
        <v>4785.41</v>
      </c>
      <c r="F90">
        <v>0</v>
      </c>
      <c r="G90">
        <v>4825</v>
      </c>
      <c r="H90">
        <v>3126.46</v>
      </c>
      <c r="I90">
        <f ca="1" t="shared" si="1"/>
        <v>10948.44</v>
      </c>
    </row>
    <row r="91" spans="1:9">
      <c r="A91">
        <v>30187.88</v>
      </c>
      <c r="B91">
        <v>343.6</v>
      </c>
      <c r="C91">
        <v>6361</v>
      </c>
      <c r="D91">
        <v>311.87</v>
      </c>
      <c r="E91">
        <v>4870.9</v>
      </c>
      <c r="F91">
        <v>0</v>
      </c>
      <c r="G91">
        <v>4231</v>
      </c>
      <c r="H91">
        <v>3141.1</v>
      </c>
      <c r="I91">
        <f ca="1" t="shared" si="1"/>
        <v>10928.41</v>
      </c>
    </row>
    <row r="92" spans="1:9">
      <c r="A92">
        <v>29692.24</v>
      </c>
      <c r="B92">
        <v>343.46</v>
      </c>
      <c r="C92">
        <v>6361</v>
      </c>
      <c r="D92">
        <v>311.87</v>
      </c>
      <c r="E92">
        <v>4932.69</v>
      </c>
      <c r="F92">
        <v>0</v>
      </c>
      <c r="G92">
        <v>3638</v>
      </c>
      <c r="H92">
        <v>3149.52</v>
      </c>
      <c r="I92">
        <f ca="1" t="shared" si="1"/>
        <v>10955.7</v>
      </c>
    </row>
    <row r="93" spans="1:9">
      <c r="A93">
        <v>29204.23</v>
      </c>
      <c r="B93">
        <v>343.68</v>
      </c>
      <c r="C93">
        <v>6361</v>
      </c>
      <c r="D93">
        <v>311.87</v>
      </c>
      <c r="E93">
        <v>4998.61</v>
      </c>
      <c r="F93">
        <v>0</v>
      </c>
      <c r="G93">
        <v>3044</v>
      </c>
      <c r="H93">
        <v>3155.29</v>
      </c>
      <c r="I93">
        <f ca="1" t="shared" si="1"/>
        <v>10989.78</v>
      </c>
    </row>
    <row r="94" spans="1:9">
      <c r="A94">
        <v>28947.34</v>
      </c>
      <c r="B94">
        <v>343.78</v>
      </c>
      <c r="C94">
        <v>6361</v>
      </c>
      <c r="D94">
        <v>311.35</v>
      </c>
      <c r="E94">
        <v>5063.52</v>
      </c>
      <c r="F94">
        <v>0</v>
      </c>
      <c r="G94">
        <v>2775</v>
      </c>
      <c r="H94">
        <v>3146.9</v>
      </c>
      <c r="I94">
        <f ca="1" t="shared" si="1"/>
        <v>10945.79</v>
      </c>
    </row>
    <row r="95" spans="1:9">
      <c r="A95">
        <v>28529.05</v>
      </c>
      <c r="B95">
        <v>344.15</v>
      </c>
      <c r="C95">
        <v>6361</v>
      </c>
      <c r="D95">
        <v>311.35</v>
      </c>
      <c r="E95">
        <v>5134.59</v>
      </c>
      <c r="F95">
        <v>0</v>
      </c>
      <c r="G95">
        <v>2744</v>
      </c>
      <c r="H95">
        <v>3142.69</v>
      </c>
      <c r="I95">
        <f ca="1" t="shared" si="1"/>
        <v>10491.27</v>
      </c>
    </row>
    <row r="96" spans="1:9">
      <c r="A96">
        <v>28114.58</v>
      </c>
      <c r="B96">
        <v>343.91</v>
      </c>
      <c r="C96">
        <v>6361</v>
      </c>
      <c r="D96">
        <v>311.35</v>
      </c>
      <c r="E96">
        <v>5205.66</v>
      </c>
      <c r="F96">
        <v>0</v>
      </c>
      <c r="G96">
        <v>2713</v>
      </c>
      <c r="H96">
        <v>3132.22</v>
      </c>
      <c r="I96">
        <f ca="1" t="shared" si="1"/>
        <v>10047.44</v>
      </c>
    </row>
    <row r="97" spans="1:9">
      <c r="A97">
        <v>27715.39</v>
      </c>
      <c r="B97">
        <v>343.91</v>
      </c>
      <c r="C97">
        <v>6361</v>
      </c>
      <c r="D97">
        <v>311.35</v>
      </c>
      <c r="E97">
        <v>5282.9</v>
      </c>
      <c r="F97">
        <v>0</v>
      </c>
      <c r="G97">
        <v>2682</v>
      </c>
      <c r="H97">
        <v>3148.27</v>
      </c>
      <c r="I97">
        <f ca="1" t="shared" si="1"/>
        <v>9585.96</v>
      </c>
    </row>
  </sheetData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13264</v>
      </c>
      <c r="C2">
        <v>13179</v>
      </c>
      <c r="D2">
        <v>13095</v>
      </c>
      <c r="E2">
        <v>13007</v>
      </c>
      <c r="F2">
        <v>12909</v>
      </c>
      <c r="G2">
        <v>12802</v>
      </c>
      <c r="H2">
        <v>12699</v>
      </c>
      <c r="I2">
        <v>12591</v>
      </c>
      <c r="J2">
        <v>12499</v>
      </c>
      <c r="K2">
        <v>12394</v>
      </c>
      <c r="L2">
        <v>12283</v>
      </c>
      <c r="M2">
        <v>12173</v>
      </c>
      <c r="N2">
        <v>12054</v>
      </c>
      <c r="O2">
        <v>11939</v>
      </c>
      <c r="P2">
        <v>11818</v>
      </c>
      <c r="Q2">
        <v>11698</v>
      </c>
      <c r="R2">
        <v>11572</v>
      </c>
      <c r="S2">
        <v>11442</v>
      </c>
      <c r="T2">
        <v>11308</v>
      </c>
      <c r="U2">
        <v>11175</v>
      </c>
      <c r="V2">
        <v>11055</v>
      </c>
      <c r="W2">
        <v>10940</v>
      </c>
      <c r="X2">
        <v>10829</v>
      </c>
      <c r="Y2">
        <v>10718</v>
      </c>
      <c r="Z2">
        <v>10597</v>
      </c>
      <c r="AA2">
        <v>10456</v>
      </c>
      <c r="AB2">
        <v>10322</v>
      </c>
      <c r="AC2">
        <v>10193</v>
      </c>
      <c r="AD2">
        <v>10100</v>
      </c>
      <c r="AE2">
        <v>10087</v>
      </c>
      <c r="AF2">
        <v>10076</v>
      </c>
      <c r="AG2">
        <v>10051</v>
      </c>
      <c r="AH2">
        <v>9997</v>
      </c>
      <c r="AI2">
        <v>9891</v>
      </c>
      <c r="AJ2">
        <v>9778</v>
      </c>
      <c r="AK2">
        <v>9662</v>
      </c>
      <c r="AL2">
        <v>9548</v>
      </c>
      <c r="AM2">
        <v>9411</v>
      </c>
      <c r="AN2">
        <v>9268</v>
      </c>
      <c r="AO2">
        <v>9120</v>
      </c>
      <c r="AP2">
        <v>8981</v>
      </c>
      <c r="AQ2">
        <v>8852</v>
      </c>
      <c r="AR2">
        <v>8724</v>
      </c>
      <c r="AS2">
        <v>8595</v>
      </c>
      <c r="AT2">
        <v>8470</v>
      </c>
      <c r="AU2">
        <v>8364</v>
      </c>
      <c r="AV2">
        <v>8253</v>
      </c>
      <c r="AW2">
        <v>8145</v>
      </c>
      <c r="AX2">
        <v>8039</v>
      </c>
      <c r="AY2">
        <v>7940</v>
      </c>
      <c r="AZ2">
        <v>7843</v>
      </c>
      <c r="BA2">
        <v>7745</v>
      </c>
      <c r="BB2">
        <v>7657</v>
      </c>
      <c r="BC2">
        <v>7573</v>
      </c>
      <c r="BD2">
        <v>7488</v>
      </c>
      <c r="BE2">
        <v>7404</v>
      </c>
      <c r="BF2">
        <v>7305</v>
      </c>
      <c r="BG2">
        <v>7204</v>
      </c>
      <c r="BH2">
        <v>7100</v>
      </c>
      <c r="BI2">
        <v>6994</v>
      </c>
      <c r="BJ2">
        <v>6879</v>
      </c>
      <c r="BK2">
        <v>6760</v>
      </c>
      <c r="BL2">
        <v>6640</v>
      </c>
      <c r="BM2">
        <v>6531</v>
      </c>
      <c r="BN2">
        <v>6387</v>
      </c>
      <c r="BO2">
        <v>6219</v>
      </c>
      <c r="BP2">
        <v>6047</v>
      </c>
      <c r="BQ2">
        <v>5875</v>
      </c>
      <c r="BR2">
        <v>5714</v>
      </c>
      <c r="BS2">
        <v>5563</v>
      </c>
      <c r="BT2">
        <v>5408</v>
      </c>
      <c r="BU2">
        <v>5247</v>
      </c>
      <c r="BV2">
        <v>5088</v>
      </c>
      <c r="BW2">
        <v>4929</v>
      </c>
      <c r="BX2">
        <v>4776</v>
      </c>
      <c r="BY2">
        <v>4628</v>
      </c>
      <c r="BZ2">
        <v>4511</v>
      </c>
      <c r="CA2">
        <v>4424</v>
      </c>
      <c r="CB2">
        <v>4345</v>
      </c>
      <c r="CC2">
        <v>4269</v>
      </c>
      <c r="CD2">
        <v>4213</v>
      </c>
      <c r="CE2">
        <v>4186</v>
      </c>
      <c r="CF2">
        <v>4163</v>
      </c>
      <c r="CG2">
        <v>4139</v>
      </c>
      <c r="CH2">
        <v>4123</v>
      </c>
      <c r="CI2">
        <v>4084</v>
      </c>
      <c r="CJ2">
        <v>4048</v>
      </c>
      <c r="CK2">
        <v>4011</v>
      </c>
      <c r="CL2">
        <v>3973</v>
      </c>
      <c r="CM2">
        <v>3953</v>
      </c>
      <c r="CN2">
        <v>3937</v>
      </c>
      <c r="CO2">
        <v>3920</v>
      </c>
      <c r="CP2">
        <v>3892</v>
      </c>
      <c r="CQ2">
        <v>3866</v>
      </c>
      <c r="CR2">
        <v>3838</v>
      </c>
      <c r="CS2">
        <v>3802</v>
      </c>
    </row>
    <row r="3" spans="1:97">
      <c r="A3" s="9">
        <v>46236</v>
      </c>
      <c r="B3">
        <v>3494</v>
      </c>
      <c r="C3">
        <v>3439</v>
      </c>
      <c r="D3">
        <v>3384</v>
      </c>
      <c r="E3">
        <v>3328</v>
      </c>
      <c r="F3">
        <v>3271</v>
      </c>
      <c r="G3">
        <v>3221</v>
      </c>
      <c r="H3">
        <v>3174</v>
      </c>
      <c r="I3">
        <v>3125</v>
      </c>
      <c r="J3">
        <v>3069</v>
      </c>
      <c r="K3">
        <v>3001</v>
      </c>
      <c r="L3">
        <v>2928</v>
      </c>
      <c r="M3">
        <v>2856</v>
      </c>
      <c r="N3">
        <v>2786</v>
      </c>
      <c r="O3">
        <v>2721</v>
      </c>
      <c r="P3">
        <v>2657</v>
      </c>
      <c r="Q3">
        <v>2588</v>
      </c>
      <c r="R3">
        <v>2510</v>
      </c>
      <c r="S3">
        <v>2420</v>
      </c>
      <c r="T3">
        <v>2331</v>
      </c>
      <c r="U3">
        <v>2241</v>
      </c>
      <c r="V3">
        <v>2144</v>
      </c>
      <c r="W3">
        <v>2046</v>
      </c>
      <c r="X3">
        <v>1952</v>
      </c>
      <c r="Y3">
        <v>1860</v>
      </c>
      <c r="Z3">
        <v>1774</v>
      </c>
      <c r="AA3">
        <v>1690</v>
      </c>
      <c r="AB3">
        <v>1606</v>
      </c>
      <c r="AC3">
        <v>1525</v>
      </c>
      <c r="AD3">
        <v>1445</v>
      </c>
      <c r="AE3">
        <v>1380</v>
      </c>
      <c r="AF3">
        <v>1320</v>
      </c>
      <c r="AG3">
        <v>1262</v>
      </c>
      <c r="AH3">
        <v>1225</v>
      </c>
      <c r="AI3">
        <v>1196</v>
      </c>
      <c r="AJ3">
        <v>1168</v>
      </c>
      <c r="AK3">
        <v>1143</v>
      </c>
      <c r="AL3">
        <v>1131</v>
      </c>
      <c r="AM3">
        <v>1132</v>
      </c>
      <c r="AN3">
        <v>1135</v>
      </c>
      <c r="AO3">
        <v>1138</v>
      </c>
      <c r="AP3">
        <v>1155</v>
      </c>
      <c r="AQ3">
        <v>1185</v>
      </c>
      <c r="AR3">
        <v>1217</v>
      </c>
      <c r="AS3">
        <v>1253</v>
      </c>
      <c r="AT3">
        <v>1296</v>
      </c>
      <c r="AU3">
        <v>1347</v>
      </c>
      <c r="AV3">
        <v>1399</v>
      </c>
      <c r="AW3">
        <v>1452</v>
      </c>
      <c r="AX3">
        <v>1514</v>
      </c>
      <c r="AY3">
        <v>1583</v>
      </c>
      <c r="AZ3">
        <v>1656</v>
      </c>
      <c r="BA3">
        <v>1728</v>
      </c>
      <c r="BB3">
        <v>1808</v>
      </c>
      <c r="BC3">
        <v>1893</v>
      </c>
      <c r="BD3">
        <v>1977</v>
      </c>
      <c r="BE3">
        <v>2062</v>
      </c>
      <c r="BF3">
        <v>2133</v>
      </c>
      <c r="BG3">
        <v>2192</v>
      </c>
      <c r="BH3">
        <v>2252</v>
      </c>
      <c r="BI3">
        <v>2313</v>
      </c>
      <c r="BJ3">
        <v>2368</v>
      </c>
      <c r="BK3">
        <v>2424</v>
      </c>
      <c r="BL3">
        <v>2480</v>
      </c>
      <c r="BM3">
        <v>2535</v>
      </c>
      <c r="BN3">
        <v>2583</v>
      </c>
      <c r="BO3">
        <v>2628</v>
      </c>
      <c r="BP3">
        <v>2672</v>
      </c>
      <c r="BQ3">
        <v>2716</v>
      </c>
      <c r="BR3">
        <v>2749</v>
      </c>
      <c r="BS3">
        <v>2776</v>
      </c>
      <c r="BT3">
        <v>2804</v>
      </c>
      <c r="BU3">
        <v>2837</v>
      </c>
      <c r="BV3">
        <v>2890</v>
      </c>
      <c r="BW3">
        <v>2956</v>
      </c>
      <c r="BX3">
        <v>3026</v>
      </c>
      <c r="BY3">
        <v>3101</v>
      </c>
      <c r="BZ3">
        <v>3186</v>
      </c>
      <c r="CA3">
        <v>3279</v>
      </c>
      <c r="CB3">
        <v>3382</v>
      </c>
      <c r="CC3">
        <v>3486</v>
      </c>
      <c r="CD3">
        <v>3590</v>
      </c>
      <c r="CE3">
        <v>3692</v>
      </c>
      <c r="CF3">
        <v>3799</v>
      </c>
      <c r="CG3">
        <v>3908</v>
      </c>
      <c r="CH3">
        <v>4032</v>
      </c>
      <c r="CI3">
        <v>4168</v>
      </c>
      <c r="CJ3">
        <v>4310</v>
      </c>
      <c r="CK3">
        <v>4457</v>
      </c>
      <c r="CL3">
        <v>4595</v>
      </c>
      <c r="CM3">
        <v>4722</v>
      </c>
      <c r="CN3">
        <v>4845</v>
      </c>
      <c r="CO3">
        <v>4968</v>
      </c>
      <c r="CP3">
        <v>5070</v>
      </c>
      <c r="CQ3">
        <v>5162</v>
      </c>
      <c r="CR3">
        <v>5254</v>
      </c>
      <c r="CS3">
        <v>5341</v>
      </c>
    </row>
    <row r="4" spans="1:97">
      <c r="A4" s="9">
        <v>46237</v>
      </c>
      <c r="B4">
        <v>4865</v>
      </c>
      <c r="C4">
        <v>4954</v>
      </c>
      <c r="D4">
        <v>5046</v>
      </c>
      <c r="E4">
        <v>5139</v>
      </c>
      <c r="F4">
        <v>5226</v>
      </c>
      <c r="G4">
        <v>5309</v>
      </c>
      <c r="H4">
        <v>5391</v>
      </c>
      <c r="I4">
        <v>5473</v>
      </c>
      <c r="J4">
        <v>5537</v>
      </c>
      <c r="K4">
        <v>5588</v>
      </c>
      <c r="L4">
        <v>5639</v>
      </c>
      <c r="M4">
        <v>5688</v>
      </c>
      <c r="N4">
        <v>5736</v>
      </c>
      <c r="O4">
        <v>5773</v>
      </c>
      <c r="P4">
        <v>5810</v>
      </c>
      <c r="Q4">
        <v>5844</v>
      </c>
      <c r="R4">
        <v>5857</v>
      </c>
      <c r="S4">
        <v>5839</v>
      </c>
      <c r="T4">
        <v>5809</v>
      </c>
      <c r="U4">
        <v>5777</v>
      </c>
      <c r="V4">
        <v>5730</v>
      </c>
      <c r="W4">
        <v>5672</v>
      </c>
      <c r="X4">
        <v>5611</v>
      </c>
      <c r="Y4">
        <v>5546</v>
      </c>
      <c r="Z4">
        <v>5474</v>
      </c>
      <c r="AA4">
        <v>5389</v>
      </c>
      <c r="AB4">
        <v>5307</v>
      </c>
      <c r="AC4">
        <v>5230</v>
      </c>
      <c r="AD4">
        <v>5204</v>
      </c>
      <c r="AE4">
        <v>5247</v>
      </c>
      <c r="AF4">
        <v>5305</v>
      </c>
      <c r="AG4">
        <v>5370</v>
      </c>
      <c r="AH4">
        <v>5492</v>
      </c>
      <c r="AI4">
        <v>5653</v>
      </c>
      <c r="AJ4">
        <v>5827</v>
      </c>
      <c r="AK4">
        <v>5984</v>
      </c>
      <c r="AL4">
        <v>6188</v>
      </c>
      <c r="AM4">
        <v>6401</v>
      </c>
      <c r="AN4">
        <v>6620</v>
      </c>
      <c r="AO4">
        <v>6840</v>
      </c>
      <c r="AP4">
        <v>7059</v>
      </c>
      <c r="AQ4">
        <v>7283</v>
      </c>
      <c r="AR4">
        <v>7511</v>
      </c>
      <c r="AS4">
        <v>7741</v>
      </c>
      <c r="AT4">
        <v>7972</v>
      </c>
      <c r="AU4">
        <v>8202</v>
      </c>
      <c r="AV4">
        <v>8433</v>
      </c>
      <c r="AW4">
        <v>8660</v>
      </c>
      <c r="AX4">
        <v>8877</v>
      </c>
      <c r="AY4">
        <v>9072</v>
      </c>
      <c r="AZ4">
        <v>9265</v>
      </c>
      <c r="BA4">
        <v>9454</v>
      </c>
      <c r="BB4">
        <v>9615</v>
      </c>
      <c r="BC4">
        <v>9755</v>
      </c>
      <c r="BD4">
        <v>9888</v>
      </c>
      <c r="BE4">
        <v>10015</v>
      </c>
      <c r="BF4">
        <v>10098</v>
      </c>
      <c r="BG4">
        <v>10126</v>
      </c>
      <c r="BH4">
        <v>10152</v>
      </c>
      <c r="BI4">
        <v>10172</v>
      </c>
      <c r="BJ4">
        <v>10158</v>
      </c>
      <c r="BK4">
        <v>10091</v>
      </c>
      <c r="BL4">
        <v>10026</v>
      </c>
      <c r="BM4">
        <v>9962</v>
      </c>
      <c r="BN4">
        <v>9901</v>
      </c>
      <c r="BO4">
        <v>9825</v>
      </c>
      <c r="BP4">
        <v>9756</v>
      </c>
      <c r="BQ4">
        <v>9688</v>
      </c>
      <c r="BR4">
        <v>9629</v>
      </c>
      <c r="BS4">
        <v>9591</v>
      </c>
      <c r="BT4">
        <v>9557</v>
      </c>
      <c r="BU4">
        <v>9520</v>
      </c>
      <c r="BV4">
        <v>9500</v>
      </c>
      <c r="BW4">
        <v>9485</v>
      </c>
      <c r="BX4">
        <v>9471</v>
      </c>
      <c r="BY4">
        <v>9460</v>
      </c>
      <c r="BZ4">
        <v>9458</v>
      </c>
      <c r="CA4">
        <v>9462</v>
      </c>
      <c r="CB4">
        <v>9468</v>
      </c>
      <c r="CC4">
        <v>9475</v>
      </c>
      <c r="CD4">
        <v>9471</v>
      </c>
      <c r="CE4">
        <v>9460</v>
      </c>
      <c r="CF4">
        <v>9446</v>
      </c>
      <c r="CG4">
        <v>9425</v>
      </c>
      <c r="CH4">
        <v>9407</v>
      </c>
      <c r="CI4">
        <v>9390</v>
      </c>
      <c r="CJ4">
        <v>9373</v>
      </c>
      <c r="CK4">
        <v>9355</v>
      </c>
      <c r="CL4">
        <v>9325</v>
      </c>
      <c r="CM4">
        <v>9290</v>
      </c>
      <c r="CN4">
        <v>9253</v>
      </c>
      <c r="CO4">
        <v>9214</v>
      </c>
      <c r="CP4">
        <v>9158</v>
      </c>
      <c r="CQ4">
        <v>9085</v>
      </c>
      <c r="CR4">
        <v>9009</v>
      </c>
      <c r="CS4">
        <v>8929</v>
      </c>
    </row>
    <row r="5" spans="1:97">
      <c r="A5" s="9">
        <v>46238</v>
      </c>
      <c r="B5">
        <v>8710</v>
      </c>
      <c r="C5">
        <v>8581</v>
      </c>
      <c r="D5">
        <v>8451</v>
      </c>
      <c r="E5">
        <v>8324</v>
      </c>
      <c r="F5">
        <v>8204</v>
      </c>
      <c r="G5">
        <v>8096</v>
      </c>
      <c r="H5">
        <v>7988</v>
      </c>
      <c r="I5">
        <v>7879</v>
      </c>
      <c r="J5">
        <v>7766</v>
      </c>
      <c r="K5">
        <v>7654</v>
      </c>
      <c r="L5">
        <v>7537</v>
      </c>
      <c r="M5">
        <v>7421</v>
      </c>
      <c r="N5">
        <v>7312</v>
      </c>
      <c r="O5">
        <v>7204</v>
      </c>
      <c r="P5">
        <v>7096</v>
      </c>
      <c r="Q5">
        <v>6987</v>
      </c>
      <c r="R5">
        <v>6876</v>
      </c>
      <c r="S5">
        <v>6759</v>
      </c>
      <c r="T5">
        <v>6638</v>
      </c>
      <c r="U5">
        <v>6514</v>
      </c>
      <c r="V5">
        <v>6387</v>
      </c>
      <c r="W5">
        <v>6258</v>
      </c>
      <c r="X5">
        <v>6126</v>
      </c>
      <c r="Y5">
        <v>5998</v>
      </c>
      <c r="Z5">
        <v>5870</v>
      </c>
      <c r="AA5">
        <v>5736</v>
      </c>
      <c r="AB5">
        <v>5609</v>
      </c>
      <c r="AC5">
        <v>5487</v>
      </c>
      <c r="AD5">
        <v>5417</v>
      </c>
      <c r="AE5">
        <v>5407</v>
      </c>
      <c r="AF5">
        <v>5413</v>
      </c>
      <c r="AG5">
        <v>5425</v>
      </c>
      <c r="AH5">
        <v>5490</v>
      </c>
      <c r="AI5">
        <v>5595</v>
      </c>
      <c r="AJ5">
        <v>5693</v>
      </c>
      <c r="AK5">
        <v>5817</v>
      </c>
      <c r="AL5">
        <v>5962</v>
      </c>
      <c r="AM5">
        <v>6119</v>
      </c>
      <c r="AN5">
        <v>6284</v>
      </c>
      <c r="AO5">
        <v>6450</v>
      </c>
      <c r="AP5">
        <v>6628</v>
      </c>
      <c r="AQ5">
        <v>6806</v>
      </c>
      <c r="AR5">
        <v>6988</v>
      </c>
      <c r="AS5">
        <v>7171</v>
      </c>
      <c r="AT5">
        <v>7329</v>
      </c>
      <c r="AU5">
        <v>7474</v>
      </c>
      <c r="AV5">
        <v>7620</v>
      </c>
      <c r="AW5">
        <v>7765</v>
      </c>
      <c r="AX5">
        <v>7890</v>
      </c>
      <c r="AY5">
        <v>7994</v>
      </c>
      <c r="AZ5">
        <v>8098</v>
      </c>
      <c r="BA5">
        <v>8203</v>
      </c>
      <c r="BB5">
        <v>8284</v>
      </c>
      <c r="BC5">
        <v>8355</v>
      </c>
      <c r="BD5">
        <v>8417</v>
      </c>
      <c r="BE5">
        <v>8473</v>
      </c>
      <c r="BF5">
        <v>8505</v>
      </c>
      <c r="BG5">
        <v>8504</v>
      </c>
      <c r="BH5">
        <v>8489</v>
      </c>
      <c r="BI5">
        <v>8471</v>
      </c>
      <c r="BJ5">
        <v>8417</v>
      </c>
      <c r="BK5">
        <v>8319</v>
      </c>
      <c r="BL5">
        <v>8216</v>
      </c>
      <c r="BM5">
        <v>8122</v>
      </c>
      <c r="BN5">
        <v>7986</v>
      </c>
      <c r="BO5">
        <v>7818</v>
      </c>
      <c r="BP5">
        <v>7649</v>
      </c>
      <c r="BQ5">
        <v>7482</v>
      </c>
      <c r="BR5">
        <v>7310</v>
      </c>
      <c r="BS5">
        <v>7151</v>
      </c>
      <c r="BT5">
        <v>6999</v>
      </c>
      <c r="BU5">
        <v>6845</v>
      </c>
      <c r="BV5">
        <v>6720</v>
      </c>
      <c r="BW5">
        <v>6616</v>
      </c>
      <c r="BX5">
        <v>6520</v>
      </c>
      <c r="BY5">
        <v>6427</v>
      </c>
      <c r="BZ5">
        <v>6371</v>
      </c>
      <c r="CA5">
        <v>6322</v>
      </c>
      <c r="CB5">
        <v>6272</v>
      </c>
      <c r="CC5">
        <v>6223</v>
      </c>
      <c r="CD5">
        <v>6174</v>
      </c>
      <c r="CE5">
        <v>6127</v>
      </c>
      <c r="CF5">
        <v>6080</v>
      </c>
      <c r="CG5">
        <v>6030</v>
      </c>
      <c r="CH5">
        <v>5976</v>
      </c>
      <c r="CI5">
        <v>5923</v>
      </c>
      <c r="CJ5">
        <v>5863</v>
      </c>
      <c r="CK5">
        <v>5806</v>
      </c>
      <c r="CL5">
        <v>5751</v>
      </c>
      <c r="CM5">
        <v>5695</v>
      </c>
      <c r="CN5">
        <v>5638</v>
      </c>
      <c r="CO5">
        <v>5583</v>
      </c>
      <c r="CP5">
        <v>5523</v>
      </c>
      <c r="CQ5">
        <v>5472</v>
      </c>
      <c r="CR5">
        <v>5415</v>
      </c>
      <c r="CS5">
        <v>5352</v>
      </c>
    </row>
    <row r="6" spans="1:97">
      <c r="A6" s="9">
        <v>46239</v>
      </c>
      <c r="B6">
        <v>6078</v>
      </c>
      <c r="C6">
        <v>6024</v>
      </c>
      <c r="D6">
        <v>5969</v>
      </c>
      <c r="E6">
        <v>5914</v>
      </c>
      <c r="F6">
        <v>5852</v>
      </c>
      <c r="G6">
        <v>5779</v>
      </c>
      <c r="H6">
        <v>5706</v>
      </c>
      <c r="I6">
        <v>5630</v>
      </c>
      <c r="J6">
        <v>5545</v>
      </c>
      <c r="K6">
        <v>5448</v>
      </c>
      <c r="L6">
        <v>5345</v>
      </c>
      <c r="M6">
        <v>5241</v>
      </c>
      <c r="N6">
        <v>5130</v>
      </c>
      <c r="O6">
        <v>5010</v>
      </c>
      <c r="P6">
        <v>4885</v>
      </c>
      <c r="Q6">
        <v>4758</v>
      </c>
      <c r="R6">
        <v>4617</v>
      </c>
      <c r="S6">
        <v>4465</v>
      </c>
      <c r="T6">
        <v>4305</v>
      </c>
      <c r="U6">
        <v>4140</v>
      </c>
      <c r="V6">
        <v>3959</v>
      </c>
      <c r="W6">
        <v>3769</v>
      </c>
      <c r="X6">
        <v>3570</v>
      </c>
      <c r="Y6">
        <v>3371</v>
      </c>
      <c r="Z6">
        <v>3168</v>
      </c>
      <c r="AA6">
        <v>2963</v>
      </c>
      <c r="AB6">
        <v>2762</v>
      </c>
      <c r="AC6">
        <v>2565</v>
      </c>
      <c r="AD6">
        <v>2401</v>
      </c>
      <c r="AE6">
        <v>2283</v>
      </c>
      <c r="AF6">
        <v>2171</v>
      </c>
      <c r="AG6">
        <v>2062</v>
      </c>
      <c r="AH6">
        <v>1977</v>
      </c>
      <c r="AI6">
        <v>1906</v>
      </c>
      <c r="AJ6">
        <v>1839</v>
      </c>
      <c r="AK6">
        <v>1774</v>
      </c>
      <c r="AL6">
        <v>1728</v>
      </c>
      <c r="AM6">
        <v>1699</v>
      </c>
      <c r="AN6">
        <v>1672</v>
      </c>
      <c r="AO6">
        <v>1647</v>
      </c>
      <c r="AP6">
        <v>1635</v>
      </c>
      <c r="AQ6">
        <v>1642</v>
      </c>
      <c r="AR6">
        <v>1650</v>
      </c>
      <c r="AS6">
        <v>1657</v>
      </c>
      <c r="AT6">
        <v>1675</v>
      </c>
      <c r="AU6">
        <v>1700</v>
      </c>
      <c r="AV6">
        <v>1726</v>
      </c>
      <c r="AW6">
        <v>1754</v>
      </c>
      <c r="AX6">
        <v>1779</v>
      </c>
      <c r="AY6">
        <v>1803</v>
      </c>
      <c r="AZ6">
        <v>1826</v>
      </c>
      <c r="BA6">
        <v>1849</v>
      </c>
      <c r="BB6">
        <v>1866</v>
      </c>
      <c r="BC6">
        <v>1877</v>
      </c>
      <c r="BD6">
        <v>1884</v>
      </c>
      <c r="BE6">
        <v>1888</v>
      </c>
      <c r="BF6">
        <v>1877</v>
      </c>
      <c r="BG6">
        <v>1863</v>
      </c>
      <c r="BH6">
        <v>1843</v>
      </c>
      <c r="BI6">
        <v>1824</v>
      </c>
      <c r="BJ6">
        <v>1797</v>
      </c>
      <c r="BK6">
        <v>1764</v>
      </c>
      <c r="BL6">
        <v>1735</v>
      </c>
      <c r="BM6">
        <v>1710</v>
      </c>
      <c r="BN6">
        <v>1676</v>
      </c>
      <c r="BO6">
        <v>1638</v>
      </c>
      <c r="BP6">
        <v>1598</v>
      </c>
      <c r="BQ6">
        <v>1561</v>
      </c>
      <c r="BR6">
        <v>1521</v>
      </c>
      <c r="BS6">
        <v>1489</v>
      </c>
      <c r="BT6">
        <v>1460</v>
      </c>
      <c r="BU6">
        <v>1437</v>
      </c>
      <c r="BV6">
        <v>1426</v>
      </c>
      <c r="BW6">
        <v>1428</v>
      </c>
      <c r="BX6">
        <v>1436</v>
      </c>
      <c r="BY6">
        <v>1450</v>
      </c>
      <c r="BZ6">
        <v>1460</v>
      </c>
      <c r="CA6">
        <v>1471</v>
      </c>
      <c r="CB6">
        <v>1481</v>
      </c>
      <c r="CC6">
        <v>1491</v>
      </c>
      <c r="CD6">
        <v>1490</v>
      </c>
      <c r="CE6">
        <v>1480</v>
      </c>
      <c r="CF6">
        <v>1468</v>
      </c>
      <c r="CG6">
        <v>1451</v>
      </c>
      <c r="CH6">
        <v>1431</v>
      </c>
      <c r="CI6">
        <v>1405</v>
      </c>
      <c r="CJ6">
        <v>1374</v>
      </c>
      <c r="CK6">
        <v>1344</v>
      </c>
      <c r="CL6">
        <v>1309</v>
      </c>
      <c r="CM6">
        <v>1269</v>
      </c>
      <c r="CN6">
        <v>1230</v>
      </c>
      <c r="CO6">
        <v>1190</v>
      </c>
      <c r="CP6">
        <v>1145</v>
      </c>
      <c r="CQ6">
        <v>1100</v>
      </c>
      <c r="CR6">
        <v>1055</v>
      </c>
      <c r="CS6">
        <v>1004</v>
      </c>
    </row>
    <row r="7" spans="1:97">
      <c r="A7" s="9">
        <v>46240</v>
      </c>
      <c r="B7">
        <v>1498</v>
      </c>
      <c r="C7">
        <v>1457</v>
      </c>
      <c r="D7">
        <v>1419</v>
      </c>
      <c r="E7">
        <v>1381</v>
      </c>
      <c r="F7">
        <v>1349</v>
      </c>
      <c r="G7">
        <v>1324</v>
      </c>
      <c r="H7">
        <v>1302</v>
      </c>
      <c r="I7">
        <v>1281</v>
      </c>
      <c r="J7">
        <v>1264</v>
      </c>
      <c r="K7">
        <v>1256</v>
      </c>
      <c r="L7">
        <v>1248</v>
      </c>
      <c r="M7">
        <v>1242</v>
      </c>
      <c r="N7">
        <v>1239</v>
      </c>
      <c r="O7">
        <v>1237</v>
      </c>
      <c r="P7">
        <v>1236</v>
      </c>
      <c r="Q7">
        <v>1235</v>
      </c>
      <c r="R7">
        <v>1232</v>
      </c>
      <c r="S7">
        <v>1229</v>
      </c>
      <c r="T7">
        <v>1220</v>
      </c>
      <c r="U7">
        <v>1210</v>
      </c>
      <c r="V7">
        <v>1192</v>
      </c>
      <c r="W7">
        <v>1167</v>
      </c>
      <c r="X7">
        <v>1141</v>
      </c>
      <c r="Y7">
        <v>1112</v>
      </c>
      <c r="Z7">
        <v>1072</v>
      </c>
      <c r="AA7">
        <v>1021</v>
      </c>
      <c r="AB7">
        <v>971</v>
      </c>
      <c r="AC7">
        <v>921</v>
      </c>
      <c r="AD7">
        <v>868</v>
      </c>
      <c r="AE7">
        <v>811</v>
      </c>
      <c r="AF7">
        <v>761</v>
      </c>
      <c r="AG7">
        <v>710</v>
      </c>
      <c r="AH7">
        <v>682</v>
      </c>
      <c r="AI7">
        <v>675</v>
      </c>
      <c r="AJ7">
        <v>671</v>
      </c>
      <c r="AK7">
        <v>668</v>
      </c>
      <c r="AL7">
        <v>673</v>
      </c>
      <c r="AM7">
        <v>680</v>
      </c>
      <c r="AN7">
        <v>690</v>
      </c>
      <c r="AO7">
        <v>702</v>
      </c>
      <c r="AP7">
        <v>722</v>
      </c>
      <c r="AQ7">
        <v>751</v>
      </c>
      <c r="AR7">
        <v>782</v>
      </c>
      <c r="AS7">
        <v>812</v>
      </c>
      <c r="AT7">
        <v>848</v>
      </c>
      <c r="AU7">
        <v>887</v>
      </c>
      <c r="AV7">
        <v>928</v>
      </c>
      <c r="AW7">
        <v>968</v>
      </c>
      <c r="AX7">
        <v>1011</v>
      </c>
      <c r="AY7">
        <v>1057</v>
      </c>
      <c r="AZ7">
        <v>1104</v>
      </c>
      <c r="BA7">
        <v>1150</v>
      </c>
      <c r="BB7">
        <v>1196</v>
      </c>
      <c r="BC7">
        <v>1238</v>
      </c>
      <c r="BD7">
        <v>1278</v>
      </c>
      <c r="BE7">
        <v>1317</v>
      </c>
      <c r="BF7">
        <v>1341</v>
      </c>
      <c r="BG7">
        <v>1359</v>
      </c>
      <c r="BH7">
        <v>1375</v>
      </c>
      <c r="BI7">
        <v>1392</v>
      </c>
      <c r="BJ7">
        <v>1397</v>
      </c>
      <c r="BK7">
        <v>1390</v>
      </c>
      <c r="BL7">
        <v>1383</v>
      </c>
      <c r="BM7">
        <v>1378</v>
      </c>
      <c r="BN7">
        <v>1381</v>
      </c>
      <c r="BO7">
        <v>1400</v>
      </c>
      <c r="BP7">
        <v>1419</v>
      </c>
      <c r="BQ7">
        <v>1439</v>
      </c>
      <c r="BR7">
        <v>1475</v>
      </c>
      <c r="BS7">
        <v>1521</v>
      </c>
      <c r="BT7">
        <v>1572</v>
      </c>
      <c r="BU7">
        <v>1628</v>
      </c>
      <c r="BV7">
        <v>1698</v>
      </c>
      <c r="BW7">
        <v>1783</v>
      </c>
      <c r="BX7">
        <v>1876</v>
      </c>
      <c r="BY7">
        <v>1970</v>
      </c>
      <c r="BZ7">
        <v>2045</v>
      </c>
      <c r="CA7">
        <v>2111</v>
      </c>
      <c r="CB7">
        <v>2176</v>
      </c>
      <c r="CC7">
        <v>2238</v>
      </c>
      <c r="CD7">
        <v>2293</v>
      </c>
      <c r="CE7">
        <v>2339</v>
      </c>
      <c r="CF7">
        <v>2387</v>
      </c>
      <c r="CG7">
        <v>2434</v>
      </c>
      <c r="CH7">
        <v>2500</v>
      </c>
      <c r="CI7">
        <v>2572</v>
      </c>
      <c r="CJ7">
        <v>2652</v>
      </c>
      <c r="CK7">
        <v>2734</v>
      </c>
      <c r="CL7">
        <v>2825</v>
      </c>
      <c r="CM7">
        <v>2900</v>
      </c>
      <c r="CN7">
        <v>2987</v>
      </c>
      <c r="CO7">
        <v>3076</v>
      </c>
      <c r="CP7">
        <v>3170</v>
      </c>
      <c r="CQ7">
        <v>3271</v>
      </c>
      <c r="CR7">
        <v>3388</v>
      </c>
      <c r="CS7">
        <v>3503</v>
      </c>
    </row>
    <row r="8" spans="1:97">
      <c r="A8" s="9">
        <v>46241</v>
      </c>
      <c r="B8">
        <v>2865</v>
      </c>
      <c r="C8">
        <v>3057</v>
      </c>
      <c r="D8">
        <v>3268</v>
      </c>
      <c r="E8">
        <v>3484</v>
      </c>
      <c r="F8">
        <v>3742</v>
      </c>
      <c r="G8">
        <v>4049</v>
      </c>
      <c r="H8">
        <v>4369</v>
      </c>
      <c r="I8">
        <v>4693</v>
      </c>
      <c r="J8">
        <v>5028</v>
      </c>
      <c r="K8">
        <v>5361</v>
      </c>
      <c r="L8">
        <v>5707</v>
      </c>
      <c r="M8">
        <v>6055</v>
      </c>
      <c r="N8">
        <v>6424</v>
      </c>
      <c r="O8">
        <v>6805</v>
      </c>
      <c r="P8">
        <v>7189</v>
      </c>
      <c r="Q8">
        <v>7576</v>
      </c>
      <c r="R8">
        <v>7948</v>
      </c>
      <c r="S8">
        <v>8302</v>
      </c>
      <c r="T8">
        <v>8654</v>
      </c>
      <c r="U8">
        <v>9009</v>
      </c>
      <c r="V8">
        <v>9343</v>
      </c>
      <c r="W8">
        <v>9662</v>
      </c>
      <c r="X8">
        <v>9961</v>
      </c>
      <c r="Y8">
        <v>10253</v>
      </c>
      <c r="Z8">
        <v>10491</v>
      </c>
      <c r="AA8">
        <v>10694</v>
      </c>
      <c r="AB8">
        <v>10901</v>
      </c>
      <c r="AC8">
        <v>11103</v>
      </c>
      <c r="AD8">
        <v>11278</v>
      </c>
      <c r="AE8">
        <v>11436</v>
      </c>
      <c r="AF8">
        <v>11623</v>
      </c>
      <c r="AG8">
        <v>11776</v>
      </c>
      <c r="AH8">
        <v>11923</v>
      </c>
      <c r="AI8">
        <v>12051</v>
      </c>
      <c r="AJ8">
        <v>12183</v>
      </c>
      <c r="AK8">
        <v>12284</v>
      </c>
      <c r="AL8">
        <v>12427</v>
      </c>
      <c r="AM8">
        <v>12547</v>
      </c>
      <c r="AN8">
        <v>12672</v>
      </c>
      <c r="AO8">
        <v>12787</v>
      </c>
      <c r="AP8">
        <v>12897</v>
      </c>
      <c r="AQ8">
        <v>12982</v>
      </c>
      <c r="AR8">
        <v>13067</v>
      </c>
      <c r="AS8">
        <v>13147</v>
      </c>
      <c r="AT8">
        <v>13217</v>
      </c>
      <c r="AU8">
        <v>13285</v>
      </c>
      <c r="AV8">
        <v>13354</v>
      </c>
      <c r="AW8">
        <v>13423</v>
      </c>
      <c r="AX8">
        <v>13485</v>
      </c>
      <c r="AY8">
        <v>13546</v>
      </c>
      <c r="AZ8">
        <v>13607</v>
      </c>
      <c r="BA8">
        <v>13661</v>
      </c>
      <c r="BB8">
        <v>13722</v>
      </c>
      <c r="BC8">
        <v>13782</v>
      </c>
      <c r="BD8">
        <v>13844</v>
      </c>
      <c r="BE8">
        <v>13904</v>
      </c>
      <c r="BF8">
        <v>13964</v>
      </c>
      <c r="BG8">
        <v>14004</v>
      </c>
      <c r="BH8">
        <v>14044</v>
      </c>
      <c r="BI8">
        <v>14083</v>
      </c>
      <c r="BJ8">
        <v>14174</v>
      </c>
      <c r="BK8">
        <v>14231</v>
      </c>
      <c r="BL8">
        <v>14285</v>
      </c>
      <c r="BM8">
        <v>14342</v>
      </c>
      <c r="BN8">
        <v>14411</v>
      </c>
      <c r="BO8">
        <v>14485</v>
      </c>
      <c r="BP8">
        <v>14559</v>
      </c>
      <c r="BQ8">
        <v>14634</v>
      </c>
      <c r="BR8">
        <v>14704</v>
      </c>
      <c r="BS8">
        <v>14765</v>
      </c>
      <c r="BT8">
        <v>14827</v>
      </c>
      <c r="BU8">
        <v>14877</v>
      </c>
      <c r="BV8">
        <v>14945</v>
      </c>
      <c r="BW8">
        <v>14994</v>
      </c>
      <c r="BX8">
        <v>15036</v>
      </c>
      <c r="BY8">
        <v>15068</v>
      </c>
      <c r="BZ8">
        <v>15099</v>
      </c>
      <c r="CA8">
        <v>15135</v>
      </c>
      <c r="CB8">
        <v>15171</v>
      </c>
      <c r="CC8">
        <v>15195</v>
      </c>
      <c r="CD8">
        <v>15216</v>
      </c>
      <c r="CE8">
        <v>15213</v>
      </c>
      <c r="CF8">
        <v>15210</v>
      </c>
      <c r="CG8">
        <v>15196</v>
      </c>
      <c r="CH8">
        <v>15179</v>
      </c>
      <c r="CI8">
        <v>15152</v>
      </c>
      <c r="CJ8">
        <v>15125</v>
      </c>
      <c r="CK8">
        <v>15094</v>
      </c>
      <c r="CL8">
        <v>15052</v>
      </c>
      <c r="CM8">
        <v>14996</v>
      </c>
      <c r="CN8">
        <v>14938</v>
      </c>
      <c r="CO8">
        <v>14875</v>
      </c>
      <c r="CP8">
        <v>14801</v>
      </c>
      <c r="CQ8">
        <v>14710</v>
      </c>
      <c r="CR8">
        <v>14618</v>
      </c>
      <c r="CS8">
        <v>14565</v>
      </c>
    </row>
    <row r="9" spans="1:97">
      <c r="A9" s="9">
        <v>46242</v>
      </c>
      <c r="B9">
        <v>14150</v>
      </c>
      <c r="C9">
        <v>14076</v>
      </c>
      <c r="D9">
        <v>14003</v>
      </c>
      <c r="E9">
        <v>13930</v>
      </c>
      <c r="F9">
        <v>13868</v>
      </c>
      <c r="G9">
        <v>13819</v>
      </c>
      <c r="H9">
        <v>13775</v>
      </c>
      <c r="I9">
        <v>13730</v>
      </c>
      <c r="J9">
        <v>13696</v>
      </c>
      <c r="K9">
        <v>13672</v>
      </c>
      <c r="L9">
        <v>13654</v>
      </c>
      <c r="M9">
        <v>13635</v>
      </c>
      <c r="N9">
        <v>13622</v>
      </c>
      <c r="O9">
        <v>13616</v>
      </c>
      <c r="P9">
        <v>13615</v>
      </c>
      <c r="Q9">
        <v>13613</v>
      </c>
      <c r="R9">
        <v>13611</v>
      </c>
      <c r="S9">
        <v>13607</v>
      </c>
      <c r="T9">
        <v>13643</v>
      </c>
      <c r="U9">
        <v>13638</v>
      </c>
      <c r="V9">
        <v>13629</v>
      </c>
      <c r="W9">
        <v>13599</v>
      </c>
      <c r="X9">
        <v>13529</v>
      </c>
      <c r="Y9">
        <v>13497</v>
      </c>
      <c r="Z9">
        <v>13438</v>
      </c>
      <c r="AA9">
        <v>13369</v>
      </c>
      <c r="AB9">
        <v>13098</v>
      </c>
      <c r="AC9">
        <v>13037</v>
      </c>
      <c r="AD9">
        <v>13012</v>
      </c>
      <c r="AE9">
        <v>13032</v>
      </c>
      <c r="AF9">
        <v>13058</v>
      </c>
      <c r="AG9">
        <v>13086</v>
      </c>
      <c r="AH9">
        <v>13117</v>
      </c>
      <c r="AI9">
        <v>13139</v>
      </c>
      <c r="AJ9">
        <v>13161</v>
      </c>
      <c r="AK9">
        <v>13179</v>
      </c>
      <c r="AL9">
        <v>13192</v>
      </c>
      <c r="AM9">
        <v>13188</v>
      </c>
      <c r="AN9">
        <v>13182</v>
      </c>
      <c r="AO9">
        <v>13173</v>
      </c>
      <c r="AP9">
        <v>13133</v>
      </c>
      <c r="AQ9">
        <v>13047</v>
      </c>
      <c r="AR9">
        <v>12951</v>
      </c>
      <c r="AS9">
        <v>12850</v>
      </c>
      <c r="AT9">
        <v>12741</v>
      </c>
      <c r="AU9">
        <v>12612</v>
      </c>
      <c r="AV9">
        <v>12479</v>
      </c>
      <c r="AW9">
        <v>12347</v>
      </c>
      <c r="AX9">
        <v>12216</v>
      </c>
      <c r="AY9">
        <v>12097</v>
      </c>
      <c r="AZ9">
        <v>11975</v>
      </c>
      <c r="BA9">
        <v>11852</v>
      </c>
      <c r="BB9">
        <v>11737</v>
      </c>
      <c r="BC9">
        <v>11638</v>
      </c>
      <c r="BD9">
        <v>11535</v>
      </c>
      <c r="BE9">
        <v>11433</v>
      </c>
      <c r="BF9">
        <v>11333</v>
      </c>
      <c r="BG9">
        <v>11227</v>
      </c>
      <c r="BH9">
        <v>11121</v>
      </c>
      <c r="BI9">
        <v>11009</v>
      </c>
      <c r="BJ9">
        <v>10937</v>
      </c>
      <c r="BK9">
        <v>10835</v>
      </c>
      <c r="BL9">
        <v>10734</v>
      </c>
      <c r="BM9">
        <v>10632</v>
      </c>
      <c r="BN9">
        <v>10519</v>
      </c>
      <c r="BO9">
        <v>10411</v>
      </c>
      <c r="BP9">
        <v>10287</v>
      </c>
      <c r="BQ9">
        <v>10170</v>
      </c>
      <c r="BR9">
        <v>10061</v>
      </c>
      <c r="BS9">
        <v>9932</v>
      </c>
      <c r="BT9">
        <v>9801</v>
      </c>
      <c r="BU9">
        <v>9674</v>
      </c>
      <c r="BV9">
        <v>9576</v>
      </c>
      <c r="BW9">
        <v>9502</v>
      </c>
      <c r="BX9">
        <v>9432</v>
      </c>
      <c r="BY9">
        <v>9362</v>
      </c>
      <c r="BZ9">
        <v>9306</v>
      </c>
      <c r="CA9">
        <v>9254</v>
      </c>
      <c r="CB9">
        <v>9202</v>
      </c>
      <c r="CC9">
        <v>9145</v>
      </c>
      <c r="CD9">
        <v>9077</v>
      </c>
      <c r="CE9">
        <v>8996</v>
      </c>
      <c r="CF9">
        <v>8910</v>
      </c>
      <c r="CG9">
        <v>8820</v>
      </c>
      <c r="CH9">
        <v>8731</v>
      </c>
      <c r="CI9">
        <v>8640</v>
      </c>
      <c r="CJ9">
        <v>8550</v>
      </c>
      <c r="CK9">
        <v>8456</v>
      </c>
      <c r="CL9">
        <v>8362</v>
      </c>
      <c r="CM9">
        <v>8274</v>
      </c>
      <c r="CN9">
        <v>8185</v>
      </c>
      <c r="CO9">
        <v>8097</v>
      </c>
      <c r="CP9">
        <v>8005</v>
      </c>
      <c r="CQ9">
        <v>7911</v>
      </c>
      <c r="CR9">
        <v>7821</v>
      </c>
      <c r="CS9">
        <v>7740</v>
      </c>
    </row>
    <row r="10" spans="1:97">
      <c r="A10" s="9">
        <v>46243</v>
      </c>
      <c r="B10">
        <v>6960</v>
      </c>
      <c r="C10">
        <v>6903</v>
      </c>
      <c r="D10">
        <v>6846</v>
      </c>
      <c r="E10">
        <v>6789</v>
      </c>
      <c r="F10">
        <v>6725</v>
      </c>
      <c r="G10">
        <v>6661</v>
      </c>
      <c r="H10">
        <v>6595</v>
      </c>
      <c r="I10">
        <v>6530</v>
      </c>
      <c r="J10">
        <v>6455</v>
      </c>
      <c r="K10">
        <v>6371</v>
      </c>
      <c r="L10">
        <v>6286</v>
      </c>
      <c r="M10">
        <v>6201</v>
      </c>
      <c r="N10">
        <v>6116</v>
      </c>
      <c r="O10">
        <v>6033</v>
      </c>
      <c r="P10">
        <v>5947</v>
      </c>
      <c r="Q10">
        <v>5861</v>
      </c>
      <c r="R10">
        <v>5767</v>
      </c>
      <c r="S10">
        <v>5663</v>
      </c>
      <c r="T10">
        <v>5551</v>
      </c>
      <c r="U10">
        <v>5434</v>
      </c>
      <c r="V10">
        <v>5291</v>
      </c>
      <c r="W10">
        <v>5121</v>
      </c>
      <c r="X10">
        <v>4940</v>
      </c>
      <c r="Y10">
        <v>4755</v>
      </c>
      <c r="Z10">
        <v>4531</v>
      </c>
      <c r="AA10">
        <v>4277</v>
      </c>
      <c r="AB10">
        <v>4013</v>
      </c>
      <c r="AC10">
        <v>3761</v>
      </c>
      <c r="AD10">
        <v>3522</v>
      </c>
      <c r="AE10">
        <v>3304</v>
      </c>
      <c r="AF10">
        <v>3093</v>
      </c>
      <c r="AG10">
        <v>2886</v>
      </c>
      <c r="AH10">
        <v>2721</v>
      </c>
      <c r="AI10">
        <v>2593</v>
      </c>
      <c r="AJ10">
        <v>2470</v>
      </c>
      <c r="AK10">
        <v>2349</v>
      </c>
      <c r="AL10">
        <v>2240</v>
      </c>
      <c r="AM10">
        <v>2140</v>
      </c>
      <c r="AN10">
        <v>2042</v>
      </c>
      <c r="AO10">
        <v>1947</v>
      </c>
      <c r="AP10">
        <v>1854</v>
      </c>
      <c r="AQ10">
        <v>1766</v>
      </c>
      <c r="AR10">
        <v>1676</v>
      </c>
      <c r="AS10">
        <v>1583</v>
      </c>
      <c r="AT10">
        <v>1486</v>
      </c>
      <c r="AU10">
        <v>1389</v>
      </c>
      <c r="AV10">
        <v>1290</v>
      </c>
      <c r="AW10">
        <v>1194</v>
      </c>
      <c r="AX10">
        <v>1111</v>
      </c>
      <c r="AY10">
        <v>1042</v>
      </c>
      <c r="AZ10">
        <v>976</v>
      </c>
      <c r="BA10">
        <v>913</v>
      </c>
      <c r="BB10">
        <v>862</v>
      </c>
      <c r="BC10">
        <v>822</v>
      </c>
      <c r="BD10">
        <v>787</v>
      </c>
      <c r="BE10">
        <v>754</v>
      </c>
      <c r="BF10">
        <v>726</v>
      </c>
      <c r="BG10">
        <v>703</v>
      </c>
      <c r="BH10">
        <v>681</v>
      </c>
      <c r="BI10">
        <v>664</v>
      </c>
      <c r="BJ10">
        <v>653</v>
      </c>
      <c r="BK10">
        <v>649</v>
      </c>
      <c r="BL10">
        <v>648</v>
      </c>
      <c r="BM10">
        <v>650</v>
      </c>
      <c r="BN10">
        <v>661</v>
      </c>
      <c r="BO10">
        <v>683</v>
      </c>
      <c r="BP10">
        <v>706</v>
      </c>
      <c r="BQ10">
        <v>732</v>
      </c>
      <c r="BR10">
        <v>772</v>
      </c>
      <c r="BS10">
        <v>828</v>
      </c>
      <c r="BT10">
        <v>888</v>
      </c>
      <c r="BU10">
        <v>951</v>
      </c>
      <c r="BV10">
        <v>1040</v>
      </c>
      <c r="BW10">
        <v>1146</v>
      </c>
      <c r="BX10">
        <v>1253</v>
      </c>
      <c r="BY10">
        <v>1362</v>
      </c>
      <c r="BZ10">
        <v>1465</v>
      </c>
      <c r="CA10">
        <v>1557</v>
      </c>
      <c r="CB10">
        <v>1646</v>
      </c>
      <c r="CC10">
        <v>1731</v>
      </c>
      <c r="CD10">
        <v>1792</v>
      </c>
      <c r="CE10">
        <v>1827</v>
      </c>
      <c r="CF10">
        <v>1858</v>
      </c>
      <c r="CG10">
        <v>1885</v>
      </c>
      <c r="CH10">
        <v>1910</v>
      </c>
      <c r="CI10">
        <v>1933</v>
      </c>
      <c r="CJ10">
        <v>1957</v>
      </c>
      <c r="CK10">
        <v>1983</v>
      </c>
      <c r="CL10">
        <v>2014</v>
      </c>
      <c r="CM10">
        <v>2049</v>
      </c>
      <c r="CN10">
        <v>2086</v>
      </c>
      <c r="CO10">
        <v>2123</v>
      </c>
      <c r="CP10">
        <v>2149</v>
      </c>
      <c r="CQ10">
        <v>2173</v>
      </c>
      <c r="CR10">
        <v>2198</v>
      </c>
      <c r="CS10">
        <v>2232</v>
      </c>
    </row>
    <row r="11" spans="1:97">
      <c r="A11" s="9">
        <v>46244</v>
      </c>
      <c r="B11">
        <v>2131</v>
      </c>
      <c r="C11">
        <v>2187</v>
      </c>
      <c r="D11">
        <v>2246</v>
      </c>
      <c r="E11">
        <v>2306</v>
      </c>
      <c r="F11">
        <v>2372</v>
      </c>
      <c r="G11">
        <v>2436</v>
      </c>
      <c r="H11">
        <v>2503</v>
      </c>
      <c r="I11">
        <v>2570</v>
      </c>
      <c r="J11">
        <v>2627</v>
      </c>
      <c r="K11">
        <v>2677</v>
      </c>
      <c r="L11">
        <v>2729</v>
      </c>
      <c r="M11">
        <v>2783</v>
      </c>
      <c r="N11">
        <v>2826</v>
      </c>
      <c r="O11">
        <v>2863</v>
      </c>
      <c r="P11">
        <v>2902</v>
      </c>
      <c r="Q11">
        <v>2944</v>
      </c>
      <c r="R11">
        <v>2988</v>
      </c>
      <c r="S11">
        <v>3033</v>
      </c>
      <c r="T11">
        <v>3078</v>
      </c>
      <c r="U11">
        <v>3122</v>
      </c>
      <c r="V11">
        <v>3170</v>
      </c>
      <c r="W11">
        <v>3222</v>
      </c>
      <c r="X11">
        <v>3271</v>
      </c>
      <c r="Y11">
        <v>3314</v>
      </c>
      <c r="Z11">
        <v>3336</v>
      </c>
      <c r="AA11">
        <v>3361</v>
      </c>
      <c r="AB11">
        <v>3389</v>
      </c>
      <c r="AC11">
        <v>3418</v>
      </c>
      <c r="AD11">
        <v>3434</v>
      </c>
      <c r="AE11">
        <v>3432</v>
      </c>
      <c r="AF11">
        <v>3442</v>
      </c>
      <c r="AG11">
        <v>3457</v>
      </c>
      <c r="AH11">
        <v>3540</v>
      </c>
      <c r="AI11">
        <v>3684</v>
      </c>
      <c r="AJ11">
        <v>3841</v>
      </c>
      <c r="AK11">
        <v>4016</v>
      </c>
      <c r="AL11">
        <v>4230</v>
      </c>
      <c r="AM11">
        <v>4481</v>
      </c>
      <c r="AN11">
        <v>4741</v>
      </c>
      <c r="AO11">
        <v>5008</v>
      </c>
      <c r="AP11">
        <v>5285</v>
      </c>
      <c r="AQ11">
        <v>5566</v>
      </c>
      <c r="AR11">
        <v>5852</v>
      </c>
      <c r="AS11">
        <v>6133</v>
      </c>
      <c r="AT11">
        <v>6381</v>
      </c>
      <c r="AU11">
        <v>6610</v>
      </c>
      <c r="AV11">
        <v>6834</v>
      </c>
      <c r="AW11">
        <v>7054</v>
      </c>
      <c r="AX11">
        <v>7252</v>
      </c>
      <c r="AY11">
        <v>7437</v>
      </c>
      <c r="AZ11">
        <v>7621</v>
      </c>
      <c r="BA11">
        <v>7803</v>
      </c>
      <c r="BB11">
        <v>7962</v>
      </c>
      <c r="BC11">
        <v>8103</v>
      </c>
      <c r="BD11">
        <v>8241</v>
      </c>
      <c r="BE11">
        <v>8375</v>
      </c>
      <c r="BF11">
        <v>8476</v>
      </c>
      <c r="BG11">
        <v>8584</v>
      </c>
      <c r="BH11">
        <v>8650</v>
      </c>
      <c r="BI11">
        <v>8712</v>
      </c>
      <c r="BJ11">
        <v>8740</v>
      </c>
      <c r="BK11">
        <v>8735</v>
      </c>
      <c r="BL11">
        <v>8728</v>
      </c>
      <c r="BM11">
        <v>8684</v>
      </c>
      <c r="BN11">
        <v>8662</v>
      </c>
      <c r="BO11">
        <v>8630</v>
      </c>
      <c r="BP11">
        <v>8611</v>
      </c>
      <c r="BQ11">
        <v>8582</v>
      </c>
      <c r="BR11">
        <v>8549</v>
      </c>
      <c r="BS11">
        <v>8508</v>
      </c>
      <c r="BT11">
        <v>8470</v>
      </c>
      <c r="BU11">
        <v>8429</v>
      </c>
      <c r="BV11">
        <v>8415</v>
      </c>
      <c r="BW11">
        <v>8401</v>
      </c>
      <c r="BX11">
        <v>8391</v>
      </c>
      <c r="BY11">
        <v>8385</v>
      </c>
      <c r="BZ11">
        <v>8440</v>
      </c>
      <c r="CA11">
        <v>8457</v>
      </c>
      <c r="CB11">
        <v>8479</v>
      </c>
      <c r="CC11">
        <v>8498</v>
      </c>
      <c r="CD11">
        <v>8532</v>
      </c>
      <c r="CE11">
        <v>8583</v>
      </c>
      <c r="CF11">
        <v>8670</v>
      </c>
      <c r="CG11">
        <v>8692</v>
      </c>
      <c r="CH11">
        <v>8739</v>
      </c>
      <c r="CI11">
        <v>8775</v>
      </c>
      <c r="CJ11">
        <v>8812</v>
      </c>
      <c r="CK11">
        <v>8849</v>
      </c>
      <c r="CL11">
        <v>8878</v>
      </c>
      <c r="CM11">
        <v>8891</v>
      </c>
      <c r="CN11">
        <v>8901</v>
      </c>
      <c r="CO11">
        <v>8905</v>
      </c>
      <c r="CP11">
        <v>8896</v>
      </c>
      <c r="CQ11">
        <v>8864</v>
      </c>
      <c r="CR11">
        <v>8827</v>
      </c>
      <c r="CS11">
        <v>8789</v>
      </c>
    </row>
    <row r="12" spans="1:97">
      <c r="A12" s="9">
        <v>46245</v>
      </c>
      <c r="B12">
        <v>9270</v>
      </c>
      <c r="C12">
        <v>9224</v>
      </c>
      <c r="D12">
        <v>9192</v>
      </c>
      <c r="E12">
        <v>9160</v>
      </c>
      <c r="F12">
        <v>9111</v>
      </c>
      <c r="G12">
        <v>9059</v>
      </c>
      <c r="H12">
        <v>9008</v>
      </c>
      <c r="I12">
        <v>8958</v>
      </c>
      <c r="J12">
        <v>8902</v>
      </c>
      <c r="K12">
        <v>8859</v>
      </c>
      <c r="L12">
        <v>8806</v>
      </c>
      <c r="M12">
        <v>8758</v>
      </c>
      <c r="N12">
        <v>8710</v>
      </c>
      <c r="O12">
        <v>8664</v>
      </c>
      <c r="P12">
        <v>8627</v>
      </c>
      <c r="Q12">
        <v>8576</v>
      </c>
      <c r="R12">
        <v>8523</v>
      </c>
      <c r="S12">
        <v>8449</v>
      </c>
      <c r="T12">
        <v>8373</v>
      </c>
      <c r="U12">
        <v>8296</v>
      </c>
      <c r="V12">
        <v>8208</v>
      </c>
      <c r="W12">
        <v>8089</v>
      </c>
      <c r="X12">
        <v>7963</v>
      </c>
      <c r="Y12">
        <v>7840</v>
      </c>
      <c r="Z12">
        <v>7707</v>
      </c>
      <c r="AA12">
        <v>7582</v>
      </c>
      <c r="AB12">
        <v>7459</v>
      </c>
      <c r="AC12">
        <v>7343</v>
      </c>
      <c r="AD12">
        <v>7253</v>
      </c>
      <c r="AE12">
        <v>7190</v>
      </c>
      <c r="AF12">
        <v>7134</v>
      </c>
      <c r="AG12">
        <v>7128</v>
      </c>
      <c r="AH12">
        <v>7103</v>
      </c>
      <c r="AI12">
        <v>7094</v>
      </c>
      <c r="AJ12">
        <v>7086</v>
      </c>
      <c r="AK12">
        <v>7079</v>
      </c>
      <c r="AL12">
        <v>7068</v>
      </c>
      <c r="AM12">
        <v>7054</v>
      </c>
      <c r="AN12">
        <v>7042</v>
      </c>
      <c r="AO12">
        <v>7031</v>
      </c>
      <c r="AP12">
        <v>7020</v>
      </c>
      <c r="AQ12">
        <v>7003</v>
      </c>
      <c r="AR12">
        <v>6988</v>
      </c>
      <c r="AS12">
        <v>6932</v>
      </c>
      <c r="AT12">
        <v>6903</v>
      </c>
      <c r="AU12">
        <v>6872</v>
      </c>
      <c r="AV12">
        <v>6837</v>
      </c>
      <c r="AW12">
        <v>6803</v>
      </c>
      <c r="AX12">
        <v>6764</v>
      </c>
      <c r="AY12">
        <v>6727</v>
      </c>
      <c r="AZ12">
        <v>6691</v>
      </c>
      <c r="BA12">
        <v>6654</v>
      </c>
      <c r="BB12">
        <v>6623</v>
      </c>
      <c r="BC12">
        <v>6593</v>
      </c>
      <c r="BD12">
        <v>6561</v>
      </c>
      <c r="BE12">
        <v>6560</v>
      </c>
      <c r="BF12">
        <v>6492</v>
      </c>
      <c r="BG12">
        <v>6460</v>
      </c>
      <c r="BH12">
        <v>6427</v>
      </c>
      <c r="BI12">
        <v>6397</v>
      </c>
      <c r="BJ12">
        <v>6361</v>
      </c>
      <c r="BK12">
        <v>6326</v>
      </c>
      <c r="BL12">
        <v>6287</v>
      </c>
      <c r="BM12">
        <v>6258</v>
      </c>
      <c r="BN12">
        <v>6217</v>
      </c>
      <c r="BO12">
        <v>6169</v>
      </c>
      <c r="BP12">
        <v>6121</v>
      </c>
      <c r="BQ12">
        <v>6073</v>
      </c>
      <c r="BR12">
        <v>6021</v>
      </c>
      <c r="BS12">
        <v>5975</v>
      </c>
      <c r="BT12">
        <v>5928</v>
      </c>
      <c r="BU12">
        <v>5880</v>
      </c>
      <c r="BV12">
        <v>5842</v>
      </c>
      <c r="BW12">
        <v>5812</v>
      </c>
      <c r="BX12">
        <v>5785</v>
      </c>
      <c r="BY12">
        <v>5760</v>
      </c>
      <c r="BZ12">
        <v>5747</v>
      </c>
      <c r="CA12">
        <v>5737</v>
      </c>
      <c r="CB12">
        <v>5727</v>
      </c>
      <c r="CC12">
        <v>5717</v>
      </c>
      <c r="CD12">
        <v>5699</v>
      </c>
      <c r="CE12">
        <v>5660</v>
      </c>
      <c r="CF12">
        <v>5622</v>
      </c>
      <c r="CG12">
        <v>5576</v>
      </c>
      <c r="CH12">
        <v>5530</v>
      </c>
      <c r="CI12">
        <v>5471</v>
      </c>
      <c r="CJ12">
        <v>5418</v>
      </c>
      <c r="CK12">
        <v>5365</v>
      </c>
      <c r="CL12">
        <v>5303</v>
      </c>
      <c r="CM12">
        <v>5234</v>
      </c>
      <c r="CN12">
        <v>5160</v>
      </c>
      <c r="CO12">
        <v>5087</v>
      </c>
      <c r="CP12">
        <v>5014</v>
      </c>
      <c r="CQ12">
        <v>4944</v>
      </c>
      <c r="CR12">
        <v>4871</v>
      </c>
      <c r="CS12">
        <v>4798</v>
      </c>
    </row>
    <row r="13" spans="1:97">
      <c r="A13" s="9">
        <v>46246</v>
      </c>
      <c r="B13">
        <v>5489</v>
      </c>
      <c r="C13">
        <v>5411</v>
      </c>
      <c r="D13">
        <v>5331</v>
      </c>
      <c r="E13">
        <v>5251</v>
      </c>
      <c r="F13">
        <v>5172</v>
      </c>
      <c r="G13">
        <v>5098</v>
      </c>
      <c r="H13">
        <v>5025</v>
      </c>
      <c r="I13">
        <v>4951</v>
      </c>
      <c r="J13">
        <v>4872</v>
      </c>
      <c r="K13">
        <v>4786</v>
      </c>
      <c r="L13">
        <v>4700</v>
      </c>
      <c r="M13">
        <v>4614</v>
      </c>
      <c r="N13">
        <v>4532</v>
      </c>
      <c r="O13">
        <v>4457</v>
      </c>
      <c r="P13">
        <v>4382</v>
      </c>
      <c r="Q13">
        <v>4304</v>
      </c>
      <c r="R13">
        <v>4232</v>
      </c>
      <c r="S13">
        <v>4160</v>
      </c>
      <c r="T13">
        <v>4084</v>
      </c>
      <c r="U13">
        <v>4005</v>
      </c>
      <c r="V13">
        <v>3917</v>
      </c>
      <c r="W13">
        <v>3819</v>
      </c>
      <c r="X13">
        <v>3717</v>
      </c>
      <c r="Y13">
        <v>3614</v>
      </c>
      <c r="Z13">
        <v>3484</v>
      </c>
      <c r="AA13">
        <v>3350</v>
      </c>
      <c r="AB13">
        <v>3213</v>
      </c>
      <c r="AC13">
        <v>3081</v>
      </c>
      <c r="AD13">
        <v>2970</v>
      </c>
      <c r="AE13">
        <v>2884</v>
      </c>
      <c r="AF13">
        <v>2809</v>
      </c>
      <c r="AG13">
        <v>2736</v>
      </c>
      <c r="AH13">
        <v>2678</v>
      </c>
      <c r="AI13">
        <v>2640</v>
      </c>
      <c r="AJ13">
        <v>2602</v>
      </c>
      <c r="AK13">
        <v>2563</v>
      </c>
      <c r="AL13">
        <v>2521</v>
      </c>
      <c r="AM13">
        <v>2480</v>
      </c>
      <c r="AN13">
        <v>2443</v>
      </c>
      <c r="AO13">
        <v>2408</v>
      </c>
      <c r="AP13">
        <v>2374</v>
      </c>
      <c r="AQ13">
        <v>2341</v>
      </c>
      <c r="AR13">
        <v>2307</v>
      </c>
      <c r="AS13">
        <v>2273</v>
      </c>
      <c r="AT13">
        <v>2230</v>
      </c>
      <c r="AU13">
        <v>2184</v>
      </c>
      <c r="AV13">
        <v>2136</v>
      </c>
      <c r="AW13">
        <v>2090</v>
      </c>
      <c r="AX13">
        <v>2049</v>
      </c>
      <c r="AY13">
        <v>2012</v>
      </c>
      <c r="AZ13">
        <v>1972</v>
      </c>
      <c r="BA13">
        <v>1939</v>
      </c>
      <c r="BB13">
        <v>1909</v>
      </c>
      <c r="BC13">
        <v>1890</v>
      </c>
      <c r="BD13">
        <v>1871</v>
      </c>
      <c r="BE13">
        <v>1851</v>
      </c>
      <c r="BF13">
        <v>1830</v>
      </c>
      <c r="BG13">
        <v>1803</v>
      </c>
      <c r="BH13">
        <v>1782</v>
      </c>
      <c r="BI13">
        <v>1761</v>
      </c>
      <c r="BJ13">
        <v>1759</v>
      </c>
      <c r="BK13">
        <v>1771</v>
      </c>
      <c r="BL13">
        <v>1787</v>
      </c>
      <c r="BM13">
        <v>1805</v>
      </c>
      <c r="BN13">
        <v>1833</v>
      </c>
      <c r="BO13">
        <v>1875</v>
      </c>
      <c r="BP13">
        <v>1918</v>
      </c>
      <c r="BQ13">
        <v>1963</v>
      </c>
      <c r="BR13">
        <v>2021</v>
      </c>
      <c r="BS13">
        <v>2087</v>
      </c>
      <c r="BT13">
        <v>2154</v>
      </c>
      <c r="BU13">
        <v>2224</v>
      </c>
      <c r="BV13">
        <v>2326</v>
      </c>
      <c r="BW13">
        <v>2429</v>
      </c>
      <c r="BX13">
        <v>2543</v>
      </c>
      <c r="BY13">
        <v>2662</v>
      </c>
      <c r="BZ13">
        <v>2774</v>
      </c>
      <c r="CA13">
        <v>2887</v>
      </c>
      <c r="CB13">
        <v>3005</v>
      </c>
      <c r="CC13">
        <v>3113</v>
      </c>
      <c r="CD13">
        <v>3200</v>
      </c>
      <c r="CE13">
        <v>3261</v>
      </c>
      <c r="CF13">
        <v>3327</v>
      </c>
      <c r="CG13">
        <v>3382</v>
      </c>
      <c r="CH13">
        <v>3422</v>
      </c>
      <c r="CI13">
        <v>3447</v>
      </c>
      <c r="CJ13">
        <v>3471</v>
      </c>
      <c r="CK13">
        <v>3495</v>
      </c>
      <c r="CL13">
        <v>3514</v>
      </c>
      <c r="CM13">
        <v>3528</v>
      </c>
      <c r="CN13">
        <v>3541</v>
      </c>
      <c r="CO13">
        <v>3556</v>
      </c>
      <c r="CP13">
        <v>3564</v>
      </c>
      <c r="CQ13">
        <v>3555</v>
      </c>
      <c r="CR13">
        <v>3546</v>
      </c>
      <c r="CS13">
        <v>3541</v>
      </c>
    </row>
    <row r="14" spans="1:97">
      <c r="A14" s="9">
        <v>46247</v>
      </c>
      <c r="B14">
        <v>2857</v>
      </c>
      <c r="C14">
        <v>2845</v>
      </c>
      <c r="D14">
        <v>2841</v>
      </c>
      <c r="E14">
        <v>2838</v>
      </c>
      <c r="F14">
        <v>2834</v>
      </c>
      <c r="G14">
        <v>2840</v>
      </c>
      <c r="H14">
        <v>2848</v>
      </c>
      <c r="I14">
        <v>2856</v>
      </c>
      <c r="J14">
        <v>2855</v>
      </c>
      <c r="K14">
        <v>2858</v>
      </c>
      <c r="L14">
        <v>2859</v>
      </c>
      <c r="M14">
        <v>2862</v>
      </c>
      <c r="N14">
        <v>2866</v>
      </c>
      <c r="O14">
        <v>2867</v>
      </c>
      <c r="P14">
        <v>2861</v>
      </c>
      <c r="Q14">
        <v>2854</v>
      </c>
      <c r="R14">
        <v>2853</v>
      </c>
      <c r="S14">
        <v>2851</v>
      </c>
      <c r="T14">
        <v>2847</v>
      </c>
      <c r="U14">
        <v>2843</v>
      </c>
      <c r="V14">
        <v>2836</v>
      </c>
      <c r="W14">
        <v>2821</v>
      </c>
      <c r="X14">
        <v>2804</v>
      </c>
      <c r="Y14">
        <v>2789</v>
      </c>
      <c r="Z14">
        <v>2777</v>
      </c>
      <c r="AA14">
        <v>2764</v>
      </c>
      <c r="AB14">
        <v>2754</v>
      </c>
      <c r="AC14">
        <v>2750</v>
      </c>
      <c r="AD14">
        <v>2724</v>
      </c>
      <c r="AE14">
        <v>2697</v>
      </c>
      <c r="AF14">
        <v>2668</v>
      </c>
      <c r="AG14">
        <v>2639</v>
      </c>
      <c r="AH14">
        <v>2611</v>
      </c>
      <c r="AI14">
        <v>2582</v>
      </c>
      <c r="AJ14">
        <v>2560</v>
      </c>
      <c r="AK14">
        <v>2530</v>
      </c>
      <c r="AL14">
        <v>2518</v>
      </c>
      <c r="AM14">
        <v>2510</v>
      </c>
      <c r="AN14">
        <v>2506</v>
      </c>
      <c r="AO14">
        <v>2501</v>
      </c>
      <c r="AP14">
        <v>2508</v>
      </c>
      <c r="AQ14">
        <v>2525</v>
      </c>
      <c r="AR14">
        <v>2546</v>
      </c>
      <c r="AS14">
        <v>2568</v>
      </c>
      <c r="AT14">
        <v>2584</v>
      </c>
      <c r="AU14">
        <v>2607</v>
      </c>
      <c r="AV14">
        <v>2632</v>
      </c>
      <c r="AW14">
        <v>2660</v>
      </c>
      <c r="AX14">
        <v>2687</v>
      </c>
      <c r="AY14">
        <v>2711</v>
      </c>
      <c r="AZ14">
        <v>2739</v>
      </c>
      <c r="BA14">
        <v>2767</v>
      </c>
      <c r="BB14">
        <v>2792</v>
      </c>
      <c r="BC14">
        <v>2814</v>
      </c>
      <c r="BD14">
        <v>2836</v>
      </c>
      <c r="BE14">
        <v>2860</v>
      </c>
      <c r="BF14">
        <v>2876</v>
      </c>
      <c r="BG14">
        <v>2886</v>
      </c>
      <c r="BH14">
        <v>2896</v>
      </c>
      <c r="BI14">
        <v>2905</v>
      </c>
      <c r="BJ14">
        <v>2904</v>
      </c>
      <c r="BK14">
        <v>2906</v>
      </c>
      <c r="BL14">
        <v>2908</v>
      </c>
      <c r="BM14">
        <v>2911</v>
      </c>
      <c r="BN14">
        <v>2905</v>
      </c>
      <c r="BO14">
        <v>2900</v>
      </c>
      <c r="BP14">
        <v>2897</v>
      </c>
      <c r="BQ14">
        <v>2892</v>
      </c>
      <c r="BR14">
        <v>2890</v>
      </c>
      <c r="BS14">
        <v>2886</v>
      </c>
      <c r="BT14">
        <v>2888</v>
      </c>
      <c r="BU14">
        <v>2889</v>
      </c>
      <c r="BV14">
        <v>2920</v>
      </c>
      <c r="BW14">
        <v>2949</v>
      </c>
      <c r="BX14">
        <v>2974</v>
      </c>
      <c r="BY14">
        <v>3006</v>
      </c>
      <c r="BZ14">
        <v>3042</v>
      </c>
      <c r="CA14">
        <v>3085</v>
      </c>
      <c r="CB14">
        <v>3122</v>
      </c>
      <c r="CC14">
        <v>3155</v>
      </c>
      <c r="CD14">
        <v>3179</v>
      </c>
      <c r="CE14">
        <v>3187</v>
      </c>
      <c r="CF14">
        <v>3194</v>
      </c>
      <c r="CG14">
        <v>3197</v>
      </c>
      <c r="CH14">
        <v>3201</v>
      </c>
      <c r="CI14">
        <v>3201</v>
      </c>
      <c r="CJ14">
        <v>3201</v>
      </c>
      <c r="CK14">
        <v>3198</v>
      </c>
      <c r="CL14">
        <v>3203</v>
      </c>
      <c r="CM14">
        <v>3215</v>
      </c>
      <c r="CN14">
        <v>3239</v>
      </c>
      <c r="CO14">
        <v>3265</v>
      </c>
      <c r="CP14">
        <v>3290</v>
      </c>
      <c r="CQ14">
        <v>3327</v>
      </c>
      <c r="CR14">
        <v>3364</v>
      </c>
      <c r="CS14">
        <v>3402</v>
      </c>
    </row>
    <row r="15" spans="1:97">
      <c r="A15" s="9">
        <v>46248</v>
      </c>
      <c r="B15">
        <v>2838</v>
      </c>
      <c r="C15">
        <v>2863</v>
      </c>
      <c r="D15">
        <v>2889</v>
      </c>
      <c r="E15">
        <v>2915</v>
      </c>
      <c r="F15">
        <v>2945</v>
      </c>
      <c r="G15">
        <v>2970</v>
      </c>
      <c r="H15">
        <v>2995</v>
      </c>
      <c r="I15">
        <v>3023</v>
      </c>
      <c r="J15">
        <v>3060</v>
      </c>
      <c r="K15">
        <v>3105</v>
      </c>
      <c r="L15">
        <v>3152</v>
      </c>
      <c r="M15">
        <v>3198</v>
      </c>
      <c r="N15">
        <v>3245</v>
      </c>
      <c r="O15">
        <v>3299</v>
      </c>
      <c r="P15">
        <v>3346</v>
      </c>
      <c r="Q15">
        <v>3393</v>
      </c>
      <c r="R15">
        <v>3437</v>
      </c>
      <c r="S15">
        <v>3474</v>
      </c>
      <c r="T15">
        <v>3506</v>
      </c>
      <c r="U15">
        <v>3532</v>
      </c>
      <c r="V15">
        <v>3540</v>
      </c>
      <c r="W15">
        <v>3531</v>
      </c>
      <c r="X15">
        <v>3515</v>
      </c>
      <c r="Y15">
        <v>3495</v>
      </c>
      <c r="Z15">
        <v>3454</v>
      </c>
      <c r="AA15">
        <v>3400</v>
      </c>
      <c r="AB15">
        <v>3346</v>
      </c>
      <c r="AC15">
        <v>3291</v>
      </c>
      <c r="AD15">
        <v>3222</v>
      </c>
      <c r="AE15">
        <v>3131</v>
      </c>
      <c r="AF15">
        <v>3047</v>
      </c>
      <c r="AG15">
        <v>2968</v>
      </c>
      <c r="AH15">
        <v>2941</v>
      </c>
      <c r="AI15">
        <v>2957</v>
      </c>
      <c r="AJ15">
        <v>2982</v>
      </c>
      <c r="AK15">
        <v>3012</v>
      </c>
      <c r="AL15">
        <v>3061</v>
      </c>
      <c r="AM15">
        <v>3128</v>
      </c>
      <c r="AN15">
        <v>3199</v>
      </c>
      <c r="AO15">
        <v>3271</v>
      </c>
      <c r="AP15">
        <v>3331</v>
      </c>
      <c r="AQ15">
        <v>3377</v>
      </c>
      <c r="AR15">
        <v>3420</v>
      </c>
      <c r="AS15">
        <v>3461</v>
      </c>
      <c r="AT15">
        <v>3497</v>
      </c>
      <c r="AU15">
        <v>3518</v>
      </c>
      <c r="AV15">
        <v>3538</v>
      </c>
      <c r="AW15">
        <v>3553</v>
      </c>
      <c r="AX15">
        <v>3564</v>
      </c>
      <c r="AY15">
        <v>3576</v>
      </c>
      <c r="AZ15">
        <v>3587</v>
      </c>
      <c r="BA15">
        <v>3596</v>
      </c>
      <c r="BB15">
        <v>3608</v>
      </c>
      <c r="BC15">
        <v>3626</v>
      </c>
      <c r="BD15">
        <v>3644</v>
      </c>
      <c r="BE15">
        <v>3662</v>
      </c>
      <c r="BF15">
        <v>3675</v>
      </c>
      <c r="BG15">
        <v>3677</v>
      </c>
      <c r="BH15">
        <v>3680</v>
      </c>
      <c r="BI15">
        <v>3683</v>
      </c>
      <c r="BJ15">
        <v>3683</v>
      </c>
      <c r="BK15">
        <v>3683</v>
      </c>
      <c r="BL15">
        <v>3686</v>
      </c>
      <c r="BM15">
        <v>3687</v>
      </c>
      <c r="BN15">
        <v>3678</v>
      </c>
      <c r="BO15">
        <v>3667</v>
      </c>
      <c r="BP15">
        <v>3654</v>
      </c>
      <c r="BQ15">
        <v>3642</v>
      </c>
      <c r="BR15">
        <v>3643</v>
      </c>
      <c r="BS15">
        <v>3658</v>
      </c>
      <c r="BT15">
        <v>3674</v>
      </c>
      <c r="BU15">
        <v>3693</v>
      </c>
      <c r="BV15">
        <v>3740</v>
      </c>
      <c r="BW15">
        <v>3811</v>
      </c>
      <c r="BX15">
        <v>3883</v>
      </c>
      <c r="BY15">
        <v>3958</v>
      </c>
      <c r="BZ15">
        <v>4026</v>
      </c>
      <c r="CA15">
        <v>4093</v>
      </c>
      <c r="CB15">
        <v>4154</v>
      </c>
      <c r="CC15">
        <v>4211</v>
      </c>
      <c r="CD15">
        <v>4237</v>
      </c>
      <c r="CE15">
        <v>4225</v>
      </c>
      <c r="CF15">
        <v>4209</v>
      </c>
      <c r="CG15">
        <v>4185</v>
      </c>
      <c r="CH15">
        <v>4143</v>
      </c>
      <c r="CI15">
        <v>4086</v>
      </c>
      <c r="CJ15">
        <v>4028</v>
      </c>
      <c r="CK15">
        <v>3969</v>
      </c>
      <c r="CL15">
        <v>3904</v>
      </c>
      <c r="CM15">
        <v>3833</v>
      </c>
      <c r="CN15">
        <v>3761</v>
      </c>
      <c r="CO15">
        <v>3688</v>
      </c>
      <c r="CP15">
        <v>3614</v>
      </c>
      <c r="CQ15">
        <v>3535</v>
      </c>
      <c r="CR15">
        <v>3454</v>
      </c>
      <c r="CS15">
        <v>3374</v>
      </c>
    </row>
    <row r="16" spans="1:97">
      <c r="A16" s="9">
        <v>46249</v>
      </c>
      <c r="B16">
        <v>3240</v>
      </c>
      <c r="C16">
        <v>3151</v>
      </c>
      <c r="D16">
        <v>3065</v>
      </c>
      <c r="E16">
        <v>2979</v>
      </c>
      <c r="F16">
        <v>2900</v>
      </c>
      <c r="G16">
        <v>2829</v>
      </c>
      <c r="H16">
        <v>2760</v>
      </c>
      <c r="I16">
        <v>2693</v>
      </c>
      <c r="J16">
        <v>2635</v>
      </c>
      <c r="K16">
        <v>2587</v>
      </c>
      <c r="L16">
        <v>2540</v>
      </c>
      <c r="M16">
        <v>2494</v>
      </c>
      <c r="N16">
        <v>2451</v>
      </c>
      <c r="O16">
        <v>2412</v>
      </c>
      <c r="P16">
        <v>2375</v>
      </c>
      <c r="Q16">
        <v>2339</v>
      </c>
      <c r="R16">
        <v>2303</v>
      </c>
      <c r="S16">
        <v>2263</v>
      </c>
      <c r="T16">
        <v>2223</v>
      </c>
      <c r="U16">
        <v>2171</v>
      </c>
      <c r="V16">
        <v>2107</v>
      </c>
      <c r="W16">
        <v>2029</v>
      </c>
      <c r="X16">
        <v>1948</v>
      </c>
      <c r="Y16">
        <v>1865</v>
      </c>
      <c r="Z16">
        <v>1764</v>
      </c>
      <c r="AA16">
        <v>1645</v>
      </c>
      <c r="AB16">
        <v>1525</v>
      </c>
      <c r="AC16">
        <v>1409</v>
      </c>
      <c r="AD16">
        <v>1295</v>
      </c>
      <c r="AE16">
        <v>1184</v>
      </c>
      <c r="AF16">
        <v>1076</v>
      </c>
      <c r="AG16">
        <v>973</v>
      </c>
      <c r="AH16">
        <v>897</v>
      </c>
      <c r="AI16">
        <v>843</v>
      </c>
      <c r="AJ16">
        <v>796</v>
      </c>
      <c r="AK16">
        <v>753</v>
      </c>
      <c r="AL16">
        <v>714</v>
      </c>
      <c r="AM16">
        <v>686</v>
      </c>
      <c r="AN16">
        <v>661</v>
      </c>
      <c r="AO16">
        <v>638</v>
      </c>
      <c r="AP16">
        <v>617</v>
      </c>
      <c r="AQ16">
        <v>600</v>
      </c>
      <c r="AR16">
        <v>583</v>
      </c>
      <c r="AS16">
        <v>564</v>
      </c>
      <c r="AT16">
        <v>547</v>
      </c>
      <c r="AU16">
        <v>530</v>
      </c>
      <c r="AV16">
        <v>515</v>
      </c>
      <c r="AW16">
        <v>500</v>
      </c>
      <c r="AX16">
        <v>496</v>
      </c>
      <c r="AY16">
        <v>486</v>
      </c>
      <c r="AZ16">
        <v>489</v>
      </c>
      <c r="BA16">
        <v>479</v>
      </c>
      <c r="BB16">
        <v>482</v>
      </c>
      <c r="BC16">
        <v>486</v>
      </c>
      <c r="BD16">
        <v>489</v>
      </c>
      <c r="BE16">
        <v>492</v>
      </c>
      <c r="BF16">
        <v>496</v>
      </c>
      <c r="BG16">
        <v>502</v>
      </c>
      <c r="BH16">
        <v>509</v>
      </c>
      <c r="BI16">
        <v>521</v>
      </c>
      <c r="BJ16">
        <v>533</v>
      </c>
      <c r="BK16">
        <v>548</v>
      </c>
      <c r="BL16">
        <v>565</v>
      </c>
      <c r="BM16">
        <v>580</v>
      </c>
      <c r="BN16">
        <v>598</v>
      </c>
      <c r="BO16">
        <v>619</v>
      </c>
      <c r="BP16">
        <v>640</v>
      </c>
      <c r="BQ16">
        <v>660</v>
      </c>
      <c r="BR16">
        <v>681</v>
      </c>
      <c r="BS16">
        <v>699</v>
      </c>
      <c r="BT16">
        <v>717</v>
      </c>
      <c r="BU16">
        <v>738</v>
      </c>
      <c r="BV16">
        <v>770</v>
      </c>
      <c r="BW16">
        <v>812</v>
      </c>
      <c r="BX16">
        <v>855</v>
      </c>
      <c r="BY16">
        <v>899</v>
      </c>
      <c r="BZ16">
        <v>948</v>
      </c>
      <c r="CA16">
        <v>996</v>
      </c>
      <c r="CB16">
        <v>1043</v>
      </c>
      <c r="CC16">
        <v>1089</v>
      </c>
      <c r="CD16">
        <v>1121</v>
      </c>
      <c r="CE16">
        <v>1142</v>
      </c>
      <c r="CF16">
        <v>1161</v>
      </c>
      <c r="CG16">
        <v>1178</v>
      </c>
      <c r="CH16">
        <v>1187</v>
      </c>
      <c r="CI16">
        <v>1193</v>
      </c>
      <c r="CJ16">
        <v>1200</v>
      </c>
      <c r="CK16">
        <v>1208</v>
      </c>
      <c r="CL16">
        <v>1220</v>
      </c>
      <c r="CM16">
        <v>1229</v>
      </c>
      <c r="CN16">
        <v>1238</v>
      </c>
      <c r="CO16">
        <v>1247</v>
      </c>
      <c r="CP16">
        <v>1243</v>
      </c>
      <c r="CQ16">
        <v>1228</v>
      </c>
      <c r="CR16">
        <v>1209</v>
      </c>
      <c r="CS16">
        <v>1193</v>
      </c>
    </row>
    <row r="17" spans="1:97">
      <c r="A17" s="9">
        <v>46250</v>
      </c>
      <c r="B17">
        <v>1535</v>
      </c>
      <c r="C17">
        <v>1501</v>
      </c>
      <c r="D17">
        <v>1469</v>
      </c>
      <c r="E17">
        <v>1434</v>
      </c>
      <c r="F17">
        <v>1401</v>
      </c>
      <c r="G17">
        <v>1366</v>
      </c>
      <c r="H17">
        <v>1329</v>
      </c>
      <c r="I17">
        <v>1291</v>
      </c>
      <c r="J17">
        <v>1256</v>
      </c>
      <c r="K17">
        <v>1225</v>
      </c>
      <c r="L17">
        <v>1194</v>
      </c>
      <c r="M17">
        <v>1162</v>
      </c>
      <c r="N17">
        <v>1133</v>
      </c>
      <c r="O17">
        <v>1109</v>
      </c>
      <c r="P17">
        <v>1085</v>
      </c>
      <c r="Q17">
        <v>1067</v>
      </c>
      <c r="R17">
        <v>1045</v>
      </c>
      <c r="S17">
        <v>1024</v>
      </c>
      <c r="T17">
        <v>1002</v>
      </c>
      <c r="U17">
        <v>979</v>
      </c>
      <c r="V17">
        <v>955</v>
      </c>
      <c r="W17">
        <v>929</v>
      </c>
      <c r="X17">
        <v>898</v>
      </c>
      <c r="Y17">
        <v>871</v>
      </c>
      <c r="Z17">
        <v>844</v>
      </c>
      <c r="AA17">
        <v>807</v>
      </c>
      <c r="AB17">
        <v>768</v>
      </c>
      <c r="AC17">
        <v>731</v>
      </c>
      <c r="AD17">
        <v>691</v>
      </c>
      <c r="AE17">
        <v>651</v>
      </c>
      <c r="AF17">
        <v>609</v>
      </c>
      <c r="AG17">
        <v>566</v>
      </c>
      <c r="AH17">
        <v>532</v>
      </c>
      <c r="AI17">
        <v>507</v>
      </c>
      <c r="AJ17">
        <v>484</v>
      </c>
      <c r="AK17">
        <v>461</v>
      </c>
      <c r="AL17">
        <v>443</v>
      </c>
      <c r="AM17">
        <v>433</v>
      </c>
      <c r="AN17">
        <v>425</v>
      </c>
      <c r="AO17">
        <v>416</v>
      </c>
      <c r="AP17">
        <v>415</v>
      </c>
      <c r="AQ17">
        <v>419</v>
      </c>
      <c r="AR17">
        <v>423</v>
      </c>
      <c r="AS17">
        <v>426</v>
      </c>
      <c r="AT17">
        <v>431</v>
      </c>
      <c r="AU17">
        <v>433</v>
      </c>
      <c r="AV17">
        <v>435</v>
      </c>
      <c r="AW17">
        <v>439</v>
      </c>
      <c r="AX17">
        <v>446</v>
      </c>
      <c r="AY17">
        <v>459</v>
      </c>
      <c r="AZ17">
        <v>474</v>
      </c>
      <c r="BA17">
        <v>490</v>
      </c>
      <c r="BB17">
        <v>506</v>
      </c>
      <c r="BC17">
        <v>528</v>
      </c>
      <c r="BD17">
        <v>548</v>
      </c>
      <c r="BE17">
        <v>565</v>
      </c>
      <c r="BF17">
        <v>579</v>
      </c>
      <c r="BG17">
        <v>588</v>
      </c>
      <c r="BH17">
        <v>599</v>
      </c>
      <c r="BI17">
        <v>613</v>
      </c>
      <c r="BJ17">
        <v>623</v>
      </c>
      <c r="BK17">
        <v>640</v>
      </c>
      <c r="BL17">
        <v>654</v>
      </c>
      <c r="BM17">
        <v>674</v>
      </c>
      <c r="BN17">
        <v>688</v>
      </c>
      <c r="BO17">
        <v>703</v>
      </c>
      <c r="BP17">
        <v>723</v>
      </c>
      <c r="BQ17">
        <v>743</v>
      </c>
      <c r="BR17">
        <v>760</v>
      </c>
      <c r="BS17">
        <v>770</v>
      </c>
      <c r="BT17">
        <v>782</v>
      </c>
      <c r="BU17">
        <v>794</v>
      </c>
      <c r="BV17">
        <v>816</v>
      </c>
      <c r="BW17">
        <v>844</v>
      </c>
      <c r="BX17">
        <v>877</v>
      </c>
      <c r="BY17">
        <v>913</v>
      </c>
      <c r="BZ17">
        <v>958</v>
      </c>
      <c r="CA17">
        <v>1002</v>
      </c>
      <c r="CB17">
        <v>1039</v>
      </c>
      <c r="CC17">
        <v>1084</v>
      </c>
      <c r="CD17">
        <v>1112</v>
      </c>
      <c r="CE17">
        <v>1126</v>
      </c>
      <c r="CF17">
        <v>1138</v>
      </c>
      <c r="CG17">
        <v>1149</v>
      </c>
      <c r="CH17">
        <v>1161</v>
      </c>
      <c r="CI17">
        <v>1167</v>
      </c>
      <c r="CJ17">
        <v>1177</v>
      </c>
      <c r="CK17">
        <v>1189</v>
      </c>
      <c r="CL17">
        <v>1203</v>
      </c>
      <c r="CM17">
        <v>1219</v>
      </c>
      <c r="CN17">
        <v>1236</v>
      </c>
      <c r="CO17">
        <v>1253</v>
      </c>
      <c r="CP17">
        <v>1265</v>
      </c>
      <c r="CQ17">
        <v>1273</v>
      </c>
      <c r="CR17">
        <v>1280</v>
      </c>
      <c r="CS17">
        <v>1287</v>
      </c>
    </row>
    <row r="18" spans="1:97">
      <c r="A18" s="9">
        <v>46251</v>
      </c>
      <c r="B18">
        <v>1399</v>
      </c>
      <c r="C18">
        <v>1402</v>
      </c>
      <c r="D18">
        <v>1407</v>
      </c>
      <c r="E18">
        <v>1413</v>
      </c>
      <c r="F18">
        <v>1422</v>
      </c>
      <c r="G18">
        <v>1433</v>
      </c>
      <c r="H18">
        <v>1442</v>
      </c>
      <c r="I18">
        <v>1451</v>
      </c>
      <c r="J18">
        <v>1451</v>
      </c>
      <c r="K18">
        <v>1451</v>
      </c>
      <c r="L18">
        <v>1450</v>
      </c>
      <c r="M18">
        <v>1447</v>
      </c>
      <c r="N18">
        <v>1445</v>
      </c>
      <c r="O18">
        <v>1448</v>
      </c>
      <c r="P18">
        <v>1456</v>
      </c>
      <c r="Q18">
        <v>1466</v>
      </c>
      <c r="R18">
        <v>1478</v>
      </c>
      <c r="S18">
        <v>1499</v>
      </c>
      <c r="T18">
        <v>1522</v>
      </c>
      <c r="U18">
        <v>1548</v>
      </c>
      <c r="V18">
        <v>1564</v>
      </c>
      <c r="W18">
        <v>1557</v>
      </c>
      <c r="X18">
        <v>1547</v>
      </c>
      <c r="Y18">
        <v>1540</v>
      </c>
      <c r="Z18">
        <v>1526</v>
      </c>
      <c r="AA18">
        <v>1517</v>
      </c>
      <c r="AB18">
        <v>1506</v>
      </c>
      <c r="AC18">
        <v>1497</v>
      </c>
      <c r="AD18">
        <v>1485</v>
      </c>
      <c r="AE18">
        <v>1452</v>
      </c>
      <c r="AF18">
        <v>1421</v>
      </c>
      <c r="AG18">
        <v>1390</v>
      </c>
      <c r="AH18">
        <v>1374</v>
      </c>
      <c r="AI18">
        <v>1379</v>
      </c>
      <c r="AJ18">
        <v>1385</v>
      </c>
      <c r="AK18">
        <v>1389</v>
      </c>
      <c r="AL18">
        <v>1404</v>
      </c>
      <c r="AM18">
        <v>1428</v>
      </c>
      <c r="AN18">
        <v>1456</v>
      </c>
      <c r="AO18">
        <v>1484</v>
      </c>
      <c r="AP18">
        <v>1517</v>
      </c>
      <c r="AQ18">
        <v>1555</v>
      </c>
      <c r="AR18">
        <v>1593</v>
      </c>
      <c r="AS18">
        <v>1630</v>
      </c>
      <c r="AT18">
        <v>1654</v>
      </c>
      <c r="AU18">
        <v>1664</v>
      </c>
      <c r="AV18">
        <v>1675</v>
      </c>
      <c r="AW18">
        <v>1684</v>
      </c>
      <c r="AX18">
        <v>1702</v>
      </c>
      <c r="AY18">
        <v>1724</v>
      </c>
      <c r="AZ18">
        <v>1749</v>
      </c>
      <c r="BA18">
        <v>1773</v>
      </c>
      <c r="BB18">
        <v>1789</v>
      </c>
      <c r="BC18">
        <v>1807</v>
      </c>
      <c r="BD18">
        <v>1820</v>
      </c>
      <c r="BE18">
        <v>1831</v>
      </c>
      <c r="BF18">
        <v>1827</v>
      </c>
      <c r="BG18">
        <v>1810</v>
      </c>
      <c r="BH18">
        <v>1792</v>
      </c>
      <c r="BI18">
        <v>1773</v>
      </c>
      <c r="BJ18">
        <v>1749</v>
      </c>
      <c r="BK18">
        <v>1723</v>
      </c>
      <c r="BL18">
        <v>1699</v>
      </c>
      <c r="BM18">
        <v>1677</v>
      </c>
      <c r="BN18">
        <v>1653</v>
      </c>
      <c r="BO18">
        <v>1626</v>
      </c>
      <c r="BP18">
        <v>1602</v>
      </c>
      <c r="BQ18">
        <v>1582</v>
      </c>
      <c r="BR18">
        <v>1557</v>
      </c>
      <c r="BS18">
        <v>1526</v>
      </c>
      <c r="BT18">
        <v>1505</v>
      </c>
      <c r="BU18">
        <v>1493</v>
      </c>
      <c r="BV18">
        <v>1484</v>
      </c>
      <c r="BW18">
        <v>1486</v>
      </c>
      <c r="BX18">
        <v>1486</v>
      </c>
      <c r="BY18">
        <v>1485</v>
      </c>
      <c r="BZ18">
        <v>1487</v>
      </c>
      <c r="CA18">
        <v>1487</v>
      </c>
      <c r="CB18">
        <v>1481</v>
      </c>
      <c r="CC18">
        <v>1478</v>
      </c>
      <c r="CD18">
        <v>1468</v>
      </c>
      <c r="CE18">
        <v>1444</v>
      </c>
      <c r="CF18">
        <v>1418</v>
      </c>
      <c r="CG18">
        <v>1393</v>
      </c>
      <c r="CH18">
        <v>1374</v>
      </c>
      <c r="CI18">
        <v>1361</v>
      </c>
      <c r="CJ18">
        <v>1342</v>
      </c>
      <c r="CK18">
        <v>1325</v>
      </c>
      <c r="CL18">
        <v>1312</v>
      </c>
      <c r="CM18">
        <v>1301</v>
      </c>
      <c r="CN18">
        <v>1300</v>
      </c>
      <c r="CO18">
        <v>1303</v>
      </c>
      <c r="CP18">
        <v>1301</v>
      </c>
      <c r="CQ18">
        <v>1300</v>
      </c>
      <c r="CR18">
        <v>1299</v>
      </c>
      <c r="CS18">
        <v>1294</v>
      </c>
    </row>
    <row r="19" spans="1:97">
      <c r="A19" s="9">
        <v>46252</v>
      </c>
      <c r="B19">
        <v>1448</v>
      </c>
      <c r="C19">
        <v>1419</v>
      </c>
      <c r="D19">
        <v>1393</v>
      </c>
      <c r="E19">
        <v>1374</v>
      </c>
      <c r="F19">
        <v>1363</v>
      </c>
      <c r="G19">
        <v>1342</v>
      </c>
      <c r="H19">
        <v>1318</v>
      </c>
      <c r="I19">
        <v>1297</v>
      </c>
      <c r="J19">
        <v>1275</v>
      </c>
      <c r="K19">
        <v>1260</v>
      </c>
      <c r="L19">
        <v>1244</v>
      </c>
      <c r="M19">
        <v>1224</v>
      </c>
      <c r="N19">
        <v>1209</v>
      </c>
      <c r="O19">
        <v>1193</v>
      </c>
      <c r="P19">
        <v>1179</v>
      </c>
      <c r="Q19">
        <v>1165</v>
      </c>
      <c r="R19">
        <v>1147</v>
      </c>
      <c r="S19">
        <v>1129</v>
      </c>
      <c r="T19">
        <v>1112</v>
      </c>
      <c r="U19">
        <v>1095</v>
      </c>
      <c r="V19">
        <v>1066</v>
      </c>
      <c r="W19">
        <v>1033</v>
      </c>
      <c r="X19">
        <v>997</v>
      </c>
      <c r="Y19">
        <v>962</v>
      </c>
      <c r="Z19">
        <v>922</v>
      </c>
      <c r="AA19">
        <v>883</v>
      </c>
      <c r="AB19">
        <v>835</v>
      </c>
      <c r="AC19">
        <v>799</v>
      </c>
      <c r="AD19">
        <v>750</v>
      </c>
      <c r="AE19">
        <v>702</v>
      </c>
      <c r="AF19">
        <v>654</v>
      </c>
      <c r="AG19">
        <v>609</v>
      </c>
      <c r="AH19">
        <v>580</v>
      </c>
      <c r="AI19">
        <v>563</v>
      </c>
      <c r="AJ19">
        <v>548</v>
      </c>
      <c r="AK19">
        <v>530</v>
      </c>
      <c r="AL19">
        <v>521</v>
      </c>
      <c r="AM19">
        <v>515</v>
      </c>
      <c r="AN19">
        <v>511</v>
      </c>
      <c r="AO19">
        <v>508</v>
      </c>
      <c r="AP19">
        <v>509</v>
      </c>
      <c r="AQ19">
        <v>510</v>
      </c>
      <c r="AR19">
        <v>511</v>
      </c>
      <c r="AS19">
        <v>506</v>
      </c>
      <c r="AT19">
        <v>508</v>
      </c>
      <c r="AU19">
        <v>508</v>
      </c>
      <c r="AV19">
        <v>510</v>
      </c>
      <c r="AW19">
        <v>512</v>
      </c>
      <c r="AX19">
        <v>515</v>
      </c>
      <c r="AY19">
        <v>522</v>
      </c>
      <c r="AZ19">
        <v>529</v>
      </c>
      <c r="BA19">
        <v>538</v>
      </c>
      <c r="BB19">
        <v>548</v>
      </c>
      <c r="BC19">
        <v>562</v>
      </c>
      <c r="BD19">
        <v>577</v>
      </c>
      <c r="BE19">
        <v>591</v>
      </c>
      <c r="BF19">
        <v>607</v>
      </c>
      <c r="BG19">
        <v>625</v>
      </c>
      <c r="BH19">
        <v>644</v>
      </c>
      <c r="BI19">
        <v>664</v>
      </c>
      <c r="BJ19">
        <v>681</v>
      </c>
      <c r="BK19">
        <v>701</v>
      </c>
      <c r="BL19">
        <v>721</v>
      </c>
      <c r="BM19">
        <v>742</v>
      </c>
      <c r="BN19">
        <v>761</v>
      </c>
      <c r="BO19">
        <v>770</v>
      </c>
      <c r="BP19">
        <v>780</v>
      </c>
      <c r="BQ19">
        <v>790</v>
      </c>
      <c r="BR19">
        <v>801</v>
      </c>
      <c r="BS19">
        <v>816</v>
      </c>
      <c r="BT19">
        <v>832</v>
      </c>
      <c r="BU19">
        <v>849</v>
      </c>
      <c r="BV19">
        <v>861</v>
      </c>
      <c r="BW19">
        <v>867</v>
      </c>
      <c r="BX19">
        <v>874</v>
      </c>
      <c r="BY19">
        <v>882</v>
      </c>
      <c r="BZ19">
        <v>893</v>
      </c>
      <c r="CA19">
        <v>916</v>
      </c>
      <c r="CB19">
        <v>927</v>
      </c>
      <c r="CC19">
        <v>939</v>
      </c>
      <c r="CD19">
        <v>944</v>
      </c>
      <c r="CE19">
        <v>943</v>
      </c>
      <c r="CF19">
        <v>946</v>
      </c>
      <c r="CG19">
        <v>945</v>
      </c>
      <c r="CH19">
        <v>944</v>
      </c>
      <c r="CI19">
        <v>944</v>
      </c>
      <c r="CJ19">
        <v>939</v>
      </c>
      <c r="CK19">
        <v>938</v>
      </c>
      <c r="CL19">
        <v>937</v>
      </c>
      <c r="CM19">
        <v>936</v>
      </c>
      <c r="CN19">
        <v>933</v>
      </c>
      <c r="CO19">
        <v>929</v>
      </c>
      <c r="CP19">
        <v>922</v>
      </c>
      <c r="CQ19">
        <v>912</v>
      </c>
      <c r="CR19">
        <v>902</v>
      </c>
      <c r="CS19">
        <v>888</v>
      </c>
    </row>
    <row r="20" spans="1:97">
      <c r="A20" s="9">
        <v>46253</v>
      </c>
      <c r="B20">
        <v>704</v>
      </c>
      <c r="C20">
        <v>692</v>
      </c>
      <c r="D20">
        <v>678</v>
      </c>
      <c r="E20">
        <v>665</v>
      </c>
      <c r="F20">
        <v>658</v>
      </c>
      <c r="G20">
        <v>653</v>
      </c>
      <c r="H20">
        <v>649</v>
      </c>
      <c r="I20">
        <v>645</v>
      </c>
      <c r="J20">
        <v>638</v>
      </c>
      <c r="K20">
        <v>630</v>
      </c>
      <c r="L20">
        <v>623</v>
      </c>
      <c r="M20">
        <v>615</v>
      </c>
      <c r="N20">
        <v>608</v>
      </c>
      <c r="O20">
        <v>602</v>
      </c>
      <c r="P20">
        <v>597</v>
      </c>
      <c r="Q20">
        <v>594</v>
      </c>
      <c r="R20">
        <v>591</v>
      </c>
      <c r="S20">
        <v>587</v>
      </c>
      <c r="T20">
        <v>583</v>
      </c>
      <c r="U20">
        <v>579</v>
      </c>
      <c r="V20">
        <v>570</v>
      </c>
      <c r="W20">
        <v>557</v>
      </c>
      <c r="X20">
        <v>546</v>
      </c>
      <c r="Y20">
        <v>534</v>
      </c>
      <c r="Z20">
        <v>521</v>
      </c>
      <c r="AA20">
        <v>507</v>
      </c>
      <c r="AB20">
        <v>495</v>
      </c>
      <c r="AC20">
        <v>484</v>
      </c>
      <c r="AD20">
        <v>471</v>
      </c>
      <c r="AE20">
        <v>458</v>
      </c>
      <c r="AF20">
        <v>446</v>
      </c>
      <c r="AG20">
        <v>435</v>
      </c>
      <c r="AH20">
        <v>426</v>
      </c>
      <c r="AI20">
        <v>423</v>
      </c>
      <c r="AJ20">
        <v>420</v>
      </c>
      <c r="AK20">
        <v>418</v>
      </c>
      <c r="AL20">
        <v>419</v>
      </c>
      <c r="AM20">
        <v>421</v>
      </c>
      <c r="AN20">
        <v>423</v>
      </c>
      <c r="AO20">
        <v>425</v>
      </c>
      <c r="AP20">
        <v>429</v>
      </c>
      <c r="AQ20">
        <v>434</v>
      </c>
      <c r="AR20">
        <v>439</v>
      </c>
      <c r="AS20">
        <v>445</v>
      </c>
      <c r="AT20">
        <v>450</v>
      </c>
      <c r="AU20">
        <v>457</v>
      </c>
      <c r="AV20">
        <v>464</v>
      </c>
      <c r="AW20">
        <v>471</v>
      </c>
      <c r="AX20">
        <v>477</v>
      </c>
      <c r="AY20">
        <v>483</v>
      </c>
      <c r="AZ20">
        <v>488</v>
      </c>
      <c r="BA20">
        <v>495</v>
      </c>
      <c r="BB20">
        <v>503</v>
      </c>
      <c r="BC20">
        <v>512</v>
      </c>
      <c r="BD20">
        <v>523</v>
      </c>
      <c r="BE20">
        <v>536</v>
      </c>
      <c r="BF20">
        <v>548</v>
      </c>
      <c r="BG20">
        <v>565</v>
      </c>
      <c r="BH20">
        <v>583</v>
      </c>
      <c r="BI20">
        <v>602</v>
      </c>
      <c r="BJ20">
        <v>623</v>
      </c>
      <c r="BK20">
        <v>645</v>
      </c>
      <c r="BL20">
        <v>670</v>
      </c>
      <c r="BM20">
        <v>697</v>
      </c>
      <c r="BN20">
        <v>728</v>
      </c>
      <c r="BO20">
        <v>759</v>
      </c>
      <c r="BP20">
        <v>791</v>
      </c>
      <c r="BQ20">
        <v>823</v>
      </c>
      <c r="BR20">
        <v>865</v>
      </c>
      <c r="BS20">
        <v>916</v>
      </c>
      <c r="BT20">
        <v>968</v>
      </c>
      <c r="BU20">
        <v>1021</v>
      </c>
      <c r="BV20">
        <v>1080</v>
      </c>
      <c r="BW20">
        <v>1145</v>
      </c>
      <c r="BX20">
        <v>1214</v>
      </c>
      <c r="BY20">
        <v>1289</v>
      </c>
      <c r="BZ20">
        <v>1362</v>
      </c>
      <c r="CA20">
        <v>1437</v>
      </c>
      <c r="CB20">
        <v>1514</v>
      </c>
      <c r="CC20">
        <v>1589</v>
      </c>
      <c r="CD20">
        <v>1642</v>
      </c>
      <c r="CE20">
        <v>1675</v>
      </c>
      <c r="CF20">
        <v>1705</v>
      </c>
      <c r="CG20">
        <v>1729</v>
      </c>
      <c r="CH20">
        <v>1747</v>
      </c>
      <c r="CI20">
        <v>1761</v>
      </c>
      <c r="CJ20">
        <v>1774</v>
      </c>
      <c r="CK20">
        <v>1786</v>
      </c>
      <c r="CL20">
        <v>1790</v>
      </c>
      <c r="CM20">
        <v>1783</v>
      </c>
      <c r="CN20">
        <v>1774</v>
      </c>
      <c r="CO20">
        <v>1764</v>
      </c>
      <c r="CP20">
        <v>1747</v>
      </c>
      <c r="CQ20">
        <v>1725</v>
      </c>
      <c r="CR20">
        <v>1702</v>
      </c>
      <c r="CS20">
        <v>1672</v>
      </c>
    </row>
    <row r="21" spans="1:97">
      <c r="A21" s="9">
        <v>46254</v>
      </c>
      <c r="B21">
        <v>2126</v>
      </c>
      <c r="C21">
        <v>2118</v>
      </c>
      <c r="D21">
        <v>2109</v>
      </c>
      <c r="E21">
        <v>2100</v>
      </c>
      <c r="F21">
        <v>2087</v>
      </c>
      <c r="G21">
        <v>2065</v>
      </c>
      <c r="H21">
        <v>2046</v>
      </c>
      <c r="I21">
        <v>2024</v>
      </c>
      <c r="J21">
        <v>2003</v>
      </c>
      <c r="K21">
        <v>1979</v>
      </c>
      <c r="L21">
        <v>1955</v>
      </c>
      <c r="M21">
        <v>1930</v>
      </c>
      <c r="N21">
        <v>1908</v>
      </c>
      <c r="O21">
        <v>1889</v>
      </c>
      <c r="P21">
        <v>1871</v>
      </c>
      <c r="Q21">
        <v>1855</v>
      </c>
      <c r="R21">
        <v>1839</v>
      </c>
      <c r="S21">
        <v>1824</v>
      </c>
      <c r="T21">
        <v>1808</v>
      </c>
      <c r="U21">
        <v>1792</v>
      </c>
      <c r="V21">
        <v>1773</v>
      </c>
      <c r="W21">
        <v>1753</v>
      </c>
      <c r="X21">
        <v>1731</v>
      </c>
      <c r="Y21">
        <v>1707</v>
      </c>
      <c r="Z21">
        <v>1675</v>
      </c>
      <c r="AA21">
        <v>1631</v>
      </c>
      <c r="AB21">
        <v>1592</v>
      </c>
      <c r="AC21">
        <v>1557</v>
      </c>
      <c r="AD21">
        <v>1521</v>
      </c>
      <c r="AE21">
        <v>1498</v>
      </c>
      <c r="AF21">
        <v>1478</v>
      </c>
      <c r="AG21">
        <v>1466</v>
      </c>
      <c r="AH21">
        <v>1481</v>
      </c>
      <c r="AI21">
        <v>1545</v>
      </c>
      <c r="AJ21">
        <v>1613</v>
      </c>
      <c r="AK21">
        <v>1687</v>
      </c>
      <c r="AL21">
        <v>1776</v>
      </c>
      <c r="AM21">
        <v>1881</v>
      </c>
      <c r="AN21">
        <v>1989</v>
      </c>
      <c r="AO21">
        <v>2099</v>
      </c>
      <c r="AP21">
        <v>2215</v>
      </c>
      <c r="AQ21">
        <v>2329</v>
      </c>
      <c r="AR21">
        <v>2444</v>
      </c>
      <c r="AS21">
        <v>2557</v>
      </c>
      <c r="AT21">
        <v>2668</v>
      </c>
      <c r="AU21">
        <v>2775</v>
      </c>
      <c r="AV21">
        <v>2880</v>
      </c>
      <c r="AW21">
        <v>2984</v>
      </c>
      <c r="AX21">
        <v>3085</v>
      </c>
      <c r="AY21">
        <v>3183</v>
      </c>
      <c r="AZ21">
        <v>3283</v>
      </c>
      <c r="BA21">
        <v>3382</v>
      </c>
      <c r="BB21">
        <v>3481</v>
      </c>
      <c r="BC21">
        <v>3583</v>
      </c>
      <c r="BD21">
        <v>3687</v>
      </c>
      <c r="BE21">
        <v>3790</v>
      </c>
      <c r="BF21">
        <v>3878</v>
      </c>
      <c r="BG21">
        <v>3961</v>
      </c>
      <c r="BH21">
        <v>4045</v>
      </c>
      <c r="BI21">
        <v>4130</v>
      </c>
      <c r="BJ21">
        <v>4214</v>
      </c>
      <c r="BK21">
        <v>4301</v>
      </c>
      <c r="BL21">
        <v>4389</v>
      </c>
      <c r="BM21">
        <v>4476</v>
      </c>
      <c r="BN21">
        <v>4546</v>
      </c>
      <c r="BO21">
        <v>4602</v>
      </c>
      <c r="BP21">
        <v>4658</v>
      </c>
      <c r="BQ21">
        <v>4715</v>
      </c>
      <c r="BR21">
        <v>4775</v>
      </c>
      <c r="BS21">
        <v>4841</v>
      </c>
      <c r="BT21">
        <v>4911</v>
      </c>
      <c r="BU21">
        <v>4981</v>
      </c>
      <c r="BV21">
        <v>5066</v>
      </c>
      <c r="BW21">
        <v>5171</v>
      </c>
      <c r="BX21">
        <v>5282</v>
      </c>
      <c r="BY21">
        <v>5393</v>
      </c>
      <c r="BZ21">
        <v>5502</v>
      </c>
      <c r="CA21">
        <v>5612</v>
      </c>
      <c r="CB21">
        <v>5722</v>
      </c>
      <c r="CC21">
        <v>5827</v>
      </c>
      <c r="CD21">
        <v>5925</v>
      </c>
      <c r="CE21">
        <v>6002</v>
      </c>
      <c r="CF21">
        <v>6078</v>
      </c>
      <c r="CG21">
        <v>6146</v>
      </c>
      <c r="CH21">
        <v>6205</v>
      </c>
      <c r="CI21">
        <v>6252</v>
      </c>
      <c r="CJ21">
        <v>6297</v>
      </c>
      <c r="CK21">
        <v>6341</v>
      </c>
      <c r="CL21">
        <v>6375</v>
      </c>
      <c r="CM21">
        <v>6401</v>
      </c>
      <c r="CN21">
        <v>6426</v>
      </c>
      <c r="CO21">
        <v>6449</v>
      </c>
      <c r="CP21">
        <v>6536</v>
      </c>
      <c r="CQ21">
        <v>6538</v>
      </c>
      <c r="CR21">
        <v>6538</v>
      </c>
      <c r="CS21">
        <v>6535</v>
      </c>
    </row>
    <row r="22" spans="1:97">
      <c r="A22" s="9">
        <v>46255</v>
      </c>
      <c r="B22">
        <v>6651</v>
      </c>
      <c r="C22">
        <v>6578</v>
      </c>
      <c r="D22">
        <v>6535</v>
      </c>
      <c r="E22">
        <v>6492</v>
      </c>
      <c r="F22">
        <v>6435</v>
      </c>
      <c r="G22">
        <v>6364</v>
      </c>
      <c r="H22">
        <v>6292</v>
      </c>
      <c r="I22">
        <v>6217</v>
      </c>
      <c r="J22">
        <v>6138</v>
      </c>
      <c r="K22">
        <v>6057</v>
      </c>
      <c r="L22">
        <v>5978</v>
      </c>
      <c r="M22">
        <v>5899</v>
      </c>
      <c r="N22">
        <v>5814</v>
      </c>
      <c r="O22">
        <v>5727</v>
      </c>
      <c r="P22">
        <v>5639</v>
      </c>
      <c r="Q22">
        <v>5549</v>
      </c>
      <c r="R22">
        <v>5468</v>
      </c>
      <c r="S22">
        <v>5392</v>
      </c>
      <c r="T22">
        <v>5314</v>
      </c>
      <c r="U22">
        <v>5232</v>
      </c>
      <c r="V22">
        <v>5146</v>
      </c>
      <c r="W22">
        <v>5060</v>
      </c>
      <c r="X22">
        <v>4972</v>
      </c>
      <c r="Y22">
        <v>4885</v>
      </c>
      <c r="Z22">
        <v>4798</v>
      </c>
      <c r="AA22">
        <v>4701</v>
      </c>
      <c r="AB22">
        <v>4608</v>
      </c>
      <c r="AC22">
        <v>4521</v>
      </c>
      <c r="AD22">
        <v>4452</v>
      </c>
      <c r="AE22">
        <v>4404</v>
      </c>
      <c r="AF22">
        <v>4357</v>
      </c>
      <c r="AG22">
        <v>4309</v>
      </c>
      <c r="AH22">
        <v>4271</v>
      </c>
      <c r="AI22">
        <v>4233</v>
      </c>
      <c r="AJ22">
        <v>4195</v>
      </c>
      <c r="AK22">
        <v>4153</v>
      </c>
      <c r="AL22">
        <v>4104</v>
      </c>
      <c r="AM22">
        <v>4041</v>
      </c>
      <c r="AN22">
        <v>3980</v>
      </c>
      <c r="AO22">
        <v>3919</v>
      </c>
      <c r="AP22">
        <v>3859</v>
      </c>
      <c r="AQ22">
        <v>3803</v>
      </c>
      <c r="AR22">
        <v>3745</v>
      </c>
      <c r="AS22">
        <v>3685</v>
      </c>
      <c r="AT22">
        <v>3628</v>
      </c>
      <c r="AU22">
        <v>3581</v>
      </c>
      <c r="AV22">
        <v>3532</v>
      </c>
      <c r="AW22">
        <v>3484</v>
      </c>
      <c r="AX22">
        <v>3434</v>
      </c>
      <c r="AY22">
        <v>3379</v>
      </c>
      <c r="AZ22">
        <v>3331</v>
      </c>
      <c r="BA22">
        <v>3283</v>
      </c>
      <c r="BB22">
        <v>3242</v>
      </c>
      <c r="BC22">
        <v>3208</v>
      </c>
      <c r="BD22">
        <v>3176</v>
      </c>
      <c r="BE22">
        <v>3140</v>
      </c>
      <c r="BF22">
        <v>3114</v>
      </c>
      <c r="BG22">
        <v>3088</v>
      </c>
      <c r="BH22">
        <v>3068</v>
      </c>
      <c r="BI22">
        <v>3053</v>
      </c>
      <c r="BJ22">
        <v>3044</v>
      </c>
      <c r="BK22">
        <v>3040</v>
      </c>
      <c r="BL22">
        <v>3046</v>
      </c>
      <c r="BM22">
        <v>3052</v>
      </c>
      <c r="BN22">
        <v>3066</v>
      </c>
      <c r="BO22">
        <v>3096</v>
      </c>
      <c r="BP22">
        <v>3129</v>
      </c>
      <c r="BQ22">
        <v>3165</v>
      </c>
      <c r="BR22">
        <v>3217</v>
      </c>
      <c r="BS22">
        <v>3279</v>
      </c>
      <c r="BT22">
        <v>3349</v>
      </c>
      <c r="BU22">
        <v>3417</v>
      </c>
      <c r="BV22">
        <v>3501</v>
      </c>
      <c r="BW22">
        <v>3599</v>
      </c>
      <c r="BX22">
        <v>3701</v>
      </c>
      <c r="BY22">
        <v>3801</v>
      </c>
      <c r="BZ22">
        <v>3897</v>
      </c>
      <c r="CA22">
        <v>3997</v>
      </c>
      <c r="CB22">
        <v>4090</v>
      </c>
      <c r="CC22">
        <v>4179</v>
      </c>
      <c r="CD22">
        <v>4252</v>
      </c>
      <c r="CE22">
        <v>4307</v>
      </c>
      <c r="CF22">
        <v>4360</v>
      </c>
      <c r="CG22">
        <v>4403</v>
      </c>
      <c r="CH22">
        <v>4416</v>
      </c>
      <c r="CI22">
        <v>4377</v>
      </c>
      <c r="CJ22">
        <v>4344</v>
      </c>
      <c r="CK22">
        <v>4311</v>
      </c>
      <c r="CL22">
        <v>4275</v>
      </c>
      <c r="CM22">
        <v>4228</v>
      </c>
      <c r="CN22">
        <v>4187</v>
      </c>
      <c r="CO22">
        <v>4148</v>
      </c>
      <c r="CP22">
        <v>4100</v>
      </c>
      <c r="CQ22">
        <v>4019</v>
      </c>
      <c r="CR22">
        <v>3935</v>
      </c>
      <c r="CS22">
        <v>3856</v>
      </c>
    </row>
    <row r="23" spans="1:97">
      <c r="A23" s="9">
        <v>46256</v>
      </c>
      <c r="B23">
        <v>3365</v>
      </c>
      <c r="C23">
        <v>3267</v>
      </c>
      <c r="D23">
        <v>3174</v>
      </c>
      <c r="E23">
        <v>3083</v>
      </c>
      <c r="F23">
        <v>2999</v>
      </c>
      <c r="G23">
        <v>2925</v>
      </c>
      <c r="H23">
        <v>2851</v>
      </c>
      <c r="I23">
        <v>2779</v>
      </c>
      <c r="J23">
        <v>2708</v>
      </c>
      <c r="K23">
        <v>2636</v>
      </c>
      <c r="L23">
        <v>2566</v>
      </c>
      <c r="M23">
        <v>2496</v>
      </c>
      <c r="N23">
        <v>2436</v>
      </c>
      <c r="O23">
        <v>2384</v>
      </c>
      <c r="P23">
        <v>2334</v>
      </c>
      <c r="Q23">
        <v>2286</v>
      </c>
      <c r="R23">
        <v>2244</v>
      </c>
      <c r="S23">
        <v>2207</v>
      </c>
      <c r="T23">
        <v>2171</v>
      </c>
      <c r="U23">
        <v>2133</v>
      </c>
      <c r="V23">
        <v>2095</v>
      </c>
      <c r="W23">
        <v>2051</v>
      </c>
      <c r="X23">
        <v>2005</v>
      </c>
      <c r="Y23">
        <v>1959</v>
      </c>
      <c r="Z23">
        <v>1910</v>
      </c>
      <c r="AA23">
        <v>1863</v>
      </c>
      <c r="AB23">
        <v>1816</v>
      </c>
      <c r="AC23">
        <v>1771</v>
      </c>
      <c r="AD23">
        <v>1742</v>
      </c>
      <c r="AE23">
        <v>1728</v>
      </c>
      <c r="AF23">
        <v>1720</v>
      </c>
      <c r="AG23">
        <v>1715</v>
      </c>
      <c r="AH23">
        <v>1737</v>
      </c>
      <c r="AI23">
        <v>1776</v>
      </c>
      <c r="AJ23">
        <v>1820</v>
      </c>
      <c r="AK23">
        <v>1865</v>
      </c>
      <c r="AL23">
        <v>1925</v>
      </c>
      <c r="AM23">
        <v>1995</v>
      </c>
      <c r="AN23">
        <v>2067</v>
      </c>
      <c r="AO23">
        <v>2143</v>
      </c>
      <c r="AP23">
        <v>2226</v>
      </c>
      <c r="AQ23">
        <v>2319</v>
      </c>
      <c r="AR23">
        <v>2412</v>
      </c>
      <c r="AS23">
        <v>2506</v>
      </c>
      <c r="AT23">
        <v>2594</v>
      </c>
      <c r="AU23">
        <v>2683</v>
      </c>
      <c r="AV23">
        <v>2774</v>
      </c>
      <c r="AW23">
        <v>2861</v>
      </c>
      <c r="AX23">
        <v>2954</v>
      </c>
      <c r="AY23">
        <v>3045</v>
      </c>
      <c r="AZ23">
        <v>3138</v>
      </c>
      <c r="BA23">
        <v>3232</v>
      </c>
      <c r="BB23">
        <v>3327</v>
      </c>
      <c r="BC23">
        <v>3423</v>
      </c>
      <c r="BD23">
        <v>3516</v>
      </c>
      <c r="BE23">
        <v>3610</v>
      </c>
      <c r="BF23">
        <v>3686</v>
      </c>
      <c r="BG23">
        <v>3744</v>
      </c>
      <c r="BH23">
        <v>3802</v>
      </c>
      <c r="BI23">
        <v>3861</v>
      </c>
      <c r="BJ23">
        <v>3919</v>
      </c>
      <c r="BK23">
        <v>3984</v>
      </c>
      <c r="BL23">
        <v>4052</v>
      </c>
      <c r="BM23">
        <v>4120</v>
      </c>
      <c r="BN23">
        <v>4193</v>
      </c>
      <c r="BO23">
        <v>4271</v>
      </c>
      <c r="BP23">
        <v>4353</v>
      </c>
      <c r="BQ23">
        <v>4435</v>
      </c>
      <c r="BR23">
        <v>4516</v>
      </c>
      <c r="BS23">
        <v>4594</v>
      </c>
      <c r="BT23">
        <v>4675</v>
      </c>
      <c r="BU23">
        <v>4754</v>
      </c>
      <c r="BV23">
        <v>4843</v>
      </c>
      <c r="BW23">
        <v>4950</v>
      </c>
      <c r="BX23">
        <v>5054</v>
      </c>
      <c r="BY23">
        <v>5230</v>
      </c>
      <c r="BZ23">
        <v>5348</v>
      </c>
      <c r="CA23">
        <v>5488</v>
      </c>
      <c r="CB23">
        <v>5625</v>
      </c>
      <c r="CC23">
        <v>5758</v>
      </c>
      <c r="CD23">
        <v>5896</v>
      </c>
      <c r="CE23">
        <v>6010</v>
      </c>
      <c r="CF23">
        <v>6131</v>
      </c>
      <c r="CG23">
        <v>6239</v>
      </c>
      <c r="CH23">
        <v>6348</v>
      </c>
      <c r="CI23">
        <v>6447</v>
      </c>
      <c r="CJ23">
        <v>6544</v>
      </c>
      <c r="CK23">
        <v>6641</v>
      </c>
      <c r="CL23">
        <v>6736</v>
      </c>
      <c r="CM23">
        <v>6823</v>
      </c>
      <c r="CN23">
        <v>6903</v>
      </c>
      <c r="CO23">
        <v>6982</v>
      </c>
      <c r="CP23">
        <v>7040</v>
      </c>
      <c r="CQ23">
        <v>7076</v>
      </c>
      <c r="CR23">
        <v>7110</v>
      </c>
      <c r="CS23">
        <v>7187</v>
      </c>
    </row>
    <row r="24" spans="1:97">
      <c r="A24" s="9">
        <v>46257</v>
      </c>
      <c r="B24">
        <v>8165</v>
      </c>
      <c r="C24">
        <v>8202</v>
      </c>
      <c r="D24">
        <v>8235</v>
      </c>
      <c r="E24">
        <v>8268</v>
      </c>
      <c r="F24">
        <v>8281</v>
      </c>
      <c r="G24">
        <v>8275</v>
      </c>
      <c r="H24">
        <v>8262</v>
      </c>
      <c r="I24">
        <v>8249</v>
      </c>
      <c r="J24">
        <v>8212</v>
      </c>
      <c r="K24">
        <v>8160</v>
      </c>
      <c r="L24">
        <v>8106</v>
      </c>
      <c r="M24">
        <v>8047</v>
      </c>
      <c r="N24">
        <v>7970</v>
      </c>
      <c r="O24">
        <v>7868</v>
      </c>
      <c r="P24">
        <v>7768</v>
      </c>
      <c r="Q24">
        <v>7666</v>
      </c>
      <c r="R24">
        <v>7561</v>
      </c>
      <c r="S24">
        <v>7458</v>
      </c>
      <c r="T24">
        <v>7351</v>
      </c>
      <c r="U24">
        <v>7245</v>
      </c>
      <c r="V24">
        <v>7142</v>
      </c>
      <c r="W24">
        <v>7036</v>
      </c>
      <c r="X24">
        <v>6930</v>
      </c>
      <c r="Y24">
        <v>6833</v>
      </c>
      <c r="Z24">
        <v>6757</v>
      </c>
      <c r="AA24">
        <v>6661</v>
      </c>
      <c r="AB24">
        <v>6570</v>
      </c>
      <c r="AC24">
        <v>6483</v>
      </c>
      <c r="AD24">
        <v>6436</v>
      </c>
      <c r="AE24">
        <v>6403</v>
      </c>
      <c r="AF24">
        <v>6390</v>
      </c>
      <c r="AG24">
        <v>6377</v>
      </c>
      <c r="AH24">
        <v>6340</v>
      </c>
      <c r="AI24">
        <v>6333</v>
      </c>
      <c r="AJ24">
        <v>6323</v>
      </c>
      <c r="AK24">
        <v>6310</v>
      </c>
      <c r="AL24">
        <v>6296</v>
      </c>
      <c r="AM24">
        <v>6274</v>
      </c>
      <c r="AN24">
        <v>6252</v>
      </c>
      <c r="AO24">
        <v>6229</v>
      </c>
      <c r="AP24">
        <v>6220</v>
      </c>
      <c r="AQ24">
        <v>6218</v>
      </c>
      <c r="AR24">
        <v>6215</v>
      </c>
      <c r="AS24">
        <v>6213</v>
      </c>
      <c r="AT24">
        <v>6219</v>
      </c>
      <c r="AU24">
        <v>6225</v>
      </c>
      <c r="AV24">
        <v>6231</v>
      </c>
      <c r="AW24">
        <v>6230</v>
      </c>
      <c r="AX24">
        <v>6219</v>
      </c>
      <c r="AY24">
        <v>6188</v>
      </c>
      <c r="AZ24">
        <v>6153</v>
      </c>
      <c r="BA24">
        <v>6115</v>
      </c>
      <c r="BB24">
        <v>6076</v>
      </c>
      <c r="BC24">
        <v>6048</v>
      </c>
      <c r="BD24">
        <v>5984</v>
      </c>
      <c r="BE24">
        <v>5943</v>
      </c>
      <c r="BF24">
        <v>5883</v>
      </c>
      <c r="BG24">
        <v>5781</v>
      </c>
      <c r="BH24">
        <v>5683</v>
      </c>
      <c r="BI24">
        <v>5580</v>
      </c>
      <c r="BJ24">
        <v>5462</v>
      </c>
      <c r="BK24">
        <v>5347</v>
      </c>
      <c r="BL24">
        <v>5236</v>
      </c>
      <c r="BM24">
        <v>5140</v>
      </c>
      <c r="BN24">
        <v>5040</v>
      </c>
      <c r="BO24">
        <v>4939</v>
      </c>
      <c r="BP24">
        <v>4819</v>
      </c>
      <c r="BQ24">
        <v>4706</v>
      </c>
      <c r="BR24">
        <v>4606</v>
      </c>
      <c r="BS24">
        <v>4549</v>
      </c>
      <c r="BT24">
        <v>4511</v>
      </c>
      <c r="BU24">
        <v>4455</v>
      </c>
      <c r="BV24">
        <v>4429</v>
      </c>
      <c r="BW24">
        <v>4425</v>
      </c>
      <c r="BX24">
        <v>4418</v>
      </c>
      <c r="BY24">
        <v>4413</v>
      </c>
      <c r="BZ24">
        <v>4420</v>
      </c>
      <c r="CA24">
        <v>4438</v>
      </c>
      <c r="CB24">
        <v>4454</v>
      </c>
      <c r="CC24">
        <v>4470</v>
      </c>
      <c r="CD24">
        <v>4490</v>
      </c>
      <c r="CE24">
        <v>4508</v>
      </c>
      <c r="CF24">
        <v>4521</v>
      </c>
      <c r="CG24">
        <v>4538</v>
      </c>
      <c r="CH24">
        <v>4560</v>
      </c>
      <c r="CI24">
        <v>4555</v>
      </c>
      <c r="CJ24">
        <v>4584</v>
      </c>
      <c r="CK24">
        <v>4613</v>
      </c>
      <c r="CL24">
        <v>4626</v>
      </c>
      <c r="CM24">
        <v>4612</v>
      </c>
      <c r="CN24">
        <v>4605</v>
      </c>
      <c r="CO24">
        <v>4586</v>
      </c>
      <c r="CP24">
        <v>4554</v>
      </c>
      <c r="CQ24">
        <v>4503</v>
      </c>
      <c r="CR24">
        <v>4450</v>
      </c>
      <c r="CS24">
        <v>4403</v>
      </c>
    </row>
    <row r="25" spans="1:97">
      <c r="A25" s="9">
        <v>46258</v>
      </c>
      <c r="B25">
        <v>3842</v>
      </c>
      <c r="C25">
        <v>3776</v>
      </c>
      <c r="D25">
        <v>3716</v>
      </c>
      <c r="E25">
        <v>3655</v>
      </c>
      <c r="F25">
        <v>3590</v>
      </c>
      <c r="G25">
        <v>3516</v>
      </c>
      <c r="H25">
        <v>3444</v>
      </c>
      <c r="I25">
        <v>3373</v>
      </c>
      <c r="J25">
        <v>3285</v>
      </c>
      <c r="K25">
        <v>3201</v>
      </c>
      <c r="L25">
        <v>3117</v>
      </c>
      <c r="M25">
        <v>3032</v>
      </c>
      <c r="N25">
        <v>2951</v>
      </c>
      <c r="O25">
        <v>2872</v>
      </c>
      <c r="P25">
        <v>2794</v>
      </c>
      <c r="Q25">
        <v>2719</v>
      </c>
      <c r="R25">
        <v>2644</v>
      </c>
      <c r="S25">
        <v>2568</v>
      </c>
      <c r="T25">
        <v>2490</v>
      </c>
      <c r="U25">
        <v>2412</v>
      </c>
      <c r="V25">
        <v>2335</v>
      </c>
      <c r="W25">
        <v>2257</v>
      </c>
      <c r="X25">
        <v>2182</v>
      </c>
      <c r="Y25">
        <v>2104</v>
      </c>
      <c r="Z25">
        <v>2029</v>
      </c>
      <c r="AA25">
        <v>1957</v>
      </c>
      <c r="AB25">
        <v>1894</v>
      </c>
      <c r="AC25">
        <v>1826</v>
      </c>
      <c r="AD25">
        <v>1765</v>
      </c>
      <c r="AE25">
        <v>1706</v>
      </c>
      <c r="AF25">
        <v>1649</v>
      </c>
      <c r="AG25">
        <v>1592</v>
      </c>
      <c r="AH25">
        <v>1554</v>
      </c>
      <c r="AI25">
        <v>1523</v>
      </c>
      <c r="AJ25">
        <v>1489</v>
      </c>
      <c r="AK25">
        <v>1453</v>
      </c>
      <c r="AL25">
        <v>1425</v>
      </c>
      <c r="AM25">
        <v>1399</v>
      </c>
      <c r="AN25">
        <v>1373</v>
      </c>
      <c r="AO25">
        <v>1346</v>
      </c>
      <c r="AP25">
        <v>1325</v>
      </c>
      <c r="AQ25">
        <v>1310</v>
      </c>
      <c r="AR25">
        <v>1298</v>
      </c>
      <c r="AS25">
        <v>1290</v>
      </c>
      <c r="AT25">
        <v>1284</v>
      </c>
      <c r="AU25">
        <v>1280</v>
      </c>
      <c r="AV25">
        <v>1278</v>
      </c>
      <c r="AW25">
        <v>1277</v>
      </c>
      <c r="AX25">
        <v>1284</v>
      </c>
      <c r="AY25">
        <v>1292</v>
      </c>
      <c r="AZ25">
        <v>1301</v>
      </c>
      <c r="BA25">
        <v>1311</v>
      </c>
      <c r="BB25">
        <v>1324</v>
      </c>
      <c r="BC25">
        <v>1343</v>
      </c>
      <c r="BD25">
        <v>1363</v>
      </c>
      <c r="BE25">
        <v>1382</v>
      </c>
      <c r="BF25">
        <v>1407</v>
      </c>
      <c r="BG25">
        <v>1441</v>
      </c>
      <c r="BH25">
        <v>1480</v>
      </c>
      <c r="BI25">
        <v>1523</v>
      </c>
      <c r="BJ25">
        <v>1572</v>
      </c>
      <c r="BK25">
        <v>1644</v>
      </c>
      <c r="BL25">
        <v>1719</v>
      </c>
      <c r="BM25">
        <v>1801</v>
      </c>
      <c r="BN25">
        <v>1897</v>
      </c>
      <c r="BO25">
        <v>2006</v>
      </c>
      <c r="BP25">
        <v>2121</v>
      </c>
      <c r="BQ25">
        <v>2240</v>
      </c>
      <c r="BR25">
        <v>2371</v>
      </c>
      <c r="BS25">
        <v>2519</v>
      </c>
      <c r="BT25">
        <v>2672</v>
      </c>
      <c r="BU25">
        <v>2829</v>
      </c>
      <c r="BV25">
        <v>3003</v>
      </c>
      <c r="BW25">
        <v>3195</v>
      </c>
      <c r="BX25">
        <v>3382</v>
      </c>
      <c r="BY25">
        <v>3574</v>
      </c>
      <c r="BZ25">
        <v>3765</v>
      </c>
      <c r="CA25">
        <v>3951</v>
      </c>
      <c r="CB25">
        <v>4134</v>
      </c>
      <c r="CC25">
        <v>4314</v>
      </c>
      <c r="CD25">
        <v>4446</v>
      </c>
      <c r="CE25">
        <v>4549</v>
      </c>
      <c r="CF25">
        <v>4643</v>
      </c>
      <c r="CG25">
        <v>4732</v>
      </c>
      <c r="CH25">
        <v>4785</v>
      </c>
      <c r="CI25">
        <v>4806</v>
      </c>
      <c r="CJ25">
        <v>4824</v>
      </c>
      <c r="CK25">
        <v>4849</v>
      </c>
      <c r="CL25">
        <v>4842</v>
      </c>
      <c r="CM25">
        <v>4826</v>
      </c>
      <c r="CN25">
        <v>4793</v>
      </c>
      <c r="CO25">
        <v>4772</v>
      </c>
      <c r="CP25">
        <v>4726</v>
      </c>
      <c r="CQ25">
        <v>4660</v>
      </c>
      <c r="CR25">
        <v>4595</v>
      </c>
      <c r="CS25">
        <v>4532</v>
      </c>
    </row>
    <row r="26" spans="1:97">
      <c r="A26" s="9">
        <v>46259</v>
      </c>
      <c r="B26">
        <v>3687</v>
      </c>
      <c r="C26">
        <v>3618</v>
      </c>
      <c r="D26">
        <v>3552</v>
      </c>
      <c r="E26">
        <v>3488</v>
      </c>
      <c r="F26">
        <v>3418</v>
      </c>
      <c r="G26">
        <v>3346</v>
      </c>
      <c r="H26">
        <v>3273</v>
      </c>
      <c r="I26">
        <v>3199</v>
      </c>
      <c r="J26">
        <v>3125</v>
      </c>
      <c r="K26">
        <v>3054</v>
      </c>
      <c r="L26">
        <v>2984</v>
      </c>
      <c r="M26">
        <v>2912</v>
      </c>
      <c r="N26">
        <v>2834</v>
      </c>
      <c r="O26">
        <v>2772</v>
      </c>
      <c r="P26">
        <v>2711</v>
      </c>
      <c r="Q26">
        <v>2651</v>
      </c>
      <c r="R26">
        <v>2591</v>
      </c>
      <c r="S26">
        <v>2536</v>
      </c>
      <c r="T26">
        <v>2480</v>
      </c>
      <c r="U26">
        <v>2432</v>
      </c>
      <c r="V26">
        <v>2385</v>
      </c>
      <c r="W26">
        <v>2350</v>
      </c>
      <c r="X26">
        <v>2315</v>
      </c>
      <c r="Y26">
        <v>2253</v>
      </c>
      <c r="Z26">
        <v>2211</v>
      </c>
      <c r="AA26">
        <v>2167</v>
      </c>
      <c r="AB26">
        <v>2131</v>
      </c>
      <c r="AC26">
        <v>2095</v>
      </c>
      <c r="AD26">
        <v>2067</v>
      </c>
      <c r="AE26">
        <v>2027</v>
      </c>
      <c r="AF26">
        <v>2005</v>
      </c>
      <c r="AG26">
        <v>1978</v>
      </c>
      <c r="AH26">
        <v>1974</v>
      </c>
      <c r="AI26">
        <v>1987</v>
      </c>
      <c r="AJ26">
        <v>2008</v>
      </c>
      <c r="AK26">
        <v>2032</v>
      </c>
      <c r="AL26">
        <v>2069</v>
      </c>
      <c r="AM26">
        <v>2111</v>
      </c>
      <c r="AN26">
        <v>2158</v>
      </c>
      <c r="AO26">
        <v>2209</v>
      </c>
      <c r="AP26">
        <v>2260</v>
      </c>
      <c r="AQ26">
        <v>2315</v>
      </c>
      <c r="AR26">
        <v>2360</v>
      </c>
      <c r="AS26">
        <v>2401</v>
      </c>
      <c r="AT26">
        <v>2437</v>
      </c>
      <c r="AU26">
        <v>2478</v>
      </c>
      <c r="AV26">
        <v>2509</v>
      </c>
      <c r="AW26">
        <v>2545</v>
      </c>
      <c r="AX26">
        <v>2569</v>
      </c>
      <c r="AY26">
        <v>2595</v>
      </c>
      <c r="AZ26">
        <v>2619</v>
      </c>
      <c r="BA26">
        <v>2639</v>
      </c>
      <c r="BB26">
        <v>2652</v>
      </c>
      <c r="BC26">
        <v>2647</v>
      </c>
      <c r="BD26">
        <v>2616</v>
      </c>
      <c r="BE26">
        <v>2590</v>
      </c>
      <c r="BF26">
        <v>2544</v>
      </c>
      <c r="BG26">
        <v>2495</v>
      </c>
      <c r="BH26">
        <v>2444</v>
      </c>
      <c r="BI26">
        <v>2393</v>
      </c>
      <c r="BJ26">
        <v>2353</v>
      </c>
      <c r="BK26">
        <v>2312</v>
      </c>
      <c r="BL26">
        <v>2263</v>
      </c>
      <c r="BM26">
        <v>2233</v>
      </c>
      <c r="BN26">
        <v>2230</v>
      </c>
      <c r="BO26">
        <v>2234</v>
      </c>
      <c r="BP26">
        <v>2250</v>
      </c>
      <c r="BQ26">
        <v>2267</v>
      </c>
      <c r="BR26">
        <v>2282</v>
      </c>
      <c r="BS26">
        <v>2306</v>
      </c>
      <c r="BT26">
        <v>2321</v>
      </c>
      <c r="BU26">
        <v>2342</v>
      </c>
      <c r="BV26">
        <v>2367</v>
      </c>
      <c r="BW26">
        <v>2389</v>
      </c>
      <c r="BX26">
        <v>2408</v>
      </c>
      <c r="BY26">
        <v>2464</v>
      </c>
      <c r="BZ26">
        <v>2495</v>
      </c>
      <c r="CA26">
        <v>2525</v>
      </c>
      <c r="CB26">
        <v>2558</v>
      </c>
      <c r="CC26">
        <v>2580</v>
      </c>
      <c r="CD26">
        <v>2600</v>
      </c>
      <c r="CE26">
        <v>2597</v>
      </c>
      <c r="CF26">
        <v>2599</v>
      </c>
      <c r="CG26">
        <v>2599</v>
      </c>
      <c r="CH26">
        <v>2590</v>
      </c>
      <c r="CI26">
        <v>2583</v>
      </c>
      <c r="CJ26">
        <v>2577</v>
      </c>
      <c r="CK26">
        <v>2571</v>
      </c>
      <c r="CL26">
        <v>2567</v>
      </c>
      <c r="CM26">
        <v>2570</v>
      </c>
      <c r="CN26">
        <v>2576</v>
      </c>
      <c r="CO26">
        <v>2580</v>
      </c>
      <c r="CP26">
        <v>2584</v>
      </c>
      <c r="CQ26">
        <v>2592</v>
      </c>
      <c r="CR26">
        <v>2602</v>
      </c>
      <c r="CS26">
        <v>2607</v>
      </c>
    </row>
    <row r="27" spans="1:97">
      <c r="A27" s="9">
        <v>46260</v>
      </c>
      <c r="B27">
        <v>2035</v>
      </c>
      <c r="C27">
        <v>1989</v>
      </c>
      <c r="D27">
        <v>1951</v>
      </c>
      <c r="E27">
        <v>1907</v>
      </c>
      <c r="F27">
        <v>1875</v>
      </c>
      <c r="G27">
        <v>1848</v>
      </c>
      <c r="H27">
        <v>1824</v>
      </c>
      <c r="I27">
        <v>1806</v>
      </c>
      <c r="J27">
        <v>1787</v>
      </c>
      <c r="K27">
        <v>1785</v>
      </c>
      <c r="L27">
        <v>1783</v>
      </c>
      <c r="M27">
        <v>1786</v>
      </c>
      <c r="N27">
        <v>1821</v>
      </c>
      <c r="O27">
        <v>1889</v>
      </c>
      <c r="P27">
        <v>1962</v>
      </c>
      <c r="Q27">
        <v>2040</v>
      </c>
      <c r="R27">
        <v>2127</v>
      </c>
      <c r="S27">
        <v>2224</v>
      </c>
      <c r="T27">
        <v>2321</v>
      </c>
      <c r="U27">
        <v>2409</v>
      </c>
      <c r="V27">
        <v>2481</v>
      </c>
      <c r="W27">
        <v>2536</v>
      </c>
      <c r="X27">
        <v>2586</v>
      </c>
      <c r="Y27">
        <v>2631</v>
      </c>
      <c r="Z27">
        <v>2655</v>
      </c>
      <c r="AA27">
        <v>2652</v>
      </c>
      <c r="AB27">
        <v>2648</v>
      </c>
      <c r="AC27">
        <v>2646</v>
      </c>
      <c r="AD27">
        <v>2607</v>
      </c>
      <c r="AE27">
        <v>2521</v>
      </c>
      <c r="AF27">
        <v>2452</v>
      </c>
      <c r="AG27">
        <v>2384</v>
      </c>
      <c r="AH27">
        <v>2331</v>
      </c>
      <c r="AI27">
        <v>2290</v>
      </c>
      <c r="AJ27">
        <v>2248</v>
      </c>
      <c r="AK27">
        <v>2208</v>
      </c>
      <c r="AL27">
        <v>2174</v>
      </c>
      <c r="AM27">
        <v>2151</v>
      </c>
      <c r="AN27">
        <v>2130</v>
      </c>
      <c r="AO27">
        <v>2112</v>
      </c>
      <c r="AP27">
        <v>2098</v>
      </c>
      <c r="AQ27">
        <v>2089</v>
      </c>
      <c r="AR27">
        <v>2078</v>
      </c>
      <c r="AS27">
        <v>2071</v>
      </c>
      <c r="AT27">
        <v>2055</v>
      </c>
      <c r="AU27">
        <v>2036</v>
      </c>
      <c r="AV27">
        <v>2015</v>
      </c>
      <c r="AW27">
        <v>1994</v>
      </c>
      <c r="AX27">
        <v>1973</v>
      </c>
      <c r="AY27">
        <v>1948</v>
      </c>
      <c r="AZ27">
        <v>1923</v>
      </c>
      <c r="BA27">
        <v>1901</v>
      </c>
      <c r="BB27">
        <v>1874</v>
      </c>
      <c r="BC27">
        <v>1851</v>
      </c>
      <c r="BD27">
        <v>1824</v>
      </c>
      <c r="BE27">
        <v>1797</v>
      </c>
      <c r="BF27">
        <v>1766</v>
      </c>
      <c r="BG27">
        <v>1726</v>
      </c>
      <c r="BH27">
        <v>1684</v>
      </c>
      <c r="BI27">
        <v>1647</v>
      </c>
      <c r="BJ27">
        <v>1589</v>
      </c>
      <c r="BK27">
        <v>1530</v>
      </c>
      <c r="BL27">
        <v>1471</v>
      </c>
      <c r="BM27">
        <v>1415</v>
      </c>
      <c r="BN27">
        <v>1369</v>
      </c>
      <c r="BO27">
        <v>1333</v>
      </c>
      <c r="BP27">
        <v>1293</v>
      </c>
      <c r="BQ27">
        <v>1255</v>
      </c>
      <c r="BR27">
        <v>1229</v>
      </c>
      <c r="BS27">
        <v>1221</v>
      </c>
      <c r="BT27">
        <v>1214</v>
      </c>
      <c r="BU27">
        <v>1205</v>
      </c>
      <c r="BV27">
        <v>1208</v>
      </c>
      <c r="BW27">
        <v>1204</v>
      </c>
      <c r="BX27">
        <v>1203</v>
      </c>
      <c r="BY27">
        <v>1207</v>
      </c>
      <c r="BZ27">
        <v>1208</v>
      </c>
      <c r="CA27">
        <v>1197</v>
      </c>
      <c r="CB27">
        <v>1188</v>
      </c>
      <c r="CC27">
        <v>1177</v>
      </c>
      <c r="CD27">
        <v>1163</v>
      </c>
      <c r="CE27">
        <v>1152</v>
      </c>
      <c r="CF27">
        <v>1140</v>
      </c>
      <c r="CG27">
        <v>1126</v>
      </c>
      <c r="CH27">
        <v>1122</v>
      </c>
      <c r="CI27">
        <v>1121</v>
      </c>
      <c r="CJ27">
        <v>1122</v>
      </c>
      <c r="CK27">
        <v>1125</v>
      </c>
      <c r="CL27">
        <v>1135</v>
      </c>
      <c r="CM27">
        <v>1148</v>
      </c>
      <c r="CN27">
        <v>1166</v>
      </c>
      <c r="CO27">
        <v>1179</v>
      </c>
      <c r="CP27">
        <v>1196</v>
      </c>
      <c r="CQ27">
        <v>1216</v>
      </c>
      <c r="CR27">
        <v>1238</v>
      </c>
      <c r="CS27">
        <v>1261</v>
      </c>
    </row>
    <row r="28" spans="1:97">
      <c r="A28" s="9">
        <v>46261</v>
      </c>
      <c r="B28">
        <v>1251</v>
      </c>
      <c r="C28">
        <v>1282</v>
      </c>
      <c r="D28">
        <v>1313</v>
      </c>
      <c r="E28">
        <v>1342</v>
      </c>
      <c r="F28">
        <v>1374</v>
      </c>
      <c r="G28">
        <v>1409</v>
      </c>
      <c r="H28">
        <v>1445</v>
      </c>
      <c r="I28">
        <v>1480</v>
      </c>
      <c r="J28">
        <v>1510</v>
      </c>
      <c r="K28">
        <v>1539</v>
      </c>
      <c r="L28">
        <v>1568</v>
      </c>
      <c r="M28">
        <v>1599</v>
      </c>
      <c r="N28">
        <v>1631</v>
      </c>
      <c r="O28">
        <v>1662</v>
      </c>
      <c r="P28">
        <v>1698</v>
      </c>
      <c r="Q28">
        <v>1735</v>
      </c>
      <c r="R28">
        <v>1776</v>
      </c>
      <c r="S28">
        <v>1820</v>
      </c>
      <c r="T28">
        <v>1864</v>
      </c>
      <c r="U28">
        <v>1905</v>
      </c>
      <c r="V28">
        <v>1946</v>
      </c>
      <c r="W28">
        <v>1979</v>
      </c>
      <c r="X28">
        <v>2014</v>
      </c>
      <c r="Y28">
        <v>2044</v>
      </c>
      <c r="Z28">
        <v>2060</v>
      </c>
      <c r="AA28">
        <v>2059</v>
      </c>
      <c r="AB28">
        <v>2058</v>
      </c>
      <c r="AC28">
        <v>2058</v>
      </c>
      <c r="AD28">
        <v>2036</v>
      </c>
      <c r="AE28">
        <v>1992</v>
      </c>
      <c r="AF28">
        <v>1942</v>
      </c>
      <c r="AG28">
        <v>1896</v>
      </c>
      <c r="AH28">
        <v>1844</v>
      </c>
      <c r="AI28">
        <v>1792</v>
      </c>
      <c r="AJ28">
        <v>1740</v>
      </c>
      <c r="AK28">
        <v>1690</v>
      </c>
      <c r="AL28">
        <v>1655</v>
      </c>
      <c r="AM28">
        <v>1634</v>
      </c>
      <c r="AN28">
        <v>1619</v>
      </c>
      <c r="AO28">
        <v>1602</v>
      </c>
      <c r="AP28">
        <v>1592</v>
      </c>
      <c r="AQ28">
        <v>1587</v>
      </c>
      <c r="AR28">
        <v>1586</v>
      </c>
      <c r="AS28">
        <v>1587</v>
      </c>
      <c r="AT28">
        <v>1594</v>
      </c>
      <c r="AU28">
        <v>1608</v>
      </c>
      <c r="AV28">
        <v>1624</v>
      </c>
      <c r="AW28">
        <v>1640</v>
      </c>
      <c r="AX28">
        <v>1665</v>
      </c>
      <c r="AY28">
        <v>1698</v>
      </c>
      <c r="AZ28">
        <v>1731</v>
      </c>
      <c r="BA28">
        <v>1767</v>
      </c>
      <c r="BB28">
        <v>1809</v>
      </c>
      <c r="BC28">
        <v>1857</v>
      </c>
      <c r="BD28">
        <v>1906</v>
      </c>
      <c r="BE28">
        <v>1951</v>
      </c>
      <c r="BF28">
        <v>2003</v>
      </c>
      <c r="BG28">
        <v>2056</v>
      </c>
      <c r="BH28">
        <v>2110</v>
      </c>
      <c r="BI28">
        <v>2166</v>
      </c>
      <c r="BJ28">
        <v>2222</v>
      </c>
      <c r="BK28">
        <v>2279</v>
      </c>
      <c r="BL28">
        <v>2339</v>
      </c>
      <c r="BM28">
        <v>2398</v>
      </c>
      <c r="BN28">
        <v>2474</v>
      </c>
      <c r="BO28">
        <v>2557</v>
      </c>
      <c r="BP28">
        <v>2644</v>
      </c>
      <c r="BQ28">
        <v>2735</v>
      </c>
      <c r="BR28">
        <v>2858</v>
      </c>
      <c r="BS28">
        <v>3005</v>
      </c>
      <c r="BT28">
        <v>3158</v>
      </c>
      <c r="BU28">
        <v>3312</v>
      </c>
      <c r="BV28">
        <v>3483</v>
      </c>
      <c r="BW28">
        <v>3671</v>
      </c>
      <c r="BX28">
        <v>3861</v>
      </c>
      <c r="BY28">
        <v>4048</v>
      </c>
      <c r="BZ28">
        <v>4214</v>
      </c>
      <c r="CA28">
        <v>4364</v>
      </c>
      <c r="CB28">
        <v>4507</v>
      </c>
      <c r="CC28">
        <v>4639</v>
      </c>
      <c r="CD28">
        <v>4756</v>
      </c>
      <c r="CE28">
        <v>4807</v>
      </c>
      <c r="CF28">
        <v>4850</v>
      </c>
      <c r="CG28">
        <v>4884</v>
      </c>
      <c r="CH28">
        <v>4894</v>
      </c>
      <c r="CI28">
        <v>4875</v>
      </c>
      <c r="CJ28">
        <v>4851</v>
      </c>
      <c r="CK28">
        <v>4828</v>
      </c>
      <c r="CL28">
        <v>4783</v>
      </c>
      <c r="CM28">
        <v>4720</v>
      </c>
      <c r="CN28">
        <v>4653</v>
      </c>
      <c r="CO28">
        <v>4574</v>
      </c>
      <c r="CP28">
        <v>4496</v>
      </c>
      <c r="CQ28">
        <v>4412</v>
      </c>
      <c r="CR28">
        <v>4322</v>
      </c>
      <c r="CS28">
        <v>4244</v>
      </c>
    </row>
    <row r="29" spans="1:97">
      <c r="A29" s="9">
        <v>46262</v>
      </c>
      <c r="B29">
        <v>3815</v>
      </c>
      <c r="C29">
        <v>3705</v>
      </c>
      <c r="D29">
        <v>3594</v>
      </c>
      <c r="E29">
        <v>3481</v>
      </c>
      <c r="F29">
        <v>3382</v>
      </c>
      <c r="G29">
        <v>3299</v>
      </c>
      <c r="H29">
        <v>3221</v>
      </c>
      <c r="I29">
        <v>3146</v>
      </c>
      <c r="J29">
        <v>3087</v>
      </c>
      <c r="K29">
        <v>3035</v>
      </c>
      <c r="L29">
        <v>2989</v>
      </c>
      <c r="M29">
        <v>2946</v>
      </c>
      <c r="N29">
        <v>2912</v>
      </c>
      <c r="O29">
        <v>2887</v>
      </c>
      <c r="P29">
        <v>2864</v>
      </c>
      <c r="Q29">
        <v>2840</v>
      </c>
      <c r="R29">
        <v>2816</v>
      </c>
      <c r="S29">
        <v>2791</v>
      </c>
      <c r="T29">
        <v>2762</v>
      </c>
      <c r="U29">
        <v>2730</v>
      </c>
      <c r="V29">
        <v>2687</v>
      </c>
      <c r="W29">
        <v>2636</v>
      </c>
      <c r="X29">
        <v>2581</v>
      </c>
      <c r="Y29">
        <v>2521</v>
      </c>
      <c r="Z29">
        <v>2430</v>
      </c>
      <c r="AA29">
        <v>2346</v>
      </c>
      <c r="AB29">
        <v>2265</v>
      </c>
      <c r="AC29">
        <v>2189</v>
      </c>
      <c r="AD29">
        <v>2096</v>
      </c>
      <c r="AE29">
        <v>1995</v>
      </c>
      <c r="AF29">
        <v>1895</v>
      </c>
      <c r="AG29">
        <v>1795</v>
      </c>
      <c r="AH29">
        <v>1716</v>
      </c>
      <c r="AI29">
        <v>1645</v>
      </c>
      <c r="AJ29">
        <v>1569</v>
      </c>
      <c r="AK29">
        <v>1497</v>
      </c>
      <c r="AL29">
        <v>1442</v>
      </c>
      <c r="AM29">
        <v>1394</v>
      </c>
      <c r="AN29">
        <v>1350</v>
      </c>
      <c r="AO29">
        <v>1310</v>
      </c>
      <c r="AP29">
        <v>1266</v>
      </c>
      <c r="AQ29">
        <v>1221</v>
      </c>
      <c r="AR29">
        <v>1183</v>
      </c>
      <c r="AS29">
        <v>1147</v>
      </c>
      <c r="AT29">
        <v>1111</v>
      </c>
      <c r="AU29">
        <v>1075</v>
      </c>
      <c r="AV29">
        <v>1038</v>
      </c>
      <c r="AW29">
        <v>1001</v>
      </c>
      <c r="AX29">
        <v>965</v>
      </c>
      <c r="AY29">
        <v>933</v>
      </c>
      <c r="AZ29">
        <v>902</v>
      </c>
      <c r="BA29">
        <v>870</v>
      </c>
      <c r="BB29">
        <v>842</v>
      </c>
      <c r="BC29">
        <v>820</v>
      </c>
      <c r="BD29">
        <v>799</v>
      </c>
      <c r="BE29">
        <v>781</v>
      </c>
      <c r="BF29">
        <v>758</v>
      </c>
      <c r="BG29">
        <v>744</v>
      </c>
      <c r="BH29">
        <v>731</v>
      </c>
      <c r="BI29">
        <v>718</v>
      </c>
      <c r="BJ29">
        <v>713</v>
      </c>
      <c r="BK29">
        <v>715</v>
      </c>
      <c r="BL29">
        <v>717</v>
      </c>
      <c r="BM29">
        <v>723</v>
      </c>
      <c r="BN29">
        <v>739</v>
      </c>
      <c r="BO29">
        <v>763</v>
      </c>
      <c r="BP29">
        <v>787</v>
      </c>
      <c r="BQ29">
        <v>813</v>
      </c>
      <c r="BR29">
        <v>849</v>
      </c>
      <c r="BS29">
        <v>886</v>
      </c>
      <c r="BT29">
        <v>927</v>
      </c>
      <c r="BU29">
        <v>973</v>
      </c>
      <c r="BV29">
        <v>1022</v>
      </c>
      <c r="BW29">
        <v>1069</v>
      </c>
      <c r="BX29">
        <v>1117</v>
      </c>
      <c r="BY29">
        <v>1161</v>
      </c>
      <c r="BZ29">
        <v>1208</v>
      </c>
      <c r="CA29">
        <v>1257</v>
      </c>
      <c r="CB29">
        <v>1304</v>
      </c>
      <c r="CC29">
        <v>1355</v>
      </c>
      <c r="CD29">
        <v>1398</v>
      </c>
      <c r="CE29">
        <v>1437</v>
      </c>
      <c r="CF29">
        <v>1474</v>
      </c>
      <c r="CG29">
        <v>1511</v>
      </c>
      <c r="CH29">
        <v>1545</v>
      </c>
      <c r="CI29">
        <v>1578</v>
      </c>
      <c r="CJ29">
        <v>1613</v>
      </c>
      <c r="CK29">
        <v>1650</v>
      </c>
      <c r="CL29">
        <v>1686</v>
      </c>
      <c r="CM29">
        <v>1728</v>
      </c>
      <c r="CN29">
        <v>1766</v>
      </c>
      <c r="CO29">
        <v>1802</v>
      </c>
      <c r="CP29">
        <v>1836</v>
      </c>
      <c r="CQ29">
        <v>1860</v>
      </c>
      <c r="CR29">
        <v>1887</v>
      </c>
      <c r="CS29">
        <v>1913</v>
      </c>
    </row>
    <row r="30" spans="1:97">
      <c r="A30" s="9">
        <v>46263</v>
      </c>
      <c r="B30">
        <v>1967</v>
      </c>
      <c r="C30">
        <v>2014</v>
      </c>
      <c r="D30">
        <v>2059</v>
      </c>
      <c r="E30">
        <v>2106</v>
      </c>
      <c r="F30">
        <v>2149</v>
      </c>
      <c r="G30">
        <v>2188</v>
      </c>
      <c r="H30">
        <v>2228</v>
      </c>
      <c r="I30">
        <v>2266</v>
      </c>
      <c r="J30">
        <v>2300</v>
      </c>
      <c r="K30">
        <v>2333</v>
      </c>
      <c r="L30">
        <v>2368</v>
      </c>
      <c r="M30">
        <v>2402</v>
      </c>
      <c r="N30">
        <v>2433</v>
      </c>
      <c r="O30">
        <v>2461</v>
      </c>
      <c r="P30">
        <v>2486</v>
      </c>
      <c r="Q30">
        <v>2511</v>
      </c>
      <c r="R30">
        <v>2540</v>
      </c>
      <c r="S30">
        <v>2568</v>
      </c>
      <c r="T30">
        <v>2577</v>
      </c>
      <c r="U30">
        <v>2603</v>
      </c>
      <c r="V30">
        <v>2613</v>
      </c>
      <c r="W30">
        <v>2607</v>
      </c>
      <c r="X30">
        <v>2598</v>
      </c>
      <c r="Y30">
        <v>2587</v>
      </c>
      <c r="Z30">
        <v>2576</v>
      </c>
      <c r="AA30">
        <v>2571</v>
      </c>
      <c r="AB30">
        <v>2572</v>
      </c>
      <c r="AC30">
        <v>2566</v>
      </c>
      <c r="AD30">
        <v>2546</v>
      </c>
      <c r="AE30">
        <v>2515</v>
      </c>
      <c r="AF30">
        <v>2497</v>
      </c>
      <c r="AG30">
        <v>2473</v>
      </c>
      <c r="AH30">
        <v>2478</v>
      </c>
      <c r="AI30">
        <v>2544</v>
      </c>
      <c r="AJ30">
        <v>2616</v>
      </c>
      <c r="AK30">
        <v>2692</v>
      </c>
      <c r="AL30">
        <v>2800</v>
      </c>
      <c r="AM30">
        <v>2929</v>
      </c>
      <c r="AN30">
        <v>3062</v>
      </c>
      <c r="AO30">
        <v>3199</v>
      </c>
      <c r="AP30">
        <v>3345</v>
      </c>
      <c r="AQ30">
        <v>3492</v>
      </c>
      <c r="AR30">
        <v>3634</v>
      </c>
      <c r="AS30">
        <v>3772</v>
      </c>
      <c r="AT30">
        <v>3894</v>
      </c>
      <c r="AU30">
        <v>4010</v>
      </c>
      <c r="AV30">
        <v>4118</v>
      </c>
      <c r="AW30">
        <v>4222</v>
      </c>
      <c r="AX30">
        <v>4316</v>
      </c>
      <c r="AY30">
        <v>4422</v>
      </c>
      <c r="AZ30">
        <v>4494</v>
      </c>
      <c r="BA30">
        <v>4576</v>
      </c>
      <c r="BB30">
        <v>4654</v>
      </c>
      <c r="BC30">
        <v>4730</v>
      </c>
      <c r="BD30">
        <v>4796</v>
      </c>
      <c r="BE30">
        <v>4868</v>
      </c>
      <c r="BF30">
        <v>4928</v>
      </c>
      <c r="BG30">
        <v>4977</v>
      </c>
      <c r="BH30">
        <v>5023</v>
      </c>
      <c r="BI30">
        <v>5068</v>
      </c>
      <c r="BJ30">
        <v>5103</v>
      </c>
      <c r="BK30">
        <v>5126</v>
      </c>
      <c r="BL30">
        <v>5150</v>
      </c>
      <c r="BM30">
        <v>5173</v>
      </c>
      <c r="BN30">
        <v>5190</v>
      </c>
      <c r="BO30">
        <v>5180</v>
      </c>
      <c r="BP30">
        <v>5161</v>
      </c>
      <c r="BQ30">
        <v>5142</v>
      </c>
      <c r="BR30">
        <v>5105</v>
      </c>
      <c r="BS30">
        <v>5050</v>
      </c>
      <c r="BT30">
        <v>4993</v>
      </c>
      <c r="BU30">
        <v>4929</v>
      </c>
      <c r="BV30">
        <v>4878</v>
      </c>
      <c r="BW30">
        <v>4840</v>
      </c>
      <c r="BX30">
        <v>4769</v>
      </c>
      <c r="BY30">
        <v>4679</v>
      </c>
      <c r="BZ30">
        <v>4651</v>
      </c>
      <c r="CA30">
        <v>4610</v>
      </c>
      <c r="CB30">
        <v>4544</v>
      </c>
      <c r="CC30">
        <v>4476</v>
      </c>
      <c r="CD30">
        <v>4399</v>
      </c>
      <c r="CE30">
        <v>4309</v>
      </c>
      <c r="CF30">
        <v>4217</v>
      </c>
      <c r="CG30">
        <v>4123</v>
      </c>
      <c r="CH30">
        <v>4048</v>
      </c>
      <c r="CI30">
        <v>4000</v>
      </c>
      <c r="CJ30">
        <v>3940</v>
      </c>
      <c r="CK30">
        <v>3878</v>
      </c>
      <c r="CL30">
        <v>3822</v>
      </c>
      <c r="CM30">
        <v>3788</v>
      </c>
      <c r="CN30">
        <v>3765</v>
      </c>
      <c r="CO30">
        <v>3739</v>
      </c>
      <c r="CP30">
        <v>3715</v>
      </c>
      <c r="CQ30">
        <v>3705</v>
      </c>
      <c r="CR30">
        <v>3695</v>
      </c>
      <c r="CS30">
        <v>3688</v>
      </c>
    </row>
    <row r="31" spans="1:97">
      <c r="A31" s="9">
        <v>46264</v>
      </c>
      <c r="B31">
        <v>3325</v>
      </c>
      <c r="C31">
        <v>3327</v>
      </c>
      <c r="D31">
        <v>3332</v>
      </c>
      <c r="E31">
        <v>3337</v>
      </c>
      <c r="F31">
        <v>3342</v>
      </c>
      <c r="G31">
        <v>3337</v>
      </c>
      <c r="H31">
        <v>3330</v>
      </c>
      <c r="I31">
        <v>3324</v>
      </c>
      <c r="J31">
        <v>3292</v>
      </c>
      <c r="K31">
        <v>3241</v>
      </c>
      <c r="L31">
        <v>3186</v>
      </c>
      <c r="M31">
        <v>3132</v>
      </c>
      <c r="N31">
        <v>3081</v>
      </c>
      <c r="O31">
        <v>3028</v>
      </c>
      <c r="P31">
        <v>2963</v>
      </c>
      <c r="Q31">
        <v>2908</v>
      </c>
      <c r="R31">
        <v>2852</v>
      </c>
      <c r="S31">
        <v>2795</v>
      </c>
      <c r="T31">
        <v>2729</v>
      </c>
      <c r="U31">
        <v>2664</v>
      </c>
      <c r="V31">
        <v>2600</v>
      </c>
      <c r="W31">
        <v>2534</v>
      </c>
      <c r="X31">
        <v>2467</v>
      </c>
      <c r="Y31">
        <v>2394</v>
      </c>
      <c r="Z31">
        <v>2325</v>
      </c>
      <c r="AA31">
        <v>2245</v>
      </c>
      <c r="AB31">
        <v>2168</v>
      </c>
      <c r="AC31">
        <v>2084</v>
      </c>
      <c r="AD31">
        <v>1992</v>
      </c>
      <c r="AE31">
        <v>1914</v>
      </c>
      <c r="AF31">
        <v>1852</v>
      </c>
      <c r="AG31">
        <v>1792</v>
      </c>
      <c r="AH31">
        <v>1742</v>
      </c>
      <c r="AI31">
        <v>1704</v>
      </c>
      <c r="AJ31">
        <v>1668</v>
      </c>
      <c r="AK31">
        <v>1635</v>
      </c>
      <c r="AL31">
        <v>1637</v>
      </c>
      <c r="AM31">
        <v>1678</v>
      </c>
      <c r="AN31">
        <v>1724</v>
      </c>
      <c r="AO31">
        <v>1773</v>
      </c>
      <c r="AP31">
        <v>1837</v>
      </c>
      <c r="AQ31">
        <v>1919</v>
      </c>
      <c r="AR31">
        <v>2007</v>
      </c>
      <c r="AS31">
        <v>2096</v>
      </c>
      <c r="AT31">
        <v>2190</v>
      </c>
      <c r="AU31">
        <v>2290</v>
      </c>
      <c r="AV31">
        <v>2392</v>
      </c>
      <c r="AW31">
        <v>2496</v>
      </c>
      <c r="AX31">
        <v>2617</v>
      </c>
      <c r="AY31">
        <v>2705</v>
      </c>
      <c r="AZ31">
        <v>2784</v>
      </c>
      <c r="BA31">
        <v>2885</v>
      </c>
      <c r="BB31">
        <v>2979</v>
      </c>
      <c r="BC31">
        <v>3082</v>
      </c>
      <c r="BD31">
        <v>3159</v>
      </c>
      <c r="BE31">
        <v>3245</v>
      </c>
      <c r="BF31">
        <v>3296</v>
      </c>
      <c r="BG31">
        <v>3326</v>
      </c>
      <c r="BH31">
        <v>3359</v>
      </c>
      <c r="BI31">
        <v>3385</v>
      </c>
      <c r="BJ31">
        <v>3381</v>
      </c>
      <c r="BK31">
        <v>3376</v>
      </c>
      <c r="BL31">
        <v>3364</v>
      </c>
      <c r="BM31">
        <v>3347</v>
      </c>
      <c r="BN31">
        <v>3330</v>
      </c>
      <c r="BO31">
        <v>3330</v>
      </c>
      <c r="BP31">
        <v>3336</v>
      </c>
      <c r="BQ31">
        <v>3375</v>
      </c>
      <c r="BR31">
        <v>3394</v>
      </c>
      <c r="BS31">
        <v>3432</v>
      </c>
      <c r="BT31">
        <v>3463</v>
      </c>
      <c r="BU31">
        <v>3510</v>
      </c>
      <c r="BV31">
        <v>3558</v>
      </c>
      <c r="BW31">
        <v>3618</v>
      </c>
      <c r="BX31">
        <v>3671</v>
      </c>
      <c r="BY31">
        <v>3743</v>
      </c>
      <c r="BZ31">
        <v>3792</v>
      </c>
      <c r="CA31">
        <v>3887</v>
      </c>
      <c r="CB31">
        <v>3972</v>
      </c>
      <c r="CC31">
        <v>4074</v>
      </c>
      <c r="CD31">
        <v>4203</v>
      </c>
      <c r="CE31">
        <v>4268</v>
      </c>
      <c r="CF31">
        <v>4330</v>
      </c>
      <c r="CG31">
        <v>4386</v>
      </c>
      <c r="CH31">
        <v>4450</v>
      </c>
      <c r="CI31">
        <v>4491</v>
      </c>
      <c r="CJ31">
        <v>4522</v>
      </c>
      <c r="CK31">
        <v>4582</v>
      </c>
      <c r="CL31">
        <v>4646</v>
      </c>
      <c r="CM31">
        <v>4729</v>
      </c>
      <c r="CN31">
        <v>4789</v>
      </c>
      <c r="CO31">
        <v>4853</v>
      </c>
      <c r="CP31">
        <v>4916</v>
      </c>
      <c r="CQ31">
        <v>4985</v>
      </c>
      <c r="CR31">
        <v>5054</v>
      </c>
      <c r="CS31">
        <v>5129</v>
      </c>
    </row>
    <row r="32" spans="1:97">
      <c r="A32" s="9">
        <v>46265</v>
      </c>
      <c r="B32">
        <v>4407</v>
      </c>
      <c r="C32">
        <v>4473</v>
      </c>
      <c r="D32">
        <v>4553</v>
      </c>
      <c r="E32">
        <v>4650</v>
      </c>
      <c r="F32">
        <v>4748</v>
      </c>
      <c r="G32">
        <v>4868</v>
      </c>
      <c r="H32">
        <v>4993</v>
      </c>
      <c r="I32">
        <v>5122</v>
      </c>
      <c r="J32">
        <v>5267</v>
      </c>
      <c r="K32">
        <v>5415</v>
      </c>
      <c r="L32">
        <v>5534</v>
      </c>
      <c r="M32">
        <v>5673</v>
      </c>
      <c r="N32">
        <v>5827</v>
      </c>
      <c r="O32">
        <v>5964</v>
      </c>
      <c r="P32">
        <v>6088</v>
      </c>
      <c r="Q32">
        <v>6233</v>
      </c>
      <c r="R32">
        <v>6366</v>
      </c>
      <c r="S32">
        <v>6479</v>
      </c>
      <c r="T32">
        <v>6582</v>
      </c>
      <c r="U32">
        <v>6680</v>
      </c>
      <c r="V32">
        <v>6744</v>
      </c>
      <c r="W32">
        <v>6769</v>
      </c>
      <c r="X32">
        <v>6795</v>
      </c>
      <c r="Y32">
        <v>6815</v>
      </c>
      <c r="Z32">
        <v>6705</v>
      </c>
      <c r="AA32">
        <v>6644</v>
      </c>
      <c r="AB32">
        <v>6582</v>
      </c>
      <c r="AC32">
        <v>6519</v>
      </c>
      <c r="AD32">
        <v>6456</v>
      </c>
      <c r="AE32">
        <v>6382</v>
      </c>
      <c r="AF32">
        <v>6338</v>
      </c>
      <c r="AG32">
        <v>6271</v>
      </c>
      <c r="AH32">
        <v>6221</v>
      </c>
      <c r="AI32">
        <v>6196</v>
      </c>
      <c r="AJ32">
        <v>6173</v>
      </c>
      <c r="AK32">
        <v>6151</v>
      </c>
      <c r="AL32">
        <v>6125</v>
      </c>
      <c r="AM32">
        <v>6079</v>
      </c>
      <c r="AN32">
        <v>6025</v>
      </c>
      <c r="AO32">
        <v>5976</v>
      </c>
      <c r="AP32">
        <v>5916</v>
      </c>
      <c r="AQ32">
        <v>5850</v>
      </c>
      <c r="AR32">
        <v>5783</v>
      </c>
      <c r="AS32">
        <v>5718</v>
      </c>
      <c r="AT32">
        <v>5655</v>
      </c>
      <c r="AU32">
        <v>5590</v>
      </c>
      <c r="AV32">
        <v>5528</v>
      </c>
      <c r="AW32">
        <v>5475</v>
      </c>
      <c r="AX32">
        <v>5421</v>
      </c>
      <c r="AY32">
        <v>5373</v>
      </c>
      <c r="AZ32">
        <v>5327</v>
      </c>
      <c r="BA32">
        <v>5283</v>
      </c>
      <c r="BB32">
        <v>5247</v>
      </c>
      <c r="BC32">
        <v>5222</v>
      </c>
      <c r="BD32">
        <v>5199</v>
      </c>
      <c r="BE32">
        <v>5205</v>
      </c>
      <c r="BF32">
        <v>5185</v>
      </c>
      <c r="BG32">
        <v>5181</v>
      </c>
      <c r="BH32">
        <v>5182</v>
      </c>
      <c r="BI32">
        <v>5192</v>
      </c>
      <c r="BJ32">
        <v>5208</v>
      </c>
      <c r="BK32">
        <v>5232</v>
      </c>
      <c r="BL32">
        <v>5257</v>
      </c>
      <c r="BM32">
        <v>5284</v>
      </c>
      <c r="BN32">
        <v>5300</v>
      </c>
      <c r="BO32">
        <v>5305</v>
      </c>
      <c r="BP32">
        <v>5308</v>
      </c>
      <c r="BQ32">
        <v>5310</v>
      </c>
      <c r="BR32">
        <v>5319</v>
      </c>
      <c r="BS32">
        <v>5337</v>
      </c>
      <c r="BT32">
        <v>5358</v>
      </c>
      <c r="BU32">
        <v>5374</v>
      </c>
      <c r="BV32">
        <v>5418</v>
      </c>
      <c r="BW32">
        <v>5486</v>
      </c>
      <c r="BX32">
        <v>5555</v>
      </c>
      <c r="BY32">
        <v>5624</v>
      </c>
      <c r="BZ32">
        <v>5682</v>
      </c>
      <c r="CA32">
        <v>5727</v>
      </c>
      <c r="CB32">
        <v>5764</v>
      </c>
      <c r="CC32">
        <v>5783</v>
      </c>
      <c r="CD32">
        <v>5757</v>
      </c>
      <c r="CE32">
        <v>5685</v>
      </c>
      <c r="CF32">
        <v>5603</v>
      </c>
      <c r="CG32">
        <v>5515</v>
      </c>
      <c r="CH32">
        <v>5410</v>
      </c>
      <c r="CI32">
        <v>5293</v>
      </c>
      <c r="CJ32">
        <v>5176</v>
      </c>
      <c r="CK32">
        <v>5064</v>
      </c>
      <c r="CL32">
        <v>4951</v>
      </c>
      <c r="CM32">
        <v>4841</v>
      </c>
      <c r="CN32">
        <v>4734</v>
      </c>
      <c r="CO32">
        <v>4648</v>
      </c>
      <c r="CP32">
        <v>4552</v>
      </c>
      <c r="CQ32">
        <v>4460</v>
      </c>
      <c r="CR32">
        <v>4380</v>
      </c>
      <c r="CS32">
        <v>4299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</v>
      </c>
      <c r="U2">
        <v>15</v>
      </c>
      <c r="V2">
        <v>60</v>
      </c>
      <c r="W2">
        <v>125</v>
      </c>
      <c r="X2">
        <v>213</v>
      </c>
      <c r="Y2">
        <v>325</v>
      </c>
      <c r="Z2">
        <v>470</v>
      </c>
      <c r="AA2">
        <v>648</v>
      </c>
      <c r="AB2">
        <v>849</v>
      </c>
      <c r="AC2">
        <v>1070</v>
      </c>
      <c r="AD2">
        <v>1322</v>
      </c>
      <c r="AE2">
        <v>1564</v>
      </c>
      <c r="AF2">
        <v>1808</v>
      </c>
      <c r="AG2">
        <v>2044</v>
      </c>
      <c r="AH2">
        <v>2268</v>
      </c>
      <c r="AI2">
        <v>2477</v>
      </c>
      <c r="AJ2">
        <v>2687</v>
      </c>
      <c r="AK2">
        <v>2892</v>
      </c>
      <c r="AL2">
        <v>3065</v>
      </c>
      <c r="AM2">
        <v>3216</v>
      </c>
      <c r="AN2">
        <v>3357</v>
      </c>
      <c r="AO2">
        <v>3478</v>
      </c>
      <c r="AP2">
        <v>3573</v>
      </c>
      <c r="AQ2">
        <v>3664</v>
      </c>
      <c r="AR2">
        <v>3727</v>
      </c>
      <c r="AS2">
        <v>3770</v>
      </c>
      <c r="AT2">
        <v>3790</v>
      </c>
      <c r="AU2">
        <v>3795</v>
      </c>
      <c r="AV2">
        <v>3783</v>
      </c>
      <c r="AW2">
        <v>3767</v>
      </c>
      <c r="AX2">
        <v>3755</v>
      </c>
      <c r="AY2">
        <v>3714</v>
      </c>
      <c r="AZ2">
        <v>3654</v>
      </c>
      <c r="BA2">
        <v>3576</v>
      </c>
      <c r="BB2">
        <v>3482</v>
      </c>
      <c r="BC2">
        <v>3367</v>
      </c>
      <c r="BD2">
        <v>3237</v>
      </c>
      <c r="BE2">
        <v>3088</v>
      </c>
      <c r="BF2">
        <v>2909</v>
      </c>
      <c r="BG2">
        <v>2717</v>
      </c>
      <c r="BH2">
        <v>2519</v>
      </c>
      <c r="BI2">
        <v>2315</v>
      </c>
      <c r="BJ2">
        <v>2118</v>
      </c>
      <c r="BK2">
        <v>1929</v>
      </c>
      <c r="BL2">
        <v>1734</v>
      </c>
      <c r="BM2">
        <v>1544</v>
      </c>
      <c r="BN2">
        <v>1357</v>
      </c>
      <c r="BO2">
        <v>1177</v>
      </c>
      <c r="BP2">
        <v>1000</v>
      </c>
      <c r="BQ2">
        <v>836</v>
      </c>
      <c r="BR2">
        <v>682</v>
      </c>
      <c r="BS2">
        <v>534</v>
      </c>
      <c r="BT2">
        <v>406</v>
      </c>
      <c r="BU2">
        <v>292</v>
      </c>
      <c r="BV2">
        <v>203</v>
      </c>
      <c r="BW2">
        <v>127</v>
      </c>
      <c r="BX2">
        <v>60</v>
      </c>
      <c r="BY2">
        <v>24</v>
      </c>
      <c r="BZ2">
        <v>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9">
        <v>46236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10</v>
      </c>
      <c r="V3">
        <v>44</v>
      </c>
      <c r="W3">
        <v>99</v>
      </c>
      <c r="X3">
        <v>172</v>
      </c>
      <c r="Y3">
        <v>266</v>
      </c>
      <c r="Z3">
        <v>383</v>
      </c>
      <c r="AA3">
        <v>529</v>
      </c>
      <c r="AB3">
        <v>700</v>
      </c>
      <c r="AC3">
        <v>893</v>
      </c>
      <c r="AD3">
        <v>1118</v>
      </c>
      <c r="AE3">
        <v>1335</v>
      </c>
      <c r="AF3">
        <v>1559</v>
      </c>
      <c r="AG3">
        <v>1784</v>
      </c>
      <c r="AH3">
        <v>2011</v>
      </c>
      <c r="AI3">
        <v>2231</v>
      </c>
      <c r="AJ3">
        <v>2441</v>
      </c>
      <c r="AK3">
        <v>2639</v>
      </c>
      <c r="AL3">
        <v>2822</v>
      </c>
      <c r="AM3">
        <v>2986</v>
      </c>
      <c r="AN3">
        <v>3129</v>
      </c>
      <c r="AO3">
        <v>3265</v>
      </c>
      <c r="AP3">
        <v>3373</v>
      </c>
      <c r="AQ3">
        <v>3480</v>
      </c>
      <c r="AR3">
        <v>3571</v>
      </c>
      <c r="AS3">
        <v>3643</v>
      </c>
      <c r="AT3">
        <v>3692</v>
      </c>
      <c r="AU3">
        <v>3718</v>
      </c>
      <c r="AV3">
        <v>3726</v>
      </c>
      <c r="AW3">
        <v>3719</v>
      </c>
      <c r="AX3">
        <v>3707</v>
      </c>
      <c r="AY3">
        <v>3671</v>
      </c>
      <c r="AZ3">
        <v>3619</v>
      </c>
      <c r="BA3">
        <v>3557</v>
      </c>
      <c r="BB3">
        <v>3481</v>
      </c>
      <c r="BC3">
        <v>3384</v>
      </c>
      <c r="BD3">
        <v>3280</v>
      </c>
      <c r="BE3">
        <v>3163</v>
      </c>
      <c r="BF3">
        <v>3018</v>
      </c>
      <c r="BG3">
        <v>2874</v>
      </c>
      <c r="BH3">
        <v>2705</v>
      </c>
      <c r="BI3">
        <v>2522</v>
      </c>
      <c r="BJ3">
        <v>2335</v>
      </c>
      <c r="BK3">
        <v>2155</v>
      </c>
      <c r="BL3">
        <v>1967</v>
      </c>
      <c r="BM3">
        <v>1771</v>
      </c>
      <c r="BN3">
        <v>1569</v>
      </c>
      <c r="BO3">
        <v>1370</v>
      </c>
      <c r="BP3">
        <v>1166</v>
      </c>
      <c r="BQ3">
        <v>970</v>
      </c>
      <c r="BR3">
        <v>789</v>
      </c>
      <c r="BS3">
        <v>612</v>
      </c>
      <c r="BT3">
        <v>462</v>
      </c>
      <c r="BU3">
        <v>329</v>
      </c>
      <c r="BV3">
        <v>224</v>
      </c>
      <c r="BW3">
        <v>137</v>
      </c>
      <c r="BX3">
        <v>62</v>
      </c>
      <c r="BY3">
        <v>23</v>
      </c>
      <c r="BZ3">
        <v>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9">
        <v>46237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10</v>
      </c>
      <c r="V4">
        <v>49</v>
      </c>
      <c r="W4">
        <v>113</v>
      </c>
      <c r="X4">
        <v>201</v>
      </c>
      <c r="Y4">
        <v>313</v>
      </c>
      <c r="Z4">
        <v>454</v>
      </c>
      <c r="AA4">
        <v>638</v>
      </c>
      <c r="AB4">
        <v>849</v>
      </c>
      <c r="AC4">
        <v>1083</v>
      </c>
      <c r="AD4">
        <v>1358</v>
      </c>
      <c r="AE4">
        <v>1628</v>
      </c>
      <c r="AF4">
        <v>1904</v>
      </c>
      <c r="AG4">
        <v>2175</v>
      </c>
      <c r="AH4">
        <v>2433</v>
      </c>
      <c r="AI4">
        <v>2679</v>
      </c>
      <c r="AJ4">
        <v>2917</v>
      </c>
      <c r="AK4">
        <v>3143</v>
      </c>
      <c r="AL4">
        <v>3341</v>
      </c>
      <c r="AM4">
        <v>3519</v>
      </c>
      <c r="AN4">
        <v>3683</v>
      </c>
      <c r="AO4">
        <v>3824</v>
      </c>
      <c r="AP4">
        <v>3934</v>
      </c>
      <c r="AQ4">
        <v>4032</v>
      </c>
      <c r="AR4">
        <v>4107</v>
      </c>
      <c r="AS4">
        <v>4166</v>
      </c>
      <c r="AT4">
        <v>4205</v>
      </c>
      <c r="AU4">
        <v>4219</v>
      </c>
      <c r="AV4">
        <v>4220</v>
      </c>
      <c r="AW4">
        <v>4215</v>
      </c>
      <c r="AX4">
        <v>4204</v>
      </c>
      <c r="AY4">
        <v>4172</v>
      </c>
      <c r="AZ4">
        <v>4122</v>
      </c>
      <c r="BA4">
        <v>4064</v>
      </c>
      <c r="BB4">
        <v>3989</v>
      </c>
      <c r="BC4">
        <v>3905</v>
      </c>
      <c r="BD4">
        <v>3806</v>
      </c>
      <c r="BE4">
        <v>3696</v>
      </c>
      <c r="BF4">
        <v>3552</v>
      </c>
      <c r="BG4">
        <v>3400</v>
      </c>
      <c r="BH4">
        <v>3236</v>
      </c>
      <c r="BI4">
        <v>3050</v>
      </c>
      <c r="BJ4">
        <v>2853</v>
      </c>
      <c r="BK4">
        <v>2651</v>
      </c>
      <c r="BL4">
        <v>2426</v>
      </c>
      <c r="BM4">
        <v>2192</v>
      </c>
      <c r="BN4">
        <v>1944</v>
      </c>
      <c r="BO4">
        <v>1682</v>
      </c>
      <c r="BP4">
        <v>1421</v>
      </c>
      <c r="BQ4">
        <v>1170</v>
      </c>
      <c r="BR4">
        <v>940</v>
      </c>
      <c r="BS4">
        <v>722</v>
      </c>
      <c r="BT4">
        <v>537</v>
      </c>
      <c r="BU4">
        <v>378</v>
      </c>
      <c r="BV4">
        <v>253</v>
      </c>
      <c r="BW4">
        <v>150</v>
      </c>
      <c r="BX4">
        <v>65</v>
      </c>
      <c r="BY4">
        <v>23</v>
      </c>
      <c r="BZ4">
        <v>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9">
        <v>46238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9</v>
      </c>
      <c r="V5">
        <v>46</v>
      </c>
      <c r="W5">
        <v>111</v>
      </c>
      <c r="X5">
        <v>197</v>
      </c>
      <c r="Y5">
        <v>309</v>
      </c>
      <c r="Z5">
        <v>445</v>
      </c>
      <c r="AA5">
        <v>628</v>
      </c>
      <c r="AB5">
        <v>837</v>
      </c>
      <c r="AC5">
        <v>1071</v>
      </c>
      <c r="AD5">
        <v>1344</v>
      </c>
      <c r="AE5">
        <v>1611</v>
      </c>
      <c r="AF5">
        <v>1880</v>
      </c>
      <c r="AG5">
        <v>2149</v>
      </c>
      <c r="AH5">
        <v>2408</v>
      </c>
      <c r="AI5">
        <v>2665</v>
      </c>
      <c r="AJ5">
        <v>2911</v>
      </c>
      <c r="AK5">
        <v>3142</v>
      </c>
      <c r="AL5">
        <v>3343</v>
      </c>
      <c r="AM5">
        <v>3521</v>
      </c>
      <c r="AN5">
        <v>3684</v>
      </c>
      <c r="AO5">
        <v>3829</v>
      </c>
      <c r="AP5">
        <v>3938</v>
      </c>
      <c r="AQ5">
        <v>4031</v>
      </c>
      <c r="AR5">
        <v>4108</v>
      </c>
      <c r="AS5">
        <v>4166</v>
      </c>
      <c r="AT5">
        <v>4199</v>
      </c>
      <c r="AU5">
        <v>4205</v>
      </c>
      <c r="AV5">
        <v>4205</v>
      </c>
      <c r="AW5">
        <v>4194</v>
      </c>
      <c r="AX5">
        <v>4179</v>
      </c>
      <c r="AY5">
        <v>4134</v>
      </c>
      <c r="AZ5">
        <v>4078</v>
      </c>
      <c r="BA5">
        <v>4016</v>
      </c>
      <c r="BB5">
        <v>3939</v>
      </c>
      <c r="BC5">
        <v>3851</v>
      </c>
      <c r="BD5">
        <v>3749</v>
      </c>
      <c r="BE5">
        <v>3636</v>
      </c>
      <c r="BF5">
        <v>3490</v>
      </c>
      <c r="BG5">
        <v>3339</v>
      </c>
      <c r="BH5">
        <v>3157</v>
      </c>
      <c r="BI5">
        <v>2970</v>
      </c>
      <c r="BJ5">
        <v>2769</v>
      </c>
      <c r="BK5">
        <v>2557</v>
      </c>
      <c r="BL5">
        <v>2338</v>
      </c>
      <c r="BM5">
        <v>2108</v>
      </c>
      <c r="BN5">
        <v>1857</v>
      </c>
      <c r="BO5">
        <v>1604</v>
      </c>
      <c r="BP5">
        <v>1354</v>
      </c>
      <c r="BQ5">
        <v>1115</v>
      </c>
      <c r="BR5">
        <v>897</v>
      </c>
      <c r="BS5">
        <v>689</v>
      </c>
      <c r="BT5">
        <v>512</v>
      </c>
      <c r="BU5">
        <v>359</v>
      </c>
      <c r="BV5">
        <v>238</v>
      </c>
      <c r="BW5">
        <v>142</v>
      </c>
      <c r="BX5">
        <v>60</v>
      </c>
      <c r="BY5">
        <v>20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9">
        <v>46239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7</v>
      </c>
      <c r="V6">
        <v>42</v>
      </c>
      <c r="W6">
        <v>106</v>
      </c>
      <c r="X6">
        <v>193</v>
      </c>
      <c r="Y6">
        <v>307</v>
      </c>
      <c r="Z6">
        <v>450</v>
      </c>
      <c r="AA6">
        <v>639</v>
      </c>
      <c r="AB6">
        <v>855</v>
      </c>
      <c r="AC6">
        <v>1094</v>
      </c>
      <c r="AD6">
        <v>1371</v>
      </c>
      <c r="AE6">
        <v>1689</v>
      </c>
      <c r="AF6">
        <v>1973</v>
      </c>
      <c r="AG6">
        <v>2253</v>
      </c>
      <c r="AH6">
        <v>2519</v>
      </c>
      <c r="AI6">
        <v>2739</v>
      </c>
      <c r="AJ6">
        <v>2979</v>
      </c>
      <c r="AK6">
        <v>3211</v>
      </c>
      <c r="AL6">
        <v>3411</v>
      </c>
      <c r="AM6">
        <v>3583</v>
      </c>
      <c r="AN6">
        <v>3744</v>
      </c>
      <c r="AO6">
        <v>3886</v>
      </c>
      <c r="AP6">
        <v>3993</v>
      </c>
      <c r="AQ6">
        <v>4089</v>
      </c>
      <c r="AR6">
        <v>4159</v>
      </c>
      <c r="AS6">
        <v>4214</v>
      </c>
      <c r="AT6">
        <v>4250</v>
      </c>
      <c r="AU6">
        <v>4264</v>
      </c>
      <c r="AV6">
        <v>4274</v>
      </c>
      <c r="AW6">
        <v>4267</v>
      </c>
      <c r="AX6">
        <v>4257</v>
      </c>
      <c r="AY6">
        <v>4218</v>
      </c>
      <c r="AZ6">
        <v>4161</v>
      </c>
      <c r="BA6">
        <v>4098</v>
      </c>
      <c r="BB6">
        <v>4020</v>
      </c>
      <c r="BC6">
        <v>3932</v>
      </c>
      <c r="BD6">
        <v>3832</v>
      </c>
      <c r="BE6">
        <v>3718</v>
      </c>
      <c r="BF6">
        <v>3566</v>
      </c>
      <c r="BG6">
        <v>3405</v>
      </c>
      <c r="BH6">
        <v>3228</v>
      </c>
      <c r="BI6">
        <v>3029</v>
      </c>
      <c r="BJ6">
        <v>2822</v>
      </c>
      <c r="BK6">
        <v>2597</v>
      </c>
      <c r="BL6">
        <v>2365</v>
      </c>
      <c r="BM6">
        <v>2127</v>
      </c>
      <c r="BN6">
        <v>1876</v>
      </c>
      <c r="BO6">
        <v>1615</v>
      </c>
      <c r="BP6">
        <v>1357</v>
      </c>
      <c r="BQ6">
        <v>1111</v>
      </c>
      <c r="BR6">
        <v>888</v>
      </c>
      <c r="BS6">
        <v>688</v>
      </c>
      <c r="BT6">
        <v>511</v>
      </c>
      <c r="BU6">
        <v>358</v>
      </c>
      <c r="BV6">
        <v>237</v>
      </c>
      <c r="BW6">
        <v>137</v>
      </c>
      <c r="BX6">
        <v>58</v>
      </c>
      <c r="BY6">
        <v>19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>
      <c r="A7" s="9">
        <v>46240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7</v>
      </c>
      <c r="V7">
        <v>39</v>
      </c>
      <c r="W7">
        <v>101</v>
      </c>
      <c r="X7">
        <v>183</v>
      </c>
      <c r="Y7">
        <v>292</v>
      </c>
      <c r="Z7">
        <v>423</v>
      </c>
      <c r="AA7">
        <v>591</v>
      </c>
      <c r="AB7">
        <v>787</v>
      </c>
      <c r="AC7">
        <v>1003</v>
      </c>
      <c r="AD7">
        <v>1256</v>
      </c>
      <c r="AE7">
        <v>1509</v>
      </c>
      <c r="AF7">
        <v>1764</v>
      </c>
      <c r="AG7">
        <v>2015</v>
      </c>
      <c r="AH7">
        <v>2259</v>
      </c>
      <c r="AI7">
        <v>2493</v>
      </c>
      <c r="AJ7">
        <v>2727</v>
      </c>
      <c r="AK7">
        <v>2945</v>
      </c>
      <c r="AL7">
        <v>3140</v>
      </c>
      <c r="AM7">
        <v>3309</v>
      </c>
      <c r="AN7">
        <v>3465</v>
      </c>
      <c r="AO7">
        <v>3600</v>
      </c>
      <c r="AP7">
        <v>3702</v>
      </c>
      <c r="AQ7">
        <v>3797</v>
      </c>
      <c r="AR7">
        <v>3871</v>
      </c>
      <c r="AS7">
        <v>3928</v>
      </c>
      <c r="AT7">
        <v>3969</v>
      </c>
      <c r="AU7">
        <v>3991</v>
      </c>
      <c r="AV7">
        <v>3997</v>
      </c>
      <c r="AW7">
        <v>3988</v>
      </c>
      <c r="AX7">
        <v>3978</v>
      </c>
      <c r="AY7">
        <v>3941</v>
      </c>
      <c r="AZ7">
        <v>3885</v>
      </c>
      <c r="BA7">
        <v>3824</v>
      </c>
      <c r="BB7">
        <v>3749</v>
      </c>
      <c r="BC7">
        <v>3657</v>
      </c>
      <c r="BD7">
        <v>3545</v>
      </c>
      <c r="BE7">
        <v>3423</v>
      </c>
      <c r="BF7">
        <v>3268</v>
      </c>
      <c r="BG7">
        <v>3109</v>
      </c>
      <c r="BH7">
        <v>2934</v>
      </c>
      <c r="BI7">
        <v>2748</v>
      </c>
      <c r="BJ7">
        <v>2552</v>
      </c>
      <c r="BK7">
        <v>2349</v>
      </c>
      <c r="BL7">
        <v>2138</v>
      </c>
      <c r="BM7">
        <v>1919</v>
      </c>
      <c r="BN7">
        <v>1696</v>
      </c>
      <c r="BO7">
        <v>1465</v>
      </c>
      <c r="BP7">
        <v>1234</v>
      </c>
      <c r="BQ7">
        <v>1014</v>
      </c>
      <c r="BR7">
        <v>814</v>
      </c>
      <c r="BS7">
        <v>625</v>
      </c>
      <c r="BT7">
        <v>463</v>
      </c>
      <c r="BU7">
        <v>322</v>
      </c>
      <c r="BV7">
        <v>212</v>
      </c>
      <c r="BW7">
        <v>126</v>
      </c>
      <c r="BX7">
        <v>53</v>
      </c>
      <c r="BY7">
        <v>17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>
      <c r="A8" s="9">
        <v>46241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6</v>
      </c>
      <c r="V8">
        <v>30</v>
      </c>
      <c r="W8">
        <v>76</v>
      </c>
      <c r="X8">
        <v>136</v>
      </c>
      <c r="Y8">
        <v>215</v>
      </c>
      <c r="Z8">
        <v>310</v>
      </c>
      <c r="AA8">
        <v>425</v>
      </c>
      <c r="AB8">
        <v>560</v>
      </c>
      <c r="AC8">
        <v>705</v>
      </c>
      <c r="AD8">
        <v>867</v>
      </c>
      <c r="AE8">
        <v>1038</v>
      </c>
      <c r="AF8">
        <v>1219</v>
      </c>
      <c r="AG8">
        <v>1395</v>
      </c>
      <c r="AH8">
        <v>1562</v>
      </c>
      <c r="AI8">
        <v>1739</v>
      </c>
      <c r="AJ8">
        <v>1921</v>
      </c>
      <c r="AK8">
        <v>2095</v>
      </c>
      <c r="AL8">
        <v>2262</v>
      </c>
      <c r="AM8">
        <v>2423</v>
      </c>
      <c r="AN8">
        <v>2581</v>
      </c>
      <c r="AO8">
        <v>2740</v>
      </c>
      <c r="AP8">
        <v>2883</v>
      </c>
      <c r="AQ8">
        <v>3034</v>
      </c>
      <c r="AR8">
        <v>3171</v>
      </c>
      <c r="AS8">
        <v>3296</v>
      </c>
      <c r="AT8">
        <v>3400</v>
      </c>
      <c r="AU8">
        <v>3492</v>
      </c>
      <c r="AV8">
        <v>3565</v>
      </c>
      <c r="AW8">
        <v>3609</v>
      </c>
      <c r="AX8">
        <v>3644</v>
      </c>
      <c r="AY8">
        <v>3650</v>
      </c>
      <c r="AZ8">
        <v>3629</v>
      </c>
      <c r="BA8">
        <v>3606</v>
      </c>
      <c r="BB8">
        <v>3576</v>
      </c>
      <c r="BC8">
        <v>3528</v>
      </c>
      <c r="BD8">
        <v>3471</v>
      </c>
      <c r="BE8">
        <v>3399</v>
      </c>
      <c r="BF8">
        <v>3294</v>
      </c>
      <c r="BG8">
        <v>3179</v>
      </c>
      <c r="BH8">
        <v>3049</v>
      </c>
      <c r="BI8">
        <v>2890</v>
      </c>
      <c r="BJ8">
        <v>2717</v>
      </c>
      <c r="BK8">
        <v>2526</v>
      </c>
      <c r="BL8">
        <v>2317</v>
      </c>
      <c r="BM8">
        <v>2095</v>
      </c>
      <c r="BN8">
        <v>1855</v>
      </c>
      <c r="BO8">
        <v>1602</v>
      </c>
      <c r="BP8">
        <v>1352</v>
      </c>
      <c r="BQ8">
        <v>1109</v>
      </c>
      <c r="BR8">
        <v>894</v>
      </c>
      <c r="BS8">
        <v>686</v>
      </c>
      <c r="BT8">
        <v>502</v>
      </c>
      <c r="BU8">
        <v>347</v>
      </c>
      <c r="BV8">
        <v>228</v>
      </c>
      <c r="BW8">
        <v>130</v>
      </c>
      <c r="BX8">
        <v>54</v>
      </c>
      <c r="BY8">
        <v>15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A9" s="9">
        <v>46242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6</v>
      </c>
      <c r="V9">
        <v>43</v>
      </c>
      <c r="W9">
        <v>111</v>
      </c>
      <c r="X9">
        <v>204</v>
      </c>
      <c r="Y9">
        <v>332</v>
      </c>
      <c r="Z9">
        <v>499</v>
      </c>
      <c r="AA9">
        <v>718</v>
      </c>
      <c r="AB9">
        <v>976</v>
      </c>
      <c r="AC9">
        <v>1256</v>
      </c>
      <c r="AD9">
        <v>1571</v>
      </c>
      <c r="AE9">
        <v>1877</v>
      </c>
      <c r="AF9">
        <v>2185</v>
      </c>
      <c r="AG9">
        <v>2490</v>
      </c>
      <c r="AH9">
        <v>2771</v>
      </c>
      <c r="AI9">
        <v>3043</v>
      </c>
      <c r="AJ9">
        <v>3300</v>
      </c>
      <c r="AK9">
        <v>3536</v>
      </c>
      <c r="AL9">
        <v>3738</v>
      </c>
      <c r="AM9">
        <v>3911</v>
      </c>
      <c r="AN9">
        <v>4065</v>
      </c>
      <c r="AO9">
        <v>4196</v>
      </c>
      <c r="AP9">
        <v>4291</v>
      </c>
      <c r="AQ9">
        <v>4373</v>
      </c>
      <c r="AR9">
        <v>4434</v>
      </c>
      <c r="AS9">
        <v>4484</v>
      </c>
      <c r="AT9">
        <v>4514</v>
      </c>
      <c r="AU9">
        <v>4522</v>
      </c>
      <c r="AV9">
        <v>4518</v>
      </c>
      <c r="AW9">
        <v>4496</v>
      </c>
      <c r="AX9">
        <v>4473</v>
      </c>
      <c r="AY9">
        <v>4440</v>
      </c>
      <c r="AZ9">
        <v>4378</v>
      </c>
      <c r="BA9">
        <v>4313</v>
      </c>
      <c r="BB9">
        <v>4235</v>
      </c>
      <c r="BC9">
        <v>4146</v>
      </c>
      <c r="BD9">
        <v>4038</v>
      </c>
      <c r="BE9">
        <v>3915</v>
      </c>
      <c r="BF9">
        <v>3764</v>
      </c>
      <c r="BG9">
        <v>3610</v>
      </c>
      <c r="BH9">
        <v>3444</v>
      </c>
      <c r="BI9">
        <v>3240</v>
      </c>
      <c r="BJ9">
        <v>3033</v>
      </c>
      <c r="BK9">
        <v>2808</v>
      </c>
      <c r="BL9">
        <v>2556</v>
      </c>
      <c r="BM9">
        <v>2303</v>
      </c>
      <c r="BN9">
        <v>2030</v>
      </c>
      <c r="BO9">
        <v>1745</v>
      </c>
      <c r="BP9">
        <v>1460</v>
      </c>
      <c r="BQ9">
        <v>1193</v>
      </c>
      <c r="BR9">
        <v>953</v>
      </c>
      <c r="BS9">
        <v>725</v>
      </c>
      <c r="BT9">
        <v>525</v>
      </c>
      <c r="BU9">
        <v>359</v>
      </c>
      <c r="BV9">
        <v>229</v>
      </c>
      <c r="BW9">
        <v>128</v>
      </c>
      <c r="BX9">
        <v>50</v>
      </c>
      <c r="BY9">
        <v>14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s="9">
        <v>46243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</v>
      </c>
      <c r="V10">
        <v>39</v>
      </c>
      <c r="W10">
        <v>102</v>
      </c>
      <c r="X10">
        <v>189</v>
      </c>
      <c r="Y10">
        <v>310</v>
      </c>
      <c r="Z10">
        <v>471</v>
      </c>
      <c r="AA10">
        <v>681</v>
      </c>
      <c r="AB10">
        <v>933</v>
      </c>
      <c r="AC10">
        <v>1207</v>
      </c>
      <c r="AD10">
        <v>1514</v>
      </c>
      <c r="AE10">
        <v>1814</v>
      </c>
      <c r="AF10">
        <v>2117</v>
      </c>
      <c r="AG10">
        <v>2420</v>
      </c>
      <c r="AH10">
        <v>2706</v>
      </c>
      <c r="AI10">
        <v>2988</v>
      </c>
      <c r="AJ10">
        <v>3249</v>
      </c>
      <c r="AK10">
        <v>3493</v>
      </c>
      <c r="AL10">
        <v>3704</v>
      </c>
      <c r="AM10">
        <v>3888</v>
      </c>
      <c r="AN10">
        <v>4051</v>
      </c>
      <c r="AO10">
        <v>4187</v>
      </c>
      <c r="AP10">
        <v>4289</v>
      </c>
      <c r="AQ10">
        <v>4377</v>
      </c>
      <c r="AR10">
        <v>4450</v>
      </c>
      <c r="AS10">
        <v>4509</v>
      </c>
      <c r="AT10">
        <v>4546</v>
      </c>
      <c r="AU10">
        <v>4570</v>
      </c>
      <c r="AV10">
        <v>4572</v>
      </c>
      <c r="AW10">
        <v>4560</v>
      </c>
      <c r="AX10">
        <v>4547</v>
      </c>
      <c r="AY10">
        <v>4525</v>
      </c>
      <c r="AZ10">
        <v>4478</v>
      </c>
      <c r="BA10">
        <v>4429</v>
      </c>
      <c r="BB10">
        <v>4372</v>
      </c>
      <c r="BC10">
        <v>4303</v>
      </c>
      <c r="BD10">
        <v>4222</v>
      </c>
      <c r="BE10">
        <v>4121</v>
      </c>
      <c r="BF10">
        <v>3984</v>
      </c>
      <c r="BG10">
        <v>3841</v>
      </c>
      <c r="BH10">
        <v>3674</v>
      </c>
      <c r="BI10">
        <v>3468</v>
      </c>
      <c r="BJ10">
        <v>3256</v>
      </c>
      <c r="BK10">
        <v>3025</v>
      </c>
      <c r="BL10">
        <v>2758</v>
      </c>
      <c r="BM10">
        <v>2491</v>
      </c>
      <c r="BN10">
        <v>2201</v>
      </c>
      <c r="BO10">
        <v>1894</v>
      </c>
      <c r="BP10">
        <v>1582</v>
      </c>
      <c r="BQ10">
        <v>1283</v>
      </c>
      <c r="BR10">
        <v>1019</v>
      </c>
      <c r="BS10">
        <v>770</v>
      </c>
      <c r="BT10">
        <v>553</v>
      </c>
      <c r="BU10">
        <v>373</v>
      </c>
      <c r="BV10">
        <v>235</v>
      </c>
      <c r="BW10">
        <v>127</v>
      </c>
      <c r="BX10">
        <v>50</v>
      </c>
      <c r="BY10">
        <v>14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A11" s="9">
        <v>46244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25</v>
      </c>
      <c r="W11">
        <v>74</v>
      </c>
      <c r="X11">
        <v>138</v>
      </c>
      <c r="Y11">
        <v>230</v>
      </c>
      <c r="Z11">
        <v>348</v>
      </c>
      <c r="AA11">
        <v>505</v>
      </c>
      <c r="AB11">
        <v>694</v>
      </c>
      <c r="AC11">
        <v>900</v>
      </c>
      <c r="AD11">
        <v>1140</v>
      </c>
      <c r="AE11">
        <v>1389</v>
      </c>
      <c r="AF11">
        <v>1648</v>
      </c>
      <c r="AG11">
        <v>1912</v>
      </c>
      <c r="AH11">
        <v>2165</v>
      </c>
      <c r="AI11">
        <v>2411</v>
      </c>
      <c r="AJ11">
        <v>2649</v>
      </c>
      <c r="AK11">
        <v>2865</v>
      </c>
      <c r="AL11">
        <v>3051</v>
      </c>
      <c r="AM11">
        <v>3216</v>
      </c>
      <c r="AN11">
        <v>3361</v>
      </c>
      <c r="AO11">
        <v>3494</v>
      </c>
      <c r="AP11">
        <v>3594</v>
      </c>
      <c r="AQ11">
        <v>3685</v>
      </c>
      <c r="AR11">
        <v>3759</v>
      </c>
      <c r="AS11">
        <v>3815</v>
      </c>
      <c r="AT11">
        <v>3869</v>
      </c>
      <c r="AU11">
        <v>3916</v>
      </c>
      <c r="AV11">
        <v>3948</v>
      </c>
      <c r="AW11">
        <v>3961</v>
      </c>
      <c r="AX11">
        <v>3969</v>
      </c>
      <c r="AY11">
        <v>3961</v>
      </c>
      <c r="AZ11">
        <v>3929</v>
      </c>
      <c r="BA11">
        <v>3898</v>
      </c>
      <c r="BB11">
        <v>3854</v>
      </c>
      <c r="BC11">
        <v>3784</v>
      </c>
      <c r="BD11">
        <v>3704</v>
      </c>
      <c r="BE11">
        <v>3603</v>
      </c>
      <c r="BF11">
        <v>3466</v>
      </c>
      <c r="BG11">
        <v>3322</v>
      </c>
      <c r="BH11">
        <v>3166</v>
      </c>
      <c r="BI11">
        <v>2987</v>
      </c>
      <c r="BJ11">
        <v>2791</v>
      </c>
      <c r="BK11">
        <v>2578</v>
      </c>
      <c r="BL11">
        <v>2349</v>
      </c>
      <c r="BM11">
        <v>2117</v>
      </c>
      <c r="BN11">
        <v>1871</v>
      </c>
      <c r="BO11">
        <v>1615</v>
      </c>
      <c r="BP11">
        <v>1359</v>
      </c>
      <c r="BQ11">
        <v>1111</v>
      </c>
      <c r="BR11">
        <v>886</v>
      </c>
      <c r="BS11">
        <v>673</v>
      </c>
      <c r="BT11">
        <v>486</v>
      </c>
      <c r="BU11">
        <v>329</v>
      </c>
      <c r="BV11">
        <v>207</v>
      </c>
      <c r="BW11">
        <v>108</v>
      </c>
      <c r="BX11">
        <v>44</v>
      </c>
      <c r="BY11">
        <v>11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>
      <c r="A12" s="9">
        <v>46245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</v>
      </c>
      <c r="V12">
        <v>28</v>
      </c>
      <c r="W12">
        <v>74</v>
      </c>
      <c r="X12">
        <v>141</v>
      </c>
      <c r="Y12">
        <v>232</v>
      </c>
      <c r="Z12">
        <v>354</v>
      </c>
      <c r="AA12">
        <v>510</v>
      </c>
      <c r="AB12">
        <v>691</v>
      </c>
      <c r="AC12">
        <v>895</v>
      </c>
      <c r="AD12">
        <v>1136</v>
      </c>
      <c r="AE12">
        <v>1383</v>
      </c>
      <c r="AF12">
        <v>1638</v>
      </c>
      <c r="AG12">
        <v>1897</v>
      </c>
      <c r="AH12">
        <v>2147</v>
      </c>
      <c r="AI12">
        <v>2394</v>
      </c>
      <c r="AJ12">
        <v>2641</v>
      </c>
      <c r="AK12">
        <v>2871</v>
      </c>
      <c r="AL12">
        <v>3082</v>
      </c>
      <c r="AM12">
        <v>3272</v>
      </c>
      <c r="AN12">
        <v>3441</v>
      </c>
      <c r="AO12">
        <v>3591</v>
      </c>
      <c r="AP12">
        <v>3706</v>
      </c>
      <c r="AQ12">
        <v>3809</v>
      </c>
      <c r="AR12">
        <v>3895</v>
      </c>
      <c r="AS12">
        <v>3957</v>
      </c>
      <c r="AT12">
        <v>4005</v>
      </c>
      <c r="AU12">
        <v>4027</v>
      </c>
      <c r="AV12">
        <v>4035</v>
      </c>
      <c r="AW12">
        <v>4016</v>
      </c>
      <c r="AX12">
        <v>3998</v>
      </c>
      <c r="AY12">
        <v>3963</v>
      </c>
      <c r="AZ12">
        <v>3904</v>
      </c>
      <c r="BA12">
        <v>3845</v>
      </c>
      <c r="BB12">
        <v>3777</v>
      </c>
      <c r="BC12">
        <v>3690</v>
      </c>
      <c r="BD12">
        <v>3590</v>
      </c>
      <c r="BE12">
        <v>3475</v>
      </c>
      <c r="BF12">
        <v>3333</v>
      </c>
      <c r="BG12">
        <v>3182</v>
      </c>
      <c r="BH12">
        <v>3015</v>
      </c>
      <c r="BI12">
        <v>2833</v>
      </c>
      <c r="BJ12">
        <v>2641</v>
      </c>
      <c r="BK12">
        <v>2436</v>
      </c>
      <c r="BL12">
        <v>2220</v>
      </c>
      <c r="BM12">
        <v>1997</v>
      </c>
      <c r="BN12">
        <v>1762</v>
      </c>
      <c r="BO12">
        <v>1518</v>
      </c>
      <c r="BP12">
        <v>1269</v>
      </c>
      <c r="BQ12">
        <v>1032</v>
      </c>
      <c r="BR12">
        <v>814</v>
      </c>
      <c r="BS12">
        <v>617</v>
      </c>
      <c r="BT12">
        <v>444</v>
      </c>
      <c r="BU12">
        <v>298</v>
      </c>
      <c r="BV12">
        <v>182</v>
      </c>
      <c r="BW12">
        <v>92</v>
      </c>
      <c r="BX12">
        <v>37</v>
      </c>
      <c r="BY12">
        <v>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>
      <c r="A13" s="9">
        <v>46246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26</v>
      </c>
      <c r="W13">
        <v>76</v>
      </c>
      <c r="X13">
        <v>140</v>
      </c>
      <c r="Y13">
        <v>231</v>
      </c>
      <c r="Z13">
        <v>351</v>
      </c>
      <c r="AA13">
        <v>503</v>
      </c>
      <c r="AB13">
        <v>680</v>
      </c>
      <c r="AC13">
        <v>868</v>
      </c>
      <c r="AD13">
        <v>1089</v>
      </c>
      <c r="AE13">
        <v>1305</v>
      </c>
      <c r="AF13">
        <v>1524</v>
      </c>
      <c r="AG13">
        <v>1739</v>
      </c>
      <c r="AH13">
        <v>1942</v>
      </c>
      <c r="AI13">
        <v>2134</v>
      </c>
      <c r="AJ13">
        <v>2322</v>
      </c>
      <c r="AK13">
        <v>2493</v>
      </c>
      <c r="AL13">
        <v>2636</v>
      </c>
      <c r="AM13">
        <v>2763</v>
      </c>
      <c r="AN13">
        <v>2878</v>
      </c>
      <c r="AO13">
        <v>2977</v>
      </c>
      <c r="AP13">
        <v>3045</v>
      </c>
      <c r="AQ13">
        <v>3105</v>
      </c>
      <c r="AR13">
        <v>3151</v>
      </c>
      <c r="AS13">
        <v>3176</v>
      </c>
      <c r="AT13">
        <v>3173</v>
      </c>
      <c r="AU13">
        <v>3157</v>
      </c>
      <c r="AV13">
        <v>3132</v>
      </c>
      <c r="AW13">
        <v>3095</v>
      </c>
      <c r="AX13">
        <v>3050</v>
      </c>
      <c r="AY13">
        <v>2987</v>
      </c>
      <c r="AZ13">
        <v>2899</v>
      </c>
      <c r="BA13">
        <v>2817</v>
      </c>
      <c r="BB13">
        <v>2719</v>
      </c>
      <c r="BC13">
        <v>2609</v>
      </c>
      <c r="BD13">
        <v>2491</v>
      </c>
      <c r="BE13">
        <v>2362</v>
      </c>
      <c r="BF13">
        <v>2208</v>
      </c>
      <c r="BG13">
        <v>2057</v>
      </c>
      <c r="BH13">
        <v>1898</v>
      </c>
      <c r="BI13">
        <v>1748</v>
      </c>
      <c r="BJ13">
        <v>1594</v>
      </c>
      <c r="BK13">
        <v>1441</v>
      </c>
      <c r="BL13">
        <v>1285</v>
      </c>
      <c r="BM13">
        <v>1127</v>
      </c>
      <c r="BN13">
        <v>977</v>
      </c>
      <c r="BO13">
        <v>834</v>
      </c>
      <c r="BP13">
        <v>689</v>
      </c>
      <c r="BQ13">
        <v>557</v>
      </c>
      <c r="BR13">
        <v>439</v>
      </c>
      <c r="BS13">
        <v>329</v>
      </c>
      <c r="BT13">
        <v>236</v>
      </c>
      <c r="BU13">
        <v>162</v>
      </c>
      <c r="BV13">
        <v>100</v>
      </c>
      <c r="BW13">
        <v>48</v>
      </c>
      <c r="BX13">
        <v>19</v>
      </c>
      <c r="BY13">
        <v>4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>
      <c r="A14" s="9">
        <v>46247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10</v>
      </c>
      <c r="W14">
        <v>27</v>
      </c>
      <c r="X14">
        <v>50</v>
      </c>
      <c r="Y14">
        <v>79</v>
      </c>
      <c r="Z14">
        <v>117</v>
      </c>
      <c r="AA14">
        <v>159</v>
      </c>
      <c r="AB14">
        <v>210</v>
      </c>
      <c r="AC14">
        <v>265</v>
      </c>
      <c r="AD14">
        <v>318</v>
      </c>
      <c r="AE14">
        <v>385</v>
      </c>
      <c r="AF14">
        <v>461</v>
      </c>
      <c r="AG14">
        <v>536</v>
      </c>
      <c r="AH14">
        <v>621</v>
      </c>
      <c r="AI14">
        <v>711</v>
      </c>
      <c r="AJ14">
        <v>800</v>
      </c>
      <c r="AK14">
        <v>895</v>
      </c>
      <c r="AL14">
        <v>981</v>
      </c>
      <c r="AM14">
        <v>1064</v>
      </c>
      <c r="AN14">
        <v>1145</v>
      </c>
      <c r="AO14">
        <v>1230</v>
      </c>
      <c r="AP14">
        <v>1307</v>
      </c>
      <c r="AQ14">
        <v>1384</v>
      </c>
      <c r="AR14">
        <v>1456</v>
      </c>
      <c r="AS14">
        <v>1530</v>
      </c>
      <c r="AT14">
        <v>1596</v>
      </c>
      <c r="AU14">
        <v>1662</v>
      </c>
      <c r="AV14">
        <v>1726</v>
      </c>
      <c r="AW14">
        <v>1778</v>
      </c>
      <c r="AX14">
        <v>1818</v>
      </c>
      <c r="AY14">
        <v>1845</v>
      </c>
      <c r="AZ14">
        <v>1872</v>
      </c>
      <c r="BA14">
        <v>1895</v>
      </c>
      <c r="BB14">
        <v>1897</v>
      </c>
      <c r="BC14">
        <v>1902</v>
      </c>
      <c r="BD14">
        <v>1904</v>
      </c>
      <c r="BE14">
        <v>1897</v>
      </c>
      <c r="BF14">
        <v>1873</v>
      </c>
      <c r="BG14">
        <v>1842</v>
      </c>
      <c r="BH14">
        <v>1795</v>
      </c>
      <c r="BI14">
        <v>1735</v>
      </c>
      <c r="BJ14">
        <v>1658</v>
      </c>
      <c r="BK14">
        <v>1564</v>
      </c>
      <c r="BL14">
        <v>1455</v>
      </c>
      <c r="BM14">
        <v>1340</v>
      </c>
      <c r="BN14">
        <v>1207</v>
      </c>
      <c r="BO14">
        <v>1068</v>
      </c>
      <c r="BP14">
        <v>910</v>
      </c>
      <c r="BQ14">
        <v>756</v>
      </c>
      <c r="BR14">
        <v>614</v>
      </c>
      <c r="BS14">
        <v>475</v>
      </c>
      <c r="BT14">
        <v>346</v>
      </c>
      <c r="BU14">
        <v>235</v>
      </c>
      <c r="BV14">
        <v>141</v>
      </c>
      <c r="BW14">
        <v>70</v>
      </c>
      <c r="BX14">
        <v>28</v>
      </c>
      <c r="BY14">
        <v>6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>
      <c r="A15" s="9">
        <v>46248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22</v>
      </c>
      <c r="W15">
        <v>68</v>
      </c>
      <c r="X15">
        <v>139</v>
      </c>
      <c r="Y15">
        <v>237</v>
      </c>
      <c r="Z15">
        <v>375</v>
      </c>
      <c r="AA15">
        <v>554</v>
      </c>
      <c r="AB15">
        <v>773</v>
      </c>
      <c r="AC15">
        <v>1005</v>
      </c>
      <c r="AD15">
        <v>1278</v>
      </c>
      <c r="AE15">
        <v>1546</v>
      </c>
      <c r="AF15">
        <v>1823</v>
      </c>
      <c r="AG15">
        <v>2104</v>
      </c>
      <c r="AH15">
        <v>2373</v>
      </c>
      <c r="AI15">
        <v>2636</v>
      </c>
      <c r="AJ15">
        <v>2889</v>
      </c>
      <c r="AK15">
        <v>3128</v>
      </c>
      <c r="AL15">
        <v>3335</v>
      </c>
      <c r="AM15">
        <v>3519</v>
      </c>
      <c r="AN15">
        <v>3690</v>
      </c>
      <c r="AO15">
        <v>3843</v>
      </c>
      <c r="AP15">
        <v>3960</v>
      </c>
      <c r="AQ15">
        <v>4054</v>
      </c>
      <c r="AR15">
        <v>4126</v>
      </c>
      <c r="AS15">
        <v>4181</v>
      </c>
      <c r="AT15">
        <v>4219</v>
      </c>
      <c r="AU15">
        <v>4243</v>
      </c>
      <c r="AV15">
        <v>4247</v>
      </c>
      <c r="AW15">
        <v>4238</v>
      </c>
      <c r="AX15">
        <v>4224</v>
      </c>
      <c r="AY15">
        <v>4190</v>
      </c>
      <c r="AZ15">
        <v>4139</v>
      </c>
      <c r="BA15">
        <v>4079</v>
      </c>
      <c r="BB15">
        <v>4012</v>
      </c>
      <c r="BC15">
        <v>3931</v>
      </c>
      <c r="BD15">
        <v>3834</v>
      </c>
      <c r="BE15">
        <v>3724</v>
      </c>
      <c r="BF15">
        <v>3580</v>
      </c>
      <c r="BG15">
        <v>3430</v>
      </c>
      <c r="BH15">
        <v>3264</v>
      </c>
      <c r="BI15">
        <v>3078</v>
      </c>
      <c r="BJ15">
        <v>2875</v>
      </c>
      <c r="BK15">
        <v>2653</v>
      </c>
      <c r="BL15">
        <v>2418</v>
      </c>
      <c r="BM15">
        <v>2169</v>
      </c>
      <c r="BN15">
        <v>1910</v>
      </c>
      <c r="BO15">
        <v>1632</v>
      </c>
      <c r="BP15">
        <v>1360</v>
      </c>
      <c r="BQ15">
        <v>1100</v>
      </c>
      <c r="BR15">
        <v>868</v>
      </c>
      <c r="BS15">
        <v>646</v>
      </c>
      <c r="BT15">
        <v>454</v>
      </c>
      <c r="BU15">
        <v>295</v>
      </c>
      <c r="BV15">
        <v>173</v>
      </c>
      <c r="BW15">
        <v>79</v>
      </c>
      <c r="BX15">
        <v>27</v>
      </c>
      <c r="BY15">
        <v>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>
      <c r="A16" s="9">
        <v>46249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21</v>
      </c>
      <c r="W16">
        <v>66</v>
      </c>
      <c r="X16">
        <v>135</v>
      </c>
      <c r="Y16">
        <v>232</v>
      </c>
      <c r="Z16">
        <v>363</v>
      </c>
      <c r="AA16">
        <v>532</v>
      </c>
      <c r="AB16">
        <v>737</v>
      </c>
      <c r="AC16">
        <v>958</v>
      </c>
      <c r="AD16">
        <v>1222</v>
      </c>
      <c r="AE16">
        <v>1483</v>
      </c>
      <c r="AF16">
        <v>1756</v>
      </c>
      <c r="AG16">
        <v>2025</v>
      </c>
      <c r="AH16">
        <v>2287</v>
      </c>
      <c r="AI16">
        <v>2539</v>
      </c>
      <c r="AJ16">
        <v>2788</v>
      </c>
      <c r="AK16">
        <v>3018</v>
      </c>
      <c r="AL16">
        <v>3220</v>
      </c>
      <c r="AM16">
        <v>3393</v>
      </c>
      <c r="AN16">
        <v>3551</v>
      </c>
      <c r="AO16">
        <v>3689</v>
      </c>
      <c r="AP16">
        <v>3792</v>
      </c>
      <c r="AQ16">
        <v>3883</v>
      </c>
      <c r="AR16">
        <v>3944</v>
      </c>
      <c r="AS16">
        <v>3993</v>
      </c>
      <c r="AT16">
        <v>4023</v>
      </c>
      <c r="AU16">
        <v>4038</v>
      </c>
      <c r="AV16">
        <v>4039</v>
      </c>
      <c r="AW16">
        <v>4026</v>
      </c>
      <c r="AX16">
        <v>4006</v>
      </c>
      <c r="AY16">
        <v>3969</v>
      </c>
      <c r="AZ16">
        <v>3910</v>
      </c>
      <c r="BA16">
        <v>3848</v>
      </c>
      <c r="BB16">
        <v>3774</v>
      </c>
      <c r="BC16">
        <v>3683</v>
      </c>
      <c r="BD16">
        <v>3581</v>
      </c>
      <c r="BE16">
        <v>3466</v>
      </c>
      <c r="BF16">
        <v>3319</v>
      </c>
      <c r="BG16">
        <v>3167</v>
      </c>
      <c r="BH16">
        <v>2997</v>
      </c>
      <c r="BI16">
        <v>2814</v>
      </c>
      <c r="BJ16">
        <v>2613</v>
      </c>
      <c r="BK16">
        <v>2395</v>
      </c>
      <c r="BL16">
        <v>2159</v>
      </c>
      <c r="BM16">
        <v>1925</v>
      </c>
      <c r="BN16">
        <v>1690</v>
      </c>
      <c r="BO16">
        <v>1441</v>
      </c>
      <c r="BP16">
        <v>1197</v>
      </c>
      <c r="BQ16">
        <v>965</v>
      </c>
      <c r="BR16">
        <v>758</v>
      </c>
      <c r="BS16">
        <v>557</v>
      </c>
      <c r="BT16">
        <v>393</v>
      </c>
      <c r="BU16">
        <v>255</v>
      </c>
      <c r="BV16">
        <v>152</v>
      </c>
      <c r="BW16">
        <v>68</v>
      </c>
      <c r="BX16">
        <v>25</v>
      </c>
      <c r="BY16">
        <v>3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9">
        <v>46250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18</v>
      </c>
      <c r="W17">
        <v>61</v>
      </c>
      <c r="X17">
        <v>129</v>
      </c>
      <c r="Y17">
        <v>220</v>
      </c>
      <c r="Z17">
        <v>348</v>
      </c>
      <c r="AA17">
        <v>516</v>
      </c>
      <c r="AB17">
        <v>719</v>
      </c>
      <c r="AC17">
        <v>939</v>
      </c>
      <c r="AD17">
        <v>1201</v>
      </c>
      <c r="AE17">
        <v>1459</v>
      </c>
      <c r="AF17">
        <v>1730</v>
      </c>
      <c r="AG17">
        <v>1999</v>
      </c>
      <c r="AH17">
        <v>2264</v>
      </c>
      <c r="AI17">
        <v>2513</v>
      </c>
      <c r="AJ17">
        <v>2758</v>
      </c>
      <c r="AK17">
        <v>2979</v>
      </c>
      <c r="AL17">
        <v>3177</v>
      </c>
      <c r="AM17">
        <v>3355</v>
      </c>
      <c r="AN17">
        <v>3513</v>
      </c>
      <c r="AO17">
        <v>3647</v>
      </c>
      <c r="AP17">
        <v>3750</v>
      </c>
      <c r="AQ17">
        <v>3827</v>
      </c>
      <c r="AR17">
        <v>3880</v>
      </c>
      <c r="AS17">
        <v>3921</v>
      </c>
      <c r="AT17">
        <v>3933</v>
      </c>
      <c r="AU17">
        <v>3924</v>
      </c>
      <c r="AV17">
        <v>3904</v>
      </c>
      <c r="AW17">
        <v>3871</v>
      </c>
      <c r="AX17">
        <v>3827</v>
      </c>
      <c r="AY17">
        <v>3768</v>
      </c>
      <c r="AZ17">
        <v>3688</v>
      </c>
      <c r="BA17">
        <v>3592</v>
      </c>
      <c r="BB17">
        <v>3488</v>
      </c>
      <c r="BC17">
        <v>3363</v>
      </c>
      <c r="BD17">
        <v>3217</v>
      </c>
      <c r="BE17">
        <v>3059</v>
      </c>
      <c r="BF17">
        <v>2874</v>
      </c>
      <c r="BG17">
        <v>2671</v>
      </c>
      <c r="BH17">
        <v>2463</v>
      </c>
      <c r="BI17">
        <v>2264</v>
      </c>
      <c r="BJ17">
        <v>2056</v>
      </c>
      <c r="BK17">
        <v>1847</v>
      </c>
      <c r="BL17">
        <v>1628</v>
      </c>
      <c r="BM17">
        <v>1424</v>
      </c>
      <c r="BN17">
        <v>1223</v>
      </c>
      <c r="BO17">
        <v>1012</v>
      </c>
      <c r="BP17">
        <v>810</v>
      </c>
      <c r="BQ17">
        <v>633</v>
      </c>
      <c r="BR17">
        <v>483</v>
      </c>
      <c r="BS17">
        <v>355</v>
      </c>
      <c r="BT17">
        <v>247</v>
      </c>
      <c r="BU17">
        <v>163</v>
      </c>
      <c r="BV17">
        <v>93</v>
      </c>
      <c r="BW17">
        <v>40</v>
      </c>
      <c r="BX17">
        <v>13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9">
        <v>46251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11</v>
      </c>
      <c r="W18">
        <v>35</v>
      </c>
      <c r="X18">
        <v>71</v>
      </c>
      <c r="Y18">
        <v>119</v>
      </c>
      <c r="Z18">
        <v>185</v>
      </c>
      <c r="AA18">
        <v>271</v>
      </c>
      <c r="AB18">
        <v>371</v>
      </c>
      <c r="AC18">
        <v>484</v>
      </c>
      <c r="AD18">
        <v>607</v>
      </c>
      <c r="AE18">
        <v>738</v>
      </c>
      <c r="AF18">
        <v>888</v>
      </c>
      <c r="AG18">
        <v>1035</v>
      </c>
      <c r="AH18">
        <v>1175</v>
      </c>
      <c r="AI18">
        <v>1316</v>
      </c>
      <c r="AJ18">
        <v>1458</v>
      </c>
      <c r="AK18">
        <v>1592</v>
      </c>
      <c r="AL18">
        <v>1717</v>
      </c>
      <c r="AM18">
        <v>1840</v>
      </c>
      <c r="AN18">
        <v>1969</v>
      </c>
      <c r="AO18">
        <v>2089</v>
      </c>
      <c r="AP18">
        <v>2209</v>
      </c>
      <c r="AQ18">
        <v>2335</v>
      </c>
      <c r="AR18">
        <v>2452</v>
      </c>
      <c r="AS18">
        <v>2554</v>
      </c>
      <c r="AT18">
        <v>2640</v>
      </c>
      <c r="AU18">
        <v>2723</v>
      </c>
      <c r="AV18">
        <v>2796</v>
      </c>
      <c r="AW18">
        <v>2856</v>
      </c>
      <c r="AX18">
        <v>2896</v>
      </c>
      <c r="AY18">
        <v>2931</v>
      </c>
      <c r="AZ18">
        <v>2950</v>
      </c>
      <c r="BA18">
        <v>2956</v>
      </c>
      <c r="BB18">
        <v>2940</v>
      </c>
      <c r="BC18">
        <v>2907</v>
      </c>
      <c r="BD18">
        <v>2865</v>
      </c>
      <c r="BE18">
        <v>2808</v>
      </c>
      <c r="BF18">
        <v>2734</v>
      </c>
      <c r="BG18">
        <v>2642</v>
      </c>
      <c r="BH18">
        <v>2531</v>
      </c>
      <c r="BI18">
        <v>2404</v>
      </c>
      <c r="BJ18">
        <v>2270</v>
      </c>
      <c r="BK18">
        <v>2112</v>
      </c>
      <c r="BL18">
        <v>1934</v>
      </c>
      <c r="BM18">
        <v>1742</v>
      </c>
      <c r="BN18">
        <v>1543</v>
      </c>
      <c r="BO18">
        <v>1336</v>
      </c>
      <c r="BP18">
        <v>1120</v>
      </c>
      <c r="BQ18">
        <v>915</v>
      </c>
      <c r="BR18">
        <v>716</v>
      </c>
      <c r="BS18">
        <v>533</v>
      </c>
      <c r="BT18">
        <v>378</v>
      </c>
      <c r="BU18">
        <v>247</v>
      </c>
      <c r="BV18">
        <v>142</v>
      </c>
      <c r="BW18">
        <v>58</v>
      </c>
      <c r="BX18">
        <v>20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9">
        <v>46252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11</v>
      </c>
      <c r="W19">
        <v>43</v>
      </c>
      <c r="X19">
        <v>94</v>
      </c>
      <c r="Y19">
        <v>161</v>
      </c>
      <c r="Z19">
        <v>256</v>
      </c>
      <c r="AA19">
        <v>377</v>
      </c>
      <c r="AB19">
        <v>514</v>
      </c>
      <c r="AC19">
        <v>665</v>
      </c>
      <c r="AD19">
        <v>847</v>
      </c>
      <c r="AE19">
        <v>1023</v>
      </c>
      <c r="AF19">
        <v>1211</v>
      </c>
      <c r="AG19">
        <v>1395</v>
      </c>
      <c r="AH19">
        <v>1585</v>
      </c>
      <c r="AI19">
        <v>1760</v>
      </c>
      <c r="AJ19">
        <v>1933</v>
      </c>
      <c r="AK19">
        <v>2090</v>
      </c>
      <c r="AL19">
        <v>2238</v>
      </c>
      <c r="AM19">
        <v>2365</v>
      </c>
      <c r="AN19">
        <v>2495</v>
      </c>
      <c r="AO19">
        <v>2609</v>
      </c>
      <c r="AP19">
        <v>2713</v>
      </c>
      <c r="AQ19">
        <v>2818</v>
      </c>
      <c r="AR19">
        <v>2908</v>
      </c>
      <c r="AS19">
        <v>2985</v>
      </c>
      <c r="AT19">
        <v>3025</v>
      </c>
      <c r="AU19">
        <v>3048</v>
      </c>
      <c r="AV19">
        <v>3059</v>
      </c>
      <c r="AW19">
        <v>3066</v>
      </c>
      <c r="AX19">
        <v>3056</v>
      </c>
      <c r="AY19">
        <v>3032</v>
      </c>
      <c r="AZ19">
        <v>2989</v>
      </c>
      <c r="BA19">
        <v>2933</v>
      </c>
      <c r="BB19">
        <v>2873</v>
      </c>
      <c r="BC19">
        <v>2804</v>
      </c>
      <c r="BD19">
        <v>2713</v>
      </c>
      <c r="BE19">
        <v>2615</v>
      </c>
      <c r="BF19">
        <v>2502</v>
      </c>
      <c r="BG19">
        <v>2375</v>
      </c>
      <c r="BH19">
        <v>2237</v>
      </c>
      <c r="BI19">
        <v>2094</v>
      </c>
      <c r="BJ19">
        <v>1942</v>
      </c>
      <c r="BK19">
        <v>1781</v>
      </c>
      <c r="BL19">
        <v>1613</v>
      </c>
      <c r="BM19">
        <v>1446</v>
      </c>
      <c r="BN19">
        <v>1284</v>
      </c>
      <c r="BO19">
        <v>1099</v>
      </c>
      <c r="BP19">
        <v>918</v>
      </c>
      <c r="BQ19">
        <v>746</v>
      </c>
      <c r="BR19">
        <v>590</v>
      </c>
      <c r="BS19">
        <v>440</v>
      </c>
      <c r="BT19">
        <v>308</v>
      </c>
      <c r="BU19">
        <v>201</v>
      </c>
      <c r="BV19">
        <v>115</v>
      </c>
      <c r="BW19">
        <v>51</v>
      </c>
      <c r="BX19">
        <v>19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9">
        <v>46253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12</v>
      </c>
      <c r="W20">
        <v>48</v>
      </c>
      <c r="X20">
        <v>107</v>
      </c>
      <c r="Y20">
        <v>190</v>
      </c>
      <c r="Z20">
        <v>313</v>
      </c>
      <c r="AA20">
        <v>474</v>
      </c>
      <c r="AB20">
        <v>661</v>
      </c>
      <c r="AC20">
        <v>874</v>
      </c>
      <c r="AD20">
        <v>1121</v>
      </c>
      <c r="AE20">
        <v>1371</v>
      </c>
      <c r="AF20">
        <v>1634</v>
      </c>
      <c r="AG20">
        <v>1901</v>
      </c>
      <c r="AH20">
        <v>2167</v>
      </c>
      <c r="AI20">
        <v>2419</v>
      </c>
      <c r="AJ20">
        <v>2676</v>
      </c>
      <c r="AK20">
        <v>2902</v>
      </c>
      <c r="AL20">
        <v>3109</v>
      </c>
      <c r="AM20">
        <v>3291</v>
      </c>
      <c r="AN20">
        <v>3462</v>
      </c>
      <c r="AO20">
        <v>3598</v>
      </c>
      <c r="AP20">
        <v>3708</v>
      </c>
      <c r="AQ20">
        <v>3801</v>
      </c>
      <c r="AR20">
        <v>3884</v>
      </c>
      <c r="AS20">
        <v>3947</v>
      </c>
      <c r="AT20">
        <v>3977</v>
      </c>
      <c r="AU20">
        <v>3989</v>
      </c>
      <c r="AV20">
        <v>3991</v>
      </c>
      <c r="AW20">
        <v>3980</v>
      </c>
      <c r="AX20">
        <v>3954</v>
      </c>
      <c r="AY20">
        <v>3923</v>
      </c>
      <c r="AZ20">
        <v>3868</v>
      </c>
      <c r="BA20">
        <v>3802</v>
      </c>
      <c r="BB20">
        <v>3724</v>
      </c>
      <c r="BC20">
        <v>3625</v>
      </c>
      <c r="BD20">
        <v>3509</v>
      </c>
      <c r="BE20">
        <v>3393</v>
      </c>
      <c r="BF20">
        <v>3246</v>
      </c>
      <c r="BG20">
        <v>3083</v>
      </c>
      <c r="BH20">
        <v>2902</v>
      </c>
      <c r="BI20">
        <v>2708</v>
      </c>
      <c r="BJ20">
        <v>2502</v>
      </c>
      <c r="BK20">
        <v>2288</v>
      </c>
      <c r="BL20">
        <v>2063</v>
      </c>
      <c r="BM20">
        <v>1836</v>
      </c>
      <c r="BN20">
        <v>1615</v>
      </c>
      <c r="BO20">
        <v>1374</v>
      </c>
      <c r="BP20">
        <v>1137</v>
      </c>
      <c r="BQ20">
        <v>911</v>
      </c>
      <c r="BR20">
        <v>709</v>
      </c>
      <c r="BS20">
        <v>521</v>
      </c>
      <c r="BT20">
        <v>358</v>
      </c>
      <c r="BU20">
        <v>227</v>
      </c>
      <c r="BV20">
        <v>128</v>
      </c>
      <c r="BW20">
        <v>52</v>
      </c>
      <c r="BX20">
        <v>17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9">
        <v>46254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11</v>
      </c>
      <c r="W21">
        <v>48</v>
      </c>
      <c r="X21">
        <v>109</v>
      </c>
      <c r="Y21">
        <v>194</v>
      </c>
      <c r="Z21">
        <v>319</v>
      </c>
      <c r="AA21">
        <v>480</v>
      </c>
      <c r="AB21">
        <v>670</v>
      </c>
      <c r="AC21">
        <v>882</v>
      </c>
      <c r="AD21">
        <v>1127</v>
      </c>
      <c r="AE21">
        <v>1376</v>
      </c>
      <c r="AF21">
        <v>1638</v>
      </c>
      <c r="AG21">
        <v>1898</v>
      </c>
      <c r="AH21">
        <v>2177</v>
      </c>
      <c r="AI21">
        <v>2445</v>
      </c>
      <c r="AJ21">
        <v>2702</v>
      </c>
      <c r="AK21">
        <v>2935</v>
      </c>
      <c r="AL21">
        <v>3149</v>
      </c>
      <c r="AM21">
        <v>3350</v>
      </c>
      <c r="AN21">
        <v>3534</v>
      </c>
      <c r="AO21">
        <v>3689</v>
      </c>
      <c r="AP21">
        <v>3813</v>
      </c>
      <c r="AQ21">
        <v>3918</v>
      </c>
      <c r="AR21">
        <v>4008</v>
      </c>
      <c r="AS21">
        <v>4083</v>
      </c>
      <c r="AT21">
        <v>4126</v>
      </c>
      <c r="AU21">
        <v>4146</v>
      </c>
      <c r="AV21">
        <v>4156</v>
      </c>
      <c r="AW21">
        <v>4148</v>
      </c>
      <c r="AX21">
        <v>4132</v>
      </c>
      <c r="AY21">
        <v>4097</v>
      </c>
      <c r="AZ21">
        <v>4039</v>
      </c>
      <c r="BA21">
        <v>3969</v>
      </c>
      <c r="BB21">
        <v>3886</v>
      </c>
      <c r="BC21">
        <v>3791</v>
      </c>
      <c r="BD21">
        <v>3667</v>
      </c>
      <c r="BE21">
        <v>3535</v>
      </c>
      <c r="BF21">
        <v>3380</v>
      </c>
      <c r="BG21">
        <v>3209</v>
      </c>
      <c r="BH21">
        <v>3027</v>
      </c>
      <c r="BI21">
        <v>2839</v>
      </c>
      <c r="BJ21">
        <v>2632</v>
      </c>
      <c r="BK21">
        <v>2405</v>
      </c>
      <c r="BL21">
        <v>2168</v>
      </c>
      <c r="BM21">
        <v>1924</v>
      </c>
      <c r="BN21">
        <v>1689</v>
      </c>
      <c r="BO21">
        <v>1431</v>
      </c>
      <c r="BP21">
        <v>1177</v>
      </c>
      <c r="BQ21">
        <v>933</v>
      </c>
      <c r="BR21">
        <v>720</v>
      </c>
      <c r="BS21">
        <v>523</v>
      </c>
      <c r="BT21">
        <v>356</v>
      </c>
      <c r="BU21">
        <v>217</v>
      </c>
      <c r="BV21">
        <v>117</v>
      </c>
      <c r="BW21">
        <v>49</v>
      </c>
      <c r="BX21">
        <v>15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9">
        <v>46255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10</v>
      </c>
      <c r="W22">
        <v>45</v>
      </c>
      <c r="X22">
        <v>105</v>
      </c>
      <c r="Y22">
        <v>189</v>
      </c>
      <c r="Z22">
        <v>313</v>
      </c>
      <c r="AA22">
        <v>473</v>
      </c>
      <c r="AB22">
        <v>662</v>
      </c>
      <c r="AC22">
        <v>870</v>
      </c>
      <c r="AD22">
        <v>1115</v>
      </c>
      <c r="AE22">
        <v>1355</v>
      </c>
      <c r="AF22">
        <v>1614</v>
      </c>
      <c r="AG22">
        <v>1872</v>
      </c>
      <c r="AH22">
        <v>2143</v>
      </c>
      <c r="AI22">
        <v>2400</v>
      </c>
      <c r="AJ22">
        <v>2648</v>
      </c>
      <c r="AK22">
        <v>2873</v>
      </c>
      <c r="AL22">
        <v>3076</v>
      </c>
      <c r="AM22">
        <v>3263</v>
      </c>
      <c r="AN22">
        <v>3437</v>
      </c>
      <c r="AO22">
        <v>3582</v>
      </c>
      <c r="AP22">
        <v>3713</v>
      </c>
      <c r="AQ22">
        <v>3832</v>
      </c>
      <c r="AR22">
        <v>3926</v>
      </c>
      <c r="AS22">
        <v>4009</v>
      </c>
      <c r="AT22">
        <v>4068</v>
      </c>
      <c r="AU22">
        <v>4098</v>
      </c>
      <c r="AV22">
        <v>4118</v>
      </c>
      <c r="AW22">
        <v>4124</v>
      </c>
      <c r="AX22">
        <v>4110</v>
      </c>
      <c r="AY22">
        <v>4076</v>
      </c>
      <c r="AZ22">
        <v>4014</v>
      </c>
      <c r="BA22">
        <v>3939</v>
      </c>
      <c r="BB22">
        <v>3859</v>
      </c>
      <c r="BC22">
        <v>3755</v>
      </c>
      <c r="BD22">
        <v>3637</v>
      </c>
      <c r="BE22">
        <v>3507</v>
      </c>
      <c r="BF22">
        <v>3348</v>
      </c>
      <c r="BG22">
        <v>3179</v>
      </c>
      <c r="BH22">
        <v>2995</v>
      </c>
      <c r="BI22">
        <v>2794</v>
      </c>
      <c r="BJ22">
        <v>2582</v>
      </c>
      <c r="BK22">
        <v>2348</v>
      </c>
      <c r="BL22">
        <v>2103</v>
      </c>
      <c r="BM22">
        <v>1865</v>
      </c>
      <c r="BN22">
        <v>1639</v>
      </c>
      <c r="BO22">
        <v>1389</v>
      </c>
      <c r="BP22">
        <v>1142</v>
      </c>
      <c r="BQ22">
        <v>909</v>
      </c>
      <c r="BR22">
        <v>702</v>
      </c>
      <c r="BS22">
        <v>512</v>
      </c>
      <c r="BT22">
        <v>346</v>
      </c>
      <c r="BU22">
        <v>208</v>
      </c>
      <c r="BV22">
        <v>108</v>
      </c>
      <c r="BW22">
        <v>46</v>
      </c>
      <c r="BX22">
        <v>14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>
      <c r="A23" s="9">
        <v>46256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</v>
      </c>
      <c r="W23">
        <v>41</v>
      </c>
      <c r="X23">
        <v>93</v>
      </c>
      <c r="Y23">
        <v>169</v>
      </c>
      <c r="Z23">
        <v>280</v>
      </c>
      <c r="AA23">
        <v>425</v>
      </c>
      <c r="AB23">
        <v>597</v>
      </c>
      <c r="AC23">
        <v>788</v>
      </c>
      <c r="AD23">
        <v>1011</v>
      </c>
      <c r="AE23">
        <v>1231</v>
      </c>
      <c r="AF23">
        <v>1465</v>
      </c>
      <c r="AG23">
        <v>1695</v>
      </c>
      <c r="AH23">
        <v>1939</v>
      </c>
      <c r="AI23">
        <v>2173</v>
      </c>
      <c r="AJ23">
        <v>2406</v>
      </c>
      <c r="AK23">
        <v>2623</v>
      </c>
      <c r="AL23">
        <v>2817</v>
      </c>
      <c r="AM23">
        <v>2996</v>
      </c>
      <c r="AN23">
        <v>3165</v>
      </c>
      <c r="AO23">
        <v>3308</v>
      </c>
      <c r="AP23">
        <v>3434</v>
      </c>
      <c r="AQ23">
        <v>3538</v>
      </c>
      <c r="AR23">
        <v>3621</v>
      </c>
      <c r="AS23">
        <v>3693</v>
      </c>
      <c r="AT23">
        <v>3735</v>
      </c>
      <c r="AU23">
        <v>3756</v>
      </c>
      <c r="AV23">
        <v>3760</v>
      </c>
      <c r="AW23">
        <v>3753</v>
      </c>
      <c r="AX23">
        <v>3729</v>
      </c>
      <c r="AY23">
        <v>3697</v>
      </c>
      <c r="AZ23">
        <v>3647</v>
      </c>
      <c r="BA23">
        <v>3584</v>
      </c>
      <c r="BB23">
        <v>3513</v>
      </c>
      <c r="BC23">
        <v>3426</v>
      </c>
      <c r="BD23">
        <v>3321</v>
      </c>
      <c r="BE23">
        <v>3202</v>
      </c>
      <c r="BF23">
        <v>3065</v>
      </c>
      <c r="BG23">
        <v>2920</v>
      </c>
      <c r="BH23">
        <v>2757</v>
      </c>
      <c r="BI23">
        <v>2585</v>
      </c>
      <c r="BJ23">
        <v>2398</v>
      </c>
      <c r="BK23">
        <v>2190</v>
      </c>
      <c r="BL23">
        <v>1972</v>
      </c>
      <c r="BM23">
        <v>1749</v>
      </c>
      <c r="BN23">
        <v>1535</v>
      </c>
      <c r="BO23">
        <v>1300</v>
      </c>
      <c r="BP23">
        <v>1071</v>
      </c>
      <c r="BQ23">
        <v>852</v>
      </c>
      <c r="BR23">
        <v>657</v>
      </c>
      <c r="BS23">
        <v>478</v>
      </c>
      <c r="BT23">
        <v>323</v>
      </c>
      <c r="BU23">
        <v>193</v>
      </c>
      <c r="BV23">
        <v>98</v>
      </c>
      <c r="BW23">
        <v>44</v>
      </c>
      <c r="BX23">
        <v>14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>
      <c r="A24" s="9">
        <v>46257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</v>
      </c>
      <c r="W24">
        <v>36</v>
      </c>
      <c r="X24">
        <v>84</v>
      </c>
      <c r="Y24">
        <v>154</v>
      </c>
      <c r="Z24">
        <v>257</v>
      </c>
      <c r="AA24">
        <v>393</v>
      </c>
      <c r="AB24">
        <v>551</v>
      </c>
      <c r="AC24">
        <v>735</v>
      </c>
      <c r="AD24">
        <v>923</v>
      </c>
      <c r="AE24">
        <v>1120</v>
      </c>
      <c r="AF24">
        <v>1322</v>
      </c>
      <c r="AG24">
        <v>1521</v>
      </c>
      <c r="AH24">
        <v>1734</v>
      </c>
      <c r="AI24">
        <v>1933</v>
      </c>
      <c r="AJ24">
        <v>2126</v>
      </c>
      <c r="AK24">
        <v>2299</v>
      </c>
      <c r="AL24">
        <v>2456</v>
      </c>
      <c r="AM24">
        <v>2593</v>
      </c>
      <c r="AN24">
        <v>2722</v>
      </c>
      <c r="AO24">
        <v>2830</v>
      </c>
      <c r="AP24">
        <v>2924</v>
      </c>
      <c r="AQ24">
        <v>3005</v>
      </c>
      <c r="AR24">
        <v>3074</v>
      </c>
      <c r="AS24">
        <v>3133</v>
      </c>
      <c r="AT24">
        <v>3164</v>
      </c>
      <c r="AU24">
        <v>3187</v>
      </c>
      <c r="AV24">
        <v>3199</v>
      </c>
      <c r="AW24">
        <v>3207</v>
      </c>
      <c r="AX24">
        <v>3195</v>
      </c>
      <c r="AY24">
        <v>3168</v>
      </c>
      <c r="AZ24">
        <v>3119</v>
      </c>
      <c r="BA24">
        <v>3050</v>
      </c>
      <c r="BB24">
        <v>2972</v>
      </c>
      <c r="BC24">
        <v>2887</v>
      </c>
      <c r="BD24">
        <v>2776</v>
      </c>
      <c r="BE24">
        <v>2665</v>
      </c>
      <c r="BF24">
        <v>2519</v>
      </c>
      <c r="BG24">
        <v>2365</v>
      </c>
      <c r="BH24">
        <v>2203</v>
      </c>
      <c r="BI24">
        <v>2045</v>
      </c>
      <c r="BJ24">
        <v>1869</v>
      </c>
      <c r="BK24">
        <v>1693</v>
      </c>
      <c r="BL24">
        <v>1510</v>
      </c>
      <c r="BM24">
        <v>1334</v>
      </c>
      <c r="BN24">
        <v>1165</v>
      </c>
      <c r="BO24">
        <v>986</v>
      </c>
      <c r="BP24">
        <v>805</v>
      </c>
      <c r="BQ24">
        <v>642</v>
      </c>
      <c r="BR24">
        <v>491</v>
      </c>
      <c r="BS24">
        <v>360</v>
      </c>
      <c r="BT24">
        <v>241</v>
      </c>
      <c r="BU24">
        <v>143</v>
      </c>
      <c r="BV24">
        <v>72</v>
      </c>
      <c r="BW24">
        <v>32</v>
      </c>
      <c r="BX24">
        <v>11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>
      <c r="A25" s="9">
        <v>46258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</v>
      </c>
      <c r="W25">
        <v>17</v>
      </c>
      <c r="X25">
        <v>42</v>
      </c>
      <c r="Y25">
        <v>75</v>
      </c>
      <c r="Z25">
        <v>120</v>
      </c>
      <c r="AA25">
        <v>178</v>
      </c>
      <c r="AB25">
        <v>244</v>
      </c>
      <c r="AC25">
        <v>316</v>
      </c>
      <c r="AD25">
        <v>396</v>
      </c>
      <c r="AE25">
        <v>485</v>
      </c>
      <c r="AF25">
        <v>583</v>
      </c>
      <c r="AG25">
        <v>686</v>
      </c>
      <c r="AH25">
        <v>804</v>
      </c>
      <c r="AI25">
        <v>923</v>
      </c>
      <c r="AJ25">
        <v>1049</v>
      </c>
      <c r="AK25">
        <v>1179</v>
      </c>
      <c r="AL25">
        <v>1295</v>
      </c>
      <c r="AM25">
        <v>1409</v>
      </c>
      <c r="AN25">
        <v>1520</v>
      </c>
      <c r="AO25">
        <v>1631</v>
      </c>
      <c r="AP25">
        <v>1742</v>
      </c>
      <c r="AQ25">
        <v>1854</v>
      </c>
      <c r="AR25">
        <v>1958</v>
      </c>
      <c r="AS25">
        <v>2060</v>
      </c>
      <c r="AT25">
        <v>2155</v>
      </c>
      <c r="AU25">
        <v>2243</v>
      </c>
      <c r="AV25">
        <v>2315</v>
      </c>
      <c r="AW25">
        <v>2373</v>
      </c>
      <c r="AX25">
        <v>2424</v>
      </c>
      <c r="AY25">
        <v>2460</v>
      </c>
      <c r="AZ25">
        <v>2478</v>
      </c>
      <c r="BA25">
        <v>2494</v>
      </c>
      <c r="BB25">
        <v>2504</v>
      </c>
      <c r="BC25">
        <v>2503</v>
      </c>
      <c r="BD25">
        <v>2503</v>
      </c>
      <c r="BE25">
        <v>2487</v>
      </c>
      <c r="BF25">
        <v>2459</v>
      </c>
      <c r="BG25">
        <v>2407</v>
      </c>
      <c r="BH25">
        <v>2340</v>
      </c>
      <c r="BI25">
        <v>2249</v>
      </c>
      <c r="BJ25">
        <v>2126</v>
      </c>
      <c r="BK25">
        <v>1972</v>
      </c>
      <c r="BL25">
        <v>1800</v>
      </c>
      <c r="BM25">
        <v>1617</v>
      </c>
      <c r="BN25">
        <v>1434</v>
      </c>
      <c r="BO25">
        <v>1242</v>
      </c>
      <c r="BP25">
        <v>1028</v>
      </c>
      <c r="BQ25">
        <v>832</v>
      </c>
      <c r="BR25">
        <v>646</v>
      </c>
      <c r="BS25">
        <v>476</v>
      </c>
      <c r="BT25">
        <v>321</v>
      </c>
      <c r="BU25">
        <v>190</v>
      </c>
      <c r="BV25">
        <v>94</v>
      </c>
      <c r="BW25">
        <v>39</v>
      </c>
      <c r="BX25">
        <v>13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>
      <c r="A26" s="9">
        <v>46259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</v>
      </c>
      <c r="W26">
        <v>29</v>
      </c>
      <c r="X26">
        <v>73</v>
      </c>
      <c r="Y26">
        <v>134</v>
      </c>
      <c r="Z26">
        <v>224</v>
      </c>
      <c r="AA26">
        <v>345</v>
      </c>
      <c r="AB26">
        <v>484</v>
      </c>
      <c r="AC26">
        <v>638</v>
      </c>
      <c r="AD26">
        <v>804</v>
      </c>
      <c r="AE26">
        <v>983</v>
      </c>
      <c r="AF26">
        <v>1174</v>
      </c>
      <c r="AG26">
        <v>1365</v>
      </c>
      <c r="AH26">
        <v>1579</v>
      </c>
      <c r="AI26">
        <v>1781</v>
      </c>
      <c r="AJ26">
        <v>1975</v>
      </c>
      <c r="AK26">
        <v>2146</v>
      </c>
      <c r="AL26">
        <v>2297</v>
      </c>
      <c r="AM26">
        <v>2439</v>
      </c>
      <c r="AN26">
        <v>2565</v>
      </c>
      <c r="AO26">
        <v>2670</v>
      </c>
      <c r="AP26">
        <v>2748</v>
      </c>
      <c r="AQ26">
        <v>2805</v>
      </c>
      <c r="AR26">
        <v>2848</v>
      </c>
      <c r="AS26">
        <v>2879</v>
      </c>
      <c r="AT26">
        <v>2859</v>
      </c>
      <c r="AU26">
        <v>2829</v>
      </c>
      <c r="AV26">
        <v>2787</v>
      </c>
      <c r="AW26">
        <v>2730</v>
      </c>
      <c r="AX26">
        <v>2680</v>
      </c>
      <c r="AY26">
        <v>2634</v>
      </c>
      <c r="AZ26">
        <v>2560</v>
      </c>
      <c r="BA26">
        <v>2479</v>
      </c>
      <c r="BB26">
        <v>2384</v>
      </c>
      <c r="BC26">
        <v>2268</v>
      </c>
      <c r="BD26">
        <v>2145</v>
      </c>
      <c r="BE26">
        <v>2003</v>
      </c>
      <c r="BF26">
        <v>1855</v>
      </c>
      <c r="BG26">
        <v>1703</v>
      </c>
      <c r="BH26">
        <v>1553</v>
      </c>
      <c r="BI26">
        <v>1410</v>
      </c>
      <c r="BJ26">
        <v>1281</v>
      </c>
      <c r="BK26">
        <v>1145</v>
      </c>
      <c r="BL26">
        <v>1014</v>
      </c>
      <c r="BM26">
        <v>886</v>
      </c>
      <c r="BN26">
        <v>761</v>
      </c>
      <c r="BO26">
        <v>633</v>
      </c>
      <c r="BP26">
        <v>514</v>
      </c>
      <c r="BQ26">
        <v>406</v>
      </c>
      <c r="BR26">
        <v>307</v>
      </c>
      <c r="BS26">
        <v>224</v>
      </c>
      <c r="BT26">
        <v>152</v>
      </c>
      <c r="BU26">
        <v>90</v>
      </c>
      <c r="BV26">
        <v>43</v>
      </c>
      <c r="BW26">
        <v>18</v>
      </c>
      <c r="BX26">
        <v>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9">
        <v>46260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25</v>
      </c>
      <c r="X27">
        <v>64</v>
      </c>
      <c r="Y27">
        <v>117</v>
      </c>
      <c r="Z27">
        <v>199</v>
      </c>
      <c r="AA27">
        <v>310</v>
      </c>
      <c r="AB27">
        <v>449</v>
      </c>
      <c r="AC27">
        <v>613</v>
      </c>
      <c r="AD27">
        <v>807</v>
      </c>
      <c r="AE27">
        <v>996</v>
      </c>
      <c r="AF27">
        <v>1203</v>
      </c>
      <c r="AG27">
        <v>1409</v>
      </c>
      <c r="AH27">
        <v>1622</v>
      </c>
      <c r="AI27">
        <v>1834</v>
      </c>
      <c r="AJ27">
        <v>2044</v>
      </c>
      <c r="AK27">
        <v>2237</v>
      </c>
      <c r="AL27">
        <v>2415</v>
      </c>
      <c r="AM27">
        <v>2572</v>
      </c>
      <c r="AN27">
        <v>2717</v>
      </c>
      <c r="AO27">
        <v>2837</v>
      </c>
      <c r="AP27">
        <v>2946</v>
      </c>
      <c r="AQ27">
        <v>3047</v>
      </c>
      <c r="AR27">
        <v>3131</v>
      </c>
      <c r="AS27">
        <v>3206</v>
      </c>
      <c r="AT27">
        <v>3262</v>
      </c>
      <c r="AU27">
        <v>3304</v>
      </c>
      <c r="AV27">
        <v>3343</v>
      </c>
      <c r="AW27">
        <v>3379</v>
      </c>
      <c r="AX27">
        <v>3386</v>
      </c>
      <c r="AY27">
        <v>3383</v>
      </c>
      <c r="AZ27">
        <v>3359</v>
      </c>
      <c r="BA27">
        <v>3319</v>
      </c>
      <c r="BB27">
        <v>3264</v>
      </c>
      <c r="BC27">
        <v>3207</v>
      </c>
      <c r="BD27">
        <v>3128</v>
      </c>
      <c r="BE27">
        <v>3043</v>
      </c>
      <c r="BF27">
        <v>2935</v>
      </c>
      <c r="BG27">
        <v>2803</v>
      </c>
      <c r="BH27">
        <v>2653</v>
      </c>
      <c r="BI27">
        <v>2494</v>
      </c>
      <c r="BJ27">
        <v>2316</v>
      </c>
      <c r="BK27">
        <v>2135</v>
      </c>
      <c r="BL27">
        <v>1929</v>
      </c>
      <c r="BM27">
        <v>1714</v>
      </c>
      <c r="BN27">
        <v>1507</v>
      </c>
      <c r="BO27">
        <v>1276</v>
      </c>
      <c r="BP27">
        <v>1042</v>
      </c>
      <c r="BQ27">
        <v>825</v>
      </c>
      <c r="BR27">
        <v>631</v>
      </c>
      <c r="BS27">
        <v>448</v>
      </c>
      <c r="BT27">
        <v>288</v>
      </c>
      <c r="BU27">
        <v>164</v>
      </c>
      <c r="BV27">
        <v>71</v>
      </c>
      <c r="BW27">
        <v>31</v>
      </c>
      <c r="BX27">
        <v>8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9">
        <v>46261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</v>
      </c>
      <c r="W28">
        <v>36</v>
      </c>
      <c r="X28">
        <v>95</v>
      </c>
      <c r="Y28">
        <v>186</v>
      </c>
      <c r="Z28">
        <v>328</v>
      </c>
      <c r="AA28">
        <v>525</v>
      </c>
      <c r="AB28">
        <v>770</v>
      </c>
      <c r="AC28">
        <v>1048</v>
      </c>
      <c r="AD28">
        <v>1355</v>
      </c>
      <c r="AE28">
        <v>1662</v>
      </c>
      <c r="AF28">
        <v>1970</v>
      </c>
      <c r="AG28">
        <v>2279</v>
      </c>
      <c r="AH28">
        <v>2575</v>
      </c>
      <c r="AI28">
        <v>2848</v>
      </c>
      <c r="AJ28">
        <v>3119</v>
      </c>
      <c r="AK28">
        <v>3365</v>
      </c>
      <c r="AL28">
        <v>3582</v>
      </c>
      <c r="AM28">
        <v>3766</v>
      </c>
      <c r="AN28">
        <v>3927</v>
      </c>
      <c r="AO28">
        <v>4061</v>
      </c>
      <c r="AP28">
        <v>4171</v>
      </c>
      <c r="AQ28">
        <v>4265</v>
      </c>
      <c r="AR28">
        <v>4335</v>
      </c>
      <c r="AS28">
        <v>4387</v>
      </c>
      <c r="AT28">
        <v>4413</v>
      </c>
      <c r="AU28">
        <v>4423</v>
      </c>
      <c r="AV28">
        <v>4422</v>
      </c>
      <c r="AW28">
        <v>4410</v>
      </c>
      <c r="AX28">
        <v>4383</v>
      </c>
      <c r="AY28">
        <v>4345</v>
      </c>
      <c r="AZ28">
        <v>4283</v>
      </c>
      <c r="BA28">
        <v>4211</v>
      </c>
      <c r="BB28">
        <v>4128</v>
      </c>
      <c r="BC28">
        <v>4022</v>
      </c>
      <c r="BD28">
        <v>3893</v>
      </c>
      <c r="BE28">
        <v>3745</v>
      </c>
      <c r="BF28">
        <v>3568</v>
      </c>
      <c r="BG28">
        <v>3369</v>
      </c>
      <c r="BH28">
        <v>3156</v>
      </c>
      <c r="BI28">
        <v>2930</v>
      </c>
      <c r="BJ28">
        <v>2682</v>
      </c>
      <c r="BK28">
        <v>2413</v>
      </c>
      <c r="BL28">
        <v>2137</v>
      </c>
      <c r="BM28">
        <v>1862</v>
      </c>
      <c r="BN28">
        <v>1601</v>
      </c>
      <c r="BO28">
        <v>1319</v>
      </c>
      <c r="BP28">
        <v>1052</v>
      </c>
      <c r="BQ28">
        <v>805</v>
      </c>
      <c r="BR28">
        <v>601</v>
      </c>
      <c r="BS28">
        <v>416</v>
      </c>
      <c r="BT28">
        <v>263</v>
      </c>
      <c r="BU28">
        <v>146</v>
      </c>
      <c r="BV28">
        <v>62</v>
      </c>
      <c r="BW28">
        <v>26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9">
        <v>46262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14</v>
      </c>
      <c r="X29">
        <v>42</v>
      </c>
      <c r="Y29">
        <v>77</v>
      </c>
      <c r="Z29">
        <v>128</v>
      </c>
      <c r="AA29">
        <v>190</v>
      </c>
      <c r="AB29">
        <v>263</v>
      </c>
      <c r="AC29">
        <v>357</v>
      </c>
      <c r="AD29">
        <v>459</v>
      </c>
      <c r="AE29">
        <v>565</v>
      </c>
      <c r="AF29">
        <v>683</v>
      </c>
      <c r="AG29">
        <v>795</v>
      </c>
      <c r="AH29">
        <v>909</v>
      </c>
      <c r="AI29">
        <v>1024</v>
      </c>
      <c r="AJ29">
        <v>1135</v>
      </c>
      <c r="AK29">
        <v>1242</v>
      </c>
      <c r="AL29">
        <v>1357</v>
      </c>
      <c r="AM29">
        <v>1462</v>
      </c>
      <c r="AN29">
        <v>1586</v>
      </c>
      <c r="AO29">
        <v>1690</v>
      </c>
      <c r="AP29">
        <v>1791</v>
      </c>
      <c r="AQ29">
        <v>1883</v>
      </c>
      <c r="AR29">
        <v>1973</v>
      </c>
      <c r="AS29">
        <v>2062</v>
      </c>
      <c r="AT29">
        <v>2132</v>
      </c>
      <c r="AU29">
        <v>2191</v>
      </c>
      <c r="AV29">
        <v>2240</v>
      </c>
      <c r="AW29">
        <v>2276</v>
      </c>
      <c r="AX29">
        <v>2295</v>
      </c>
      <c r="AY29">
        <v>2313</v>
      </c>
      <c r="AZ29">
        <v>2300</v>
      </c>
      <c r="BA29">
        <v>2277</v>
      </c>
      <c r="BB29">
        <v>2240</v>
      </c>
      <c r="BC29">
        <v>2188</v>
      </c>
      <c r="BD29">
        <v>2115</v>
      </c>
      <c r="BE29">
        <v>2046</v>
      </c>
      <c r="BF29">
        <v>1950</v>
      </c>
      <c r="BG29">
        <v>1840</v>
      </c>
      <c r="BH29">
        <v>1719</v>
      </c>
      <c r="BI29">
        <v>1597</v>
      </c>
      <c r="BJ29">
        <v>1457</v>
      </c>
      <c r="BK29">
        <v>1315</v>
      </c>
      <c r="BL29">
        <v>1161</v>
      </c>
      <c r="BM29">
        <v>1009</v>
      </c>
      <c r="BN29">
        <v>857</v>
      </c>
      <c r="BO29">
        <v>707</v>
      </c>
      <c r="BP29">
        <v>548</v>
      </c>
      <c r="BQ29">
        <v>423</v>
      </c>
      <c r="BR29">
        <v>313</v>
      </c>
      <c r="BS29">
        <v>219</v>
      </c>
      <c r="BT29">
        <v>144</v>
      </c>
      <c r="BU29">
        <v>82</v>
      </c>
      <c r="BV29">
        <v>35</v>
      </c>
      <c r="BW29">
        <v>12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9">
        <v>46263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18</v>
      </c>
      <c r="X30">
        <v>58</v>
      </c>
      <c r="Y30">
        <v>113</v>
      </c>
      <c r="Z30">
        <v>197</v>
      </c>
      <c r="AA30">
        <v>312</v>
      </c>
      <c r="AB30">
        <v>456</v>
      </c>
      <c r="AC30">
        <v>626</v>
      </c>
      <c r="AD30">
        <v>826</v>
      </c>
      <c r="AE30">
        <v>1032</v>
      </c>
      <c r="AF30">
        <v>1251</v>
      </c>
      <c r="AG30">
        <v>1468</v>
      </c>
      <c r="AH30">
        <v>1698</v>
      </c>
      <c r="AI30">
        <v>1927</v>
      </c>
      <c r="AJ30">
        <v>2159</v>
      </c>
      <c r="AK30">
        <v>2381</v>
      </c>
      <c r="AL30">
        <v>2590</v>
      </c>
      <c r="AM30">
        <v>2764</v>
      </c>
      <c r="AN30">
        <v>2939</v>
      </c>
      <c r="AO30">
        <v>3084</v>
      </c>
      <c r="AP30">
        <v>3219</v>
      </c>
      <c r="AQ30">
        <v>3345</v>
      </c>
      <c r="AR30">
        <v>3461</v>
      </c>
      <c r="AS30">
        <v>3558</v>
      </c>
      <c r="AT30">
        <v>3617</v>
      </c>
      <c r="AU30">
        <v>3661</v>
      </c>
      <c r="AV30">
        <v>3690</v>
      </c>
      <c r="AW30">
        <v>3705</v>
      </c>
      <c r="AX30">
        <v>3698</v>
      </c>
      <c r="AY30">
        <v>3677</v>
      </c>
      <c r="AZ30">
        <v>3632</v>
      </c>
      <c r="BA30">
        <v>3567</v>
      </c>
      <c r="BB30">
        <v>3504</v>
      </c>
      <c r="BC30">
        <v>3404</v>
      </c>
      <c r="BD30">
        <v>3284</v>
      </c>
      <c r="BE30">
        <v>3159</v>
      </c>
      <c r="BF30">
        <v>3012</v>
      </c>
      <c r="BG30">
        <v>2851</v>
      </c>
      <c r="BH30">
        <v>2680</v>
      </c>
      <c r="BI30">
        <v>2500</v>
      </c>
      <c r="BJ30">
        <v>2298</v>
      </c>
      <c r="BK30">
        <v>2087</v>
      </c>
      <c r="BL30">
        <v>1872</v>
      </c>
      <c r="BM30">
        <v>1656</v>
      </c>
      <c r="BN30">
        <v>1445</v>
      </c>
      <c r="BO30">
        <v>1215</v>
      </c>
      <c r="BP30">
        <v>984</v>
      </c>
      <c r="BQ30">
        <v>773</v>
      </c>
      <c r="BR30">
        <v>585</v>
      </c>
      <c r="BS30">
        <v>406</v>
      </c>
      <c r="BT30">
        <v>255</v>
      </c>
      <c r="BU30">
        <v>138</v>
      </c>
      <c r="BV30">
        <v>58</v>
      </c>
      <c r="BW30">
        <v>21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9">
        <v>46264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23</v>
      </c>
      <c r="X31">
        <v>76</v>
      </c>
      <c r="Y31">
        <v>156</v>
      </c>
      <c r="Z31">
        <v>287</v>
      </c>
      <c r="AA31">
        <v>474</v>
      </c>
      <c r="AB31">
        <v>709</v>
      </c>
      <c r="AC31">
        <v>981</v>
      </c>
      <c r="AD31">
        <v>1291</v>
      </c>
      <c r="AE31">
        <v>1597</v>
      </c>
      <c r="AF31">
        <v>1919</v>
      </c>
      <c r="AG31">
        <v>2233</v>
      </c>
      <c r="AH31">
        <v>2547</v>
      </c>
      <c r="AI31">
        <v>2836</v>
      </c>
      <c r="AJ31">
        <v>3117</v>
      </c>
      <c r="AK31">
        <v>3374</v>
      </c>
      <c r="AL31">
        <v>3606</v>
      </c>
      <c r="AM31">
        <v>3800</v>
      </c>
      <c r="AN31">
        <v>3967</v>
      </c>
      <c r="AO31">
        <v>4108</v>
      </c>
      <c r="AP31">
        <v>4221</v>
      </c>
      <c r="AQ31">
        <v>4313</v>
      </c>
      <c r="AR31">
        <v>4385</v>
      </c>
      <c r="AS31">
        <v>4434</v>
      </c>
      <c r="AT31">
        <v>4459</v>
      </c>
      <c r="AU31">
        <v>4466</v>
      </c>
      <c r="AV31">
        <v>4463</v>
      </c>
      <c r="AW31">
        <v>4457</v>
      </c>
      <c r="AX31">
        <v>4429</v>
      </c>
      <c r="AY31">
        <v>4387</v>
      </c>
      <c r="AZ31">
        <v>4323</v>
      </c>
      <c r="BA31">
        <v>4243</v>
      </c>
      <c r="BB31">
        <v>4159</v>
      </c>
      <c r="BC31">
        <v>4053</v>
      </c>
      <c r="BD31">
        <v>3926</v>
      </c>
      <c r="BE31">
        <v>3779</v>
      </c>
      <c r="BF31">
        <v>3602</v>
      </c>
      <c r="BG31">
        <v>3397</v>
      </c>
      <c r="BH31">
        <v>3198</v>
      </c>
      <c r="BI31">
        <v>2979</v>
      </c>
      <c r="BJ31">
        <v>2729</v>
      </c>
      <c r="BK31">
        <v>2454</v>
      </c>
      <c r="BL31">
        <v>2170</v>
      </c>
      <c r="BM31">
        <v>1887</v>
      </c>
      <c r="BN31">
        <v>1612</v>
      </c>
      <c r="BO31">
        <v>1324</v>
      </c>
      <c r="BP31">
        <v>1053</v>
      </c>
      <c r="BQ31">
        <v>804</v>
      </c>
      <c r="BR31">
        <v>595</v>
      </c>
      <c r="BS31">
        <v>404</v>
      </c>
      <c r="BT31">
        <v>244</v>
      </c>
      <c r="BU31">
        <v>128</v>
      </c>
      <c r="BV31">
        <v>53</v>
      </c>
      <c r="BW31">
        <v>18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9">
        <v>46265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19</v>
      </c>
      <c r="X32">
        <v>70</v>
      </c>
      <c r="Y32">
        <v>146</v>
      </c>
      <c r="Z32">
        <v>272</v>
      </c>
      <c r="AA32">
        <v>459</v>
      </c>
      <c r="AB32">
        <v>695</v>
      </c>
      <c r="AC32">
        <v>962</v>
      </c>
      <c r="AD32">
        <v>1262</v>
      </c>
      <c r="AE32">
        <v>1563</v>
      </c>
      <c r="AF32">
        <v>1880</v>
      </c>
      <c r="AG32">
        <v>2186</v>
      </c>
      <c r="AH32">
        <v>2485</v>
      </c>
      <c r="AI32">
        <v>2755</v>
      </c>
      <c r="AJ32">
        <v>3021</v>
      </c>
      <c r="AK32">
        <v>3265</v>
      </c>
      <c r="AL32">
        <v>3480</v>
      </c>
      <c r="AM32">
        <v>3653</v>
      </c>
      <c r="AN32">
        <v>3813</v>
      </c>
      <c r="AO32">
        <v>3943</v>
      </c>
      <c r="AP32">
        <v>4049</v>
      </c>
      <c r="AQ32">
        <v>4137</v>
      </c>
      <c r="AR32">
        <v>4210</v>
      </c>
      <c r="AS32">
        <v>4262</v>
      </c>
      <c r="AT32">
        <v>4286</v>
      </c>
      <c r="AU32">
        <v>4292</v>
      </c>
      <c r="AV32">
        <v>4282</v>
      </c>
      <c r="AW32">
        <v>4261</v>
      </c>
      <c r="AX32">
        <v>4217</v>
      </c>
      <c r="AY32">
        <v>4159</v>
      </c>
      <c r="AZ32">
        <v>4080</v>
      </c>
      <c r="BA32">
        <v>3986</v>
      </c>
      <c r="BB32">
        <v>3897</v>
      </c>
      <c r="BC32">
        <v>3791</v>
      </c>
      <c r="BD32">
        <v>3666</v>
      </c>
      <c r="BE32">
        <v>3529</v>
      </c>
      <c r="BF32">
        <v>3370</v>
      </c>
      <c r="BG32">
        <v>3188</v>
      </c>
      <c r="BH32">
        <v>3009</v>
      </c>
      <c r="BI32">
        <v>2816</v>
      </c>
      <c r="BJ32">
        <v>2597</v>
      </c>
      <c r="BK32">
        <v>2353</v>
      </c>
      <c r="BL32">
        <v>2111</v>
      </c>
      <c r="BM32">
        <v>1866</v>
      </c>
      <c r="BN32">
        <v>1627</v>
      </c>
      <c r="BO32">
        <v>1360</v>
      </c>
      <c r="BP32">
        <v>1096</v>
      </c>
      <c r="BQ32">
        <v>848</v>
      </c>
      <c r="BR32">
        <v>635</v>
      </c>
      <c r="BS32">
        <v>432</v>
      </c>
      <c r="BT32">
        <v>258</v>
      </c>
      <c r="BU32">
        <v>128</v>
      </c>
      <c r="BV32">
        <v>55</v>
      </c>
      <c r="BW32">
        <v>19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CS32"/>
  <sheetViews>
    <sheetView workbookViewId="0">
      <selection activeCell="A2" sqref="$A2:$XFD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384.59</v>
      </c>
      <c r="C2">
        <v>382.12</v>
      </c>
      <c r="D2">
        <v>379.69</v>
      </c>
      <c r="E2">
        <v>377.14</v>
      </c>
      <c r="F2">
        <v>374.31</v>
      </c>
      <c r="G2">
        <v>371.2</v>
      </c>
      <c r="H2">
        <v>368.21</v>
      </c>
      <c r="I2">
        <v>365.09</v>
      </c>
      <c r="J2">
        <v>362.41</v>
      </c>
      <c r="K2">
        <v>359.34</v>
      </c>
      <c r="L2">
        <v>356.13</v>
      </c>
      <c r="M2">
        <v>352.93</v>
      </c>
      <c r="N2">
        <v>349.46</v>
      </c>
      <c r="O2">
        <v>346.1</v>
      </c>
      <c r="P2">
        <v>342.57</v>
      </c>
      <c r="Q2">
        <v>339.05</v>
      </c>
      <c r="R2">
        <v>335.35</v>
      </c>
      <c r="S2">
        <v>331.52</v>
      </c>
      <c r="T2">
        <v>327.6</v>
      </c>
      <c r="U2">
        <v>323.66</v>
      </c>
      <c r="V2">
        <v>320.12</v>
      </c>
      <c r="W2">
        <v>316.76</v>
      </c>
      <c r="X2">
        <v>313.47</v>
      </c>
      <c r="Y2">
        <v>310.21</v>
      </c>
      <c r="Z2">
        <v>306.62</v>
      </c>
      <c r="AA2">
        <v>302.43</v>
      </c>
      <c r="AB2">
        <v>298.42</v>
      </c>
      <c r="AC2">
        <v>294.6</v>
      </c>
      <c r="AD2">
        <v>291.85</v>
      </c>
      <c r="AE2">
        <v>291.51</v>
      </c>
      <c r="AF2">
        <v>291.26</v>
      </c>
      <c r="AG2">
        <v>290.6</v>
      </c>
      <c r="AH2">
        <v>289.09</v>
      </c>
      <c r="AI2">
        <v>286.08</v>
      </c>
      <c r="AJ2">
        <v>282.84</v>
      </c>
      <c r="AK2">
        <v>279.54</v>
      </c>
      <c r="AL2">
        <v>276.32</v>
      </c>
      <c r="AM2">
        <v>272.43</v>
      </c>
      <c r="AN2">
        <v>268.34</v>
      </c>
      <c r="AO2">
        <v>264.1</v>
      </c>
      <c r="AP2">
        <v>260.1</v>
      </c>
      <c r="AQ2">
        <v>256.39</v>
      </c>
      <c r="AR2">
        <v>252.69</v>
      </c>
      <c r="AS2">
        <v>248.99</v>
      </c>
      <c r="AT2">
        <v>245.35</v>
      </c>
      <c r="AU2">
        <v>242.3</v>
      </c>
      <c r="AV2">
        <v>239.1</v>
      </c>
      <c r="AW2">
        <v>235.98</v>
      </c>
      <c r="AX2">
        <v>232.92</v>
      </c>
      <c r="AY2">
        <v>230.05</v>
      </c>
      <c r="AZ2">
        <v>227.26</v>
      </c>
      <c r="BA2">
        <v>224.45</v>
      </c>
      <c r="BB2">
        <v>221.92</v>
      </c>
      <c r="BC2">
        <v>219.51</v>
      </c>
      <c r="BD2">
        <v>217.08</v>
      </c>
      <c r="BE2">
        <v>214.68</v>
      </c>
      <c r="BF2">
        <v>211.87</v>
      </c>
      <c r="BG2">
        <v>208.98</v>
      </c>
      <c r="BH2">
        <v>206</v>
      </c>
      <c r="BI2">
        <v>202.98</v>
      </c>
      <c r="BJ2">
        <v>199.67</v>
      </c>
      <c r="BK2">
        <v>196.25</v>
      </c>
      <c r="BL2">
        <v>192.8</v>
      </c>
      <c r="BM2">
        <v>189.64</v>
      </c>
      <c r="BN2">
        <v>185.44</v>
      </c>
      <c r="BO2">
        <v>180.55</v>
      </c>
      <c r="BP2">
        <v>175.51</v>
      </c>
      <c r="BQ2">
        <v>170.46</v>
      </c>
      <c r="BR2">
        <v>165.75</v>
      </c>
      <c r="BS2">
        <v>161.33</v>
      </c>
      <c r="BT2">
        <v>156.81</v>
      </c>
      <c r="BU2">
        <v>152.08</v>
      </c>
      <c r="BV2">
        <v>147.4</v>
      </c>
      <c r="BW2">
        <v>142.73</v>
      </c>
      <c r="BX2">
        <v>138.23</v>
      </c>
      <c r="BY2">
        <v>133.89</v>
      </c>
      <c r="BZ2">
        <v>130.47</v>
      </c>
      <c r="CA2">
        <v>127.98</v>
      </c>
      <c r="CB2">
        <v>125.71</v>
      </c>
      <c r="CC2">
        <v>123.5</v>
      </c>
      <c r="CD2">
        <v>121.93</v>
      </c>
      <c r="CE2">
        <v>121.19</v>
      </c>
      <c r="CF2">
        <v>120.53</v>
      </c>
      <c r="CG2">
        <v>119.87</v>
      </c>
      <c r="CH2">
        <v>119.43</v>
      </c>
      <c r="CI2">
        <v>118.3</v>
      </c>
      <c r="CJ2">
        <v>117.26</v>
      </c>
      <c r="CK2">
        <v>116.19</v>
      </c>
      <c r="CL2">
        <v>115.07</v>
      </c>
      <c r="CM2">
        <v>114.5</v>
      </c>
      <c r="CN2">
        <v>114.03</v>
      </c>
      <c r="CO2">
        <v>113.52</v>
      </c>
      <c r="CP2">
        <v>112.68</v>
      </c>
      <c r="CQ2">
        <v>111.88</v>
      </c>
      <c r="CR2">
        <v>111.02</v>
      </c>
      <c r="CS2">
        <v>109.92</v>
      </c>
    </row>
    <row r="3" spans="1:97">
      <c r="A3" s="9">
        <v>46236</v>
      </c>
      <c r="B3">
        <v>102.06</v>
      </c>
      <c r="C3">
        <v>100.45</v>
      </c>
      <c r="D3">
        <v>98.84</v>
      </c>
      <c r="E3">
        <v>97.19</v>
      </c>
      <c r="F3">
        <v>95.52</v>
      </c>
      <c r="G3">
        <v>94.11</v>
      </c>
      <c r="H3">
        <v>92.76</v>
      </c>
      <c r="I3">
        <v>91.38</v>
      </c>
      <c r="J3">
        <v>89.8</v>
      </c>
      <c r="K3">
        <v>87.85</v>
      </c>
      <c r="L3">
        <v>85.75</v>
      </c>
      <c r="M3">
        <v>83.7</v>
      </c>
      <c r="N3">
        <v>81.67</v>
      </c>
      <c r="O3">
        <v>79.8</v>
      </c>
      <c r="P3">
        <v>77.97</v>
      </c>
      <c r="Q3">
        <v>75.97</v>
      </c>
      <c r="R3">
        <v>73.72</v>
      </c>
      <c r="S3">
        <v>71.1</v>
      </c>
      <c r="T3">
        <v>68.5</v>
      </c>
      <c r="U3">
        <v>65.86</v>
      </c>
      <c r="V3">
        <v>63.04</v>
      </c>
      <c r="W3">
        <v>60.16</v>
      </c>
      <c r="X3">
        <v>57.43</v>
      </c>
      <c r="Y3">
        <v>54.72</v>
      </c>
      <c r="Z3">
        <v>52.24</v>
      </c>
      <c r="AA3">
        <v>49.78</v>
      </c>
      <c r="AB3">
        <v>47.35</v>
      </c>
      <c r="AC3">
        <v>45.01</v>
      </c>
      <c r="AD3">
        <v>42.67</v>
      </c>
      <c r="AE3">
        <v>40.79</v>
      </c>
      <c r="AF3">
        <v>39.06</v>
      </c>
      <c r="AG3">
        <v>37.35</v>
      </c>
      <c r="AH3">
        <v>36.31</v>
      </c>
      <c r="AI3">
        <v>35.46</v>
      </c>
      <c r="AJ3">
        <v>34.64</v>
      </c>
      <c r="AK3">
        <v>33.93</v>
      </c>
      <c r="AL3">
        <v>33.6</v>
      </c>
      <c r="AM3">
        <v>33.62</v>
      </c>
      <c r="AN3">
        <v>33.71</v>
      </c>
      <c r="AO3">
        <v>33.82</v>
      </c>
      <c r="AP3">
        <v>34.33</v>
      </c>
      <c r="AQ3">
        <v>35.22</v>
      </c>
      <c r="AR3">
        <v>36.18</v>
      </c>
      <c r="AS3">
        <v>37.24</v>
      </c>
      <c r="AT3">
        <v>38.54</v>
      </c>
      <c r="AU3">
        <v>40.04</v>
      </c>
      <c r="AV3">
        <v>41.6</v>
      </c>
      <c r="AW3">
        <v>43.18</v>
      </c>
      <c r="AX3">
        <v>45.03</v>
      </c>
      <c r="AY3">
        <v>47.08</v>
      </c>
      <c r="AZ3">
        <v>49.27</v>
      </c>
      <c r="BA3">
        <v>51.43</v>
      </c>
      <c r="BB3">
        <v>53.8</v>
      </c>
      <c r="BC3">
        <v>56.35</v>
      </c>
      <c r="BD3">
        <v>58.87</v>
      </c>
      <c r="BE3">
        <v>61.4</v>
      </c>
      <c r="BF3">
        <v>63.51</v>
      </c>
      <c r="BG3">
        <v>65.25</v>
      </c>
      <c r="BH3">
        <v>67.05</v>
      </c>
      <c r="BI3">
        <v>68.86</v>
      </c>
      <c r="BJ3">
        <v>70.49</v>
      </c>
      <c r="BK3">
        <v>72.13</v>
      </c>
      <c r="BL3">
        <v>73.77</v>
      </c>
      <c r="BM3">
        <v>75.4</v>
      </c>
      <c r="BN3">
        <v>76.82</v>
      </c>
      <c r="BO3">
        <v>78.1</v>
      </c>
      <c r="BP3">
        <v>79.39</v>
      </c>
      <c r="BQ3">
        <v>80.68</v>
      </c>
      <c r="BR3">
        <v>81.64</v>
      </c>
      <c r="BS3">
        <v>82.39</v>
      </c>
      <c r="BT3">
        <v>83.2</v>
      </c>
      <c r="BU3">
        <v>84.11</v>
      </c>
      <c r="BV3">
        <v>85.65</v>
      </c>
      <c r="BW3">
        <v>87.55</v>
      </c>
      <c r="BX3">
        <v>89.57</v>
      </c>
      <c r="BY3">
        <v>91.75</v>
      </c>
      <c r="BZ3">
        <v>94.21</v>
      </c>
      <c r="CA3">
        <v>96.94</v>
      </c>
      <c r="CB3">
        <v>99.94</v>
      </c>
      <c r="CC3">
        <v>102.99</v>
      </c>
      <c r="CD3">
        <v>106.04</v>
      </c>
      <c r="CE3">
        <v>109</v>
      </c>
      <c r="CF3">
        <v>112.11</v>
      </c>
      <c r="CG3">
        <v>115.28</v>
      </c>
      <c r="CH3">
        <v>118.86</v>
      </c>
      <c r="CI3">
        <v>122.75</v>
      </c>
      <c r="CJ3">
        <v>126.83</v>
      </c>
      <c r="CK3">
        <v>131.03</v>
      </c>
      <c r="CL3">
        <v>134.99</v>
      </c>
      <c r="CM3">
        <v>138.59</v>
      </c>
      <c r="CN3">
        <v>142.1</v>
      </c>
      <c r="CO3">
        <v>145.62</v>
      </c>
      <c r="CP3">
        <v>148.53</v>
      </c>
      <c r="CQ3">
        <v>151.15</v>
      </c>
      <c r="CR3">
        <v>153.76</v>
      </c>
      <c r="CS3">
        <v>156.24</v>
      </c>
    </row>
    <row r="4" ht="11" customHeight="1" spans="1:97">
      <c r="A4" s="9">
        <v>46237</v>
      </c>
      <c r="B4">
        <v>142.45</v>
      </c>
      <c r="C4">
        <v>144.97</v>
      </c>
      <c r="D4">
        <v>147.6</v>
      </c>
      <c r="E4">
        <v>150.24</v>
      </c>
      <c r="F4">
        <v>152.72</v>
      </c>
      <c r="G4">
        <v>155.07</v>
      </c>
      <c r="H4">
        <v>157.44</v>
      </c>
      <c r="I4">
        <v>159.76</v>
      </c>
      <c r="J4">
        <v>161.51</v>
      </c>
      <c r="K4">
        <v>162.91</v>
      </c>
      <c r="L4">
        <v>164.34</v>
      </c>
      <c r="M4">
        <v>165.67</v>
      </c>
      <c r="N4">
        <v>166.99</v>
      </c>
      <c r="O4">
        <v>168.02</v>
      </c>
      <c r="P4">
        <v>169.02</v>
      </c>
      <c r="Q4">
        <v>169.96</v>
      </c>
      <c r="R4">
        <v>170.27</v>
      </c>
      <c r="S4">
        <v>169.69</v>
      </c>
      <c r="T4">
        <v>168.76</v>
      </c>
      <c r="U4">
        <v>167.75</v>
      </c>
      <c r="V4">
        <v>166.34</v>
      </c>
      <c r="W4">
        <v>164.58</v>
      </c>
      <c r="X4">
        <v>162.76</v>
      </c>
      <c r="Y4">
        <v>160.83</v>
      </c>
      <c r="Z4">
        <v>158.69</v>
      </c>
      <c r="AA4">
        <v>156.14</v>
      </c>
      <c r="AB4">
        <v>153.7</v>
      </c>
      <c r="AC4">
        <v>151.37</v>
      </c>
      <c r="AD4">
        <v>150.59</v>
      </c>
      <c r="AE4">
        <v>151.85</v>
      </c>
      <c r="AF4">
        <v>153.53</v>
      </c>
      <c r="AG4">
        <v>155.41</v>
      </c>
      <c r="AH4">
        <v>158.98</v>
      </c>
      <c r="AI4">
        <v>163.7</v>
      </c>
      <c r="AJ4">
        <v>168.77</v>
      </c>
      <c r="AK4">
        <v>173.35</v>
      </c>
      <c r="AL4">
        <v>179.33</v>
      </c>
      <c r="AM4">
        <v>185.57</v>
      </c>
      <c r="AN4">
        <v>191.98</v>
      </c>
      <c r="AO4">
        <v>198.39</v>
      </c>
      <c r="AP4">
        <v>204.77</v>
      </c>
      <c r="AQ4">
        <v>211.3</v>
      </c>
      <c r="AR4">
        <v>217.97</v>
      </c>
      <c r="AS4">
        <v>224.66</v>
      </c>
      <c r="AT4">
        <v>231.41</v>
      </c>
      <c r="AU4">
        <v>238.12</v>
      </c>
      <c r="AV4">
        <v>244.86</v>
      </c>
      <c r="AW4">
        <v>251.48</v>
      </c>
      <c r="AX4">
        <v>257.81</v>
      </c>
      <c r="AY4">
        <v>263.48</v>
      </c>
      <c r="AZ4">
        <v>269.11</v>
      </c>
      <c r="BA4">
        <v>274.61</v>
      </c>
      <c r="BB4">
        <v>279.28</v>
      </c>
      <c r="BC4">
        <v>283.35</v>
      </c>
      <c r="BD4">
        <v>287.26</v>
      </c>
      <c r="BE4">
        <v>291</v>
      </c>
      <c r="BF4">
        <v>293.46</v>
      </c>
      <c r="BG4">
        <v>294.33</v>
      </c>
      <c r="BH4">
        <v>295.12</v>
      </c>
      <c r="BI4">
        <v>295.78</v>
      </c>
      <c r="BJ4">
        <v>295.46</v>
      </c>
      <c r="BK4">
        <v>293.55</v>
      </c>
      <c r="BL4">
        <v>291.7</v>
      </c>
      <c r="BM4">
        <v>289.88</v>
      </c>
      <c r="BN4">
        <v>288.14</v>
      </c>
      <c r="BO4">
        <v>285.97</v>
      </c>
      <c r="BP4">
        <v>283.97</v>
      </c>
      <c r="BQ4">
        <v>281.98</v>
      </c>
      <c r="BR4">
        <v>280.27</v>
      </c>
      <c r="BS4">
        <v>279.12</v>
      </c>
      <c r="BT4">
        <v>278.11</v>
      </c>
      <c r="BU4">
        <v>276.99</v>
      </c>
      <c r="BV4">
        <v>276.39</v>
      </c>
      <c r="BW4">
        <v>275.89</v>
      </c>
      <c r="BX4">
        <v>275.42</v>
      </c>
      <c r="BY4">
        <v>275.04</v>
      </c>
      <c r="BZ4">
        <v>274.94</v>
      </c>
      <c r="CA4">
        <v>274.99</v>
      </c>
      <c r="CB4">
        <v>275.14</v>
      </c>
      <c r="CC4">
        <v>275.27</v>
      </c>
      <c r="CD4">
        <v>275.13</v>
      </c>
      <c r="CE4">
        <v>274.77</v>
      </c>
      <c r="CF4">
        <v>274.33</v>
      </c>
      <c r="CG4">
        <v>273.69</v>
      </c>
      <c r="CH4">
        <v>273.13</v>
      </c>
      <c r="CI4">
        <v>272.63</v>
      </c>
      <c r="CJ4">
        <v>272.13</v>
      </c>
      <c r="CK4">
        <v>271.61</v>
      </c>
      <c r="CL4">
        <v>270.73</v>
      </c>
      <c r="CM4">
        <v>269.7</v>
      </c>
      <c r="CN4">
        <v>268.62</v>
      </c>
      <c r="CO4">
        <v>267.5</v>
      </c>
      <c r="CP4">
        <v>265.83</v>
      </c>
      <c r="CQ4">
        <v>263.7</v>
      </c>
      <c r="CR4">
        <v>261.47</v>
      </c>
      <c r="CS4">
        <v>259.12</v>
      </c>
    </row>
    <row r="5" spans="1:97">
      <c r="A5" s="9">
        <v>46238</v>
      </c>
      <c r="B5">
        <v>142.45</v>
      </c>
      <c r="C5">
        <v>144.97</v>
      </c>
      <c r="D5">
        <v>147.6</v>
      </c>
      <c r="E5">
        <v>150.24</v>
      </c>
      <c r="F5">
        <v>152.72</v>
      </c>
      <c r="G5">
        <v>155.07</v>
      </c>
      <c r="H5">
        <v>157.44</v>
      </c>
      <c r="I5">
        <v>159.76</v>
      </c>
      <c r="J5">
        <v>161.51</v>
      </c>
      <c r="K5">
        <v>162.91</v>
      </c>
      <c r="L5">
        <v>164.34</v>
      </c>
      <c r="M5">
        <v>165.67</v>
      </c>
      <c r="N5">
        <v>166.99</v>
      </c>
      <c r="O5">
        <v>168.02</v>
      </c>
      <c r="P5">
        <v>169.02</v>
      </c>
      <c r="Q5">
        <v>169.96</v>
      </c>
      <c r="R5">
        <v>170.27</v>
      </c>
      <c r="S5">
        <v>169.69</v>
      </c>
      <c r="T5">
        <v>168.76</v>
      </c>
      <c r="U5">
        <v>167.75</v>
      </c>
      <c r="V5">
        <v>166.34</v>
      </c>
      <c r="W5">
        <v>164.58</v>
      </c>
      <c r="X5">
        <v>162.76</v>
      </c>
      <c r="Y5">
        <v>160.83</v>
      </c>
      <c r="Z5">
        <v>158.69</v>
      </c>
      <c r="AA5">
        <v>156.14</v>
      </c>
      <c r="AB5">
        <v>153.7</v>
      </c>
      <c r="AC5">
        <v>151.37</v>
      </c>
      <c r="AD5">
        <v>150.59</v>
      </c>
      <c r="AE5">
        <v>151.85</v>
      </c>
      <c r="AF5">
        <v>153.53</v>
      </c>
      <c r="AG5">
        <v>155.41</v>
      </c>
      <c r="AH5">
        <v>158.98</v>
      </c>
      <c r="AI5">
        <v>163.7</v>
      </c>
      <c r="AJ5">
        <v>168.77</v>
      </c>
      <c r="AK5">
        <v>173.35</v>
      </c>
      <c r="AL5">
        <v>179.33</v>
      </c>
      <c r="AM5">
        <v>185.57</v>
      </c>
      <c r="AN5">
        <v>191.98</v>
      </c>
      <c r="AO5">
        <v>198.39</v>
      </c>
      <c r="AP5">
        <v>204.77</v>
      </c>
      <c r="AQ5">
        <v>211.3</v>
      </c>
      <c r="AR5">
        <v>217.97</v>
      </c>
      <c r="AS5">
        <v>224.66</v>
      </c>
      <c r="AT5">
        <v>231.41</v>
      </c>
      <c r="AU5">
        <v>238.12</v>
      </c>
      <c r="AV5">
        <v>244.86</v>
      </c>
      <c r="AW5">
        <v>251.48</v>
      </c>
      <c r="AX5">
        <v>257.81</v>
      </c>
      <c r="AY5">
        <v>263.48</v>
      </c>
      <c r="AZ5">
        <v>269.11</v>
      </c>
      <c r="BA5">
        <v>274.61</v>
      </c>
      <c r="BB5">
        <v>279.28</v>
      </c>
      <c r="BC5">
        <v>283.35</v>
      </c>
      <c r="BD5">
        <v>287.26</v>
      </c>
      <c r="BE5">
        <v>291</v>
      </c>
      <c r="BF5">
        <v>293.46</v>
      </c>
      <c r="BG5">
        <v>294.33</v>
      </c>
      <c r="BH5">
        <v>295.12</v>
      </c>
      <c r="BI5">
        <v>295.78</v>
      </c>
      <c r="BJ5">
        <v>295.46</v>
      </c>
      <c r="BK5">
        <v>293.55</v>
      </c>
      <c r="BL5">
        <v>291.7</v>
      </c>
      <c r="BM5">
        <v>289.88</v>
      </c>
      <c r="BN5">
        <v>288.14</v>
      </c>
      <c r="BO5">
        <v>285.97</v>
      </c>
      <c r="BP5">
        <v>283.97</v>
      </c>
      <c r="BQ5">
        <v>281.98</v>
      </c>
      <c r="BR5">
        <v>280.27</v>
      </c>
      <c r="BS5">
        <v>279.12</v>
      </c>
      <c r="BT5">
        <v>278.11</v>
      </c>
      <c r="BU5">
        <v>276.99</v>
      </c>
      <c r="BV5">
        <v>276.39</v>
      </c>
      <c r="BW5">
        <v>275.89</v>
      </c>
      <c r="BX5">
        <v>275.42</v>
      </c>
      <c r="BY5">
        <v>275.04</v>
      </c>
      <c r="BZ5">
        <v>274.94</v>
      </c>
      <c r="CA5">
        <v>274.99</v>
      </c>
      <c r="CB5">
        <v>275.14</v>
      </c>
      <c r="CC5">
        <v>275.27</v>
      </c>
      <c r="CD5">
        <v>275.13</v>
      </c>
      <c r="CE5">
        <v>274.77</v>
      </c>
      <c r="CF5">
        <v>274.33</v>
      </c>
      <c r="CG5">
        <v>273.69</v>
      </c>
      <c r="CH5">
        <v>273.13</v>
      </c>
      <c r="CI5">
        <v>272.63</v>
      </c>
      <c r="CJ5">
        <v>272.13</v>
      </c>
      <c r="CK5">
        <v>271.61</v>
      </c>
      <c r="CL5">
        <v>270.73</v>
      </c>
      <c r="CM5">
        <v>269.7</v>
      </c>
      <c r="CN5">
        <v>268.62</v>
      </c>
      <c r="CO5">
        <v>267.5</v>
      </c>
      <c r="CP5">
        <v>265.83</v>
      </c>
      <c r="CQ5">
        <v>263.7</v>
      </c>
      <c r="CR5">
        <v>261.47</v>
      </c>
      <c r="CS5">
        <v>259.12</v>
      </c>
    </row>
    <row r="6" spans="1:97">
      <c r="A6" s="9">
        <v>46239</v>
      </c>
      <c r="B6">
        <v>176.75</v>
      </c>
      <c r="C6">
        <v>175.11</v>
      </c>
      <c r="D6">
        <v>173.46</v>
      </c>
      <c r="E6">
        <v>171.8</v>
      </c>
      <c r="F6">
        <v>169.94</v>
      </c>
      <c r="G6">
        <v>167.78</v>
      </c>
      <c r="H6">
        <v>165.59</v>
      </c>
      <c r="I6">
        <v>163.35</v>
      </c>
      <c r="J6">
        <v>160.84</v>
      </c>
      <c r="K6">
        <v>157.97</v>
      </c>
      <c r="L6">
        <v>154.96</v>
      </c>
      <c r="M6">
        <v>151.94</v>
      </c>
      <c r="N6">
        <v>148.68</v>
      </c>
      <c r="O6">
        <v>145.2</v>
      </c>
      <c r="P6">
        <v>141.58</v>
      </c>
      <c r="Q6">
        <v>137.88</v>
      </c>
      <c r="R6">
        <v>133.78</v>
      </c>
      <c r="S6">
        <v>129.37</v>
      </c>
      <c r="T6">
        <v>124.7</v>
      </c>
      <c r="U6">
        <v>119.9</v>
      </c>
      <c r="V6">
        <v>114.65</v>
      </c>
      <c r="W6">
        <v>109.14</v>
      </c>
      <c r="X6">
        <v>103.39</v>
      </c>
      <c r="Y6">
        <v>97.63</v>
      </c>
      <c r="Z6">
        <v>91.73</v>
      </c>
      <c r="AA6">
        <v>85.8</v>
      </c>
      <c r="AB6">
        <v>79.96</v>
      </c>
      <c r="AC6">
        <v>74.25</v>
      </c>
      <c r="AD6">
        <v>69.47</v>
      </c>
      <c r="AE6">
        <v>66.09</v>
      </c>
      <c r="AF6">
        <v>62.84</v>
      </c>
      <c r="AG6">
        <v>59.71</v>
      </c>
      <c r="AH6">
        <v>57.27</v>
      </c>
      <c r="AI6">
        <v>55.25</v>
      </c>
      <c r="AJ6">
        <v>53.33</v>
      </c>
      <c r="AK6">
        <v>51.48</v>
      </c>
      <c r="AL6">
        <v>50.16</v>
      </c>
      <c r="AM6">
        <v>49.37</v>
      </c>
      <c r="AN6">
        <v>48.63</v>
      </c>
      <c r="AO6">
        <v>47.93</v>
      </c>
      <c r="AP6">
        <v>47.63</v>
      </c>
      <c r="AQ6">
        <v>47.89</v>
      </c>
      <c r="AR6">
        <v>48.17</v>
      </c>
      <c r="AS6">
        <v>48.45</v>
      </c>
      <c r="AT6">
        <v>49.01</v>
      </c>
      <c r="AU6">
        <v>49.77</v>
      </c>
      <c r="AV6">
        <v>50.58</v>
      </c>
      <c r="AW6">
        <v>51.42</v>
      </c>
      <c r="AX6">
        <v>52.18</v>
      </c>
      <c r="AY6">
        <v>52.89</v>
      </c>
      <c r="AZ6">
        <v>53.59</v>
      </c>
      <c r="BA6">
        <v>54.28</v>
      </c>
      <c r="BB6">
        <v>54.77</v>
      </c>
      <c r="BC6">
        <v>55.11</v>
      </c>
      <c r="BD6">
        <v>55.34</v>
      </c>
      <c r="BE6">
        <v>55.49</v>
      </c>
      <c r="BF6">
        <v>55.23</v>
      </c>
      <c r="BG6">
        <v>54.87</v>
      </c>
      <c r="BH6">
        <v>54.33</v>
      </c>
      <c r="BI6">
        <v>53.83</v>
      </c>
      <c r="BJ6">
        <v>53.11</v>
      </c>
      <c r="BK6">
        <v>52.18</v>
      </c>
      <c r="BL6">
        <v>51.37</v>
      </c>
      <c r="BM6">
        <v>50.67</v>
      </c>
      <c r="BN6">
        <v>49.7</v>
      </c>
      <c r="BO6">
        <v>48.6</v>
      </c>
      <c r="BP6">
        <v>47.46</v>
      </c>
      <c r="BQ6">
        <v>46.36</v>
      </c>
      <c r="BR6">
        <v>45.21</v>
      </c>
      <c r="BS6">
        <v>44.28</v>
      </c>
      <c r="BT6">
        <v>43.42</v>
      </c>
      <c r="BU6">
        <v>42.74</v>
      </c>
      <c r="BV6">
        <v>42.42</v>
      </c>
      <c r="BW6">
        <v>42.48</v>
      </c>
      <c r="BX6">
        <v>42.75</v>
      </c>
      <c r="BY6">
        <v>43.17</v>
      </c>
      <c r="BZ6">
        <v>43.46</v>
      </c>
      <c r="CA6">
        <v>43.8</v>
      </c>
      <c r="CB6">
        <v>44.08</v>
      </c>
      <c r="CC6">
        <v>44.39</v>
      </c>
      <c r="CD6">
        <v>44.36</v>
      </c>
      <c r="CE6">
        <v>44.06</v>
      </c>
      <c r="CF6">
        <v>43.69</v>
      </c>
      <c r="CG6">
        <v>43.2</v>
      </c>
      <c r="CH6">
        <v>42.59</v>
      </c>
      <c r="CI6">
        <v>41.79</v>
      </c>
      <c r="CJ6">
        <v>40.88</v>
      </c>
      <c r="CK6">
        <v>39.95</v>
      </c>
      <c r="CL6">
        <v>38.93</v>
      </c>
      <c r="CM6">
        <v>37.74</v>
      </c>
      <c r="CN6">
        <v>36.56</v>
      </c>
      <c r="CO6">
        <v>35.36</v>
      </c>
      <c r="CP6">
        <v>34.02</v>
      </c>
      <c r="CQ6">
        <v>32.69</v>
      </c>
      <c r="CR6">
        <v>31.36</v>
      </c>
      <c r="CS6">
        <v>29.85</v>
      </c>
    </row>
    <row r="7" spans="1:97">
      <c r="A7" s="9">
        <v>46240</v>
      </c>
      <c r="B7">
        <v>44.55</v>
      </c>
      <c r="C7">
        <v>43.3</v>
      </c>
      <c r="D7">
        <v>42.16</v>
      </c>
      <c r="E7">
        <v>41.05</v>
      </c>
      <c r="F7">
        <v>40.1</v>
      </c>
      <c r="G7">
        <v>39.35</v>
      </c>
      <c r="H7">
        <v>38.69</v>
      </c>
      <c r="I7">
        <v>38.05</v>
      </c>
      <c r="J7">
        <v>37.52</v>
      </c>
      <c r="K7">
        <v>37.28</v>
      </c>
      <c r="L7">
        <v>37.05</v>
      </c>
      <c r="M7">
        <v>36.85</v>
      </c>
      <c r="N7">
        <v>36.76</v>
      </c>
      <c r="O7">
        <v>36.7</v>
      </c>
      <c r="P7">
        <v>36.64</v>
      </c>
      <c r="Q7">
        <v>36.6</v>
      </c>
      <c r="R7">
        <v>36.5</v>
      </c>
      <c r="S7">
        <v>36.39</v>
      </c>
      <c r="T7">
        <v>36.13</v>
      </c>
      <c r="U7">
        <v>35.82</v>
      </c>
      <c r="V7">
        <v>35.27</v>
      </c>
      <c r="W7">
        <v>34.55</v>
      </c>
      <c r="X7">
        <v>33.76</v>
      </c>
      <c r="Y7">
        <v>32.93</v>
      </c>
      <c r="Z7">
        <v>31.73</v>
      </c>
      <c r="AA7">
        <v>30.23</v>
      </c>
      <c r="AB7">
        <v>28.76</v>
      </c>
      <c r="AC7">
        <v>27.31</v>
      </c>
      <c r="AD7">
        <v>25.73</v>
      </c>
      <c r="AE7">
        <v>24.06</v>
      </c>
      <c r="AF7">
        <v>22.56</v>
      </c>
      <c r="AG7">
        <v>21.07</v>
      </c>
      <c r="AH7">
        <v>20.25</v>
      </c>
      <c r="AI7">
        <v>20.05</v>
      </c>
      <c r="AJ7">
        <v>19.91</v>
      </c>
      <c r="AK7">
        <v>19.85</v>
      </c>
      <c r="AL7">
        <v>19.99</v>
      </c>
      <c r="AM7">
        <v>20.22</v>
      </c>
      <c r="AN7">
        <v>20.51</v>
      </c>
      <c r="AO7">
        <v>20.85</v>
      </c>
      <c r="AP7">
        <v>21.46</v>
      </c>
      <c r="AQ7">
        <v>22.31</v>
      </c>
      <c r="AR7">
        <v>23.21</v>
      </c>
      <c r="AS7">
        <v>24.11</v>
      </c>
      <c r="AT7">
        <v>25.15</v>
      </c>
      <c r="AU7">
        <v>26.33</v>
      </c>
      <c r="AV7">
        <v>27.53</v>
      </c>
      <c r="AW7">
        <v>28.72</v>
      </c>
      <c r="AX7">
        <v>30.01</v>
      </c>
      <c r="AY7">
        <v>31.38</v>
      </c>
      <c r="AZ7">
        <v>32.77</v>
      </c>
      <c r="BA7">
        <v>34.15</v>
      </c>
      <c r="BB7">
        <v>35.52</v>
      </c>
      <c r="BC7">
        <v>36.77</v>
      </c>
      <c r="BD7">
        <v>37.98</v>
      </c>
      <c r="BE7">
        <v>39.13</v>
      </c>
      <c r="BF7">
        <v>39.85</v>
      </c>
      <c r="BG7">
        <v>40.38</v>
      </c>
      <c r="BH7">
        <v>40.86</v>
      </c>
      <c r="BI7">
        <v>41.34</v>
      </c>
      <c r="BJ7">
        <v>41.51</v>
      </c>
      <c r="BK7">
        <v>41.28</v>
      </c>
      <c r="BL7">
        <v>41.07</v>
      </c>
      <c r="BM7">
        <v>40.92</v>
      </c>
      <c r="BN7">
        <v>41.02</v>
      </c>
      <c r="BO7">
        <v>41.59</v>
      </c>
      <c r="BP7">
        <v>42.14</v>
      </c>
      <c r="BQ7">
        <v>42.75</v>
      </c>
      <c r="BR7">
        <v>43.8</v>
      </c>
      <c r="BS7">
        <v>45.16</v>
      </c>
      <c r="BT7">
        <v>46.64</v>
      </c>
      <c r="BU7">
        <v>48.3</v>
      </c>
      <c r="BV7">
        <v>50.38</v>
      </c>
      <c r="BW7">
        <v>52.88</v>
      </c>
      <c r="BX7">
        <v>55.6</v>
      </c>
      <c r="BY7">
        <v>58.34</v>
      </c>
      <c r="BZ7">
        <v>60.56</v>
      </c>
      <c r="CA7">
        <v>62.47</v>
      </c>
      <c r="CB7">
        <v>64.37</v>
      </c>
      <c r="CC7">
        <v>66.2</v>
      </c>
      <c r="CD7">
        <v>67.8</v>
      </c>
      <c r="CE7">
        <v>69.15</v>
      </c>
      <c r="CF7">
        <v>70.55</v>
      </c>
      <c r="CG7">
        <v>71.94</v>
      </c>
      <c r="CH7">
        <v>73.86</v>
      </c>
      <c r="CI7">
        <v>75.94</v>
      </c>
      <c r="CJ7">
        <v>78.28</v>
      </c>
      <c r="CK7">
        <v>80.68</v>
      </c>
      <c r="CL7">
        <v>83.3</v>
      </c>
      <c r="CM7">
        <v>85.45</v>
      </c>
      <c r="CN7">
        <v>87.97</v>
      </c>
      <c r="CO7">
        <v>90.49</v>
      </c>
      <c r="CP7">
        <v>93.17</v>
      </c>
      <c r="CQ7">
        <v>96.04</v>
      </c>
      <c r="CR7">
        <v>99.38</v>
      </c>
      <c r="CS7">
        <v>102.66</v>
      </c>
    </row>
    <row r="8" spans="1:97">
      <c r="A8" s="9">
        <v>46241</v>
      </c>
      <c r="B8">
        <v>83.02</v>
      </c>
      <c r="C8">
        <v>88.59</v>
      </c>
      <c r="D8">
        <v>94.73</v>
      </c>
      <c r="E8">
        <v>101.01</v>
      </c>
      <c r="F8">
        <v>108.55</v>
      </c>
      <c r="G8">
        <v>117.53</v>
      </c>
      <c r="H8">
        <v>126.89</v>
      </c>
      <c r="I8">
        <v>136.32</v>
      </c>
      <c r="J8">
        <v>146.09</v>
      </c>
      <c r="K8">
        <v>155.84</v>
      </c>
      <c r="L8">
        <v>165.92</v>
      </c>
      <c r="M8">
        <v>176.06</v>
      </c>
      <c r="N8">
        <v>186.82</v>
      </c>
      <c r="O8">
        <v>197.91</v>
      </c>
      <c r="P8">
        <v>209.1</v>
      </c>
      <c r="Q8">
        <v>220.33</v>
      </c>
      <c r="R8">
        <v>231.13</v>
      </c>
      <c r="S8">
        <v>241.39</v>
      </c>
      <c r="T8">
        <v>251.58</v>
      </c>
      <c r="U8">
        <v>261.85</v>
      </c>
      <c r="V8">
        <v>271.53</v>
      </c>
      <c r="W8">
        <v>280.81</v>
      </c>
      <c r="X8">
        <v>289.49</v>
      </c>
      <c r="Y8">
        <v>297.98</v>
      </c>
      <c r="Z8">
        <v>304.89</v>
      </c>
      <c r="AA8">
        <v>310.73</v>
      </c>
      <c r="AB8">
        <v>316.69</v>
      </c>
      <c r="AC8">
        <v>322.49</v>
      </c>
      <c r="AD8">
        <v>327.5</v>
      </c>
      <c r="AE8">
        <v>332.04</v>
      </c>
      <c r="AF8">
        <v>337.42</v>
      </c>
      <c r="AG8">
        <v>341.79</v>
      </c>
      <c r="AH8">
        <v>346.04</v>
      </c>
      <c r="AI8">
        <v>349.77</v>
      </c>
      <c r="AJ8">
        <v>353.63</v>
      </c>
      <c r="AK8">
        <v>356.61</v>
      </c>
      <c r="AL8">
        <v>360.86</v>
      </c>
      <c r="AM8">
        <v>364.44</v>
      </c>
      <c r="AN8">
        <v>368.18</v>
      </c>
      <c r="AO8">
        <v>371.63</v>
      </c>
      <c r="AP8">
        <v>374.91</v>
      </c>
      <c r="AQ8">
        <v>377.48</v>
      </c>
      <c r="AR8">
        <v>380</v>
      </c>
      <c r="AS8">
        <v>382.35</v>
      </c>
      <c r="AT8">
        <v>384.42</v>
      </c>
      <c r="AU8">
        <v>386.43</v>
      </c>
      <c r="AV8">
        <v>388.45</v>
      </c>
      <c r="AW8">
        <v>390.47</v>
      </c>
      <c r="AX8">
        <v>392.29</v>
      </c>
      <c r="AY8">
        <v>394.07</v>
      </c>
      <c r="AZ8">
        <v>395.87</v>
      </c>
      <c r="BA8">
        <v>397.44</v>
      </c>
      <c r="BB8">
        <v>399.25</v>
      </c>
      <c r="BC8">
        <v>401.06</v>
      </c>
      <c r="BD8">
        <v>402.91</v>
      </c>
      <c r="BE8">
        <v>404.7</v>
      </c>
      <c r="BF8">
        <v>406.5</v>
      </c>
      <c r="BG8">
        <v>407.7</v>
      </c>
      <c r="BH8">
        <v>408.86</v>
      </c>
      <c r="BI8">
        <v>410.04</v>
      </c>
      <c r="BJ8">
        <v>412.74</v>
      </c>
      <c r="BK8">
        <v>414.41</v>
      </c>
      <c r="BL8">
        <v>416.03</v>
      </c>
      <c r="BM8">
        <v>417.69</v>
      </c>
      <c r="BN8">
        <v>419.75</v>
      </c>
      <c r="BO8">
        <v>421.94</v>
      </c>
      <c r="BP8">
        <v>424.17</v>
      </c>
      <c r="BQ8">
        <v>426.41</v>
      </c>
      <c r="BR8">
        <v>428.51</v>
      </c>
      <c r="BS8">
        <v>430.37</v>
      </c>
      <c r="BT8">
        <v>432.24</v>
      </c>
      <c r="BU8">
        <v>433.77</v>
      </c>
      <c r="BV8">
        <v>435.83</v>
      </c>
      <c r="BW8">
        <v>437.34</v>
      </c>
      <c r="BX8">
        <v>438.63</v>
      </c>
      <c r="BY8">
        <v>439.65</v>
      </c>
      <c r="BZ8">
        <v>440.64</v>
      </c>
      <c r="CA8">
        <v>441.77</v>
      </c>
      <c r="CB8">
        <v>442.9</v>
      </c>
      <c r="CC8">
        <v>443.68</v>
      </c>
      <c r="CD8">
        <v>444.37</v>
      </c>
      <c r="CE8">
        <v>444.36</v>
      </c>
      <c r="CF8">
        <v>444.32</v>
      </c>
      <c r="CG8">
        <v>443.96</v>
      </c>
      <c r="CH8">
        <v>443.52</v>
      </c>
      <c r="CI8">
        <v>442.74</v>
      </c>
      <c r="CJ8">
        <v>441.97</v>
      </c>
      <c r="CK8">
        <v>441.08</v>
      </c>
      <c r="CL8">
        <v>439.87</v>
      </c>
      <c r="CM8">
        <v>438.22</v>
      </c>
      <c r="CN8">
        <v>436.55</v>
      </c>
      <c r="CO8">
        <v>434.7</v>
      </c>
      <c r="CP8">
        <v>432.55</v>
      </c>
      <c r="CQ8">
        <v>429.87</v>
      </c>
      <c r="CR8">
        <v>427.19</v>
      </c>
      <c r="CS8">
        <v>425.65</v>
      </c>
    </row>
    <row r="9" spans="1:97">
      <c r="A9" s="9">
        <v>46242</v>
      </c>
      <c r="B9">
        <v>413.52</v>
      </c>
      <c r="C9">
        <v>411.38</v>
      </c>
      <c r="D9">
        <v>409.27</v>
      </c>
      <c r="E9">
        <v>407.18</v>
      </c>
      <c r="F9">
        <v>405.42</v>
      </c>
      <c r="G9">
        <v>404.03</v>
      </c>
      <c r="H9">
        <v>402.75</v>
      </c>
      <c r="I9">
        <v>401.47</v>
      </c>
      <c r="J9">
        <v>400.47</v>
      </c>
      <c r="K9">
        <v>399.79</v>
      </c>
      <c r="L9">
        <v>399.28</v>
      </c>
      <c r="M9">
        <v>398.72</v>
      </c>
      <c r="N9">
        <v>398.31</v>
      </c>
      <c r="O9">
        <v>398.13</v>
      </c>
      <c r="P9">
        <v>398.08</v>
      </c>
      <c r="Q9">
        <v>398.01</v>
      </c>
      <c r="R9">
        <v>397.94</v>
      </c>
      <c r="S9">
        <v>397.83</v>
      </c>
      <c r="T9">
        <v>398.92</v>
      </c>
      <c r="U9">
        <v>398.77</v>
      </c>
      <c r="V9">
        <v>398.5</v>
      </c>
      <c r="W9">
        <v>397.63</v>
      </c>
      <c r="X9">
        <v>395.53</v>
      </c>
      <c r="Y9">
        <v>394.58</v>
      </c>
      <c r="Z9">
        <v>392.8</v>
      </c>
      <c r="AA9">
        <v>390.7</v>
      </c>
      <c r="AB9">
        <v>382.55</v>
      </c>
      <c r="AC9">
        <v>380.69</v>
      </c>
      <c r="AD9">
        <v>379.87</v>
      </c>
      <c r="AE9">
        <v>380.41</v>
      </c>
      <c r="AF9">
        <v>381.11</v>
      </c>
      <c r="AG9">
        <v>381.86</v>
      </c>
      <c r="AH9">
        <v>382.71</v>
      </c>
      <c r="AI9">
        <v>383.25</v>
      </c>
      <c r="AJ9">
        <v>383.82</v>
      </c>
      <c r="AK9">
        <v>384.28</v>
      </c>
      <c r="AL9">
        <v>384.58</v>
      </c>
      <c r="AM9">
        <v>384.4</v>
      </c>
      <c r="AN9">
        <v>384.15</v>
      </c>
      <c r="AO9">
        <v>383.85</v>
      </c>
      <c r="AP9">
        <v>382.6</v>
      </c>
      <c r="AQ9">
        <v>380.05</v>
      </c>
      <c r="AR9">
        <v>377.18</v>
      </c>
      <c r="AS9">
        <v>374.19</v>
      </c>
      <c r="AT9">
        <v>370.95</v>
      </c>
      <c r="AU9">
        <v>367.16</v>
      </c>
      <c r="AV9">
        <v>363.25</v>
      </c>
      <c r="AW9">
        <v>359.36</v>
      </c>
      <c r="AX9">
        <v>355.55</v>
      </c>
      <c r="AY9">
        <v>352.07</v>
      </c>
      <c r="AZ9">
        <v>348.51</v>
      </c>
      <c r="BA9">
        <v>344.91</v>
      </c>
      <c r="BB9">
        <v>341.57</v>
      </c>
      <c r="BC9">
        <v>338.71</v>
      </c>
      <c r="BD9">
        <v>335.74</v>
      </c>
      <c r="BE9">
        <v>332.78</v>
      </c>
      <c r="BF9">
        <v>329.93</v>
      </c>
      <c r="BG9">
        <v>326.89</v>
      </c>
      <c r="BH9">
        <v>323.85</v>
      </c>
      <c r="BI9">
        <v>320.66</v>
      </c>
      <c r="BJ9">
        <v>318.65</v>
      </c>
      <c r="BK9">
        <v>315.74</v>
      </c>
      <c r="BL9">
        <v>312.83</v>
      </c>
      <c r="BM9">
        <v>309.9</v>
      </c>
      <c r="BN9">
        <v>306.65</v>
      </c>
      <c r="BO9">
        <v>303.58</v>
      </c>
      <c r="BP9">
        <v>299.99</v>
      </c>
      <c r="BQ9">
        <v>296.62</v>
      </c>
      <c r="BR9">
        <v>293.49</v>
      </c>
      <c r="BS9">
        <v>289.76</v>
      </c>
      <c r="BT9">
        <v>285.99</v>
      </c>
      <c r="BU9">
        <v>282.29</v>
      </c>
      <c r="BV9">
        <v>279.48</v>
      </c>
      <c r="BW9">
        <v>277.36</v>
      </c>
      <c r="BX9">
        <v>275.38</v>
      </c>
      <c r="BY9">
        <v>273.36</v>
      </c>
      <c r="BZ9">
        <v>271.76</v>
      </c>
      <c r="CA9">
        <v>270.25</v>
      </c>
      <c r="CB9">
        <v>268.73</v>
      </c>
      <c r="CC9">
        <v>267.06</v>
      </c>
      <c r="CD9">
        <v>265.06</v>
      </c>
      <c r="CE9">
        <v>262.67</v>
      </c>
      <c r="CF9">
        <v>260.13</v>
      </c>
      <c r="CG9">
        <v>257.45</v>
      </c>
      <c r="CH9">
        <v>254.8</v>
      </c>
      <c r="CI9">
        <v>252.1</v>
      </c>
      <c r="CJ9">
        <v>249.43</v>
      </c>
      <c r="CK9">
        <v>246.64</v>
      </c>
      <c r="CL9">
        <v>243.87</v>
      </c>
      <c r="CM9">
        <v>241.27</v>
      </c>
      <c r="CN9">
        <v>238.65</v>
      </c>
      <c r="CO9">
        <v>236.1</v>
      </c>
      <c r="CP9">
        <v>233.4</v>
      </c>
      <c r="CQ9">
        <v>230.68</v>
      </c>
      <c r="CR9">
        <v>228.09</v>
      </c>
      <c r="CS9">
        <v>225.78</v>
      </c>
    </row>
    <row r="10" spans="1:97">
      <c r="A10" s="9">
        <v>46243</v>
      </c>
      <c r="B10">
        <v>208.83</v>
      </c>
      <c r="C10">
        <v>207.14</v>
      </c>
      <c r="D10">
        <v>205.42</v>
      </c>
      <c r="E10">
        <v>203.72</v>
      </c>
      <c r="F10">
        <v>201.79</v>
      </c>
      <c r="G10">
        <v>199.88</v>
      </c>
      <c r="H10">
        <v>197.9</v>
      </c>
      <c r="I10">
        <v>195.93</v>
      </c>
      <c r="J10">
        <v>193.68</v>
      </c>
      <c r="K10">
        <v>191.16</v>
      </c>
      <c r="L10">
        <v>188.63</v>
      </c>
      <c r="M10">
        <v>186.07</v>
      </c>
      <c r="N10">
        <v>183.52</v>
      </c>
      <c r="O10">
        <v>181.03</v>
      </c>
      <c r="P10">
        <v>178.46</v>
      </c>
      <c r="Q10">
        <v>175.88</v>
      </c>
      <c r="R10">
        <v>173.07</v>
      </c>
      <c r="S10">
        <v>169.95</v>
      </c>
      <c r="T10">
        <v>166.59</v>
      </c>
      <c r="U10">
        <v>163.06</v>
      </c>
      <c r="V10">
        <v>158.78</v>
      </c>
      <c r="W10">
        <v>153.68</v>
      </c>
      <c r="X10">
        <v>148.26</v>
      </c>
      <c r="Y10">
        <v>142.71</v>
      </c>
      <c r="Z10">
        <v>135.97</v>
      </c>
      <c r="AA10">
        <v>128.35</v>
      </c>
      <c r="AB10">
        <v>120.45</v>
      </c>
      <c r="AC10">
        <v>112.88</v>
      </c>
      <c r="AD10">
        <v>105.72</v>
      </c>
      <c r="AE10">
        <v>99.18</v>
      </c>
      <c r="AF10">
        <v>92.83</v>
      </c>
      <c r="AG10">
        <v>86.62</v>
      </c>
      <c r="AH10">
        <v>81.68</v>
      </c>
      <c r="AI10">
        <v>77.84</v>
      </c>
      <c r="AJ10">
        <v>74.14</v>
      </c>
      <c r="AK10">
        <v>70.53</v>
      </c>
      <c r="AL10">
        <v>67.24</v>
      </c>
      <c r="AM10">
        <v>64.24</v>
      </c>
      <c r="AN10">
        <v>61.29</v>
      </c>
      <c r="AO10">
        <v>58.45</v>
      </c>
      <c r="AP10">
        <v>55.66</v>
      </c>
      <c r="AQ10">
        <v>53.04</v>
      </c>
      <c r="AR10">
        <v>50.31</v>
      </c>
      <c r="AS10">
        <v>47.54</v>
      </c>
      <c r="AT10">
        <v>44.62</v>
      </c>
      <c r="AU10">
        <v>41.7</v>
      </c>
      <c r="AV10">
        <v>38.75</v>
      </c>
      <c r="AW10">
        <v>35.86</v>
      </c>
      <c r="AX10">
        <v>33.36</v>
      </c>
      <c r="AY10">
        <v>31.31</v>
      </c>
      <c r="AZ10">
        <v>29.33</v>
      </c>
      <c r="BA10">
        <v>27.43</v>
      </c>
      <c r="BB10">
        <v>25.91</v>
      </c>
      <c r="BC10">
        <v>24.7</v>
      </c>
      <c r="BD10">
        <v>23.66</v>
      </c>
      <c r="BE10">
        <v>22.64</v>
      </c>
      <c r="BF10">
        <v>21.8</v>
      </c>
      <c r="BG10">
        <v>21.11</v>
      </c>
      <c r="BH10">
        <v>20.46</v>
      </c>
      <c r="BI10">
        <v>19.97</v>
      </c>
      <c r="BJ10">
        <v>19.62</v>
      </c>
      <c r="BK10">
        <v>19.5</v>
      </c>
      <c r="BL10">
        <v>19.48</v>
      </c>
      <c r="BM10">
        <v>19.52</v>
      </c>
      <c r="BN10">
        <v>19.87</v>
      </c>
      <c r="BO10">
        <v>20.51</v>
      </c>
      <c r="BP10">
        <v>21.23</v>
      </c>
      <c r="BQ10">
        <v>21.98</v>
      </c>
      <c r="BR10">
        <v>23.19</v>
      </c>
      <c r="BS10">
        <v>24.88</v>
      </c>
      <c r="BT10">
        <v>26.66</v>
      </c>
      <c r="BU10">
        <v>28.56</v>
      </c>
      <c r="BV10">
        <v>31.23</v>
      </c>
      <c r="BW10">
        <v>34.4</v>
      </c>
      <c r="BX10">
        <v>37.62</v>
      </c>
      <c r="BY10">
        <v>40.88</v>
      </c>
      <c r="BZ10">
        <v>43.97</v>
      </c>
      <c r="CA10">
        <v>46.75</v>
      </c>
      <c r="CB10">
        <v>49.42</v>
      </c>
      <c r="CC10">
        <v>51.96</v>
      </c>
      <c r="CD10">
        <v>53.79</v>
      </c>
      <c r="CE10">
        <v>54.85</v>
      </c>
      <c r="CF10">
        <v>55.78</v>
      </c>
      <c r="CG10">
        <v>56.59</v>
      </c>
      <c r="CH10">
        <v>57.34</v>
      </c>
      <c r="CI10">
        <v>58.01</v>
      </c>
      <c r="CJ10">
        <v>58.75</v>
      </c>
      <c r="CK10">
        <v>59.52</v>
      </c>
      <c r="CL10">
        <v>60.45</v>
      </c>
      <c r="CM10">
        <v>61.5</v>
      </c>
      <c r="CN10">
        <v>62.61</v>
      </c>
      <c r="CO10">
        <v>63.74</v>
      </c>
      <c r="CP10">
        <v>64.5</v>
      </c>
      <c r="CQ10">
        <v>65.22</v>
      </c>
      <c r="CR10">
        <v>65.98</v>
      </c>
      <c r="CS10">
        <v>67</v>
      </c>
    </row>
    <row r="11" spans="1:97">
      <c r="A11" s="9">
        <v>46244</v>
      </c>
      <c r="B11">
        <v>63.97</v>
      </c>
      <c r="C11">
        <v>65.65</v>
      </c>
      <c r="D11">
        <v>67.43</v>
      </c>
      <c r="E11">
        <v>69.2</v>
      </c>
      <c r="F11">
        <v>71.19</v>
      </c>
      <c r="G11">
        <v>73.11</v>
      </c>
      <c r="H11">
        <v>75.13</v>
      </c>
      <c r="I11">
        <v>77.13</v>
      </c>
      <c r="J11">
        <v>78.82</v>
      </c>
      <c r="K11">
        <v>80.35</v>
      </c>
      <c r="L11">
        <v>81.9</v>
      </c>
      <c r="M11">
        <v>83.52</v>
      </c>
      <c r="N11">
        <v>84.83</v>
      </c>
      <c r="O11">
        <v>85.92</v>
      </c>
      <c r="P11">
        <v>87.1</v>
      </c>
      <c r="Q11">
        <v>88.38</v>
      </c>
      <c r="R11">
        <v>89.67</v>
      </c>
      <c r="S11">
        <v>91.03</v>
      </c>
      <c r="T11">
        <v>92.38</v>
      </c>
      <c r="U11">
        <v>93.71</v>
      </c>
      <c r="V11">
        <v>95.16</v>
      </c>
      <c r="W11">
        <v>96.72</v>
      </c>
      <c r="X11">
        <v>98.16</v>
      </c>
      <c r="Y11">
        <v>99.48</v>
      </c>
      <c r="Z11">
        <v>100.13</v>
      </c>
      <c r="AA11">
        <v>100.89</v>
      </c>
      <c r="AB11">
        <v>101.72</v>
      </c>
      <c r="AC11">
        <v>102.58</v>
      </c>
      <c r="AD11">
        <v>103.07</v>
      </c>
      <c r="AE11">
        <v>103</v>
      </c>
      <c r="AF11">
        <v>103.32</v>
      </c>
      <c r="AG11">
        <v>103.76</v>
      </c>
      <c r="AH11">
        <v>106.24</v>
      </c>
      <c r="AI11">
        <v>110.58</v>
      </c>
      <c r="AJ11">
        <v>115.29</v>
      </c>
      <c r="AK11">
        <v>120.54</v>
      </c>
      <c r="AL11">
        <v>126.94</v>
      </c>
      <c r="AM11">
        <v>134.46</v>
      </c>
      <c r="AN11">
        <v>142.27</v>
      </c>
      <c r="AO11">
        <v>150.3</v>
      </c>
      <c r="AP11">
        <v>158.59</v>
      </c>
      <c r="AQ11">
        <v>167.04</v>
      </c>
      <c r="AR11">
        <v>175.59</v>
      </c>
      <c r="AS11">
        <v>184.04</v>
      </c>
      <c r="AT11">
        <v>191.48</v>
      </c>
      <c r="AU11">
        <v>198.33</v>
      </c>
      <c r="AV11">
        <v>205.05</v>
      </c>
      <c r="AW11">
        <v>211.65</v>
      </c>
      <c r="AX11">
        <v>217.59</v>
      </c>
      <c r="AY11">
        <v>223.13</v>
      </c>
      <c r="AZ11">
        <v>228.68</v>
      </c>
      <c r="BA11">
        <v>234.14</v>
      </c>
      <c r="BB11">
        <v>238.89</v>
      </c>
      <c r="BC11">
        <v>243.13</v>
      </c>
      <c r="BD11">
        <v>247.28</v>
      </c>
      <c r="BE11">
        <v>251.27</v>
      </c>
      <c r="BF11">
        <v>254.31</v>
      </c>
      <c r="BG11">
        <v>257.56</v>
      </c>
      <c r="BH11">
        <v>259.53</v>
      </c>
      <c r="BI11">
        <v>261.4</v>
      </c>
      <c r="BJ11">
        <v>262.24</v>
      </c>
      <c r="BK11">
        <v>262.08</v>
      </c>
      <c r="BL11">
        <v>261.88</v>
      </c>
      <c r="BM11">
        <v>260.55</v>
      </c>
      <c r="BN11">
        <v>259.9</v>
      </c>
      <c r="BO11">
        <v>258.93</v>
      </c>
      <c r="BP11">
        <v>258.36</v>
      </c>
      <c r="BQ11">
        <v>257.5</v>
      </c>
      <c r="BR11">
        <v>256.49</v>
      </c>
      <c r="BS11">
        <v>255.26</v>
      </c>
      <c r="BT11">
        <v>254.13</v>
      </c>
      <c r="BU11">
        <v>252.89</v>
      </c>
      <c r="BV11">
        <v>252.48</v>
      </c>
      <c r="BW11">
        <v>252.05</v>
      </c>
      <c r="BX11">
        <v>251.75</v>
      </c>
      <c r="BY11">
        <v>251.57</v>
      </c>
      <c r="BZ11">
        <v>253.24</v>
      </c>
      <c r="CA11">
        <v>253.75</v>
      </c>
      <c r="CB11">
        <v>254.41</v>
      </c>
      <c r="CC11">
        <v>254.97</v>
      </c>
      <c r="CD11">
        <v>255.98</v>
      </c>
      <c r="CE11">
        <v>257.51</v>
      </c>
      <c r="CF11">
        <v>260.14</v>
      </c>
      <c r="CG11">
        <v>260.79</v>
      </c>
      <c r="CH11">
        <v>262.21</v>
      </c>
      <c r="CI11">
        <v>263.27</v>
      </c>
      <c r="CJ11">
        <v>264.4</v>
      </c>
      <c r="CK11">
        <v>265.51</v>
      </c>
      <c r="CL11">
        <v>266.38</v>
      </c>
      <c r="CM11">
        <v>266.75</v>
      </c>
      <c r="CN11">
        <v>267.07</v>
      </c>
      <c r="CO11">
        <v>267.18</v>
      </c>
      <c r="CP11">
        <v>266.92</v>
      </c>
      <c r="CQ11">
        <v>265.96</v>
      </c>
      <c r="CR11">
        <v>264.84</v>
      </c>
      <c r="CS11">
        <v>263.7</v>
      </c>
    </row>
    <row r="12" spans="1:97">
      <c r="A12" s="9">
        <v>46245</v>
      </c>
      <c r="B12">
        <v>278.13</v>
      </c>
      <c r="C12">
        <v>276.74</v>
      </c>
      <c r="D12">
        <v>275.79</v>
      </c>
      <c r="E12">
        <v>274.83</v>
      </c>
      <c r="F12">
        <v>273.37</v>
      </c>
      <c r="G12">
        <v>271.8</v>
      </c>
      <c r="H12">
        <v>270.28</v>
      </c>
      <c r="I12">
        <v>268.78</v>
      </c>
      <c r="J12">
        <v>267.08</v>
      </c>
      <c r="K12">
        <v>265.79</v>
      </c>
      <c r="L12">
        <v>264.23</v>
      </c>
      <c r="M12">
        <v>262.79</v>
      </c>
      <c r="N12">
        <v>261.35</v>
      </c>
      <c r="O12">
        <v>259.95</v>
      </c>
      <c r="P12">
        <v>258.84</v>
      </c>
      <c r="Q12">
        <v>257.31</v>
      </c>
      <c r="R12">
        <v>255.73</v>
      </c>
      <c r="S12">
        <v>253.51</v>
      </c>
      <c r="T12">
        <v>251.23</v>
      </c>
      <c r="U12">
        <v>248.93</v>
      </c>
      <c r="V12">
        <v>246.29</v>
      </c>
      <c r="W12">
        <v>242.71</v>
      </c>
      <c r="X12">
        <v>238.94</v>
      </c>
      <c r="Y12">
        <v>235.26</v>
      </c>
      <c r="Z12">
        <v>231.25</v>
      </c>
      <c r="AA12">
        <v>227.5</v>
      </c>
      <c r="AB12">
        <v>223.83</v>
      </c>
      <c r="AC12">
        <v>220.35</v>
      </c>
      <c r="AD12">
        <v>217.64</v>
      </c>
      <c r="AE12">
        <v>215.75</v>
      </c>
      <c r="AF12">
        <v>214.07</v>
      </c>
      <c r="AG12">
        <v>213.88</v>
      </c>
      <c r="AH12">
        <v>213.14</v>
      </c>
      <c r="AI12">
        <v>212.86</v>
      </c>
      <c r="AJ12">
        <v>212.61</v>
      </c>
      <c r="AK12">
        <v>212.41</v>
      </c>
      <c r="AL12">
        <v>212.07</v>
      </c>
      <c r="AM12">
        <v>211.68</v>
      </c>
      <c r="AN12">
        <v>211.3</v>
      </c>
      <c r="AO12">
        <v>210.98</v>
      </c>
      <c r="AP12">
        <v>210.63</v>
      </c>
      <c r="AQ12">
        <v>210.13</v>
      </c>
      <c r="AR12">
        <v>209.7</v>
      </c>
      <c r="AS12">
        <v>208</v>
      </c>
      <c r="AT12">
        <v>207.14</v>
      </c>
      <c r="AU12">
        <v>206.19</v>
      </c>
      <c r="AV12">
        <v>205.16</v>
      </c>
      <c r="AW12">
        <v>204.11</v>
      </c>
      <c r="AX12">
        <v>202.96</v>
      </c>
      <c r="AY12">
        <v>201.84</v>
      </c>
      <c r="AZ12">
        <v>200.76</v>
      </c>
      <c r="BA12">
        <v>199.66</v>
      </c>
      <c r="BB12">
        <v>198.73</v>
      </c>
      <c r="BC12">
        <v>197.84</v>
      </c>
      <c r="BD12">
        <v>196.86</v>
      </c>
      <c r="BE12">
        <v>196.83</v>
      </c>
      <c r="BF12">
        <v>194.8</v>
      </c>
      <c r="BG12">
        <v>193.83</v>
      </c>
      <c r="BH12">
        <v>192.83</v>
      </c>
      <c r="BI12">
        <v>191.93</v>
      </c>
      <c r="BJ12">
        <v>190.86</v>
      </c>
      <c r="BK12">
        <v>189.81</v>
      </c>
      <c r="BL12">
        <v>188.65</v>
      </c>
      <c r="BM12">
        <v>187.77</v>
      </c>
      <c r="BN12">
        <v>186.55</v>
      </c>
      <c r="BO12">
        <v>185.09</v>
      </c>
      <c r="BP12">
        <v>183.66</v>
      </c>
      <c r="BQ12">
        <v>182.23</v>
      </c>
      <c r="BR12">
        <v>180.66</v>
      </c>
      <c r="BS12">
        <v>179.27</v>
      </c>
      <c r="BT12">
        <v>177.88</v>
      </c>
      <c r="BU12">
        <v>176.44</v>
      </c>
      <c r="BV12">
        <v>175.29</v>
      </c>
      <c r="BW12">
        <v>174.38</v>
      </c>
      <c r="BX12">
        <v>173.57</v>
      </c>
      <c r="BY12">
        <v>172.83</v>
      </c>
      <c r="BZ12">
        <v>172.45</v>
      </c>
      <c r="CA12">
        <v>172.14</v>
      </c>
      <c r="CB12">
        <v>171.85</v>
      </c>
      <c r="CC12">
        <v>171.53</v>
      </c>
      <c r="CD12">
        <v>171.01</v>
      </c>
      <c r="CE12">
        <v>169.83</v>
      </c>
      <c r="CF12">
        <v>168.7</v>
      </c>
      <c r="CG12">
        <v>167.31</v>
      </c>
      <c r="CH12">
        <v>165.92</v>
      </c>
      <c r="CI12">
        <v>164.16</v>
      </c>
      <c r="CJ12">
        <v>162.56</v>
      </c>
      <c r="CK12">
        <v>160.97</v>
      </c>
      <c r="CL12">
        <v>159.13</v>
      </c>
      <c r="CM12">
        <v>157.06</v>
      </c>
      <c r="CN12">
        <v>154.84</v>
      </c>
      <c r="CO12">
        <v>152.64</v>
      </c>
      <c r="CP12">
        <v>150.46</v>
      </c>
      <c r="CQ12">
        <v>148.35</v>
      </c>
      <c r="CR12">
        <v>146.16</v>
      </c>
      <c r="CS12">
        <v>143.96</v>
      </c>
    </row>
    <row r="13" spans="1:97">
      <c r="A13" s="9">
        <v>46246</v>
      </c>
      <c r="B13">
        <v>164.7</v>
      </c>
      <c r="C13">
        <v>162.35</v>
      </c>
      <c r="D13">
        <v>159.97</v>
      </c>
      <c r="E13">
        <v>157.57</v>
      </c>
      <c r="F13">
        <v>155.19</v>
      </c>
      <c r="G13">
        <v>152.98</v>
      </c>
      <c r="H13">
        <v>150.78</v>
      </c>
      <c r="I13">
        <v>148.58</v>
      </c>
      <c r="J13">
        <v>146.19</v>
      </c>
      <c r="K13">
        <v>143.61</v>
      </c>
      <c r="L13">
        <v>141.03</v>
      </c>
      <c r="M13">
        <v>138.46</v>
      </c>
      <c r="N13">
        <v>136.01</v>
      </c>
      <c r="O13">
        <v>133.75</v>
      </c>
      <c r="P13">
        <v>131.51</v>
      </c>
      <c r="Q13">
        <v>129.17</v>
      </c>
      <c r="R13">
        <v>127.01</v>
      </c>
      <c r="S13">
        <v>124.85</v>
      </c>
      <c r="T13">
        <v>122.56</v>
      </c>
      <c r="U13">
        <v>120.19</v>
      </c>
      <c r="V13">
        <v>117.54</v>
      </c>
      <c r="W13">
        <v>114.62</v>
      </c>
      <c r="X13">
        <v>111.57</v>
      </c>
      <c r="Y13">
        <v>108.47</v>
      </c>
      <c r="Z13">
        <v>104.57</v>
      </c>
      <c r="AA13">
        <v>100.55</v>
      </c>
      <c r="AB13">
        <v>96.44</v>
      </c>
      <c r="AC13">
        <v>92.48</v>
      </c>
      <c r="AD13">
        <v>89.14</v>
      </c>
      <c r="AE13">
        <v>86.57</v>
      </c>
      <c r="AF13">
        <v>84.33</v>
      </c>
      <c r="AG13">
        <v>82.11</v>
      </c>
      <c r="AH13">
        <v>80.38</v>
      </c>
      <c r="AI13">
        <v>79.24</v>
      </c>
      <c r="AJ13">
        <v>78.1</v>
      </c>
      <c r="AK13">
        <v>76.94</v>
      </c>
      <c r="AL13">
        <v>75.67</v>
      </c>
      <c r="AM13">
        <v>74.45</v>
      </c>
      <c r="AN13">
        <v>73.33</v>
      </c>
      <c r="AO13">
        <v>72.28</v>
      </c>
      <c r="AP13">
        <v>71.27</v>
      </c>
      <c r="AQ13">
        <v>70.29</v>
      </c>
      <c r="AR13">
        <v>69.25</v>
      </c>
      <c r="AS13">
        <v>68.24</v>
      </c>
      <c r="AT13">
        <v>66.95</v>
      </c>
      <c r="AU13">
        <v>65.55</v>
      </c>
      <c r="AV13">
        <v>64.11</v>
      </c>
      <c r="AW13">
        <v>62.74</v>
      </c>
      <c r="AX13">
        <v>61.5</v>
      </c>
      <c r="AY13">
        <v>60.4</v>
      </c>
      <c r="AZ13">
        <v>59.2</v>
      </c>
      <c r="BA13">
        <v>58.21</v>
      </c>
      <c r="BB13">
        <v>57.3</v>
      </c>
      <c r="BC13">
        <v>56.72</v>
      </c>
      <c r="BD13">
        <v>56.15</v>
      </c>
      <c r="BE13">
        <v>55.58</v>
      </c>
      <c r="BF13">
        <v>54.92</v>
      </c>
      <c r="BG13">
        <v>54.13</v>
      </c>
      <c r="BH13">
        <v>53.48</v>
      </c>
      <c r="BI13">
        <v>52.86</v>
      </c>
      <c r="BJ13">
        <v>52.81</v>
      </c>
      <c r="BK13">
        <v>53.16</v>
      </c>
      <c r="BL13">
        <v>53.64</v>
      </c>
      <c r="BM13">
        <v>54.17</v>
      </c>
      <c r="BN13">
        <v>55.02</v>
      </c>
      <c r="BO13">
        <v>56.28</v>
      </c>
      <c r="BP13">
        <v>57.57</v>
      </c>
      <c r="BQ13">
        <v>58.94</v>
      </c>
      <c r="BR13">
        <v>60.67</v>
      </c>
      <c r="BS13">
        <v>62.64</v>
      </c>
      <c r="BT13">
        <v>64.66</v>
      </c>
      <c r="BU13">
        <v>66.76</v>
      </c>
      <c r="BV13">
        <v>69.81</v>
      </c>
      <c r="BW13">
        <v>72.91</v>
      </c>
      <c r="BX13">
        <v>76.33</v>
      </c>
      <c r="BY13">
        <v>79.89</v>
      </c>
      <c r="BZ13">
        <v>83.26</v>
      </c>
      <c r="CA13">
        <v>86.65</v>
      </c>
      <c r="CB13">
        <v>90.18</v>
      </c>
      <c r="CC13">
        <v>93.41</v>
      </c>
      <c r="CD13">
        <v>96.03</v>
      </c>
      <c r="CE13">
        <v>97.86</v>
      </c>
      <c r="CF13">
        <v>99.84</v>
      </c>
      <c r="CG13">
        <v>101.5</v>
      </c>
      <c r="CH13">
        <v>102.69</v>
      </c>
      <c r="CI13">
        <v>103.43</v>
      </c>
      <c r="CJ13">
        <v>104.16</v>
      </c>
      <c r="CK13">
        <v>104.89</v>
      </c>
      <c r="CL13">
        <v>105.46</v>
      </c>
      <c r="CM13">
        <v>105.88</v>
      </c>
      <c r="CN13">
        <v>106.28</v>
      </c>
      <c r="CO13">
        <v>106.72</v>
      </c>
      <c r="CP13">
        <v>106.94</v>
      </c>
      <c r="CQ13">
        <v>106.68</v>
      </c>
      <c r="CR13">
        <v>106.42</v>
      </c>
      <c r="CS13">
        <v>106.26</v>
      </c>
    </row>
    <row r="14" spans="1:97">
      <c r="A14" s="9">
        <v>46247</v>
      </c>
      <c r="B14">
        <v>85.75</v>
      </c>
      <c r="C14">
        <v>85.4</v>
      </c>
      <c r="D14">
        <v>85.27</v>
      </c>
      <c r="E14">
        <v>85.19</v>
      </c>
      <c r="F14">
        <v>85.06</v>
      </c>
      <c r="G14">
        <v>85.22</v>
      </c>
      <c r="H14">
        <v>85.48</v>
      </c>
      <c r="I14">
        <v>85.73</v>
      </c>
      <c r="J14">
        <v>85.67</v>
      </c>
      <c r="K14">
        <v>85.76</v>
      </c>
      <c r="L14">
        <v>85.8</v>
      </c>
      <c r="M14">
        <v>85.9</v>
      </c>
      <c r="N14">
        <v>86.03</v>
      </c>
      <c r="O14">
        <v>86.05</v>
      </c>
      <c r="P14">
        <v>85.87</v>
      </c>
      <c r="Q14">
        <v>85.67</v>
      </c>
      <c r="R14">
        <v>85.63</v>
      </c>
      <c r="S14">
        <v>85.58</v>
      </c>
      <c r="T14">
        <v>85.45</v>
      </c>
      <c r="U14">
        <v>85.35</v>
      </c>
      <c r="V14">
        <v>85.14</v>
      </c>
      <c r="W14">
        <v>84.67</v>
      </c>
      <c r="X14">
        <v>84.18</v>
      </c>
      <c r="Y14">
        <v>83.71</v>
      </c>
      <c r="Z14">
        <v>83.36</v>
      </c>
      <c r="AA14">
        <v>82.97</v>
      </c>
      <c r="AB14">
        <v>82.67</v>
      </c>
      <c r="AC14">
        <v>82.53</v>
      </c>
      <c r="AD14">
        <v>81.76</v>
      </c>
      <c r="AE14">
        <v>80.96</v>
      </c>
      <c r="AF14">
        <v>80.1</v>
      </c>
      <c r="AG14">
        <v>79.21</v>
      </c>
      <c r="AH14">
        <v>78.37</v>
      </c>
      <c r="AI14">
        <v>77.52</v>
      </c>
      <c r="AJ14">
        <v>76.86</v>
      </c>
      <c r="AK14">
        <v>75.94</v>
      </c>
      <c r="AL14">
        <v>75.58</v>
      </c>
      <c r="AM14">
        <v>75.35</v>
      </c>
      <c r="AN14">
        <v>75.22</v>
      </c>
      <c r="AO14">
        <v>75.09</v>
      </c>
      <c r="AP14">
        <v>75.28</v>
      </c>
      <c r="AQ14">
        <v>75.79</v>
      </c>
      <c r="AR14">
        <v>76.42</v>
      </c>
      <c r="AS14">
        <v>77.08</v>
      </c>
      <c r="AT14">
        <v>77.55</v>
      </c>
      <c r="AU14">
        <v>78.24</v>
      </c>
      <c r="AV14">
        <v>78.99</v>
      </c>
      <c r="AW14">
        <v>79.83</v>
      </c>
      <c r="AX14">
        <v>80.65</v>
      </c>
      <c r="AY14">
        <v>81.37</v>
      </c>
      <c r="AZ14">
        <v>82.22</v>
      </c>
      <c r="BA14">
        <v>83.05</v>
      </c>
      <c r="BB14">
        <v>83.8</v>
      </c>
      <c r="BC14">
        <v>84.44</v>
      </c>
      <c r="BD14">
        <v>85.12</v>
      </c>
      <c r="BE14">
        <v>85.84</v>
      </c>
      <c r="BF14">
        <v>86.33</v>
      </c>
      <c r="BG14">
        <v>86.6</v>
      </c>
      <c r="BH14">
        <v>86.9</v>
      </c>
      <c r="BI14">
        <v>87.18</v>
      </c>
      <c r="BJ14">
        <v>87.15</v>
      </c>
      <c r="BK14">
        <v>87.22</v>
      </c>
      <c r="BL14">
        <v>87.28</v>
      </c>
      <c r="BM14">
        <v>87.35</v>
      </c>
      <c r="BN14">
        <v>87.17</v>
      </c>
      <c r="BO14">
        <v>87.02</v>
      </c>
      <c r="BP14">
        <v>86.93</v>
      </c>
      <c r="BQ14">
        <v>86.8</v>
      </c>
      <c r="BR14">
        <v>86.73</v>
      </c>
      <c r="BS14">
        <v>86.62</v>
      </c>
      <c r="BT14">
        <v>86.67</v>
      </c>
      <c r="BU14">
        <v>86.69</v>
      </c>
      <c r="BV14">
        <v>87.65</v>
      </c>
      <c r="BW14">
        <v>88.51</v>
      </c>
      <c r="BX14">
        <v>89.24</v>
      </c>
      <c r="BY14">
        <v>90.22</v>
      </c>
      <c r="BZ14">
        <v>91.28</v>
      </c>
      <c r="CA14">
        <v>92.58</v>
      </c>
      <c r="CB14">
        <v>93.68</v>
      </c>
      <c r="CC14">
        <v>94.68</v>
      </c>
      <c r="CD14">
        <v>95.4</v>
      </c>
      <c r="CE14">
        <v>95.64</v>
      </c>
      <c r="CF14">
        <v>95.85</v>
      </c>
      <c r="CG14">
        <v>95.94</v>
      </c>
      <c r="CH14">
        <v>96.07</v>
      </c>
      <c r="CI14">
        <v>96.06</v>
      </c>
      <c r="CJ14">
        <v>96.07</v>
      </c>
      <c r="CK14">
        <v>95.99</v>
      </c>
      <c r="CL14">
        <v>96.13</v>
      </c>
      <c r="CM14">
        <v>96.47</v>
      </c>
      <c r="CN14">
        <v>97.2</v>
      </c>
      <c r="CO14">
        <v>97.98</v>
      </c>
      <c r="CP14">
        <v>98.74</v>
      </c>
      <c r="CQ14">
        <v>99.84</v>
      </c>
      <c r="CR14">
        <v>100.94</v>
      </c>
      <c r="CS14">
        <v>102.08</v>
      </c>
    </row>
    <row r="15" spans="1:97">
      <c r="A15" s="9">
        <v>46248</v>
      </c>
      <c r="B15">
        <v>85.75</v>
      </c>
      <c r="C15">
        <v>85.4</v>
      </c>
      <c r="D15">
        <v>85.27</v>
      </c>
      <c r="E15">
        <v>85.19</v>
      </c>
      <c r="F15">
        <v>85.06</v>
      </c>
      <c r="G15">
        <v>85.22</v>
      </c>
      <c r="H15">
        <v>85.48</v>
      </c>
      <c r="I15">
        <v>85.73</v>
      </c>
      <c r="J15">
        <v>85.67</v>
      </c>
      <c r="K15">
        <v>85.76</v>
      </c>
      <c r="L15">
        <v>85.8</v>
      </c>
      <c r="M15">
        <v>85.9</v>
      </c>
      <c r="N15">
        <v>86.03</v>
      </c>
      <c r="O15">
        <v>86.05</v>
      </c>
      <c r="P15">
        <v>85.87</v>
      </c>
      <c r="Q15">
        <v>85.67</v>
      </c>
      <c r="R15">
        <v>85.63</v>
      </c>
      <c r="S15">
        <v>85.58</v>
      </c>
      <c r="T15">
        <v>85.45</v>
      </c>
      <c r="U15">
        <v>85.35</v>
      </c>
      <c r="V15">
        <v>85.14</v>
      </c>
      <c r="W15">
        <v>84.67</v>
      </c>
      <c r="X15">
        <v>84.18</v>
      </c>
      <c r="Y15">
        <v>83.71</v>
      </c>
      <c r="Z15">
        <v>83.36</v>
      </c>
      <c r="AA15">
        <v>82.97</v>
      </c>
      <c r="AB15">
        <v>82.67</v>
      </c>
      <c r="AC15">
        <v>82.53</v>
      </c>
      <c r="AD15">
        <v>81.76</v>
      </c>
      <c r="AE15">
        <v>80.96</v>
      </c>
      <c r="AF15">
        <v>80.1</v>
      </c>
      <c r="AG15">
        <v>79.21</v>
      </c>
      <c r="AH15">
        <v>78.37</v>
      </c>
      <c r="AI15">
        <v>77.52</v>
      </c>
      <c r="AJ15">
        <v>76.86</v>
      </c>
      <c r="AK15">
        <v>75.94</v>
      </c>
      <c r="AL15">
        <v>75.58</v>
      </c>
      <c r="AM15">
        <v>75.35</v>
      </c>
      <c r="AN15">
        <v>75.22</v>
      </c>
      <c r="AO15">
        <v>75.09</v>
      </c>
      <c r="AP15">
        <v>75.28</v>
      </c>
      <c r="AQ15">
        <v>75.79</v>
      </c>
      <c r="AR15">
        <v>76.42</v>
      </c>
      <c r="AS15">
        <v>77.08</v>
      </c>
      <c r="AT15">
        <v>77.55</v>
      </c>
      <c r="AU15">
        <v>78.24</v>
      </c>
      <c r="AV15">
        <v>78.99</v>
      </c>
      <c r="AW15">
        <v>79.83</v>
      </c>
      <c r="AX15">
        <v>80.65</v>
      </c>
      <c r="AY15">
        <v>81.37</v>
      </c>
      <c r="AZ15">
        <v>82.22</v>
      </c>
      <c r="BA15">
        <v>83.05</v>
      </c>
      <c r="BB15">
        <v>83.8</v>
      </c>
      <c r="BC15">
        <v>84.44</v>
      </c>
      <c r="BD15">
        <v>85.12</v>
      </c>
      <c r="BE15">
        <v>85.84</v>
      </c>
      <c r="BF15">
        <v>86.33</v>
      </c>
      <c r="BG15">
        <v>86.6</v>
      </c>
      <c r="BH15">
        <v>86.9</v>
      </c>
      <c r="BI15">
        <v>87.18</v>
      </c>
      <c r="BJ15">
        <v>87.15</v>
      </c>
      <c r="BK15">
        <v>87.22</v>
      </c>
      <c r="BL15">
        <v>87.28</v>
      </c>
      <c r="BM15">
        <v>87.35</v>
      </c>
      <c r="BN15">
        <v>87.17</v>
      </c>
      <c r="BO15">
        <v>87.02</v>
      </c>
      <c r="BP15">
        <v>86.93</v>
      </c>
      <c r="BQ15">
        <v>86.8</v>
      </c>
      <c r="BR15">
        <v>86.73</v>
      </c>
      <c r="BS15">
        <v>86.62</v>
      </c>
      <c r="BT15">
        <v>86.67</v>
      </c>
      <c r="BU15">
        <v>86.69</v>
      </c>
      <c r="BV15">
        <v>87.65</v>
      </c>
      <c r="BW15">
        <v>88.51</v>
      </c>
      <c r="BX15">
        <v>89.24</v>
      </c>
      <c r="BY15">
        <v>90.22</v>
      </c>
      <c r="BZ15">
        <v>91.28</v>
      </c>
      <c r="CA15">
        <v>92.58</v>
      </c>
      <c r="CB15">
        <v>93.68</v>
      </c>
      <c r="CC15">
        <v>94.68</v>
      </c>
      <c r="CD15">
        <v>95.4</v>
      </c>
      <c r="CE15">
        <v>95.64</v>
      </c>
      <c r="CF15">
        <v>95.85</v>
      </c>
      <c r="CG15">
        <v>95.94</v>
      </c>
      <c r="CH15">
        <v>96.07</v>
      </c>
      <c r="CI15">
        <v>96.06</v>
      </c>
      <c r="CJ15">
        <v>96.07</v>
      </c>
      <c r="CK15">
        <v>95.99</v>
      </c>
      <c r="CL15">
        <v>96.13</v>
      </c>
      <c r="CM15">
        <v>96.47</v>
      </c>
      <c r="CN15">
        <v>97.2</v>
      </c>
      <c r="CO15">
        <v>97.98</v>
      </c>
      <c r="CP15">
        <v>98.74</v>
      </c>
      <c r="CQ15">
        <v>99.84</v>
      </c>
      <c r="CR15">
        <v>100.94</v>
      </c>
      <c r="CS15">
        <v>102.08</v>
      </c>
    </row>
    <row r="16" spans="1:97">
      <c r="A16" s="9">
        <v>46249</v>
      </c>
      <c r="B16">
        <v>97.23</v>
      </c>
      <c r="C16">
        <v>94.57</v>
      </c>
      <c r="D16">
        <v>91.98</v>
      </c>
      <c r="E16">
        <v>89.4</v>
      </c>
      <c r="F16">
        <v>87.04</v>
      </c>
      <c r="G16">
        <v>84.91</v>
      </c>
      <c r="H16">
        <v>82.84</v>
      </c>
      <c r="I16">
        <v>80.82</v>
      </c>
      <c r="J16">
        <v>79.07</v>
      </c>
      <c r="K16">
        <v>77.63</v>
      </c>
      <c r="L16">
        <v>76.23</v>
      </c>
      <c r="M16">
        <v>74.85</v>
      </c>
      <c r="N16">
        <v>73.57</v>
      </c>
      <c r="O16">
        <v>72.41</v>
      </c>
      <c r="P16">
        <v>71.3</v>
      </c>
      <c r="Q16">
        <v>70.22</v>
      </c>
      <c r="R16">
        <v>69.12</v>
      </c>
      <c r="S16">
        <v>67.94</v>
      </c>
      <c r="T16">
        <v>66.74</v>
      </c>
      <c r="U16">
        <v>65.18</v>
      </c>
      <c r="V16">
        <v>63.27</v>
      </c>
      <c r="W16">
        <v>60.93</v>
      </c>
      <c r="X16">
        <v>58.49</v>
      </c>
      <c r="Y16">
        <v>56</v>
      </c>
      <c r="Z16">
        <v>52.97</v>
      </c>
      <c r="AA16">
        <v>49.39</v>
      </c>
      <c r="AB16">
        <v>45.8</v>
      </c>
      <c r="AC16">
        <v>42.31</v>
      </c>
      <c r="AD16">
        <v>38.91</v>
      </c>
      <c r="AE16">
        <v>35.57</v>
      </c>
      <c r="AF16">
        <v>32.34</v>
      </c>
      <c r="AG16">
        <v>29.23</v>
      </c>
      <c r="AH16">
        <v>26.95</v>
      </c>
      <c r="AI16">
        <v>25.34</v>
      </c>
      <c r="AJ16">
        <v>23.92</v>
      </c>
      <c r="AK16">
        <v>22.64</v>
      </c>
      <c r="AL16">
        <v>21.47</v>
      </c>
      <c r="AM16">
        <v>20.63</v>
      </c>
      <c r="AN16">
        <v>19.86</v>
      </c>
      <c r="AO16">
        <v>19.18</v>
      </c>
      <c r="AP16">
        <v>18.57</v>
      </c>
      <c r="AQ16">
        <v>18.05</v>
      </c>
      <c r="AR16">
        <v>17.52</v>
      </c>
      <c r="AS16">
        <v>16.97</v>
      </c>
      <c r="AT16">
        <v>16.46</v>
      </c>
      <c r="AU16">
        <v>15.95</v>
      </c>
      <c r="AV16">
        <v>15.48</v>
      </c>
      <c r="AW16">
        <v>15.03</v>
      </c>
      <c r="AX16">
        <v>14.92</v>
      </c>
      <c r="AY16">
        <v>14.62</v>
      </c>
      <c r="AZ16">
        <v>14.72</v>
      </c>
      <c r="BA16">
        <v>14.4</v>
      </c>
      <c r="BB16">
        <v>14.49</v>
      </c>
      <c r="BC16">
        <v>14.63</v>
      </c>
      <c r="BD16">
        <v>14.7</v>
      </c>
      <c r="BE16">
        <v>14.8</v>
      </c>
      <c r="BF16">
        <v>14.91</v>
      </c>
      <c r="BG16">
        <v>15.1</v>
      </c>
      <c r="BH16">
        <v>15.31</v>
      </c>
      <c r="BI16">
        <v>15.66</v>
      </c>
      <c r="BJ16">
        <v>16.01</v>
      </c>
      <c r="BK16">
        <v>16.48</v>
      </c>
      <c r="BL16">
        <v>16.97</v>
      </c>
      <c r="BM16">
        <v>17.43</v>
      </c>
      <c r="BN16">
        <v>17.97</v>
      </c>
      <c r="BO16">
        <v>18.6</v>
      </c>
      <c r="BP16">
        <v>19.23</v>
      </c>
      <c r="BQ16">
        <v>19.83</v>
      </c>
      <c r="BR16">
        <v>20.45</v>
      </c>
      <c r="BS16">
        <v>21.01</v>
      </c>
      <c r="BT16">
        <v>21.56</v>
      </c>
      <c r="BU16">
        <v>22.17</v>
      </c>
      <c r="BV16">
        <v>23.15</v>
      </c>
      <c r="BW16">
        <v>24.39</v>
      </c>
      <c r="BX16">
        <v>25.68</v>
      </c>
      <c r="BY16">
        <v>26.99</v>
      </c>
      <c r="BZ16">
        <v>28.47</v>
      </c>
      <c r="CA16">
        <v>29.9</v>
      </c>
      <c r="CB16">
        <v>31.32</v>
      </c>
      <c r="CC16">
        <v>32.71</v>
      </c>
      <c r="CD16">
        <v>33.68</v>
      </c>
      <c r="CE16">
        <v>34.3</v>
      </c>
      <c r="CF16">
        <v>34.88</v>
      </c>
      <c r="CG16">
        <v>35.37</v>
      </c>
      <c r="CH16">
        <v>35.64</v>
      </c>
      <c r="CI16">
        <v>35.83</v>
      </c>
      <c r="CJ16">
        <v>36.02</v>
      </c>
      <c r="CK16">
        <v>36.29</v>
      </c>
      <c r="CL16">
        <v>36.62</v>
      </c>
      <c r="CM16">
        <v>36.9</v>
      </c>
      <c r="CN16">
        <v>37.16</v>
      </c>
      <c r="CO16">
        <v>37.44</v>
      </c>
      <c r="CP16">
        <v>37.33</v>
      </c>
      <c r="CQ16">
        <v>36.87</v>
      </c>
      <c r="CR16">
        <v>36.31</v>
      </c>
      <c r="CS16">
        <v>35.82</v>
      </c>
    </row>
    <row r="17" spans="1:97">
      <c r="A17" s="9">
        <v>46250</v>
      </c>
      <c r="B17">
        <v>46.1</v>
      </c>
      <c r="C17">
        <v>45.07</v>
      </c>
      <c r="D17">
        <v>44.12</v>
      </c>
      <c r="E17">
        <v>43.08</v>
      </c>
      <c r="F17">
        <v>42.07</v>
      </c>
      <c r="G17">
        <v>41.02</v>
      </c>
      <c r="H17">
        <v>39.91</v>
      </c>
      <c r="I17">
        <v>38.77</v>
      </c>
      <c r="J17">
        <v>37.72</v>
      </c>
      <c r="K17">
        <v>36.79</v>
      </c>
      <c r="L17">
        <v>35.85</v>
      </c>
      <c r="M17">
        <v>34.9</v>
      </c>
      <c r="N17">
        <v>34.03</v>
      </c>
      <c r="O17">
        <v>33.31</v>
      </c>
      <c r="P17">
        <v>32.6</v>
      </c>
      <c r="Q17">
        <v>32.05</v>
      </c>
      <c r="R17">
        <v>31.41</v>
      </c>
      <c r="S17">
        <v>30.76</v>
      </c>
      <c r="T17">
        <v>30.1</v>
      </c>
      <c r="U17">
        <v>29.43</v>
      </c>
      <c r="V17">
        <v>28.7</v>
      </c>
      <c r="W17">
        <v>27.93</v>
      </c>
      <c r="X17">
        <v>27</v>
      </c>
      <c r="Y17">
        <v>26.17</v>
      </c>
      <c r="Z17">
        <v>25.37</v>
      </c>
      <c r="AA17">
        <v>24.27</v>
      </c>
      <c r="AB17">
        <v>23.09</v>
      </c>
      <c r="AC17">
        <v>21.97</v>
      </c>
      <c r="AD17">
        <v>20.79</v>
      </c>
      <c r="AE17">
        <v>19.58</v>
      </c>
      <c r="AF17">
        <v>18.34</v>
      </c>
      <c r="AG17">
        <v>17.04</v>
      </c>
      <c r="AH17">
        <v>16.02</v>
      </c>
      <c r="AI17">
        <v>15.25</v>
      </c>
      <c r="AJ17">
        <v>14.56</v>
      </c>
      <c r="AK17">
        <v>13.89</v>
      </c>
      <c r="AL17">
        <v>13.35</v>
      </c>
      <c r="AM17">
        <v>13.04</v>
      </c>
      <c r="AN17">
        <v>12.8</v>
      </c>
      <c r="AO17">
        <v>12.55</v>
      </c>
      <c r="AP17">
        <v>12.49</v>
      </c>
      <c r="AQ17">
        <v>12.63</v>
      </c>
      <c r="AR17">
        <v>12.75</v>
      </c>
      <c r="AS17">
        <v>12.84</v>
      </c>
      <c r="AT17">
        <v>12.97</v>
      </c>
      <c r="AU17">
        <v>13.03</v>
      </c>
      <c r="AV17">
        <v>13.11</v>
      </c>
      <c r="AW17">
        <v>13.22</v>
      </c>
      <c r="AX17">
        <v>13.43</v>
      </c>
      <c r="AY17">
        <v>13.82</v>
      </c>
      <c r="AZ17">
        <v>14.25</v>
      </c>
      <c r="BA17">
        <v>14.75</v>
      </c>
      <c r="BB17">
        <v>15.24</v>
      </c>
      <c r="BC17">
        <v>15.87</v>
      </c>
      <c r="BD17">
        <v>16.49</v>
      </c>
      <c r="BE17">
        <v>17</v>
      </c>
      <c r="BF17">
        <v>17.43</v>
      </c>
      <c r="BG17">
        <v>17.67</v>
      </c>
      <c r="BH17">
        <v>18.01</v>
      </c>
      <c r="BI17">
        <v>18.42</v>
      </c>
      <c r="BJ17">
        <v>18.73</v>
      </c>
      <c r="BK17">
        <v>19.25</v>
      </c>
      <c r="BL17">
        <v>19.66</v>
      </c>
      <c r="BM17">
        <v>20.25</v>
      </c>
      <c r="BN17">
        <v>20.67</v>
      </c>
      <c r="BO17">
        <v>21.12</v>
      </c>
      <c r="BP17">
        <v>21.72</v>
      </c>
      <c r="BQ17">
        <v>22.31</v>
      </c>
      <c r="BR17">
        <v>22.85</v>
      </c>
      <c r="BS17">
        <v>23.15</v>
      </c>
      <c r="BT17">
        <v>23.5</v>
      </c>
      <c r="BU17">
        <v>23.86</v>
      </c>
      <c r="BV17">
        <v>24.52</v>
      </c>
      <c r="BW17">
        <v>25.37</v>
      </c>
      <c r="BX17">
        <v>26.35</v>
      </c>
      <c r="BY17">
        <v>27.41</v>
      </c>
      <c r="BZ17">
        <v>28.77</v>
      </c>
      <c r="CA17">
        <v>30.11</v>
      </c>
      <c r="CB17">
        <v>31.21</v>
      </c>
      <c r="CC17">
        <v>32.55</v>
      </c>
      <c r="CD17">
        <v>33.38</v>
      </c>
      <c r="CE17">
        <v>33.81</v>
      </c>
      <c r="CF17">
        <v>34.18</v>
      </c>
      <c r="CG17">
        <v>34.52</v>
      </c>
      <c r="CH17">
        <v>34.86</v>
      </c>
      <c r="CI17">
        <v>35.05</v>
      </c>
      <c r="CJ17">
        <v>35.36</v>
      </c>
      <c r="CK17">
        <v>35.7</v>
      </c>
      <c r="CL17">
        <v>36.11</v>
      </c>
      <c r="CM17">
        <v>36.61</v>
      </c>
      <c r="CN17">
        <v>37.13</v>
      </c>
      <c r="CO17">
        <v>37.61</v>
      </c>
      <c r="CP17">
        <v>37.99</v>
      </c>
      <c r="CQ17">
        <v>38.24</v>
      </c>
      <c r="CR17">
        <v>38.44</v>
      </c>
      <c r="CS17">
        <v>38.63</v>
      </c>
    </row>
    <row r="18" spans="1:97">
      <c r="A18" s="9">
        <v>46251</v>
      </c>
      <c r="B18">
        <v>42.02</v>
      </c>
      <c r="C18">
        <v>42.1</v>
      </c>
      <c r="D18">
        <v>42.25</v>
      </c>
      <c r="E18">
        <v>42.45</v>
      </c>
      <c r="F18">
        <v>42.72</v>
      </c>
      <c r="G18">
        <v>43.04</v>
      </c>
      <c r="H18">
        <v>43.31</v>
      </c>
      <c r="I18">
        <v>43.58</v>
      </c>
      <c r="J18">
        <v>43.57</v>
      </c>
      <c r="K18">
        <v>43.55</v>
      </c>
      <c r="L18">
        <v>43.55</v>
      </c>
      <c r="M18">
        <v>43.44</v>
      </c>
      <c r="N18">
        <v>43.41</v>
      </c>
      <c r="O18">
        <v>43.49</v>
      </c>
      <c r="P18">
        <v>43.74</v>
      </c>
      <c r="Q18">
        <v>44.03</v>
      </c>
      <c r="R18">
        <v>44.38</v>
      </c>
      <c r="S18">
        <v>45.03</v>
      </c>
      <c r="T18">
        <v>45.73</v>
      </c>
      <c r="U18">
        <v>46.49</v>
      </c>
      <c r="V18">
        <v>46.97</v>
      </c>
      <c r="W18">
        <v>46.75</v>
      </c>
      <c r="X18">
        <v>46.47</v>
      </c>
      <c r="Y18">
        <v>46.25</v>
      </c>
      <c r="Z18">
        <v>45.83</v>
      </c>
      <c r="AA18">
        <v>45.55</v>
      </c>
      <c r="AB18">
        <v>45.23</v>
      </c>
      <c r="AC18">
        <v>44.96</v>
      </c>
      <c r="AD18">
        <v>44.6</v>
      </c>
      <c r="AE18">
        <v>43.62</v>
      </c>
      <c r="AF18">
        <v>42.68</v>
      </c>
      <c r="AG18">
        <v>41.75</v>
      </c>
      <c r="AH18">
        <v>41.27</v>
      </c>
      <c r="AI18">
        <v>41.43</v>
      </c>
      <c r="AJ18">
        <v>41.62</v>
      </c>
      <c r="AK18">
        <v>41.73</v>
      </c>
      <c r="AL18">
        <v>42.18</v>
      </c>
      <c r="AM18">
        <v>42.91</v>
      </c>
      <c r="AN18">
        <v>43.72</v>
      </c>
      <c r="AO18">
        <v>44.56</v>
      </c>
      <c r="AP18">
        <v>45.58</v>
      </c>
      <c r="AQ18">
        <v>46.7</v>
      </c>
      <c r="AR18">
        <v>47.85</v>
      </c>
      <c r="AS18">
        <v>48.96</v>
      </c>
      <c r="AT18">
        <v>49.67</v>
      </c>
      <c r="AU18">
        <v>49.97</v>
      </c>
      <c r="AV18">
        <v>50.3</v>
      </c>
      <c r="AW18">
        <v>50.56</v>
      </c>
      <c r="AX18">
        <v>51.1</v>
      </c>
      <c r="AY18">
        <v>51.78</v>
      </c>
      <c r="AZ18">
        <v>52.52</v>
      </c>
      <c r="BA18">
        <v>53.23</v>
      </c>
      <c r="BB18">
        <v>53.71</v>
      </c>
      <c r="BC18">
        <v>54.26</v>
      </c>
      <c r="BD18">
        <v>54.66</v>
      </c>
      <c r="BE18">
        <v>54.99</v>
      </c>
      <c r="BF18">
        <v>54.86</v>
      </c>
      <c r="BG18">
        <v>54.34</v>
      </c>
      <c r="BH18">
        <v>53.81</v>
      </c>
      <c r="BI18">
        <v>53.23</v>
      </c>
      <c r="BJ18">
        <v>52.51</v>
      </c>
      <c r="BK18">
        <v>51.74</v>
      </c>
      <c r="BL18">
        <v>51.02</v>
      </c>
      <c r="BM18">
        <v>50.34</v>
      </c>
      <c r="BN18">
        <v>49.63</v>
      </c>
      <c r="BO18">
        <v>48.81</v>
      </c>
      <c r="BP18">
        <v>48.1</v>
      </c>
      <c r="BQ18">
        <v>47.51</v>
      </c>
      <c r="BR18">
        <v>46.75</v>
      </c>
      <c r="BS18">
        <v>45.81</v>
      </c>
      <c r="BT18">
        <v>45.18</v>
      </c>
      <c r="BU18">
        <v>44.84</v>
      </c>
      <c r="BV18">
        <v>44.56</v>
      </c>
      <c r="BW18">
        <v>44.62</v>
      </c>
      <c r="BX18">
        <v>44.62</v>
      </c>
      <c r="BY18">
        <v>44.58</v>
      </c>
      <c r="BZ18">
        <v>44.64</v>
      </c>
      <c r="CA18">
        <v>44.64</v>
      </c>
      <c r="CB18">
        <v>44.47</v>
      </c>
      <c r="CC18">
        <v>44.39</v>
      </c>
      <c r="CD18">
        <v>44.09</v>
      </c>
      <c r="CE18">
        <v>43.35</v>
      </c>
      <c r="CF18">
        <v>42.56</v>
      </c>
      <c r="CG18">
        <v>41.83</v>
      </c>
      <c r="CH18">
        <v>41.27</v>
      </c>
      <c r="CI18">
        <v>40.85</v>
      </c>
      <c r="CJ18">
        <v>40.3</v>
      </c>
      <c r="CK18">
        <v>39.8</v>
      </c>
      <c r="CL18">
        <v>39.41</v>
      </c>
      <c r="CM18">
        <v>39.06</v>
      </c>
      <c r="CN18">
        <v>39.03</v>
      </c>
      <c r="CO18">
        <v>39.12</v>
      </c>
      <c r="CP18">
        <v>39.06</v>
      </c>
      <c r="CQ18">
        <v>39.04</v>
      </c>
      <c r="CR18">
        <v>39</v>
      </c>
      <c r="CS18">
        <v>38.85</v>
      </c>
    </row>
    <row r="19" spans="1:97">
      <c r="A19" s="9">
        <v>46252</v>
      </c>
      <c r="B19">
        <v>43.47</v>
      </c>
      <c r="C19">
        <v>42.62</v>
      </c>
      <c r="D19">
        <v>41.82</v>
      </c>
      <c r="E19">
        <v>41.27</v>
      </c>
      <c r="F19">
        <v>40.93</v>
      </c>
      <c r="G19">
        <v>40.3</v>
      </c>
      <c r="H19">
        <v>39.57</v>
      </c>
      <c r="I19">
        <v>38.94</v>
      </c>
      <c r="J19">
        <v>38.27</v>
      </c>
      <c r="K19">
        <v>37.82</v>
      </c>
      <c r="L19">
        <v>37.35</v>
      </c>
      <c r="M19">
        <v>36.76</v>
      </c>
      <c r="N19">
        <v>36.32</v>
      </c>
      <c r="O19">
        <v>35.83</v>
      </c>
      <c r="P19">
        <v>35.41</v>
      </c>
      <c r="Q19">
        <v>35.01</v>
      </c>
      <c r="R19">
        <v>34.47</v>
      </c>
      <c r="S19">
        <v>33.91</v>
      </c>
      <c r="T19">
        <v>33.42</v>
      </c>
      <c r="U19">
        <v>32.89</v>
      </c>
      <c r="V19">
        <v>32.03</v>
      </c>
      <c r="W19">
        <v>31.04</v>
      </c>
      <c r="X19">
        <v>29.96</v>
      </c>
      <c r="Y19">
        <v>28.9</v>
      </c>
      <c r="Z19">
        <v>27.71</v>
      </c>
      <c r="AA19">
        <v>26.53</v>
      </c>
      <c r="AB19">
        <v>25.08</v>
      </c>
      <c r="AC19">
        <v>24.01</v>
      </c>
      <c r="AD19">
        <v>22.56</v>
      </c>
      <c r="AE19">
        <v>21.1</v>
      </c>
      <c r="AF19">
        <v>19.68</v>
      </c>
      <c r="AG19">
        <v>18.32</v>
      </c>
      <c r="AH19">
        <v>17.46</v>
      </c>
      <c r="AI19">
        <v>16.93</v>
      </c>
      <c r="AJ19">
        <v>16.5</v>
      </c>
      <c r="AK19">
        <v>15.96</v>
      </c>
      <c r="AL19">
        <v>15.69</v>
      </c>
      <c r="AM19">
        <v>15.5</v>
      </c>
      <c r="AN19">
        <v>15.39</v>
      </c>
      <c r="AO19">
        <v>15.3</v>
      </c>
      <c r="AP19">
        <v>15.31</v>
      </c>
      <c r="AQ19">
        <v>15.35</v>
      </c>
      <c r="AR19">
        <v>15.37</v>
      </c>
      <c r="AS19">
        <v>15.23</v>
      </c>
      <c r="AT19">
        <v>15.28</v>
      </c>
      <c r="AU19">
        <v>15.29</v>
      </c>
      <c r="AV19">
        <v>15.34</v>
      </c>
      <c r="AW19">
        <v>15.41</v>
      </c>
      <c r="AX19">
        <v>15.5</v>
      </c>
      <c r="AY19">
        <v>15.71</v>
      </c>
      <c r="AZ19">
        <v>15.93</v>
      </c>
      <c r="BA19">
        <v>16.18</v>
      </c>
      <c r="BB19">
        <v>16.47</v>
      </c>
      <c r="BC19">
        <v>16.9</v>
      </c>
      <c r="BD19">
        <v>17.34</v>
      </c>
      <c r="BE19">
        <v>17.78</v>
      </c>
      <c r="BF19">
        <v>18.25</v>
      </c>
      <c r="BG19">
        <v>18.78</v>
      </c>
      <c r="BH19">
        <v>19.36</v>
      </c>
      <c r="BI19">
        <v>19.96</v>
      </c>
      <c r="BJ19">
        <v>20.47</v>
      </c>
      <c r="BK19">
        <v>21.05</v>
      </c>
      <c r="BL19">
        <v>21.66</v>
      </c>
      <c r="BM19">
        <v>22.3</v>
      </c>
      <c r="BN19">
        <v>22.86</v>
      </c>
      <c r="BO19">
        <v>23.15</v>
      </c>
      <c r="BP19">
        <v>23.42</v>
      </c>
      <c r="BQ19">
        <v>23.72</v>
      </c>
      <c r="BR19">
        <v>24.07</v>
      </c>
      <c r="BS19">
        <v>24.5</v>
      </c>
      <c r="BT19">
        <v>25</v>
      </c>
      <c r="BU19">
        <v>25.51</v>
      </c>
      <c r="BV19">
        <v>25.87</v>
      </c>
      <c r="BW19">
        <v>26.04</v>
      </c>
      <c r="BX19">
        <v>26.24</v>
      </c>
      <c r="BY19">
        <v>26.49</v>
      </c>
      <c r="BZ19">
        <v>26.81</v>
      </c>
      <c r="CA19">
        <v>27.5</v>
      </c>
      <c r="CB19">
        <v>27.85</v>
      </c>
      <c r="CC19">
        <v>28.21</v>
      </c>
      <c r="CD19">
        <v>28.34</v>
      </c>
      <c r="CE19">
        <v>28.34</v>
      </c>
      <c r="CF19">
        <v>28.4</v>
      </c>
      <c r="CG19">
        <v>28.37</v>
      </c>
      <c r="CH19">
        <v>28.35</v>
      </c>
      <c r="CI19">
        <v>28.34</v>
      </c>
      <c r="CJ19">
        <v>28.22</v>
      </c>
      <c r="CK19">
        <v>28.17</v>
      </c>
      <c r="CL19">
        <v>28.14</v>
      </c>
      <c r="CM19">
        <v>28.12</v>
      </c>
      <c r="CN19">
        <v>28.03</v>
      </c>
      <c r="CO19">
        <v>27.92</v>
      </c>
      <c r="CP19">
        <v>27.7</v>
      </c>
      <c r="CQ19">
        <v>27.4</v>
      </c>
      <c r="CR19">
        <v>27.08</v>
      </c>
      <c r="CS19">
        <v>26.69</v>
      </c>
    </row>
    <row r="20" spans="1:97">
      <c r="A20" s="9">
        <v>46253</v>
      </c>
      <c r="B20">
        <v>21.17</v>
      </c>
      <c r="C20">
        <v>20.79</v>
      </c>
      <c r="D20">
        <v>20.37</v>
      </c>
      <c r="E20">
        <v>19.98</v>
      </c>
      <c r="F20">
        <v>19.77</v>
      </c>
      <c r="G20">
        <v>19.63</v>
      </c>
      <c r="H20">
        <v>19.51</v>
      </c>
      <c r="I20">
        <v>19.39</v>
      </c>
      <c r="J20">
        <v>19.16</v>
      </c>
      <c r="K20">
        <v>18.93</v>
      </c>
      <c r="L20">
        <v>18.72</v>
      </c>
      <c r="M20">
        <v>18.49</v>
      </c>
      <c r="N20">
        <v>18.28</v>
      </c>
      <c r="O20">
        <v>18.1</v>
      </c>
      <c r="P20">
        <v>17.96</v>
      </c>
      <c r="Q20">
        <v>17.87</v>
      </c>
      <c r="R20">
        <v>17.78</v>
      </c>
      <c r="S20">
        <v>17.67</v>
      </c>
      <c r="T20">
        <v>17.53</v>
      </c>
      <c r="U20">
        <v>17.4</v>
      </c>
      <c r="V20">
        <v>17.16</v>
      </c>
      <c r="W20">
        <v>16.77</v>
      </c>
      <c r="X20">
        <v>16.42</v>
      </c>
      <c r="Y20">
        <v>16.07</v>
      </c>
      <c r="Z20">
        <v>15.66</v>
      </c>
      <c r="AA20">
        <v>15.26</v>
      </c>
      <c r="AB20">
        <v>14.9</v>
      </c>
      <c r="AC20">
        <v>14.56</v>
      </c>
      <c r="AD20">
        <v>14.19</v>
      </c>
      <c r="AE20">
        <v>13.8</v>
      </c>
      <c r="AF20">
        <v>13.43</v>
      </c>
      <c r="AG20">
        <v>13.1</v>
      </c>
      <c r="AH20">
        <v>12.83</v>
      </c>
      <c r="AI20">
        <v>12.73</v>
      </c>
      <c r="AJ20">
        <v>12.65</v>
      </c>
      <c r="AK20">
        <v>12.59</v>
      </c>
      <c r="AL20">
        <v>12.63</v>
      </c>
      <c r="AM20">
        <v>12.68</v>
      </c>
      <c r="AN20">
        <v>12.74</v>
      </c>
      <c r="AO20">
        <v>12.81</v>
      </c>
      <c r="AP20">
        <v>12.91</v>
      </c>
      <c r="AQ20">
        <v>13.06</v>
      </c>
      <c r="AR20">
        <v>13.2</v>
      </c>
      <c r="AS20">
        <v>13.39</v>
      </c>
      <c r="AT20">
        <v>13.56</v>
      </c>
      <c r="AU20">
        <v>13.76</v>
      </c>
      <c r="AV20">
        <v>13.96</v>
      </c>
      <c r="AW20">
        <v>14.17</v>
      </c>
      <c r="AX20">
        <v>14.36</v>
      </c>
      <c r="AY20">
        <v>14.54</v>
      </c>
      <c r="AZ20">
        <v>14.69</v>
      </c>
      <c r="BA20">
        <v>14.88</v>
      </c>
      <c r="BB20">
        <v>15.13</v>
      </c>
      <c r="BC20">
        <v>15.41</v>
      </c>
      <c r="BD20">
        <v>15.74</v>
      </c>
      <c r="BE20">
        <v>16.12</v>
      </c>
      <c r="BF20">
        <v>16.49</v>
      </c>
      <c r="BG20">
        <v>16.98</v>
      </c>
      <c r="BH20">
        <v>17.52</v>
      </c>
      <c r="BI20">
        <v>18.08</v>
      </c>
      <c r="BJ20">
        <v>18.72</v>
      </c>
      <c r="BK20">
        <v>19.39</v>
      </c>
      <c r="BL20">
        <v>20.14</v>
      </c>
      <c r="BM20">
        <v>20.95</v>
      </c>
      <c r="BN20">
        <v>21.87</v>
      </c>
      <c r="BO20">
        <v>22.8</v>
      </c>
      <c r="BP20">
        <v>23.75</v>
      </c>
      <c r="BQ20">
        <v>24.74</v>
      </c>
      <c r="BR20">
        <v>26</v>
      </c>
      <c r="BS20">
        <v>27.51</v>
      </c>
      <c r="BT20">
        <v>29.08</v>
      </c>
      <c r="BU20">
        <v>30.67</v>
      </c>
      <c r="BV20">
        <v>32.44</v>
      </c>
      <c r="BW20">
        <v>34.39</v>
      </c>
      <c r="BX20">
        <v>36.46</v>
      </c>
      <c r="BY20">
        <v>38.72</v>
      </c>
      <c r="BZ20">
        <v>40.91</v>
      </c>
      <c r="CA20">
        <v>43.13</v>
      </c>
      <c r="CB20">
        <v>45.45</v>
      </c>
      <c r="CC20">
        <v>47.7</v>
      </c>
      <c r="CD20">
        <v>49.3</v>
      </c>
      <c r="CE20">
        <v>50.29</v>
      </c>
      <c r="CF20">
        <v>51.17</v>
      </c>
      <c r="CG20">
        <v>51.9</v>
      </c>
      <c r="CH20">
        <v>52.45</v>
      </c>
      <c r="CI20">
        <v>52.88</v>
      </c>
      <c r="CJ20">
        <v>53.25</v>
      </c>
      <c r="CK20">
        <v>53.61</v>
      </c>
      <c r="CL20">
        <v>53.73</v>
      </c>
      <c r="CM20">
        <v>53.52</v>
      </c>
      <c r="CN20">
        <v>53.25</v>
      </c>
      <c r="CO20">
        <v>52.96</v>
      </c>
      <c r="CP20">
        <v>52.44</v>
      </c>
      <c r="CQ20">
        <v>51.77</v>
      </c>
      <c r="CR20">
        <v>51.09</v>
      </c>
      <c r="CS20">
        <v>50.18</v>
      </c>
    </row>
    <row r="21" spans="1:97">
      <c r="A21" s="9">
        <v>46254</v>
      </c>
      <c r="B21">
        <v>63.81</v>
      </c>
      <c r="C21">
        <v>63.58</v>
      </c>
      <c r="D21">
        <v>63.3</v>
      </c>
      <c r="E21">
        <v>63.04</v>
      </c>
      <c r="F21">
        <v>62.64</v>
      </c>
      <c r="G21">
        <v>61.99</v>
      </c>
      <c r="H21">
        <v>61.4</v>
      </c>
      <c r="I21">
        <v>60.77</v>
      </c>
      <c r="J21">
        <v>60.1</v>
      </c>
      <c r="K21">
        <v>59.4</v>
      </c>
      <c r="L21">
        <v>58.68</v>
      </c>
      <c r="M21">
        <v>57.94</v>
      </c>
      <c r="N21">
        <v>57.28</v>
      </c>
      <c r="O21">
        <v>56.7</v>
      </c>
      <c r="P21">
        <v>56.18</v>
      </c>
      <c r="Q21">
        <v>55.68</v>
      </c>
      <c r="R21">
        <v>55.23</v>
      </c>
      <c r="S21">
        <v>54.77</v>
      </c>
      <c r="T21">
        <v>54.29</v>
      </c>
      <c r="U21">
        <v>53.81</v>
      </c>
      <c r="V21">
        <v>53.25</v>
      </c>
      <c r="W21">
        <v>52.65</v>
      </c>
      <c r="X21">
        <v>51.97</v>
      </c>
      <c r="Y21">
        <v>51.27</v>
      </c>
      <c r="Z21">
        <v>50.29</v>
      </c>
      <c r="AA21">
        <v>48.97</v>
      </c>
      <c r="AB21">
        <v>47.82</v>
      </c>
      <c r="AC21">
        <v>46.76</v>
      </c>
      <c r="AD21">
        <v>45.68</v>
      </c>
      <c r="AE21">
        <v>44.98</v>
      </c>
      <c r="AF21">
        <v>44.4</v>
      </c>
      <c r="AG21">
        <v>44.03</v>
      </c>
      <c r="AH21">
        <v>44.49</v>
      </c>
      <c r="AI21">
        <v>46.39</v>
      </c>
      <c r="AJ21">
        <v>48.45</v>
      </c>
      <c r="AK21">
        <v>50.66</v>
      </c>
      <c r="AL21">
        <v>53.34</v>
      </c>
      <c r="AM21">
        <v>56.47</v>
      </c>
      <c r="AN21">
        <v>59.73</v>
      </c>
      <c r="AO21">
        <v>63.02</v>
      </c>
      <c r="AP21">
        <v>66.48</v>
      </c>
      <c r="AQ21">
        <v>69.93</v>
      </c>
      <c r="AR21">
        <v>73.36</v>
      </c>
      <c r="AS21">
        <v>76.76</v>
      </c>
      <c r="AT21">
        <v>80.08</v>
      </c>
      <c r="AU21">
        <v>83.3</v>
      </c>
      <c r="AV21">
        <v>86.45</v>
      </c>
      <c r="AW21">
        <v>89.56</v>
      </c>
      <c r="AX21">
        <v>92.59</v>
      </c>
      <c r="AY21">
        <v>95.53</v>
      </c>
      <c r="AZ21">
        <v>98.54</v>
      </c>
      <c r="BA21">
        <v>101.5</v>
      </c>
      <c r="BB21">
        <v>104.47</v>
      </c>
      <c r="BC21">
        <v>107.53</v>
      </c>
      <c r="BD21">
        <v>110.65</v>
      </c>
      <c r="BE21">
        <v>113.75</v>
      </c>
      <c r="BF21">
        <v>116.37</v>
      </c>
      <c r="BG21">
        <v>118.86</v>
      </c>
      <c r="BH21">
        <v>121.37</v>
      </c>
      <c r="BI21">
        <v>123.93</v>
      </c>
      <c r="BJ21">
        <v>126.47</v>
      </c>
      <c r="BK21">
        <v>129.07</v>
      </c>
      <c r="BL21">
        <v>131.7</v>
      </c>
      <c r="BM21">
        <v>134.31</v>
      </c>
      <c r="BN21">
        <v>136.41</v>
      </c>
      <c r="BO21">
        <v>138.11</v>
      </c>
      <c r="BP21">
        <v>139.79</v>
      </c>
      <c r="BQ21">
        <v>141.48</v>
      </c>
      <c r="BR21">
        <v>143.28</v>
      </c>
      <c r="BS21">
        <v>145.28</v>
      </c>
      <c r="BT21">
        <v>147.37</v>
      </c>
      <c r="BU21">
        <v>149.46</v>
      </c>
      <c r="BV21">
        <v>152.03</v>
      </c>
      <c r="BW21">
        <v>155.16</v>
      </c>
      <c r="BX21">
        <v>158.5</v>
      </c>
      <c r="BY21">
        <v>161.83</v>
      </c>
      <c r="BZ21">
        <v>165.08</v>
      </c>
      <c r="CA21">
        <v>168.4</v>
      </c>
      <c r="CB21">
        <v>171.69</v>
      </c>
      <c r="CC21">
        <v>174.85</v>
      </c>
      <c r="CD21">
        <v>177.78</v>
      </c>
      <c r="CE21">
        <v>180.1</v>
      </c>
      <c r="CF21">
        <v>182.38</v>
      </c>
      <c r="CG21">
        <v>184.41</v>
      </c>
      <c r="CH21">
        <v>186.19</v>
      </c>
      <c r="CI21">
        <v>187.58</v>
      </c>
      <c r="CJ21">
        <v>188.93</v>
      </c>
      <c r="CK21">
        <v>190.27</v>
      </c>
      <c r="CL21">
        <v>191.28</v>
      </c>
      <c r="CM21">
        <v>192.07</v>
      </c>
      <c r="CN21">
        <v>192.81</v>
      </c>
      <c r="CO21">
        <v>193.49</v>
      </c>
      <c r="CP21">
        <v>196.11</v>
      </c>
      <c r="CQ21">
        <v>196.17</v>
      </c>
      <c r="CR21">
        <v>196.17</v>
      </c>
      <c r="CS21">
        <v>196.07</v>
      </c>
    </row>
    <row r="22" spans="1:97">
      <c r="A22" s="9">
        <v>46255</v>
      </c>
      <c r="B22">
        <v>199.57</v>
      </c>
      <c r="C22">
        <v>197.38</v>
      </c>
      <c r="D22">
        <v>196.09</v>
      </c>
      <c r="E22">
        <v>194.8</v>
      </c>
      <c r="F22">
        <v>193.1</v>
      </c>
      <c r="G22">
        <v>190.98</v>
      </c>
      <c r="H22">
        <v>188.8</v>
      </c>
      <c r="I22">
        <v>186.55</v>
      </c>
      <c r="J22">
        <v>184.17</v>
      </c>
      <c r="K22">
        <v>181.75</v>
      </c>
      <c r="L22">
        <v>179.38</v>
      </c>
      <c r="M22">
        <v>177.02</v>
      </c>
      <c r="N22">
        <v>174.48</v>
      </c>
      <c r="O22">
        <v>171.86</v>
      </c>
      <c r="P22">
        <v>169.22</v>
      </c>
      <c r="Q22">
        <v>166.51</v>
      </c>
      <c r="R22">
        <v>164.08</v>
      </c>
      <c r="S22">
        <v>161.82</v>
      </c>
      <c r="T22">
        <v>159.46</v>
      </c>
      <c r="U22">
        <v>157</v>
      </c>
      <c r="V22">
        <v>154.44</v>
      </c>
      <c r="W22">
        <v>151.85</v>
      </c>
      <c r="X22">
        <v>149.21</v>
      </c>
      <c r="Y22">
        <v>146.61</v>
      </c>
      <c r="Z22">
        <v>143.98</v>
      </c>
      <c r="AA22">
        <v>141.08</v>
      </c>
      <c r="AB22">
        <v>138.28</v>
      </c>
      <c r="AC22">
        <v>135.67</v>
      </c>
      <c r="AD22">
        <v>133.62</v>
      </c>
      <c r="AE22">
        <v>132.19</v>
      </c>
      <c r="AF22">
        <v>130.77</v>
      </c>
      <c r="AG22">
        <v>129.33</v>
      </c>
      <c r="AH22">
        <v>128.18</v>
      </c>
      <c r="AI22">
        <v>127.05</v>
      </c>
      <c r="AJ22">
        <v>125.9</v>
      </c>
      <c r="AK22">
        <v>124.66</v>
      </c>
      <c r="AL22">
        <v>123.16</v>
      </c>
      <c r="AM22">
        <v>121.27</v>
      </c>
      <c r="AN22">
        <v>119.46</v>
      </c>
      <c r="AO22">
        <v>117.62</v>
      </c>
      <c r="AP22">
        <v>115.82</v>
      </c>
      <c r="AQ22">
        <v>114.14</v>
      </c>
      <c r="AR22">
        <v>112.39</v>
      </c>
      <c r="AS22">
        <v>110.62</v>
      </c>
      <c r="AT22">
        <v>108.91</v>
      </c>
      <c r="AU22">
        <v>107.47</v>
      </c>
      <c r="AV22">
        <v>106</v>
      </c>
      <c r="AW22">
        <v>104.57</v>
      </c>
      <c r="AX22">
        <v>103.06</v>
      </c>
      <c r="AY22">
        <v>101.42</v>
      </c>
      <c r="AZ22">
        <v>99.98</v>
      </c>
      <c r="BA22">
        <v>98.53</v>
      </c>
      <c r="BB22">
        <v>97.3</v>
      </c>
      <c r="BC22">
        <v>96.27</v>
      </c>
      <c r="BD22">
        <v>95.33</v>
      </c>
      <c r="BE22">
        <v>94.24</v>
      </c>
      <c r="BF22">
        <v>93.48</v>
      </c>
      <c r="BG22">
        <v>92.68</v>
      </c>
      <c r="BH22">
        <v>92.08</v>
      </c>
      <c r="BI22">
        <v>91.63</v>
      </c>
      <c r="BJ22">
        <v>91.36</v>
      </c>
      <c r="BK22">
        <v>91.26</v>
      </c>
      <c r="BL22">
        <v>91.42</v>
      </c>
      <c r="BM22">
        <v>91.61</v>
      </c>
      <c r="BN22">
        <v>92.02</v>
      </c>
      <c r="BO22">
        <v>92.92</v>
      </c>
      <c r="BP22">
        <v>93.92</v>
      </c>
      <c r="BQ22">
        <v>95</v>
      </c>
      <c r="BR22">
        <v>96.56</v>
      </c>
      <c r="BS22">
        <v>98.4</v>
      </c>
      <c r="BT22">
        <v>100.5</v>
      </c>
      <c r="BU22">
        <v>102.54</v>
      </c>
      <c r="BV22">
        <v>105.06</v>
      </c>
      <c r="BW22">
        <v>108</v>
      </c>
      <c r="BX22">
        <v>111.06</v>
      </c>
      <c r="BY22">
        <v>114.05</v>
      </c>
      <c r="BZ22">
        <v>116.96</v>
      </c>
      <c r="CA22">
        <v>119.94</v>
      </c>
      <c r="CB22">
        <v>122.73</v>
      </c>
      <c r="CC22">
        <v>125.41</v>
      </c>
      <c r="CD22">
        <v>127.58</v>
      </c>
      <c r="CE22">
        <v>129.25</v>
      </c>
      <c r="CF22">
        <v>130.83</v>
      </c>
      <c r="CG22">
        <v>132.11</v>
      </c>
      <c r="CH22">
        <v>132.5</v>
      </c>
      <c r="CI22">
        <v>131.36</v>
      </c>
      <c r="CJ22">
        <v>130.35</v>
      </c>
      <c r="CK22">
        <v>129.37</v>
      </c>
      <c r="CL22">
        <v>128.3</v>
      </c>
      <c r="CM22">
        <v>126.88</v>
      </c>
      <c r="CN22">
        <v>125.64</v>
      </c>
      <c r="CO22">
        <v>124.48</v>
      </c>
      <c r="CP22">
        <v>123.03</v>
      </c>
      <c r="CQ22">
        <v>120.6</v>
      </c>
      <c r="CR22">
        <v>118.08</v>
      </c>
      <c r="CS22">
        <v>115.7</v>
      </c>
    </row>
    <row r="23" spans="1:97">
      <c r="A23" s="9">
        <v>46256</v>
      </c>
      <c r="B23">
        <v>100.98</v>
      </c>
      <c r="C23">
        <v>98.05</v>
      </c>
      <c r="D23">
        <v>95.27</v>
      </c>
      <c r="E23">
        <v>92.53</v>
      </c>
      <c r="F23">
        <v>90.01</v>
      </c>
      <c r="G23">
        <v>87.79</v>
      </c>
      <c r="H23">
        <v>85.58</v>
      </c>
      <c r="I23">
        <v>83.41</v>
      </c>
      <c r="J23">
        <v>81.27</v>
      </c>
      <c r="K23">
        <v>79.1</v>
      </c>
      <c r="L23">
        <v>77.02</v>
      </c>
      <c r="M23">
        <v>74.93</v>
      </c>
      <c r="N23">
        <v>73.12</v>
      </c>
      <c r="O23">
        <v>71.58</v>
      </c>
      <c r="P23">
        <v>70.08</v>
      </c>
      <c r="Q23">
        <v>68.63</v>
      </c>
      <c r="R23">
        <v>67.35</v>
      </c>
      <c r="S23">
        <v>66.26</v>
      </c>
      <c r="T23">
        <v>65.17</v>
      </c>
      <c r="U23">
        <v>64.04</v>
      </c>
      <c r="V23">
        <v>62.91</v>
      </c>
      <c r="W23">
        <v>61.57</v>
      </c>
      <c r="X23">
        <v>60.19</v>
      </c>
      <c r="Y23">
        <v>58.83</v>
      </c>
      <c r="Z23">
        <v>57.36</v>
      </c>
      <c r="AA23">
        <v>55.93</v>
      </c>
      <c r="AB23">
        <v>54.51</v>
      </c>
      <c r="AC23">
        <v>53.18</v>
      </c>
      <c r="AD23">
        <v>52.31</v>
      </c>
      <c r="AE23">
        <v>51.89</v>
      </c>
      <c r="AF23">
        <v>51.64</v>
      </c>
      <c r="AG23">
        <v>51.51</v>
      </c>
      <c r="AH23">
        <v>52.18</v>
      </c>
      <c r="AI23">
        <v>53.34</v>
      </c>
      <c r="AJ23">
        <v>54.64</v>
      </c>
      <c r="AK23">
        <v>56.01</v>
      </c>
      <c r="AL23">
        <v>57.8</v>
      </c>
      <c r="AM23">
        <v>59.9</v>
      </c>
      <c r="AN23">
        <v>62.06</v>
      </c>
      <c r="AO23">
        <v>64.33</v>
      </c>
      <c r="AP23">
        <v>66.82</v>
      </c>
      <c r="AQ23">
        <v>69.6</v>
      </c>
      <c r="AR23">
        <v>72.4</v>
      </c>
      <c r="AS23">
        <v>75.22</v>
      </c>
      <c r="AT23">
        <v>77.86</v>
      </c>
      <c r="AU23">
        <v>80.55</v>
      </c>
      <c r="AV23">
        <v>83.28</v>
      </c>
      <c r="AW23">
        <v>85.87</v>
      </c>
      <c r="AX23">
        <v>88.67</v>
      </c>
      <c r="AY23">
        <v>91.39</v>
      </c>
      <c r="AZ23">
        <v>94.18</v>
      </c>
      <c r="BA23">
        <v>97.01</v>
      </c>
      <c r="BB23">
        <v>99.85</v>
      </c>
      <c r="BC23">
        <v>102.74</v>
      </c>
      <c r="BD23">
        <v>105.52</v>
      </c>
      <c r="BE23">
        <v>108.33</v>
      </c>
      <c r="BF23">
        <v>110.63</v>
      </c>
      <c r="BG23">
        <v>112.37</v>
      </c>
      <c r="BH23">
        <v>114.09</v>
      </c>
      <c r="BI23">
        <v>115.86</v>
      </c>
      <c r="BJ23">
        <v>117.61</v>
      </c>
      <c r="BK23">
        <v>119.57</v>
      </c>
      <c r="BL23">
        <v>121.6</v>
      </c>
      <c r="BM23">
        <v>123.62</v>
      </c>
      <c r="BN23">
        <v>125.83</v>
      </c>
      <c r="BO23">
        <v>128.18</v>
      </c>
      <c r="BP23">
        <v>130.61</v>
      </c>
      <c r="BQ23">
        <v>133.08</v>
      </c>
      <c r="BR23">
        <v>135.52</v>
      </c>
      <c r="BS23">
        <v>137.87</v>
      </c>
      <c r="BT23">
        <v>140.29</v>
      </c>
      <c r="BU23">
        <v>142.67</v>
      </c>
      <c r="BV23">
        <v>145.32</v>
      </c>
      <c r="BW23">
        <v>148.55</v>
      </c>
      <c r="BX23">
        <v>151.64</v>
      </c>
      <c r="BY23">
        <v>156.95</v>
      </c>
      <c r="BZ23">
        <v>160.46</v>
      </c>
      <c r="CA23">
        <v>164.66</v>
      </c>
      <c r="CB23">
        <v>168.79</v>
      </c>
      <c r="CC23">
        <v>172.79</v>
      </c>
      <c r="CD23">
        <v>176.93</v>
      </c>
      <c r="CE23">
        <v>180.35</v>
      </c>
      <c r="CF23">
        <v>183.97</v>
      </c>
      <c r="CG23">
        <v>187.22</v>
      </c>
      <c r="CH23">
        <v>190.46</v>
      </c>
      <c r="CI23">
        <v>193.43</v>
      </c>
      <c r="CJ23">
        <v>196.37</v>
      </c>
      <c r="CK23">
        <v>199.26</v>
      </c>
      <c r="CL23">
        <v>202.13</v>
      </c>
      <c r="CM23">
        <v>204.71</v>
      </c>
      <c r="CN23">
        <v>207.13</v>
      </c>
      <c r="CO23">
        <v>209.51</v>
      </c>
      <c r="CP23">
        <v>211.23</v>
      </c>
      <c r="CQ23">
        <v>212.32</v>
      </c>
      <c r="CR23">
        <v>213.33</v>
      </c>
      <c r="CS23">
        <v>215.64</v>
      </c>
    </row>
    <row r="24" spans="1:97">
      <c r="A24" s="9">
        <v>46257</v>
      </c>
      <c r="B24">
        <v>245</v>
      </c>
      <c r="C24">
        <v>246.11</v>
      </c>
      <c r="D24">
        <v>247.08</v>
      </c>
      <c r="E24">
        <v>248.09</v>
      </c>
      <c r="F24">
        <v>248.46</v>
      </c>
      <c r="G24">
        <v>248.29</v>
      </c>
      <c r="H24">
        <v>247.9</v>
      </c>
      <c r="I24">
        <v>247.51</v>
      </c>
      <c r="J24">
        <v>246.4</v>
      </c>
      <c r="K24">
        <v>244.84</v>
      </c>
      <c r="L24">
        <v>243.21</v>
      </c>
      <c r="M24">
        <v>241.46</v>
      </c>
      <c r="N24">
        <v>239.15</v>
      </c>
      <c r="O24">
        <v>236.08</v>
      </c>
      <c r="P24">
        <v>233.09</v>
      </c>
      <c r="Q24">
        <v>230.02</v>
      </c>
      <c r="R24">
        <v>226.88</v>
      </c>
      <c r="S24">
        <v>223.79</v>
      </c>
      <c r="T24">
        <v>220.6</v>
      </c>
      <c r="U24">
        <v>217.41</v>
      </c>
      <c r="V24">
        <v>214.33</v>
      </c>
      <c r="W24">
        <v>211.14</v>
      </c>
      <c r="X24">
        <v>207.96</v>
      </c>
      <c r="Y24">
        <v>205.05</v>
      </c>
      <c r="Z24">
        <v>202.78</v>
      </c>
      <c r="AA24">
        <v>199.9</v>
      </c>
      <c r="AB24">
        <v>197.17</v>
      </c>
      <c r="AC24">
        <v>194.55</v>
      </c>
      <c r="AD24">
        <v>193.13</v>
      </c>
      <c r="AE24">
        <v>192.15</v>
      </c>
      <c r="AF24">
        <v>191.75</v>
      </c>
      <c r="AG24">
        <v>191.37</v>
      </c>
      <c r="AH24">
        <v>190.25</v>
      </c>
      <c r="AI24">
        <v>190.06</v>
      </c>
      <c r="AJ24">
        <v>189.75</v>
      </c>
      <c r="AK24">
        <v>189.38</v>
      </c>
      <c r="AL24">
        <v>188.96</v>
      </c>
      <c r="AM24">
        <v>188.29</v>
      </c>
      <c r="AN24">
        <v>187.64</v>
      </c>
      <c r="AO24">
        <v>186.95</v>
      </c>
      <c r="AP24">
        <v>186.67</v>
      </c>
      <c r="AQ24">
        <v>186.61</v>
      </c>
      <c r="AR24">
        <v>186.49</v>
      </c>
      <c r="AS24">
        <v>186.44</v>
      </c>
      <c r="AT24">
        <v>186.61</v>
      </c>
      <c r="AU24">
        <v>186.82</v>
      </c>
      <c r="AV24">
        <v>186.99</v>
      </c>
      <c r="AW24">
        <v>186.94</v>
      </c>
      <c r="AX24">
        <v>186.63</v>
      </c>
      <c r="AY24">
        <v>185.68</v>
      </c>
      <c r="AZ24">
        <v>184.64</v>
      </c>
      <c r="BA24">
        <v>183.51</v>
      </c>
      <c r="BB24">
        <v>182.32</v>
      </c>
      <c r="BC24">
        <v>181.47</v>
      </c>
      <c r="BD24">
        <v>179.57</v>
      </c>
      <c r="BE24">
        <v>178.32</v>
      </c>
      <c r="BF24">
        <v>176.52</v>
      </c>
      <c r="BG24">
        <v>173.47</v>
      </c>
      <c r="BH24">
        <v>170.53</v>
      </c>
      <c r="BI24">
        <v>167.44</v>
      </c>
      <c r="BJ24">
        <v>163.91</v>
      </c>
      <c r="BK24">
        <v>160.43</v>
      </c>
      <c r="BL24">
        <v>157.13</v>
      </c>
      <c r="BM24">
        <v>154.24</v>
      </c>
      <c r="BN24">
        <v>151.23</v>
      </c>
      <c r="BO24">
        <v>148.21</v>
      </c>
      <c r="BP24">
        <v>144.61</v>
      </c>
      <c r="BQ24">
        <v>141.22</v>
      </c>
      <c r="BR24">
        <v>138.22</v>
      </c>
      <c r="BS24">
        <v>136.49</v>
      </c>
      <c r="BT24">
        <v>135.36</v>
      </c>
      <c r="BU24">
        <v>133.69</v>
      </c>
      <c r="BV24">
        <v>132.89</v>
      </c>
      <c r="BW24">
        <v>132.78</v>
      </c>
      <c r="BX24">
        <v>132.57</v>
      </c>
      <c r="BY24">
        <v>132.43</v>
      </c>
      <c r="BZ24">
        <v>132.63</v>
      </c>
      <c r="CA24">
        <v>133.18</v>
      </c>
      <c r="CB24">
        <v>133.65</v>
      </c>
      <c r="CC24">
        <v>134.14</v>
      </c>
      <c r="CD24">
        <v>134.73</v>
      </c>
      <c r="CE24">
        <v>135.28</v>
      </c>
      <c r="CF24">
        <v>135.67</v>
      </c>
      <c r="CG24">
        <v>136.17</v>
      </c>
      <c r="CH24">
        <v>136.84</v>
      </c>
      <c r="CI24">
        <v>136.67</v>
      </c>
      <c r="CJ24">
        <v>137.55</v>
      </c>
      <c r="CK24">
        <v>138.41</v>
      </c>
      <c r="CL24">
        <v>138.8</v>
      </c>
      <c r="CM24">
        <v>138.39</v>
      </c>
      <c r="CN24">
        <v>138.19</v>
      </c>
      <c r="CO24">
        <v>137.62</v>
      </c>
      <c r="CP24">
        <v>136.64</v>
      </c>
      <c r="CQ24">
        <v>135.11</v>
      </c>
      <c r="CR24">
        <v>133.55</v>
      </c>
      <c r="CS24">
        <v>132.12</v>
      </c>
    </row>
    <row r="25" spans="1:97">
      <c r="A25" s="9">
        <v>46258</v>
      </c>
      <c r="B25">
        <v>115.29</v>
      </c>
      <c r="C25">
        <v>113.33</v>
      </c>
      <c r="D25">
        <v>111.52</v>
      </c>
      <c r="E25">
        <v>109.69</v>
      </c>
      <c r="F25">
        <v>107.75</v>
      </c>
      <c r="G25">
        <v>105.53</v>
      </c>
      <c r="H25">
        <v>103.37</v>
      </c>
      <c r="I25">
        <v>101.22</v>
      </c>
      <c r="J25">
        <v>98.57</v>
      </c>
      <c r="K25">
        <v>96.05</v>
      </c>
      <c r="L25">
        <v>93.55</v>
      </c>
      <c r="M25">
        <v>91.01</v>
      </c>
      <c r="N25">
        <v>88.58</v>
      </c>
      <c r="O25">
        <v>86.19</v>
      </c>
      <c r="P25">
        <v>83.86</v>
      </c>
      <c r="Q25">
        <v>81.61</v>
      </c>
      <c r="R25">
        <v>79.38</v>
      </c>
      <c r="S25">
        <v>77.08</v>
      </c>
      <c r="T25">
        <v>74.75</v>
      </c>
      <c r="U25">
        <v>72.4</v>
      </c>
      <c r="V25">
        <v>70.09</v>
      </c>
      <c r="W25">
        <v>67.77</v>
      </c>
      <c r="X25">
        <v>65.52</v>
      </c>
      <c r="Y25">
        <v>63.18</v>
      </c>
      <c r="Z25">
        <v>60.93</v>
      </c>
      <c r="AA25">
        <v>58.74</v>
      </c>
      <c r="AB25">
        <v>56.87</v>
      </c>
      <c r="AC25">
        <v>54.84</v>
      </c>
      <c r="AD25">
        <v>52.99</v>
      </c>
      <c r="AE25">
        <v>51.23</v>
      </c>
      <c r="AF25">
        <v>49.53</v>
      </c>
      <c r="AG25">
        <v>47.82</v>
      </c>
      <c r="AH25">
        <v>46.66</v>
      </c>
      <c r="AI25">
        <v>45.73</v>
      </c>
      <c r="AJ25">
        <v>44.72</v>
      </c>
      <c r="AK25">
        <v>43.65</v>
      </c>
      <c r="AL25">
        <v>42.81</v>
      </c>
      <c r="AM25">
        <v>42.02</v>
      </c>
      <c r="AN25">
        <v>41.23</v>
      </c>
      <c r="AO25">
        <v>40.43</v>
      </c>
      <c r="AP25">
        <v>39.81</v>
      </c>
      <c r="AQ25">
        <v>39.34</v>
      </c>
      <c r="AR25">
        <v>38.97</v>
      </c>
      <c r="AS25">
        <v>38.74</v>
      </c>
      <c r="AT25">
        <v>38.58</v>
      </c>
      <c r="AU25">
        <v>38.45</v>
      </c>
      <c r="AV25">
        <v>38.38</v>
      </c>
      <c r="AW25">
        <v>38.36</v>
      </c>
      <c r="AX25">
        <v>38.57</v>
      </c>
      <c r="AY25">
        <v>38.78</v>
      </c>
      <c r="AZ25">
        <v>39.06</v>
      </c>
      <c r="BA25">
        <v>39.35</v>
      </c>
      <c r="BB25">
        <v>39.75</v>
      </c>
      <c r="BC25">
        <v>40.31</v>
      </c>
      <c r="BD25">
        <v>40.91</v>
      </c>
      <c r="BE25">
        <v>41.5</v>
      </c>
      <c r="BF25">
        <v>42.24</v>
      </c>
      <c r="BG25">
        <v>43.26</v>
      </c>
      <c r="BH25">
        <v>44.43</v>
      </c>
      <c r="BI25">
        <v>45.73</v>
      </c>
      <c r="BJ25">
        <v>47.19</v>
      </c>
      <c r="BK25">
        <v>49.37</v>
      </c>
      <c r="BL25">
        <v>51.59</v>
      </c>
      <c r="BM25">
        <v>54.06</v>
      </c>
      <c r="BN25">
        <v>56.95</v>
      </c>
      <c r="BO25">
        <v>60.22</v>
      </c>
      <c r="BP25">
        <v>63.66</v>
      </c>
      <c r="BQ25">
        <v>67.24</v>
      </c>
      <c r="BR25">
        <v>71.17</v>
      </c>
      <c r="BS25">
        <v>75.59</v>
      </c>
      <c r="BT25">
        <v>80.18</v>
      </c>
      <c r="BU25">
        <v>84.9</v>
      </c>
      <c r="BV25">
        <v>90.12</v>
      </c>
      <c r="BW25">
        <v>95.89</v>
      </c>
      <c r="BX25">
        <v>101.48</v>
      </c>
      <c r="BY25">
        <v>107.24</v>
      </c>
      <c r="BZ25">
        <v>113</v>
      </c>
      <c r="CA25">
        <v>118.56</v>
      </c>
      <c r="CB25">
        <v>124.07</v>
      </c>
      <c r="CC25">
        <v>129.44</v>
      </c>
      <c r="CD25">
        <v>133.42</v>
      </c>
      <c r="CE25">
        <v>136.51</v>
      </c>
      <c r="CF25">
        <v>139.31</v>
      </c>
      <c r="CG25">
        <v>141.98</v>
      </c>
      <c r="CH25">
        <v>143.57</v>
      </c>
      <c r="CI25">
        <v>144.2</v>
      </c>
      <c r="CJ25">
        <v>144.75</v>
      </c>
      <c r="CK25">
        <v>145.51</v>
      </c>
      <c r="CL25">
        <v>145.3</v>
      </c>
      <c r="CM25">
        <v>144.82</v>
      </c>
      <c r="CN25">
        <v>143.81</v>
      </c>
      <c r="CO25">
        <v>143.18</v>
      </c>
      <c r="CP25">
        <v>141.8</v>
      </c>
      <c r="CQ25">
        <v>139.83</v>
      </c>
      <c r="CR25">
        <v>137.88</v>
      </c>
      <c r="CS25">
        <v>135.99</v>
      </c>
    </row>
    <row r="26" spans="1:97">
      <c r="A26" s="9">
        <v>46259</v>
      </c>
      <c r="B26">
        <v>110.65</v>
      </c>
      <c r="C26">
        <v>108.57</v>
      </c>
      <c r="D26">
        <v>106.6</v>
      </c>
      <c r="E26">
        <v>104.68</v>
      </c>
      <c r="F26">
        <v>102.59</v>
      </c>
      <c r="G26">
        <v>100.43</v>
      </c>
      <c r="H26">
        <v>98.23</v>
      </c>
      <c r="I26">
        <v>96</v>
      </c>
      <c r="J26">
        <v>93.77</v>
      </c>
      <c r="K26">
        <v>91.66</v>
      </c>
      <c r="L26">
        <v>89.55</v>
      </c>
      <c r="M26">
        <v>87.4</v>
      </c>
      <c r="N26">
        <v>85.06</v>
      </c>
      <c r="O26">
        <v>83.2</v>
      </c>
      <c r="P26">
        <v>81.37</v>
      </c>
      <c r="Q26">
        <v>79.57</v>
      </c>
      <c r="R26">
        <v>77.77</v>
      </c>
      <c r="S26">
        <v>76.11</v>
      </c>
      <c r="T26">
        <v>74.45</v>
      </c>
      <c r="U26">
        <v>73</v>
      </c>
      <c r="V26">
        <v>71.6</v>
      </c>
      <c r="W26">
        <v>70.54</v>
      </c>
      <c r="X26">
        <v>69.51</v>
      </c>
      <c r="Y26">
        <v>67.64</v>
      </c>
      <c r="Z26">
        <v>66.39</v>
      </c>
      <c r="AA26">
        <v>65.07</v>
      </c>
      <c r="AB26">
        <v>63.99</v>
      </c>
      <c r="AC26">
        <v>62.9</v>
      </c>
      <c r="AD26">
        <v>62.07</v>
      </c>
      <c r="AE26">
        <v>60.87</v>
      </c>
      <c r="AF26">
        <v>60.19</v>
      </c>
      <c r="AG26">
        <v>59.4</v>
      </c>
      <c r="AH26">
        <v>59.26</v>
      </c>
      <c r="AI26">
        <v>59.67</v>
      </c>
      <c r="AJ26">
        <v>60.29</v>
      </c>
      <c r="AK26">
        <v>61.02</v>
      </c>
      <c r="AL26">
        <v>62.12</v>
      </c>
      <c r="AM26">
        <v>63.38</v>
      </c>
      <c r="AN26">
        <v>64.79</v>
      </c>
      <c r="AO26">
        <v>66.31</v>
      </c>
      <c r="AP26">
        <v>67.83</v>
      </c>
      <c r="AQ26">
        <v>69.49</v>
      </c>
      <c r="AR26">
        <v>70.83</v>
      </c>
      <c r="AS26">
        <v>72.07</v>
      </c>
      <c r="AT26">
        <v>73.17</v>
      </c>
      <c r="AU26">
        <v>74.38</v>
      </c>
      <c r="AV26">
        <v>75.3</v>
      </c>
      <c r="AW26">
        <v>76.38</v>
      </c>
      <c r="AX26">
        <v>77.1</v>
      </c>
      <c r="AY26">
        <v>77.88</v>
      </c>
      <c r="AZ26">
        <v>78.61</v>
      </c>
      <c r="BA26">
        <v>79.2</v>
      </c>
      <c r="BB26">
        <v>79.6</v>
      </c>
      <c r="BC26">
        <v>79.44</v>
      </c>
      <c r="BD26">
        <v>78.51</v>
      </c>
      <c r="BE26">
        <v>77.73</v>
      </c>
      <c r="BF26">
        <v>76.34</v>
      </c>
      <c r="BG26">
        <v>74.88</v>
      </c>
      <c r="BH26">
        <v>73.36</v>
      </c>
      <c r="BI26">
        <v>71.81</v>
      </c>
      <c r="BJ26">
        <v>70.63</v>
      </c>
      <c r="BK26">
        <v>69.4</v>
      </c>
      <c r="BL26">
        <v>67.92</v>
      </c>
      <c r="BM26">
        <v>67.03</v>
      </c>
      <c r="BN26">
        <v>66.92</v>
      </c>
      <c r="BO26">
        <v>67.05</v>
      </c>
      <c r="BP26">
        <v>67.54</v>
      </c>
      <c r="BQ26">
        <v>68.05</v>
      </c>
      <c r="BR26">
        <v>68.49</v>
      </c>
      <c r="BS26">
        <v>69.21</v>
      </c>
      <c r="BT26">
        <v>69.67</v>
      </c>
      <c r="BU26">
        <v>70.28</v>
      </c>
      <c r="BV26">
        <v>71.04</v>
      </c>
      <c r="BW26">
        <v>71.69</v>
      </c>
      <c r="BX26">
        <v>72.28</v>
      </c>
      <c r="BY26">
        <v>73.94</v>
      </c>
      <c r="BZ26">
        <v>74.9</v>
      </c>
      <c r="CA26">
        <v>75.78</v>
      </c>
      <c r="CB26">
        <v>76.77</v>
      </c>
      <c r="CC26">
        <v>77.42</v>
      </c>
      <c r="CD26">
        <v>78.02</v>
      </c>
      <c r="CE26">
        <v>77.95</v>
      </c>
      <c r="CF26">
        <v>78</v>
      </c>
      <c r="CG26">
        <v>77.99</v>
      </c>
      <c r="CH26">
        <v>77.75</v>
      </c>
      <c r="CI26">
        <v>77.52</v>
      </c>
      <c r="CJ26">
        <v>77.36</v>
      </c>
      <c r="CK26">
        <v>77.17</v>
      </c>
      <c r="CL26">
        <v>77.04</v>
      </c>
      <c r="CM26">
        <v>77.14</v>
      </c>
      <c r="CN26">
        <v>77.31</v>
      </c>
      <c r="CO26">
        <v>77.45</v>
      </c>
      <c r="CP26">
        <v>77.55</v>
      </c>
      <c r="CQ26">
        <v>77.8</v>
      </c>
      <c r="CR26">
        <v>78.1</v>
      </c>
      <c r="CS26">
        <v>78.24</v>
      </c>
    </row>
    <row r="27" spans="1:97">
      <c r="A27" s="9">
        <v>46260</v>
      </c>
      <c r="B27">
        <v>61.1</v>
      </c>
      <c r="C27">
        <v>59.72</v>
      </c>
      <c r="D27">
        <v>58.58</v>
      </c>
      <c r="E27">
        <v>57.24</v>
      </c>
      <c r="F27">
        <v>56.3</v>
      </c>
      <c r="G27">
        <v>55.48</v>
      </c>
      <c r="H27">
        <v>54.77</v>
      </c>
      <c r="I27">
        <v>54.24</v>
      </c>
      <c r="J27">
        <v>53.65</v>
      </c>
      <c r="K27">
        <v>53.59</v>
      </c>
      <c r="L27">
        <v>53.54</v>
      </c>
      <c r="M27">
        <v>53.63</v>
      </c>
      <c r="N27">
        <v>54.66</v>
      </c>
      <c r="O27">
        <v>56.72</v>
      </c>
      <c r="P27">
        <v>58.9</v>
      </c>
      <c r="Q27">
        <v>61.25</v>
      </c>
      <c r="R27">
        <v>63.86</v>
      </c>
      <c r="S27">
        <v>66.77</v>
      </c>
      <c r="T27">
        <v>69.68</v>
      </c>
      <c r="U27">
        <v>72.33</v>
      </c>
      <c r="V27">
        <v>74.47</v>
      </c>
      <c r="W27">
        <v>76.12</v>
      </c>
      <c r="X27">
        <v>77.62</v>
      </c>
      <c r="Y27">
        <v>78.98</v>
      </c>
      <c r="Z27">
        <v>79.68</v>
      </c>
      <c r="AA27">
        <v>79.61</v>
      </c>
      <c r="AB27">
        <v>79.49</v>
      </c>
      <c r="AC27">
        <v>79.43</v>
      </c>
      <c r="AD27">
        <v>78.26</v>
      </c>
      <c r="AE27">
        <v>75.67</v>
      </c>
      <c r="AF27">
        <v>73.61</v>
      </c>
      <c r="AG27">
        <v>71.57</v>
      </c>
      <c r="AH27">
        <v>69.99</v>
      </c>
      <c r="AI27">
        <v>68.75</v>
      </c>
      <c r="AJ27">
        <v>67.5</v>
      </c>
      <c r="AK27">
        <v>66.28</v>
      </c>
      <c r="AL27">
        <v>65.27</v>
      </c>
      <c r="AM27">
        <v>64.57</v>
      </c>
      <c r="AN27">
        <v>63.94</v>
      </c>
      <c r="AO27">
        <v>63.4</v>
      </c>
      <c r="AP27">
        <v>62.98</v>
      </c>
      <c r="AQ27">
        <v>62.72</v>
      </c>
      <c r="AR27">
        <v>62.39</v>
      </c>
      <c r="AS27">
        <v>62.16</v>
      </c>
      <c r="AT27">
        <v>61.69</v>
      </c>
      <c r="AU27">
        <v>61.12</v>
      </c>
      <c r="AV27">
        <v>60.5</v>
      </c>
      <c r="AW27">
        <v>59.87</v>
      </c>
      <c r="AX27">
        <v>59.22</v>
      </c>
      <c r="AY27">
        <v>58.48</v>
      </c>
      <c r="AZ27">
        <v>57.74</v>
      </c>
      <c r="BA27">
        <v>57.06</v>
      </c>
      <c r="BB27">
        <v>56.27</v>
      </c>
      <c r="BC27">
        <v>55.56</v>
      </c>
      <c r="BD27">
        <v>54.76</v>
      </c>
      <c r="BE27">
        <v>53.94</v>
      </c>
      <c r="BF27">
        <v>53</v>
      </c>
      <c r="BG27">
        <v>51.81</v>
      </c>
      <c r="BH27">
        <v>50.56</v>
      </c>
      <c r="BI27">
        <v>49.43</v>
      </c>
      <c r="BJ27">
        <v>47.69</v>
      </c>
      <c r="BK27">
        <v>45.92</v>
      </c>
      <c r="BL27">
        <v>44.16</v>
      </c>
      <c r="BM27">
        <v>42.48</v>
      </c>
      <c r="BN27">
        <v>41.09</v>
      </c>
      <c r="BO27">
        <v>40.01</v>
      </c>
      <c r="BP27">
        <v>38.81</v>
      </c>
      <c r="BQ27">
        <v>37.68</v>
      </c>
      <c r="BR27">
        <v>36.91</v>
      </c>
      <c r="BS27">
        <v>36.66</v>
      </c>
      <c r="BT27">
        <v>36.44</v>
      </c>
      <c r="BU27">
        <v>36.19</v>
      </c>
      <c r="BV27">
        <v>36.27</v>
      </c>
      <c r="BW27">
        <v>36.16</v>
      </c>
      <c r="BX27">
        <v>36.14</v>
      </c>
      <c r="BY27">
        <v>36.25</v>
      </c>
      <c r="BZ27">
        <v>36.27</v>
      </c>
      <c r="CA27">
        <v>35.96</v>
      </c>
      <c r="CB27">
        <v>35.67</v>
      </c>
      <c r="CC27">
        <v>35.36</v>
      </c>
      <c r="CD27">
        <v>34.94</v>
      </c>
      <c r="CE27">
        <v>34.59</v>
      </c>
      <c r="CF27">
        <v>34.23</v>
      </c>
      <c r="CG27">
        <v>33.82</v>
      </c>
      <c r="CH27">
        <v>33.7</v>
      </c>
      <c r="CI27">
        <v>33.69</v>
      </c>
      <c r="CJ27">
        <v>33.71</v>
      </c>
      <c r="CK27">
        <v>33.79</v>
      </c>
      <c r="CL27">
        <v>34.1</v>
      </c>
      <c r="CM27">
        <v>34.48</v>
      </c>
      <c r="CN27">
        <v>35.01</v>
      </c>
      <c r="CO27">
        <v>35.41</v>
      </c>
      <c r="CP27">
        <v>35.93</v>
      </c>
      <c r="CQ27">
        <v>36.52</v>
      </c>
      <c r="CR27">
        <v>37.17</v>
      </c>
      <c r="CS27">
        <v>37.87</v>
      </c>
    </row>
    <row r="28" spans="1:97">
      <c r="A28" s="9">
        <v>46261</v>
      </c>
      <c r="B28">
        <v>37.58</v>
      </c>
      <c r="C28">
        <v>38.5</v>
      </c>
      <c r="D28">
        <v>39.43</v>
      </c>
      <c r="E28">
        <v>40.29</v>
      </c>
      <c r="F28">
        <v>41.26</v>
      </c>
      <c r="G28">
        <v>42.32</v>
      </c>
      <c r="H28">
        <v>43.39</v>
      </c>
      <c r="I28">
        <v>44.46</v>
      </c>
      <c r="J28">
        <v>45.34</v>
      </c>
      <c r="K28">
        <v>46.2</v>
      </c>
      <c r="L28">
        <v>47.09</v>
      </c>
      <c r="M28">
        <v>48.02</v>
      </c>
      <c r="N28">
        <v>48.99</v>
      </c>
      <c r="O28">
        <v>49.92</v>
      </c>
      <c r="P28">
        <v>51</v>
      </c>
      <c r="Q28">
        <v>52.09</v>
      </c>
      <c r="R28">
        <v>53.33</v>
      </c>
      <c r="S28">
        <v>54.66</v>
      </c>
      <c r="T28">
        <v>55.98</v>
      </c>
      <c r="U28">
        <v>57.19</v>
      </c>
      <c r="V28">
        <v>58.43</v>
      </c>
      <c r="W28">
        <v>59.42</v>
      </c>
      <c r="X28">
        <v>60.49</v>
      </c>
      <c r="Y28">
        <v>61.38</v>
      </c>
      <c r="Z28">
        <v>61.85</v>
      </c>
      <c r="AA28">
        <v>61.82</v>
      </c>
      <c r="AB28">
        <v>61.79</v>
      </c>
      <c r="AC28">
        <v>61.79</v>
      </c>
      <c r="AD28">
        <v>61.13</v>
      </c>
      <c r="AE28">
        <v>59.81</v>
      </c>
      <c r="AF28">
        <v>58.31</v>
      </c>
      <c r="AG28">
        <v>56.93</v>
      </c>
      <c r="AH28">
        <v>55.37</v>
      </c>
      <c r="AI28">
        <v>53.82</v>
      </c>
      <c r="AJ28">
        <v>52.27</v>
      </c>
      <c r="AK28">
        <v>50.76</v>
      </c>
      <c r="AL28">
        <v>49.7</v>
      </c>
      <c r="AM28">
        <v>49.08</v>
      </c>
      <c r="AN28">
        <v>48.62</v>
      </c>
      <c r="AO28">
        <v>48.1</v>
      </c>
      <c r="AP28">
        <v>47.8</v>
      </c>
      <c r="AQ28">
        <v>47.66</v>
      </c>
      <c r="AR28">
        <v>47.62</v>
      </c>
      <c r="AS28">
        <v>47.67</v>
      </c>
      <c r="AT28">
        <v>47.87</v>
      </c>
      <c r="AU28">
        <v>48.3</v>
      </c>
      <c r="AV28">
        <v>48.77</v>
      </c>
      <c r="AW28">
        <v>49.24</v>
      </c>
      <c r="AX28">
        <v>50.01</v>
      </c>
      <c r="AY28">
        <v>50.98</v>
      </c>
      <c r="AZ28">
        <v>51.98</v>
      </c>
      <c r="BA28">
        <v>53.06</v>
      </c>
      <c r="BB28">
        <v>54.32</v>
      </c>
      <c r="BC28">
        <v>55.76</v>
      </c>
      <c r="BD28">
        <v>57.23</v>
      </c>
      <c r="BE28">
        <v>58.58</v>
      </c>
      <c r="BF28">
        <v>60.14</v>
      </c>
      <c r="BG28">
        <v>61.72</v>
      </c>
      <c r="BH28">
        <v>63.33</v>
      </c>
      <c r="BI28">
        <v>65.03</v>
      </c>
      <c r="BJ28">
        <v>66.69</v>
      </c>
      <c r="BK28">
        <v>68.42</v>
      </c>
      <c r="BL28">
        <v>70.2</v>
      </c>
      <c r="BM28">
        <v>71.98</v>
      </c>
      <c r="BN28">
        <v>74.25</v>
      </c>
      <c r="BO28">
        <v>76.74</v>
      </c>
      <c r="BP28">
        <v>79.35</v>
      </c>
      <c r="BQ28">
        <v>82.09</v>
      </c>
      <c r="BR28">
        <v>85.79</v>
      </c>
      <c r="BS28">
        <v>90.2</v>
      </c>
      <c r="BT28">
        <v>94.77</v>
      </c>
      <c r="BU28">
        <v>99.4</v>
      </c>
      <c r="BV28">
        <v>104.53</v>
      </c>
      <c r="BW28">
        <v>110.16</v>
      </c>
      <c r="BX28">
        <v>115.85</v>
      </c>
      <c r="BY28">
        <v>121.48</v>
      </c>
      <c r="BZ28">
        <v>126.47</v>
      </c>
      <c r="CA28">
        <v>130.95</v>
      </c>
      <c r="CB28">
        <v>135.25</v>
      </c>
      <c r="CC28">
        <v>139.21</v>
      </c>
      <c r="CD28">
        <v>142.72</v>
      </c>
      <c r="CE28">
        <v>144.25</v>
      </c>
      <c r="CF28">
        <v>145.54</v>
      </c>
      <c r="CG28">
        <v>146.55</v>
      </c>
      <c r="CH28">
        <v>146.85</v>
      </c>
      <c r="CI28">
        <v>146.27</v>
      </c>
      <c r="CJ28">
        <v>145.57</v>
      </c>
      <c r="CK28">
        <v>144.88</v>
      </c>
      <c r="CL28">
        <v>143.51</v>
      </c>
      <c r="CM28">
        <v>141.62</v>
      </c>
      <c r="CN28">
        <v>139.62</v>
      </c>
      <c r="CO28">
        <v>137.24</v>
      </c>
      <c r="CP28">
        <v>134.91</v>
      </c>
      <c r="CQ28">
        <v>132.39</v>
      </c>
      <c r="CR28">
        <v>129.71</v>
      </c>
      <c r="CS28">
        <v>127.35</v>
      </c>
    </row>
    <row r="29" spans="1:97">
      <c r="A29" s="9">
        <v>46262</v>
      </c>
      <c r="B29">
        <v>114.5</v>
      </c>
      <c r="C29">
        <v>111.19</v>
      </c>
      <c r="D29">
        <v>107.88</v>
      </c>
      <c r="E29">
        <v>104.48</v>
      </c>
      <c r="F29">
        <v>101.52</v>
      </c>
      <c r="G29">
        <v>99.03</v>
      </c>
      <c r="H29">
        <v>96.68</v>
      </c>
      <c r="I29">
        <v>94.42</v>
      </c>
      <c r="J29">
        <v>92.65</v>
      </c>
      <c r="K29">
        <v>91.09</v>
      </c>
      <c r="L29">
        <v>89.71</v>
      </c>
      <c r="M29">
        <v>88.42</v>
      </c>
      <c r="N29">
        <v>87.42</v>
      </c>
      <c r="O29">
        <v>86.66</v>
      </c>
      <c r="P29">
        <v>85.98</v>
      </c>
      <c r="Q29">
        <v>85.25</v>
      </c>
      <c r="R29">
        <v>84.53</v>
      </c>
      <c r="S29">
        <v>83.78</v>
      </c>
      <c r="T29">
        <v>82.91</v>
      </c>
      <c r="U29">
        <v>81.97</v>
      </c>
      <c r="V29">
        <v>80.66</v>
      </c>
      <c r="W29">
        <v>79.15</v>
      </c>
      <c r="X29">
        <v>77.48</v>
      </c>
      <c r="Y29">
        <v>75.68</v>
      </c>
      <c r="Z29">
        <v>72.94</v>
      </c>
      <c r="AA29">
        <v>70.44</v>
      </c>
      <c r="AB29">
        <v>68.01</v>
      </c>
      <c r="AC29">
        <v>65.72</v>
      </c>
      <c r="AD29">
        <v>62.93</v>
      </c>
      <c r="AE29">
        <v>59.92</v>
      </c>
      <c r="AF29">
        <v>56.91</v>
      </c>
      <c r="AG29">
        <v>53.92</v>
      </c>
      <c r="AH29">
        <v>51.54</v>
      </c>
      <c r="AI29">
        <v>49.41</v>
      </c>
      <c r="AJ29">
        <v>47.13</v>
      </c>
      <c r="AK29">
        <v>44.99</v>
      </c>
      <c r="AL29">
        <v>43.33</v>
      </c>
      <c r="AM29">
        <v>41.88</v>
      </c>
      <c r="AN29">
        <v>40.57</v>
      </c>
      <c r="AO29">
        <v>39.38</v>
      </c>
      <c r="AP29">
        <v>38.04</v>
      </c>
      <c r="AQ29">
        <v>36.7</v>
      </c>
      <c r="AR29">
        <v>35.55</v>
      </c>
      <c r="AS29">
        <v>34.46</v>
      </c>
      <c r="AT29">
        <v>33.39</v>
      </c>
      <c r="AU29">
        <v>32.3</v>
      </c>
      <c r="AV29">
        <v>31.18</v>
      </c>
      <c r="AW29">
        <v>30.09</v>
      </c>
      <c r="AX29">
        <v>29</v>
      </c>
      <c r="AY29">
        <v>28.03</v>
      </c>
      <c r="AZ29">
        <v>27.11</v>
      </c>
      <c r="BA29">
        <v>26.14</v>
      </c>
      <c r="BB29">
        <v>25.3</v>
      </c>
      <c r="BC29">
        <v>24.65</v>
      </c>
      <c r="BD29">
        <v>24.02</v>
      </c>
      <c r="BE29">
        <v>23.46</v>
      </c>
      <c r="BF29">
        <v>22.79</v>
      </c>
      <c r="BG29">
        <v>22.35</v>
      </c>
      <c r="BH29">
        <v>21.97</v>
      </c>
      <c r="BI29">
        <v>21.59</v>
      </c>
      <c r="BJ29">
        <v>21.44</v>
      </c>
      <c r="BK29">
        <v>21.49</v>
      </c>
      <c r="BL29">
        <v>21.56</v>
      </c>
      <c r="BM29">
        <v>21.74</v>
      </c>
      <c r="BN29">
        <v>22.22</v>
      </c>
      <c r="BO29">
        <v>22.92</v>
      </c>
      <c r="BP29">
        <v>23.66</v>
      </c>
      <c r="BQ29">
        <v>24.44</v>
      </c>
      <c r="BR29">
        <v>25.49</v>
      </c>
      <c r="BS29">
        <v>26.62</v>
      </c>
      <c r="BT29">
        <v>27.85</v>
      </c>
      <c r="BU29">
        <v>29.21</v>
      </c>
      <c r="BV29">
        <v>30.71</v>
      </c>
      <c r="BW29">
        <v>32.1</v>
      </c>
      <c r="BX29">
        <v>33.53</v>
      </c>
      <c r="BY29">
        <v>34.88</v>
      </c>
      <c r="BZ29">
        <v>36.26</v>
      </c>
      <c r="CA29">
        <v>37.75</v>
      </c>
      <c r="CB29">
        <v>39.16</v>
      </c>
      <c r="CC29">
        <v>40.67</v>
      </c>
      <c r="CD29">
        <v>41.98</v>
      </c>
      <c r="CE29">
        <v>43.14</v>
      </c>
      <c r="CF29">
        <v>44.24</v>
      </c>
      <c r="CG29">
        <v>45.36</v>
      </c>
      <c r="CH29">
        <v>46.39</v>
      </c>
      <c r="CI29">
        <v>47.38</v>
      </c>
      <c r="CJ29">
        <v>48.43</v>
      </c>
      <c r="CK29">
        <v>49.53</v>
      </c>
      <c r="CL29">
        <v>50.62</v>
      </c>
      <c r="CM29">
        <v>51.86</v>
      </c>
      <c r="CN29">
        <v>53</v>
      </c>
      <c r="CO29">
        <v>54.1</v>
      </c>
      <c r="CP29">
        <v>55.11</v>
      </c>
      <c r="CQ29">
        <v>55.85</v>
      </c>
      <c r="CR29">
        <v>56.64</v>
      </c>
      <c r="CS29">
        <v>57.41</v>
      </c>
    </row>
    <row r="30" spans="1:97">
      <c r="A30" s="9">
        <v>46263</v>
      </c>
      <c r="B30">
        <v>59.06</v>
      </c>
      <c r="C30">
        <v>60.45</v>
      </c>
      <c r="D30">
        <v>61.81</v>
      </c>
      <c r="E30">
        <v>63.23</v>
      </c>
      <c r="F30">
        <v>64.49</v>
      </c>
      <c r="G30">
        <v>65.67</v>
      </c>
      <c r="H30">
        <v>66.88</v>
      </c>
      <c r="I30">
        <v>68</v>
      </c>
      <c r="J30">
        <v>69.04</v>
      </c>
      <c r="K30">
        <v>70.03</v>
      </c>
      <c r="L30">
        <v>71.07</v>
      </c>
      <c r="M30">
        <v>72.11</v>
      </c>
      <c r="N30">
        <v>73.03</v>
      </c>
      <c r="O30">
        <v>73.87</v>
      </c>
      <c r="P30">
        <v>74.64</v>
      </c>
      <c r="Q30">
        <v>75.37</v>
      </c>
      <c r="R30">
        <v>76.26</v>
      </c>
      <c r="S30">
        <v>77.08</v>
      </c>
      <c r="T30">
        <v>77.34</v>
      </c>
      <c r="U30">
        <v>78.13</v>
      </c>
      <c r="V30">
        <v>78.44</v>
      </c>
      <c r="W30">
        <v>78.26</v>
      </c>
      <c r="X30">
        <v>77.98</v>
      </c>
      <c r="Y30">
        <v>77.65</v>
      </c>
      <c r="Z30">
        <v>77.34</v>
      </c>
      <c r="AA30">
        <v>77.19</v>
      </c>
      <c r="AB30">
        <v>77.21</v>
      </c>
      <c r="AC30">
        <v>77.03</v>
      </c>
      <c r="AD30">
        <v>76.44</v>
      </c>
      <c r="AE30">
        <v>75.49</v>
      </c>
      <c r="AF30">
        <v>74.96</v>
      </c>
      <c r="AG30">
        <v>74.24</v>
      </c>
      <c r="AH30">
        <v>74.37</v>
      </c>
      <c r="AI30">
        <v>76.37</v>
      </c>
      <c r="AJ30">
        <v>78.53</v>
      </c>
      <c r="AK30">
        <v>80.79</v>
      </c>
      <c r="AL30">
        <v>84.04</v>
      </c>
      <c r="AM30">
        <v>87.91</v>
      </c>
      <c r="AN30">
        <v>91.9</v>
      </c>
      <c r="AO30">
        <v>96.02</v>
      </c>
      <c r="AP30">
        <v>100.41</v>
      </c>
      <c r="AQ30">
        <v>104.79</v>
      </c>
      <c r="AR30">
        <v>109.06</v>
      </c>
      <c r="AS30">
        <v>113.2</v>
      </c>
      <c r="AT30">
        <v>116.87</v>
      </c>
      <c r="AU30">
        <v>120.34</v>
      </c>
      <c r="AV30">
        <v>123.57</v>
      </c>
      <c r="AW30">
        <v>126.7</v>
      </c>
      <c r="AX30">
        <v>129.53</v>
      </c>
      <c r="AY30">
        <v>132.71</v>
      </c>
      <c r="AZ30">
        <v>134.86</v>
      </c>
      <c r="BA30">
        <v>137.32</v>
      </c>
      <c r="BB30">
        <v>139.65</v>
      </c>
      <c r="BC30">
        <v>141.93</v>
      </c>
      <c r="BD30">
        <v>143.9</v>
      </c>
      <c r="BE30">
        <v>146.07</v>
      </c>
      <c r="BF30">
        <v>147.87</v>
      </c>
      <c r="BG30">
        <v>149.35</v>
      </c>
      <c r="BH30">
        <v>150.73</v>
      </c>
      <c r="BI30">
        <v>152.07</v>
      </c>
      <c r="BJ30">
        <v>153.13</v>
      </c>
      <c r="BK30">
        <v>153.82</v>
      </c>
      <c r="BL30">
        <v>154.54</v>
      </c>
      <c r="BM30">
        <v>155.23</v>
      </c>
      <c r="BN30">
        <v>155.73</v>
      </c>
      <c r="BO30">
        <v>155.42</v>
      </c>
      <c r="BP30">
        <v>154.85</v>
      </c>
      <c r="BQ30">
        <v>154.28</v>
      </c>
      <c r="BR30">
        <v>153.19</v>
      </c>
      <c r="BS30">
        <v>151.53</v>
      </c>
      <c r="BT30">
        <v>149.81</v>
      </c>
      <c r="BU30">
        <v>147.91</v>
      </c>
      <c r="BV30">
        <v>146.36</v>
      </c>
      <c r="BW30">
        <v>145.24</v>
      </c>
      <c r="BX30">
        <v>143.11</v>
      </c>
      <c r="BY30">
        <v>140.4</v>
      </c>
      <c r="BZ30">
        <v>139.55</v>
      </c>
      <c r="CA30">
        <v>138.32</v>
      </c>
      <c r="CB30">
        <v>136.35</v>
      </c>
      <c r="CC30">
        <v>134.3</v>
      </c>
      <c r="CD30">
        <v>132.01</v>
      </c>
      <c r="CE30">
        <v>129.31</v>
      </c>
      <c r="CF30">
        <v>126.54</v>
      </c>
      <c r="CG30">
        <v>123.71</v>
      </c>
      <c r="CH30">
        <v>121.46</v>
      </c>
      <c r="CI30">
        <v>120.02</v>
      </c>
      <c r="CJ30">
        <v>118.22</v>
      </c>
      <c r="CK30">
        <v>116.37</v>
      </c>
      <c r="CL30">
        <v>114.69</v>
      </c>
      <c r="CM30">
        <v>113.68</v>
      </c>
      <c r="CN30">
        <v>112.99</v>
      </c>
      <c r="CO30">
        <v>112.19</v>
      </c>
      <c r="CP30">
        <v>111.47</v>
      </c>
      <c r="CQ30">
        <v>111.17</v>
      </c>
      <c r="CR30">
        <v>110.88</v>
      </c>
      <c r="CS30">
        <v>110.66</v>
      </c>
    </row>
    <row r="31" spans="1:97">
      <c r="A31" s="9">
        <v>46264</v>
      </c>
      <c r="B31">
        <v>99.77</v>
      </c>
      <c r="C31">
        <v>99.84</v>
      </c>
      <c r="D31">
        <v>99.99</v>
      </c>
      <c r="E31">
        <v>100.15</v>
      </c>
      <c r="F31">
        <v>100.29</v>
      </c>
      <c r="G31">
        <v>100.14</v>
      </c>
      <c r="H31">
        <v>99.94</v>
      </c>
      <c r="I31">
        <v>99.77</v>
      </c>
      <c r="J31">
        <v>98.78</v>
      </c>
      <c r="K31">
        <v>97.25</v>
      </c>
      <c r="L31">
        <v>95.61</v>
      </c>
      <c r="M31">
        <v>93.99</v>
      </c>
      <c r="N31">
        <v>92.48</v>
      </c>
      <c r="O31">
        <v>90.87</v>
      </c>
      <c r="P31">
        <v>88.93</v>
      </c>
      <c r="Q31">
        <v>87.28</v>
      </c>
      <c r="R31">
        <v>85.6</v>
      </c>
      <c r="S31">
        <v>83.89</v>
      </c>
      <c r="T31">
        <v>81.92</v>
      </c>
      <c r="U31">
        <v>79.98</v>
      </c>
      <c r="V31">
        <v>78.05</v>
      </c>
      <c r="W31">
        <v>76.07</v>
      </c>
      <c r="X31">
        <v>74.07</v>
      </c>
      <c r="Y31">
        <v>71.87</v>
      </c>
      <c r="Z31">
        <v>69.79</v>
      </c>
      <c r="AA31">
        <v>67.39</v>
      </c>
      <c r="AB31">
        <v>65.09</v>
      </c>
      <c r="AC31">
        <v>62.56</v>
      </c>
      <c r="AD31">
        <v>59.8</v>
      </c>
      <c r="AE31">
        <v>57.47</v>
      </c>
      <c r="AF31">
        <v>55.61</v>
      </c>
      <c r="AG31">
        <v>53.8</v>
      </c>
      <c r="AH31">
        <v>52.32</v>
      </c>
      <c r="AI31">
        <v>51.18</v>
      </c>
      <c r="AJ31">
        <v>50.09</v>
      </c>
      <c r="AK31">
        <v>49.09</v>
      </c>
      <c r="AL31">
        <v>49.16</v>
      </c>
      <c r="AM31">
        <v>50.37</v>
      </c>
      <c r="AN31">
        <v>51.76</v>
      </c>
      <c r="AO31">
        <v>53.24</v>
      </c>
      <c r="AP31">
        <v>55.14</v>
      </c>
      <c r="AQ31">
        <v>57.62</v>
      </c>
      <c r="AR31">
        <v>60.25</v>
      </c>
      <c r="AS31">
        <v>62.92</v>
      </c>
      <c r="AT31">
        <v>65.74</v>
      </c>
      <c r="AU31">
        <v>68.74</v>
      </c>
      <c r="AV31">
        <v>71.78</v>
      </c>
      <c r="AW31">
        <v>74.92</v>
      </c>
      <c r="AX31">
        <v>78.56</v>
      </c>
      <c r="AY31">
        <v>81.2</v>
      </c>
      <c r="AZ31">
        <v>83.55</v>
      </c>
      <c r="BA31">
        <v>86.59</v>
      </c>
      <c r="BB31">
        <v>89.41</v>
      </c>
      <c r="BC31">
        <v>92.5</v>
      </c>
      <c r="BD31">
        <v>94.8</v>
      </c>
      <c r="BE31">
        <v>97.4</v>
      </c>
      <c r="BF31">
        <v>98.9</v>
      </c>
      <c r="BG31">
        <v>99.81</v>
      </c>
      <c r="BH31">
        <v>100.81</v>
      </c>
      <c r="BI31">
        <v>101.59</v>
      </c>
      <c r="BJ31">
        <v>101.48</v>
      </c>
      <c r="BK31">
        <v>101.32</v>
      </c>
      <c r="BL31">
        <v>100.96</v>
      </c>
      <c r="BM31">
        <v>100.43</v>
      </c>
      <c r="BN31">
        <v>99.92</v>
      </c>
      <c r="BO31">
        <v>99.92</v>
      </c>
      <c r="BP31">
        <v>100.12</v>
      </c>
      <c r="BQ31">
        <v>101.27</v>
      </c>
      <c r="BR31">
        <v>101.84</v>
      </c>
      <c r="BS31">
        <v>103</v>
      </c>
      <c r="BT31">
        <v>103.91</v>
      </c>
      <c r="BU31">
        <v>105.32</v>
      </c>
      <c r="BV31">
        <v>106.77</v>
      </c>
      <c r="BW31">
        <v>108.58</v>
      </c>
      <c r="BX31">
        <v>110.16</v>
      </c>
      <c r="BY31">
        <v>112.32</v>
      </c>
      <c r="BZ31">
        <v>113.79</v>
      </c>
      <c r="CA31">
        <v>116.63</v>
      </c>
      <c r="CB31">
        <v>119.2</v>
      </c>
      <c r="CC31">
        <v>122.25</v>
      </c>
      <c r="CD31">
        <v>126.12</v>
      </c>
      <c r="CE31">
        <v>128.07</v>
      </c>
      <c r="CF31">
        <v>129.94</v>
      </c>
      <c r="CG31">
        <v>131.6</v>
      </c>
      <c r="CH31">
        <v>133.54</v>
      </c>
      <c r="CI31">
        <v>134.75</v>
      </c>
      <c r="CJ31">
        <v>135.7</v>
      </c>
      <c r="CK31">
        <v>137.48</v>
      </c>
      <c r="CL31">
        <v>139.41</v>
      </c>
      <c r="CM31">
        <v>141.9</v>
      </c>
      <c r="CN31">
        <v>143.69</v>
      </c>
      <c r="CO31">
        <v>145.61</v>
      </c>
      <c r="CP31">
        <v>147.52</v>
      </c>
      <c r="CQ31">
        <v>149.59</v>
      </c>
      <c r="CR31">
        <v>151.66</v>
      </c>
      <c r="CS31">
        <v>153.9</v>
      </c>
    </row>
    <row r="32" spans="1:97">
      <c r="A32" s="9">
        <v>46265</v>
      </c>
      <c r="B32">
        <v>132.26</v>
      </c>
      <c r="C32">
        <v>134.22</v>
      </c>
      <c r="D32">
        <v>136.61</v>
      </c>
      <c r="E32">
        <v>139.53</v>
      </c>
      <c r="F32">
        <v>142.49</v>
      </c>
      <c r="G32">
        <v>146.06</v>
      </c>
      <c r="H32">
        <v>149.83</v>
      </c>
      <c r="I32">
        <v>153.7</v>
      </c>
      <c r="J32">
        <v>158.04</v>
      </c>
      <c r="K32">
        <v>162.48</v>
      </c>
      <c r="L32">
        <v>166.06</v>
      </c>
      <c r="M32">
        <v>170.23</v>
      </c>
      <c r="N32">
        <v>174.86</v>
      </c>
      <c r="O32">
        <v>178.97</v>
      </c>
      <c r="P32">
        <v>182.68</v>
      </c>
      <c r="Q32">
        <v>187.04</v>
      </c>
      <c r="R32">
        <v>191.01</v>
      </c>
      <c r="S32">
        <v>194.42</v>
      </c>
      <c r="T32">
        <v>197.52</v>
      </c>
      <c r="U32">
        <v>200.44</v>
      </c>
      <c r="V32">
        <v>202.37</v>
      </c>
      <c r="W32">
        <v>203.11</v>
      </c>
      <c r="X32">
        <v>203.9</v>
      </c>
      <c r="Y32">
        <v>204.49</v>
      </c>
      <c r="Z32">
        <v>201.2</v>
      </c>
      <c r="AA32">
        <v>199.35</v>
      </c>
      <c r="AB32">
        <v>197.5</v>
      </c>
      <c r="AC32">
        <v>195.61</v>
      </c>
      <c r="AD32">
        <v>193.72</v>
      </c>
      <c r="AE32">
        <v>191.52</v>
      </c>
      <c r="AF32">
        <v>190.19</v>
      </c>
      <c r="AG32">
        <v>188.18</v>
      </c>
      <c r="AH32">
        <v>186.68</v>
      </c>
      <c r="AI32">
        <v>185.94</v>
      </c>
      <c r="AJ32">
        <v>185.24</v>
      </c>
      <c r="AK32">
        <v>184.57</v>
      </c>
      <c r="AL32">
        <v>183.79</v>
      </c>
      <c r="AM32">
        <v>182.43</v>
      </c>
      <c r="AN32">
        <v>180.8</v>
      </c>
      <c r="AO32">
        <v>179.33</v>
      </c>
      <c r="AP32">
        <v>177.51</v>
      </c>
      <c r="AQ32">
        <v>175.53</v>
      </c>
      <c r="AR32">
        <v>173.55</v>
      </c>
      <c r="AS32">
        <v>171.58</v>
      </c>
      <c r="AT32">
        <v>169.68</v>
      </c>
      <c r="AU32">
        <v>167.75</v>
      </c>
      <c r="AV32">
        <v>165.89</v>
      </c>
      <c r="AW32">
        <v>164.3</v>
      </c>
      <c r="AX32">
        <v>162.67</v>
      </c>
      <c r="AY32">
        <v>161.23</v>
      </c>
      <c r="AZ32">
        <v>159.85</v>
      </c>
      <c r="BA32">
        <v>158.52</v>
      </c>
      <c r="BB32">
        <v>157.45</v>
      </c>
      <c r="BC32">
        <v>156.69</v>
      </c>
      <c r="BD32">
        <v>156.01</v>
      </c>
      <c r="BE32">
        <v>156.19</v>
      </c>
      <c r="BF32">
        <v>155.58</v>
      </c>
      <c r="BG32">
        <v>155.47</v>
      </c>
      <c r="BH32">
        <v>155.48</v>
      </c>
      <c r="BI32">
        <v>155.79</v>
      </c>
      <c r="BJ32">
        <v>156.26</v>
      </c>
      <c r="BK32">
        <v>156.98</v>
      </c>
      <c r="BL32">
        <v>157.75</v>
      </c>
      <c r="BM32">
        <v>158.55</v>
      </c>
      <c r="BN32">
        <v>159.05</v>
      </c>
      <c r="BO32">
        <v>159.19</v>
      </c>
      <c r="BP32">
        <v>159.28</v>
      </c>
      <c r="BQ32">
        <v>159.32</v>
      </c>
      <c r="BR32">
        <v>159.6</v>
      </c>
      <c r="BS32">
        <v>160.14</v>
      </c>
      <c r="BT32">
        <v>160.77</v>
      </c>
      <c r="BU32">
        <v>161.25</v>
      </c>
      <c r="BV32">
        <v>162.56</v>
      </c>
      <c r="BW32">
        <v>164.62</v>
      </c>
      <c r="BX32">
        <v>166.68</v>
      </c>
      <c r="BY32">
        <v>168.74</v>
      </c>
      <c r="BZ32">
        <v>170.51</v>
      </c>
      <c r="CA32">
        <v>171.85</v>
      </c>
      <c r="CB32">
        <v>172.96</v>
      </c>
      <c r="CC32">
        <v>173.52</v>
      </c>
      <c r="CD32">
        <v>172.74</v>
      </c>
      <c r="CE32">
        <v>170.58</v>
      </c>
      <c r="CF32">
        <v>168.13</v>
      </c>
      <c r="CG32">
        <v>165.47</v>
      </c>
      <c r="CH32">
        <v>162.34</v>
      </c>
      <c r="CI32">
        <v>158.82</v>
      </c>
      <c r="CJ32">
        <v>155.32</v>
      </c>
      <c r="CK32">
        <v>151.94</v>
      </c>
      <c r="CL32">
        <v>148.55</v>
      </c>
      <c r="CM32">
        <v>145.25</v>
      </c>
      <c r="CN32">
        <v>142.05</v>
      </c>
      <c r="CO32">
        <v>139.47</v>
      </c>
      <c r="CP32">
        <v>136.58</v>
      </c>
      <c r="CQ32">
        <v>133.83</v>
      </c>
      <c r="CR32">
        <v>131.42</v>
      </c>
      <c r="CS32">
        <v>129.01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CS32"/>
  <sheetViews>
    <sheetView workbookViewId="0">
      <selection activeCell="N21" sqref="N21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68.81</v>
      </c>
      <c r="W2">
        <v>143.97</v>
      </c>
      <c r="X2">
        <v>245.12</v>
      </c>
      <c r="Y2">
        <v>374.2</v>
      </c>
      <c r="Z2">
        <v>540.2</v>
      </c>
      <c r="AA2">
        <v>745.02</v>
      </c>
      <c r="AB2">
        <v>975.9</v>
      </c>
      <c r="AC2">
        <v>1230.21</v>
      </c>
      <c r="AD2">
        <v>1520.23</v>
      </c>
      <c r="AE2">
        <v>1799.11</v>
      </c>
      <c r="AF2">
        <v>2078.79</v>
      </c>
      <c r="AG2">
        <v>2350.99</v>
      </c>
      <c r="AH2">
        <v>2608.29</v>
      </c>
      <c r="AI2">
        <v>2848.01</v>
      </c>
      <c r="AJ2">
        <v>3090.6</v>
      </c>
      <c r="AK2">
        <v>3325.23</v>
      </c>
      <c r="AL2">
        <v>3525.07</v>
      </c>
      <c r="AM2">
        <v>3698.24</v>
      </c>
      <c r="AN2">
        <v>3860</v>
      </c>
      <c r="AO2">
        <v>4000.12</v>
      </c>
      <c r="AP2">
        <v>4109.14</v>
      </c>
      <c r="AQ2">
        <v>4213.78</v>
      </c>
      <c r="AR2">
        <v>4285.96</v>
      </c>
      <c r="AS2">
        <v>4335.89</v>
      </c>
      <c r="AT2">
        <v>4358.29</v>
      </c>
      <c r="AU2">
        <v>4364.48</v>
      </c>
      <c r="AV2">
        <v>4350.74</v>
      </c>
      <c r="AW2">
        <v>4331.83</v>
      </c>
      <c r="AX2">
        <v>4318.33</v>
      </c>
      <c r="AY2">
        <v>4270.91</v>
      </c>
      <c r="AZ2">
        <v>4202.12</v>
      </c>
      <c r="BA2">
        <v>4112.62</v>
      </c>
      <c r="BB2">
        <v>4004.31</v>
      </c>
      <c r="BC2">
        <v>3871.74</v>
      </c>
      <c r="BD2">
        <v>3722.72</v>
      </c>
      <c r="BE2">
        <v>3551.05</v>
      </c>
      <c r="BF2">
        <v>3344.97</v>
      </c>
      <c r="BG2">
        <v>3124.51</v>
      </c>
      <c r="BH2">
        <v>2897.14</v>
      </c>
      <c r="BI2">
        <v>2662.75</v>
      </c>
      <c r="BJ2">
        <v>2436.14</v>
      </c>
      <c r="BK2">
        <v>2218.11</v>
      </c>
      <c r="BL2">
        <v>1993.77</v>
      </c>
      <c r="BM2">
        <v>1775.4</v>
      </c>
      <c r="BN2">
        <v>1560.15</v>
      </c>
      <c r="BO2">
        <v>1353.86</v>
      </c>
      <c r="BP2">
        <v>1150.44</v>
      </c>
      <c r="BQ2">
        <v>961.65</v>
      </c>
      <c r="BR2">
        <v>783.95</v>
      </c>
      <c r="BS2">
        <v>613.96</v>
      </c>
      <c r="BT2">
        <v>467.09</v>
      </c>
      <c r="BU2">
        <v>336.31</v>
      </c>
      <c r="BV2">
        <v>233.46</v>
      </c>
      <c r="BW2">
        <v>145.6</v>
      </c>
      <c r="BX2">
        <v>68.86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9">
        <v>46236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50.98</v>
      </c>
      <c r="W3">
        <v>114.12</v>
      </c>
      <c r="X3">
        <v>198.05</v>
      </c>
      <c r="Y3">
        <v>305.37</v>
      </c>
      <c r="Z3">
        <v>439.92</v>
      </c>
      <c r="AA3">
        <v>608.71</v>
      </c>
      <c r="AB3">
        <v>805</v>
      </c>
      <c r="AC3">
        <v>1027.14</v>
      </c>
      <c r="AD3">
        <v>1285.49</v>
      </c>
      <c r="AE3">
        <v>1535.14</v>
      </c>
      <c r="AF3">
        <v>1793.19</v>
      </c>
      <c r="AG3">
        <v>2051.86</v>
      </c>
      <c r="AH3">
        <v>2312.39</v>
      </c>
      <c r="AI3">
        <v>2565.82</v>
      </c>
      <c r="AJ3">
        <v>2806.79</v>
      </c>
      <c r="AK3">
        <v>3034.28</v>
      </c>
      <c r="AL3">
        <v>3245.14</v>
      </c>
      <c r="AM3">
        <v>3433.45</v>
      </c>
      <c r="AN3">
        <v>3598.68</v>
      </c>
      <c r="AO3">
        <v>3754.29</v>
      </c>
      <c r="AP3">
        <v>3878.45</v>
      </c>
      <c r="AQ3">
        <v>4002.13</v>
      </c>
      <c r="AR3">
        <v>4106.13</v>
      </c>
      <c r="AS3">
        <v>4189.3</v>
      </c>
      <c r="AT3">
        <v>4245.32</v>
      </c>
      <c r="AU3">
        <v>4275.33</v>
      </c>
      <c r="AV3">
        <v>4284.71</v>
      </c>
      <c r="AW3">
        <v>4277.05</v>
      </c>
      <c r="AX3">
        <v>4262.77</v>
      </c>
      <c r="AY3">
        <v>4222.18</v>
      </c>
      <c r="AZ3">
        <v>4162.37</v>
      </c>
      <c r="BA3">
        <v>4090.39</v>
      </c>
      <c r="BB3">
        <v>4003.36</v>
      </c>
      <c r="BC3">
        <v>3891.68</v>
      </c>
      <c r="BD3">
        <v>3772.13</v>
      </c>
      <c r="BE3">
        <v>3637.61</v>
      </c>
      <c r="BF3">
        <v>3471.11</v>
      </c>
      <c r="BG3">
        <v>3304.93</v>
      </c>
      <c r="BH3">
        <v>3110.97</v>
      </c>
      <c r="BI3">
        <v>2900.75</v>
      </c>
      <c r="BJ3">
        <v>2684.72</v>
      </c>
      <c r="BK3">
        <v>2478.09</v>
      </c>
      <c r="BL3">
        <v>2261.56</v>
      </c>
      <c r="BM3">
        <v>2036.69</v>
      </c>
      <c r="BN3">
        <v>1804.29</v>
      </c>
      <c r="BO3">
        <v>1575.19</v>
      </c>
      <c r="BP3">
        <v>1340.44</v>
      </c>
      <c r="BQ3">
        <v>1115.54</v>
      </c>
      <c r="BR3">
        <v>907.37</v>
      </c>
      <c r="BS3">
        <v>703.77</v>
      </c>
      <c r="BT3">
        <v>531.36</v>
      </c>
      <c r="BU3">
        <v>378.88</v>
      </c>
      <c r="BV3">
        <v>257.45</v>
      </c>
      <c r="BW3">
        <v>157.84</v>
      </c>
      <c r="BX3">
        <v>71.76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9">
        <v>46237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56.69</v>
      </c>
      <c r="W4">
        <v>130.46</v>
      </c>
      <c r="X4">
        <v>230.9</v>
      </c>
      <c r="Y4">
        <v>359.66</v>
      </c>
      <c r="Z4">
        <v>522.32</v>
      </c>
      <c r="AA4">
        <v>733.92</v>
      </c>
      <c r="AB4">
        <v>976.25</v>
      </c>
      <c r="AC4">
        <v>1245.85</v>
      </c>
      <c r="AD4">
        <v>1561.4</v>
      </c>
      <c r="AE4">
        <v>1872.37</v>
      </c>
      <c r="AF4">
        <v>2189.65</v>
      </c>
      <c r="AG4">
        <v>2500.76</v>
      </c>
      <c r="AH4">
        <v>2797.91</v>
      </c>
      <c r="AI4">
        <v>3080.62</v>
      </c>
      <c r="AJ4">
        <v>3354.64</v>
      </c>
      <c r="AK4">
        <v>3615.01</v>
      </c>
      <c r="AL4">
        <v>3842.22</v>
      </c>
      <c r="AM4">
        <v>4046.32</v>
      </c>
      <c r="AN4">
        <v>4235.25</v>
      </c>
      <c r="AO4">
        <v>4398.1</v>
      </c>
      <c r="AP4">
        <v>4523.93</v>
      </c>
      <c r="AQ4">
        <v>4636.46</v>
      </c>
      <c r="AR4">
        <v>4722.71</v>
      </c>
      <c r="AS4">
        <v>4791.23</v>
      </c>
      <c r="AT4">
        <v>4835.42</v>
      </c>
      <c r="AU4">
        <v>4851.75</v>
      </c>
      <c r="AV4">
        <v>4853.15</v>
      </c>
      <c r="AW4">
        <v>4846.88</v>
      </c>
      <c r="AX4">
        <v>4834.53</v>
      </c>
      <c r="AY4">
        <v>4797.73</v>
      </c>
      <c r="AZ4">
        <v>4739.96</v>
      </c>
      <c r="BA4">
        <v>4673.04</v>
      </c>
      <c r="BB4">
        <v>4587.39</v>
      </c>
      <c r="BC4">
        <v>4490.78</v>
      </c>
      <c r="BD4">
        <v>4376.85</v>
      </c>
      <c r="BE4">
        <v>4249.87</v>
      </c>
      <c r="BF4">
        <v>4085.19</v>
      </c>
      <c r="BG4">
        <v>3910.37</v>
      </c>
      <c r="BH4">
        <v>3721.57</v>
      </c>
      <c r="BI4">
        <v>3507.82</v>
      </c>
      <c r="BJ4">
        <v>3280.51</v>
      </c>
      <c r="BK4">
        <v>3048.88</v>
      </c>
      <c r="BL4">
        <v>2790.18</v>
      </c>
      <c r="BM4">
        <v>2520.95</v>
      </c>
      <c r="BN4">
        <v>2235.98</v>
      </c>
      <c r="BO4">
        <v>1934.77</v>
      </c>
      <c r="BP4">
        <v>1633.92</v>
      </c>
      <c r="BQ4">
        <v>1345.36</v>
      </c>
      <c r="BR4">
        <v>1081.3</v>
      </c>
      <c r="BS4">
        <v>830.13</v>
      </c>
      <c r="BT4">
        <v>617.98</v>
      </c>
      <c r="BU4">
        <v>434.77</v>
      </c>
      <c r="BV4">
        <v>291.01</v>
      </c>
      <c r="BW4">
        <v>172.19</v>
      </c>
      <c r="BX4">
        <v>74.9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9">
        <v>46238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52.61</v>
      </c>
      <c r="W5">
        <v>127.42</v>
      </c>
      <c r="X5">
        <v>226.55</v>
      </c>
      <c r="Y5">
        <v>355.64</v>
      </c>
      <c r="Z5">
        <v>512.19</v>
      </c>
      <c r="AA5">
        <v>722.14</v>
      </c>
      <c r="AB5">
        <v>962.57</v>
      </c>
      <c r="AC5">
        <v>1231.69</v>
      </c>
      <c r="AD5">
        <v>1545.74</v>
      </c>
      <c r="AE5">
        <v>1852.9</v>
      </c>
      <c r="AF5">
        <v>2161.91</v>
      </c>
      <c r="AG5">
        <v>2471.32</v>
      </c>
      <c r="AH5">
        <v>2768.61</v>
      </c>
      <c r="AI5">
        <v>3064.51</v>
      </c>
      <c r="AJ5">
        <v>3347.29</v>
      </c>
      <c r="AK5">
        <v>3613.03</v>
      </c>
      <c r="AL5">
        <v>3844.91</v>
      </c>
      <c r="AM5">
        <v>4049.13</v>
      </c>
      <c r="AN5">
        <v>4236.23</v>
      </c>
      <c r="AO5">
        <v>4403.61</v>
      </c>
      <c r="AP5">
        <v>4528.44</v>
      </c>
      <c r="AQ5">
        <v>4635.92</v>
      </c>
      <c r="AR5">
        <v>4723.97</v>
      </c>
      <c r="AS5">
        <v>4790.72</v>
      </c>
      <c r="AT5">
        <v>4828.27</v>
      </c>
      <c r="AU5">
        <v>4835.75</v>
      </c>
      <c r="AV5">
        <v>4836.07</v>
      </c>
      <c r="AW5">
        <v>4823.55</v>
      </c>
      <c r="AX5">
        <v>4806.26</v>
      </c>
      <c r="AY5">
        <v>4754.22</v>
      </c>
      <c r="AZ5">
        <v>4689.79</v>
      </c>
      <c r="BA5">
        <v>4618.02</v>
      </c>
      <c r="BB5">
        <v>4529.86</v>
      </c>
      <c r="BC5">
        <v>4428.16</v>
      </c>
      <c r="BD5">
        <v>4311.5</v>
      </c>
      <c r="BE5">
        <v>4181.38</v>
      </c>
      <c r="BF5">
        <v>4013.61</v>
      </c>
      <c r="BG5">
        <v>3839.26</v>
      </c>
      <c r="BH5">
        <v>3630.78</v>
      </c>
      <c r="BI5">
        <v>3414.95</v>
      </c>
      <c r="BJ5">
        <v>3184.25</v>
      </c>
      <c r="BK5">
        <v>2939.99</v>
      </c>
      <c r="BL5">
        <v>2689.1</v>
      </c>
      <c r="BM5">
        <v>2424.06</v>
      </c>
      <c r="BN5">
        <v>2136</v>
      </c>
      <c r="BO5">
        <v>1844.38</v>
      </c>
      <c r="BP5">
        <v>1556.76</v>
      </c>
      <c r="BQ5">
        <v>1282.8</v>
      </c>
      <c r="BR5">
        <v>1031.66</v>
      </c>
      <c r="BS5">
        <v>792.14</v>
      </c>
      <c r="BT5">
        <v>588.81</v>
      </c>
      <c r="BU5">
        <v>413.26</v>
      </c>
      <c r="BV5">
        <v>274.1</v>
      </c>
      <c r="BW5">
        <v>163.4</v>
      </c>
      <c r="BX5">
        <v>69.44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9">
        <v>46239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48.38</v>
      </c>
      <c r="W6">
        <v>121.92</v>
      </c>
      <c r="X6">
        <v>221.54</v>
      </c>
      <c r="Y6">
        <v>352.74</v>
      </c>
      <c r="Z6">
        <v>517.11</v>
      </c>
      <c r="AA6">
        <v>734.62</v>
      </c>
      <c r="AB6">
        <v>983.64</v>
      </c>
      <c r="AC6">
        <v>1257.81</v>
      </c>
      <c r="AD6">
        <v>1576.23</v>
      </c>
      <c r="AE6">
        <v>1942.86</v>
      </c>
      <c r="AF6">
        <v>2268.76</v>
      </c>
      <c r="AG6">
        <v>2591.38</v>
      </c>
      <c r="AH6">
        <v>2897.26</v>
      </c>
      <c r="AI6">
        <v>3150.39</v>
      </c>
      <c r="AJ6">
        <v>3426.35</v>
      </c>
      <c r="AK6">
        <v>3693.13</v>
      </c>
      <c r="AL6">
        <v>3922.69</v>
      </c>
      <c r="AM6">
        <v>4120.85</v>
      </c>
      <c r="AN6">
        <v>4305.28</v>
      </c>
      <c r="AO6">
        <v>4469.12</v>
      </c>
      <c r="AP6">
        <v>4591.54</v>
      </c>
      <c r="AQ6">
        <v>4702.76</v>
      </c>
      <c r="AR6">
        <v>4782.97</v>
      </c>
      <c r="AS6">
        <v>4845.92</v>
      </c>
      <c r="AT6">
        <v>4887.81</v>
      </c>
      <c r="AU6">
        <v>4903.78</v>
      </c>
      <c r="AV6">
        <v>4914.84</v>
      </c>
      <c r="AW6">
        <v>4906.83</v>
      </c>
      <c r="AX6">
        <v>4895.13</v>
      </c>
      <c r="AY6">
        <v>4850.71</v>
      </c>
      <c r="AZ6">
        <v>4784.65</v>
      </c>
      <c r="BA6">
        <v>4712.56</v>
      </c>
      <c r="BB6">
        <v>4623.48</v>
      </c>
      <c r="BC6">
        <v>4521.94</v>
      </c>
      <c r="BD6">
        <v>4406.9</v>
      </c>
      <c r="BE6">
        <v>4276.05</v>
      </c>
      <c r="BF6">
        <v>4100.71</v>
      </c>
      <c r="BG6">
        <v>3915.21</v>
      </c>
      <c r="BH6">
        <v>3712.72</v>
      </c>
      <c r="BI6">
        <v>3482.97</v>
      </c>
      <c r="BJ6">
        <v>3245.25</v>
      </c>
      <c r="BK6">
        <v>2987.11</v>
      </c>
      <c r="BL6">
        <v>2719.63</v>
      </c>
      <c r="BM6">
        <v>2446.33</v>
      </c>
      <c r="BN6">
        <v>2157.18</v>
      </c>
      <c r="BO6">
        <v>1857.14</v>
      </c>
      <c r="BP6">
        <v>1560.97</v>
      </c>
      <c r="BQ6">
        <v>1277.42</v>
      </c>
      <c r="BR6">
        <v>1021.74</v>
      </c>
      <c r="BS6">
        <v>791.4</v>
      </c>
      <c r="BT6">
        <v>588.11</v>
      </c>
      <c r="BU6">
        <v>412.05</v>
      </c>
      <c r="BV6">
        <v>272.82</v>
      </c>
      <c r="BW6">
        <v>157.36</v>
      </c>
      <c r="BX6">
        <v>67.15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>
      <c r="A7" s="9">
        <v>46240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44.76</v>
      </c>
      <c r="W7">
        <v>115.68</v>
      </c>
      <c r="X7">
        <v>210.08</v>
      </c>
      <c r="Y7">
        <v>336.04</v>
      </c>
      <c r="Z7">
        <v>485.92</v>
      </c>
      <c r="AA7">
        <v>679.22</v>
      </c>
      <c r="AB7">
        <v>905</v>
      </c>
      <c r="AC7">
        <v>1153.79</v>
      </c>
      <c r="AD7">
        <v>1444.53</v>
      </c>
      <c r="AE7">
        <v>1735.66</v>
      </c>
      <c r="AF7">
        <v>2028.62</v>
      </c>
      <c r="AG7">
        <v>2317.8</v>
      </c>
      <c r="AH7">
        <v>2597.26</v>
      </c>
      <c r="AI7">
        <v>2866.75</v>
      </c>
      <c r="AJ7">
        <v>3136.5</v>
      </c>
      <c r="AK7">
        <v>3386.86</v>
      </c>
      <c r="AL7">
        <v>3610.6</v>
      </c>
      <c r="AM7">
        <v>3805.62</v>
      </c>
      <c r="AN7">
        <v>3984.44</v>
      </c>
      <c r="AO7">
        <v>4139.51</v>
      </c>
      <c r="AP7">
        <v>4257.55</v>
      </c>
      <c r="AQ7">
        <v>4366.9</v>
      </c>
      <c r="AR7">
        <v>4451.2</v>
      </c>
      <c r="AS7">
        <v>4517.06</v>
      </c>
      <c r="AT7">
        <v>4563.81</v>
      </c>
      <c r="AU7">
        <v>4589.36</v>
      </c>
      <c r="AV7">
        <v>4596.23</v>
      </c>
      <c r="AW7">
        <v>4586.19</v>
      </c>
      <c r="AX7">
        <v>4575.13</v>
      </c>
      <c r="AY7">
        <v>4531.7</v>
      </c>
      <c r="AZ7">
        <v>4467.21</v>
      </c>
      <c r="BA7">
        <v>4397.28</v>
      </c>
      <c r="BB7">
        <v>4311.06</v>
      </c>
      <c r="BC7">
        <v>4205.91</v>
      </c>
      <c r="BD7">
        <v>4076.8</v>
      </c>
      <c r="BE7">
        <v>3936.69</v>
      </c>
      <c r="BF7">
        <v>3757.85</v>
      </c>
      <c r="BG7">
        <v>3575.03</v>
      </c>
      <c r="BH7">
        <v>3373.58</v>
      </c>
      <c r="BI7">
        <v>3160.73</v>
      </c>
      <c r="BJ7">
        <v>2934.48</v>
      </c>
      <c r="BK7">
        <v>2701.45</v>
      </c>
      <c r="BL7">
        <v>2459.14</v>
      </c>
      <c r="BM7">
        <v>2206.42</v>
      </c>
      <c r="BN7">
        <v>1950.4</v>
      </c>
      <c r="BO7">
        <v>1684.36</v>
      </c>
      <c r="BP7">
        <v>1419.39</v>
      </c>
      <c r="BQ7">
        <v>1166.28</v>
      </c>
      <c r="BR7">
        <v>935.79</v>
      </c>
      <c r="BS7">
        <v>718.91</v>
      </c>
      <c r="BT7">
        <v>532.77</v>
      </c>
      <c r="BU7">
        <v>370.76</v>
      </c>
      <c r="BV7">
        <v>244</v>
      </c>
      <c r="BW7">
        <v>144.87</v>
      </c>
      <c r="BX7">
        <v>61.51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>
      <c r="A8" s="9">
        <v>46241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34.52</v>
      </c>
      <c r="W8">
        <v>87.72</v>
      </c>
      <c r="X8">
        <v>156.49</v>
      </c>
      <c r="Y8">
        <v>247.2</v>
      </c>
      <c r="Z8">
        <v>356.66</v>
      </c>
      <c r="AA8">
        <v>488.58</v>
      </c>
      <c r="AB8">
        <v>643.64</v>
      </c>
      <c r="AC8">
        <v>811.05</v>
      </c>
      <c r="AD8">
        <v>996.68</v>
      </c>
      <c r="AE8">
        <v>1193.4</v>
      </c>
      <c r="AF8">
        <v>1401.54</v>
      </c>
      <c r="AG8">
        <v>1603.8</v>
      </c>
      <c r="AH8">
        <v>1796.6</v>
      </c>
      <c r="AI8">
        <v>1999.93</v>
      </c>
      <c r="AJ8">
        <v>2209.32</v>
      </c>
      <c r="AK8">
        <v>2409.32</v>
      </c>
      <c r="AL8">
        <v>2601.12</v>
      </c>
      <c r="AM8">
        <v>2786.94</v>
      </c>
      <c r="AN8">
        <v>2968.53</v>
      </c>
      <c r="AO8">
        <v>3150.98</v>
      </c>
      <c r="AP8">
        <v>3315.68</v>
      </c>
      <c r="AQ8">
        <v>3489.29</v>
      </c>
      <c r="AR8">
        <v>3646.69</v>
      </c>
      <c r="AS8">
        <v>3790.32</v>
      </c>
      <c r="AT8">
        <v>3910.52</v>
      </c>
      <c r="AU8">
        <v>4016.17</v>
      </c>
      <c r="AV8">
        <v>4099.5</v>
      </c>
      <c r="AW8">
        <v>4150.27</v>
      </c>
      <c r="AX8">
        <v>4190.49</v>
      </c>
      <c r="AY8">
        <v>4196.97</v>
      </c>
      <c r="AZ8">
        <v>4173.19</v>
      </c>
      <c r="BA8">
        <v>4147.44</v>
      </c>
      <c r="BB8">
        <v>4112.95</v>
      </c>
      <c r="BC8">
        <v>4056.88</v>
      </c>
      <c r="BD8">
        <v>3991.91</v>
      </c>
      <c r="BE8">
        <v>3909.27</v>
      </c>
      <c r="BF8">
        <v>3788.02</v>
      </c>
      <c r="BG8">
        <v>3655.54</v>
      </c>
      <c r="BH8">
        <v>3506.23</v>
      </c>
      <c r="BI8">
        <v>3323.85</v>
      </c>
      <c r="BJ8">
        <v>3124.79</v>
      </c>
      <c r="BK8">
        <v>2905.16</v>
      </c>
      <c r="BL8">
        <v>2664.4</v>
      </c>
      <c r="BM8">
        <v>2408.7</v>
      </c>
      <c r="BN8">
        <v>2133.17</v>
      </c>
      <c r="BO8">
        <v>1842.33</v>
      </c>
      <c r="BP8">
        <v>1554.38</v>
      </c>
      <c r="BQ8">
        <v>1275.45</v>
      </c>
      <c r="BR8">
        <v>1027.69</v>
      </c>
      <c r="BS8">
        <v>788.97</v>
      </c>
      <c r="BT8">
        <v>576.85</v>
      </c>
      <c r="BU8">
        <v>399.3</v>
      </c>
      <c r="BV8">
        <v>261.68</v>
      </c>
      <c r="BW8">
        <v>149.77</v>
      </c>
      <c r="BX8">
        <v>61.73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A9" s="9">
        <v>46242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49.36</v>
      </c>
      <c r="W9">
        <v>127.91</v>
      </c>
      <c r="X9">
        <v>234.94</v>
      </c>
      <c r="Y9">
        <v>382.27</v>
      </c>
      <c r="Z9">
        <v>574.04</v>
      </c>
      <c r="AA9">
        <v>825.7</v>
      </c>
      <c r="AB9">
        <v>1122.9</v>
      </c>
      <c r="AC9">
        <v>1443.94</v>
      </c>
      <c r="AD9">
        <v>1806.48</v>
      </c>
      <c r="AE9">
        <v>2158.03</v>
      </c>
      <c r="AF9">
        <v>2513.19</v>
      </c>
      <c r="AG9">
        <v>2863.34</v>
      </c>
      <c r="AH9">
        <v>3186.86</v>
      </c>
      <c r="AI9">
        <v>3499.96</v>
      </c>
      <c r="AJ9">
        <v>3794.56</v>
      </c>
      <c r="AK9">
        <v>4066.5</v>
      </c>
      <c r="AL9">
        <v>4298.2</v>
      </c>
      <c r="AM9">
        <v>4497.27</v>
      </c>
      <c r="AN9">
        <v>4674.99</v>
      </c>
      <c r="AO9">
        <v>4825.32</v>
      </c>
      <c r="AP9">
        <v>4935.07</v>
      </c>
      <c r="AQ9">
        <v>5029.05</v>
      </c>
      <c r="AR9">
        <v>5099.29</v>
      </c>
      <c r="AS9">
        <v>5156.6</v>
      </c>
      <c r="AT9">
        <v>5191.52</v>
      </c>
      <c r="AU9">
        <v>5200.33</v>
      </c>
      <c r="AV9">
        <v>5195.79</v>
      </c>
      <c r="AW9">
        <v>5171.42</v>
      </c>
      <c r="AX9">
        <v>5144.54</v>
      </c>
      <c r="AY9">
        <v>5106.98</v>
      </c>
      <c r="AZ9">
        <v>5035.25</v>
      </c>
      <c r="BA9">
        <v>4959.88</v>
      </c>
      <c r="BB9">
        <v>4869.98</v>
      </c>
      <c r="BC9">
        <v>4768.13</v>
      </c>
      <c r="BD9">
        <v>4644.24</v>
      </c>
      <c r="BE9">
        <v>4501.95</v>
      </c>
      <c r="BF9">
        <v>4328.23</v>
      </c>
      <c r="BG9">
        <v>4151.78</v>
      </c>
      <c r="BH9">
        <v>3960.37</v>
      </c>
      <c r="BI9">
        <v>3725.82</v>
      </c>
      <c r="BJ9">
        <v>3487.7</v>
      </c>
      <c r="BK9">
        <v>3229.17</v>
      </c>
      <c r="BL9">
        <v>2939.36</v>
      </c>
      <c r="BM9">
        <v>2648.38</v>
      </c>
      <c r="BN9">
        <v>2334.85</v>
      </c>
      <c r="BO9">
        <v>2007.3</v>
      </c>
      <c r="BP9">
        <v>1678.8</v>
      </c>
      <c r="BQ9">
        <v>1371.92</v>
      </c>
      <c r="BR9">
        <v>1096.4</v>
      </c>
      <c r="BS9">
        <v>833.93</v>
      </c>
      <c r="BT9">
        <v>604.1</v>
      </c>
      <c r="BU9">
        <v>412.65</v>
      </c>
      <c r="BV9">
        <v>263.09</v>
      </c>
      <c r="BW9">
        <v>147.05</v>
      </c>
      <c r="BX9">
        <v>57.77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s="9">
        <v>46243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44.25</v>
      </c>
      <c r="W10">
        <v>117.65</v>
      </c>
      <c r="X10">
        <v>217.27</v>
      </c>
      <c r="Y10">
        <v>356.22</v>
      </c>
      <c r="Z10">
        <v>542.18</v>
      </c>
      <c r="AA10">
        <v>783.03</v>
      </c>
      <c r="AB10">
        <v>1073.39</v>
      </c>
      <c r="AC10">
        <v>1387.57</v>
      </c>
      <c r="AD10">
        <v>1740.84</v>
      </c>
      <c r="AE10">
        <v>2085.54</v>
      </c>
      <c r="AF10">
        <v>2434.94</v>
      </c>
      <c r="AG10">
        <v>2782.66</v>
      </c>
      <c r="AH10">
        <v>3112.39</v>
      </c>
      <c r="AI10">
        <v>3436.28</v>
      </c>
      <c r="AJ10">
        <v>3736.84</v>
      </c>
      <c r="AK10">
        <v>4016.46</v>
      </c>
      <c r="AL10">
        <v>4259.38</v>
      </c>
      <c r="AM10">
        <v>4471.34</v>
      </c>
      <c r="AN10">
        <v>4658.65</v>
      </c>
      <c r="AO10">
        <v>4814.72</v>
      </c>
      <c r="AP10">
        <v>4932.23</v>
      </c>
      <c r="AQ10">
        <v>5033.82</v>
      </c>
      <c r="AR10">
        <v>5117.89</v>
      </c>
      <c r="AS10">
        <v>5185.47</v>
      </c>
      <c r="AT10">
        <v>5228.8</v>
      </c>
      <c r="AU10">
        <v>5255.46</v>
      </c>
      <c r="AV10">
        <v>5258.68</v>
      </c>
      <c r="AW10">
        <v>5244.62</v>
      </c>
      <c r="AX10">
        <v>5228.87</v>
      </c>
      <c r="AY10">
        <v>5204.5</v>
      </c>
      <c r="AZ10">
        <v>5149.77</v>
      </c>
      <c r="BA10">
        <v>5093.78</v>
      </c>
      <c r="BB10">
        <v>5027.84</v>
      </c>
      <c r="BC10">
        <v>4948.65</v>
      </c>
      <c r="BD10">
        <v>4854.82</v>
      </c>
      <c r="BE10">
        <v>4739.02</v>
      </c>
      <c r="BF10">
        <v>4581.87</v>
      </c>
      <c r="BG10">
        <v>4417.09</v>
      </c>
      <c r="BH10">
        <v>4225.23</v>
      </c>
      <c r="BI10">
        <v>3988.02</v>
      </c>
      <c r="BJ10">
        <v>3743.96</v>
      </c>
      <c r="BK10">
        <v>3478.53</v>
      </c>
      <c r="BL10">
        <v>3171.98</v>
      </c>
      <c r="BM10">
        <v>2864.61</v>
      </c>
      <c r="BN10">
        <v>2531.02</v>
      </c>
      <c r="BO10">
        <v>2177.53</v>
      </c>
      <c r="BP10">
        <v>1818.97</v>
      </c>
      <c r="BQ10">
        <v>1475.87</v>
      </c>
      <c r="BR10">
        <v>1171.66</v>
      </c>
      <c r="BS10">
        <v>885.46</v>
      </c>
      <c r="BT10">
        <v>636.09</v>
      </c>
      <c r="BU10">
        <v>428.69</v>
      </c>
      <c r="BV10">
        <v>269.99</v>
      </c>
      <c r="BW10">
        <v>146.59</v>
      </c>
      <c r="BX10">
        <v>57.33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A11" s="9">
        <v>46244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28.93</v>
      </c>
      <c r="W11">
        <v>84.96</v>
      </c>
      <c r="X11">
        <v>159.01</v>
      </c>
      <c r="Y11">
        <v>264.43</v>
      </c>
      <c r="Z11">
        <v>400.68</v>
      </c>
      <c r="AA11">
        <v>581.2</v>
      </c>
      <c r="AB11">
        <v>798.52</v>
      </c>
      <c r="AC11">
        <v>1034.91</v>
      </c>
      <c r="AD11">
        <v>1310.83</v>
      </c>
      <c r="AE11">
        <v>1597.36</v>
      </c>
      <c r="AF11">
        <v>1895.51</v>
      </c>
      <c r="AG11">
        <v>2198.89</v>
      </c>
      <c r="AH11">
        <v>2489.27</v>
      </c>
      <c r="AI11">
        <v>2772.39</v>
      </c>
      <c r="AJ11">
        <v>3046.68</v>
      </c>
      <c r="AK11">
        <v>3294.26</v>
      </c>
      <c r="AL11">
        <v>3508.77</v>
      </c>
      <c r="AM11">
        <v>3698.88</v>
      </c>
      <c r="AN11">
        <v>3864.79</v>
      </c>
      <c r="AO11">
        <v>4017.6</v>
      </c>
      <c r="AP11">
        <v>4133.43</v>
      </c>
      <c r="AQ11">
        <v>4238.12</v>
      </c>
      <c r="AR11">
        <v>4322.42</v>
      </c>
      <c r="AS11">
        <v>4387.42</v>
      </c>
      <c r="AT11">
        <v>4449.56</v>
      </c>
      <c r="AU11">
        <v>4503.81</v>
      </c>
      <c r="AV11">
        <v>4539.89</v>
      </c>
      <c r="AW11">
        <v>4554.63</v>
      </c>
      <c r="AX11">
        <v>4564.27</v>
      </c>
      <c r="AY11">
        <v>4555.35</v>
      </c>
      <c r="AZ11">
        <v>4518.83</v>
      </c>
      <c r="BA11">
        <v>4482.83</v>
      </c>
      <c r="BB11">
        <v>4431.82</v>
      </c>
      <c r="BC11">
        <v>4351.55</v>
      </c>
      <c r="BD11">
        <v>4259.65</v>
      </c>
      <c r="BE11">
        <v>4143.89</v>
      </c>
      <c r="BF11">
        <v>3985.43</v>
      </c>
      <c r="BG11">
        <v>3820.46</v>
      </c>
      <c r="BH11">
        <v>3641.09</v>
      </c>
      <c r="BI11">
        <v>3434.77</v>
      </c>
      <c r="BJ11">
        <v>3209.2</v>
      </c>
      <c r="BK11">
        <v>2965.2</v>
      </c>
      <c r="BL11">
        <v>2701.52</v>
      </c>
      <c r="BM11">
        <v>2434</v>
      </c>
      <c r="BN11">
        <v>2151.56</v>
      </c>
      <c r="BO11">
        <v>1857.52</v>
      </c>
      <c r="BP11">
        <v>1562.38</v>
      </c>
      <c r="BQ11">
        <v>1277.52</v>
      </c>
      <c r="BR11">
        <v>1018.33</v>
      </c>
      <c r="BS11">
        <v>773.78</v>
      </c>
      <c r="BT11">
        <v>559.31</v>
      </c>
      <c r="BU11">
        <v>378.45</v>
      </c>
      <c r="BV11">
        <v>237.82</v>
      </c>
      <c r="BW11">
        <v>124.43</v>
      </c>
      <c r="BX11">
        <v>50.65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>
      <c r="A12" s="9">
        <v>46245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31.93</v>
      </c>
      <c r="W12">
        <v>85.22</v>
      </c>
      <c r="X12">
        <v>162.63</v>
      </c>
      <c r="Y12">
        <v>266.49</v>
      </c>
      <c r="Z12">
        <v>406.8</v>
      </c>
      <c r="AA12">
        <v>586.9</v>
      </c>
      <c r="AB12">
        <v>795.12</v>
      </c>
      <c r="AC12">
        <v>1028.67</v>
      </c>
      <c r="AD12">
        <v>1306.07</v>
      </c>
      <c r="AE12">
        <v>1589.95</v>
      </c>
      <c r="AF12">
        <v>1883.21</v>
      </c>
      <c r="AG12">
        <v>2181.06</v>
      </c>
      <c r="AH12">
        <v>2469.19</v>
      </c>
      <c r="AI12">
        <v>2753.09</v>
      </c>
      <c r="AJ12">
        <v>3037.4</v>
      </c>
      <c r="AK12">
        <v>3301.35</v>
      </c>
      <c r="AL12">
        <v>3544.23</v>
      </c>
      <c r="AM12">
        <v>3762.24</v>
      </c>
      <c r="AN12">
        <v>3957.39</v>
      </c>
      <c r="AO12">
        <v>4129.59</v>
      </c>
      <c r="AP12">
        <v>4262</v>
      </c>
      <c r="AQ12">
        <v>4380.17</v>
      </c>
      <c r="AR12">
        <v>4479.38</v>
      </c>
      <c r="AS12">
        <v>4550.62</v>
      </c>
      <c r="AT12">
        <v>4605.23</v>
      </c>
      <c r="AU12">
        <v>4630.88</v>
      </c>
      <c r="AV12">
        <v>4639.7</v>
      </c>
      <c r="AW12">
        <v>4618.85</v>
      </c>
      <c r="AX12">
        <v>4597.61</v>
      </c>
      <c r="AY12">
        <v>4557.27</v>
      </c>
      <c r="AZ12">
        <v>4490.07</v>
      </c>
      <c r="BA12">
        <v>4422.04</v>
      </c>
      <c r="BB12">
        <v>4343.76</v>
      </c>
      <c r="BC12">
        <v>4243.55</v>
      </c>
      <c r="BD12">
        <v>4128.39</v>
      </c>
      <c r="BE12">
        <v>3996.31</v>
      </c>
      <c r="BF12">
        <v>3832.9</v>
      </c>
      <c r="BG12">
        <v>3659.25</v>
      </c>
      <c r="BH12">
        <v>3467.1</v>
      </c>
      <c r="BI12">
        <v>3257.75</v>
      </c>
      <c r="BJ12">
        <v>3037.15</v>
      </c>
      <c r="BK12">
        <v>2801.54</v>
      </c>
      <c r="BL12">
        <v>2552.69</v>
      </c>
      <c r="BM12">
        <v>2296.26</v>
      </c>
      <c r="BN12">
        <v>2026</v>
      </c>
      <c r="BO12">
        <v>1745.88</v>
      </c>
      <c r="BP12">
        <v>1459.04</v>
      </c>
      <c r="BQ12">
        <v>1186.47</v>
      </c>
      <c r="BR12">
        <v>936.43</v>
      </c>
      <c r="BS12">
        <v>709.05</v>
      </c>
      <c r="BT12">
        <v>510.03</v>
      </c>
      <c r="BU12">
        <v>342.61</v>
      </c>
      <c r="BV12">
        <v>209.77</v>
      </c>
      <c r="BW12">
        <v>106.01</v>
      </c>
      <c r="BX12">
        <v>42.15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>
      <c r="A13" s="9">
        <v>46246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30.24</v>
      </c>
      <c r="W13">
        <v>87.47</v>
      </c>
      <c r="X13">
        <v>161.36</v>
      </c>
      <c r="Y13">
        <v>265.7</v>
      </c>
      <c r="Z13">
        <v>403.99</v>
      </c>
      <c r="AA13">
        <v>578.61</v>
      </c>
      <c r="AB13">
        <v>781.74</v>
      </c>
      <c r="AC13">
        <v>997.81</v>
      </c>
      <c r="AD13">
        <v>1252.15</v>
      </c>
      <c r="AE13">
        <v>1500.41</v>
      </c>
      <c r="AF13">
        <v>1753.01</v>
      </c>
      <c r="AG13">
        <v>2000.12</v>
      </c>
      <c r="AH13">
        <v>2233.49</v>
      </c>
      <c r="AI13">
        <v>2453.74</v>
      </c>
      <c r="AJ13">
        <v>2670.05</v>
      </c>
      <c r="AK13">
        <v>2867.23</v>
      </c>
      <c r="AL13">
        <v>3030.86</v>
      </c>
      <c r="AM13">
        <v>3176.91</v>
      </c>
      <c r="AN13">
        <v>3310.1</v>
      </c>
      <c r="AO13">
        <v>3424.06</v>
      </c>
      <c r="AP13">
        <v>3501.43</v>
      </c>
      <c r="AQ13">
        <v>3570.59</v>
      </c>
      <c r="AR13">
        <v>3623.14</v>
      </c>
      <c r="AS13">
        <v>3651.82</v>
      </c>
      <c r="AT13">
        <v>3648.45</v>
      </c>
      <c r="AU13">
        <v>3630.9</v>
      </c>
      <c r="AV13">
        <v>3601.55</v>
      </c>
      <c r="AW13">
        <v>3559.36</v>
      </c>
      <c r="AX13">
        <v>3507.18</v>
      </c>
      <c r="AY13">
        <v>3435.08</v>
      </c>
      <c r="AZ13">
        <v>3333.72</v>
      </c>
      <c r="BA13">
        <v>3239.1</v>
      </c>
      <c r="BB13">
        <v>3127.33</v>
      </c>
      <c r="BC13">
        <v>3000.73</v>
      </c>
      <c r="BD13">
        <v>2865.04</v>
      </c>
      <c r="BE13">
        <v>2716.03</v>
      </c>
      <c r="BF13">
        <v>2539.43</v>
      </c>
      <c r="BG13">
        <v>2365.17</v>
      </c>
      <c r="BH13">
        <v>2183.19</v>
      </c>
      <c r="BI13">
        <v>2009.94</v>
      </c>
      <c r="BJ13">
        <v>1833.38</v>
      </c>
      <c r="BK13">
        <v>1656.98</v>
      </c>
      <c r="BL13">
        <v>1477.36</v>
      </c>
      <c r="BM13">
        <v>1296.33</v>
      </c>
      <c r="BN13">
        <v>1123.94</v>
      </c>
      <c r="BO13">
        <v>958.99</v>
      </c>
      <c r="BP13">
        <v>792.88</v>
      </c>
      <c r="BQ13">
        <v>640.1</v>
      </c>
      <c r="BR13">
        <v>504.48</v>
      </c>
      <c r="BS13">
        <v>378.47</v>
      </c>
      <c r="BT13">
        <v>271.53</v>
      </c>
      <c r="BU13">
        <v>185.77</v>
      </c>
      <c r="BV13">
        <v>114.75</v>
      </c>
      <c r="BW13">
        <v>54.89</v>
      </c>
      <c r="BX13">
        <v>22.14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>
      <c r="A14" s="9">
        <v>46247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11.75</v>
      </c>
      <c r="W14">
        <v>31.34</v>
      </c>
      <c r="X14">
        <v>56.97</v>
      </c>
      <c r="Y14">
        <v>90.63</v>
      </c>
      <c r="Z14">
        <v>134.46</v>
      </c>
      <c r="AA14">
        <v>183.08</v>
      </c>
      <c r="AB14">
        <v>241.22</v>
      </c>
      <c r="AC14">
        <v>304.53</v>
      </c>
      <c r="AD14">
        <v>365.93</v>
      </c>
      <c r="AE14">
        <v>442.81</v>
      </c>
      <c r="AF14">
        <v>530.43</v>
      </c>
      <c r="AG14">
        <v>615.89</v>
      </c>
      <c r="AH14">
        <v>713.78</v>
      </c>
      <c r="AI14">
        <v>817.38</v>
      </c>
      <c r="AJ14">
        <v>920.54</v>
      </c>
      <c r="AK14">
        <v>1029.24</v>
      </c>
      <c r="AL14">
        <v>1128.31</v>
      </c>
      <c r="AM14">
        <v>1224.02</v>
      </c>
      <c r="AN14">
        <v>1316.39</v>
      </c>
      <c r="AO14">
        <v>1413.98</v>
      </c>
      <c r="AP14">
        <v>1503.32</v>
      </c>
      <c r="AQ14">
        <v>1591.41</v>
      </c>
      <c r="AR14">
        <v>1673.8</v>
      </c>
      <c r="AS14">
        <v>1759.54</v>
      </c>
      <c r="AT14">
        <v>1835.42</v>
      </c>
      <c r="AU14">
        <v>1911.73</v>
      </c>
      <c r="AV14">
        <v>1984.52</v>
      </c>
      <c r="AW14">
        <v>2045.18</v>
      </c>
      <c r="AX14">
        <v>2090.6</v>
      </c>
      <c r="AY14">
        <v>2121.58</v>
      </c>
      <c r="AZ14">
        <v>2152.66</v>
      </c>
      <c r="BA14">
        <v>2179.28</v>
      </c>
      <c r="BB14">
        <v>2181.09</v>
      </c>
      <c r="BC14">
        <v>2187.75</v>
      </c>
      <c r="BD14">
        <v>2189.87</v>
      </c>
      <c r="BE14">
        <v>2181.1</v>
      </c>
      <c r="BF14">
        <v>2154.01</v>
      </c>
      <c r="BG14">
        <v>2117.95</v>
      </c>
      <c r="BH14">
        <v>2064.32</v>
      </c>
      <c r="BI14">
        <v>1995.67</v>
      </c>
      <c r="BJ14">
        <v>1906.23</v>
      </c>
      <c r="BK14">
        <v>1798.22</v>
      </c>
      <c r="BL14">
        <v>1672.87</v>
      </c>
      <c r="BM14">
        <v>1540.96</v>
      </c>
      <c r="BN14">
        <v>1387.71</v>
      </c>
      <c r="BO14">
        <v>1228.61</v>
      </c>
      <c r="BP14">
        <v>1046.12</v>
      </c>
      <c r="BQ14">
        <v>869.93</v>
      </c>
      <c r="BR14">
        <v>705.99</v>
      </c>
      <c r="BS14">
        <v>546.17</v>
      </c>
      <c r="BT14">
        <v>398.4</v>
      </c>
      <c r="BU14">
        <v>270.24</v>
      </c>
      <c r="BV14">
        <v>162.24</v>
      </c>
      <c r="BW14">
        <v>80.39</v>
      </c>
      <c r="BX14">
        <v>31.69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>
      <c r="A15" s="9">
        <v>46248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25.06</v>
      </c>
      <c r="W15">
        <v>78.49</v>
      </c>
      <c r="X15">
        <v>159.6</v>
      </c>
      <c r="Y15">
        <v>272.62</v>
      </c>
      <c r="Z15">
        <v>431.44</v>
      </c>
      <c r="AA15">
        <v>637.02</v>
      </c>
      <c r="AB15">
        <v>888.48</v>
      </c>
      <c r="AC15">
        <v>1155.76</v>
      </c>
      <c r="AD15">
        <v>1469.8</v>
      </c>
      <c r="AE15">
        <v>1777.51</v>
      </c>
      <c r="AF15">
        <v>2096.93</v>
      </c>
      <c r="AG15">
        <v>2419.69</v>
      </c>
      <c r="AH15">
        <v>2728.69</v>
      </c>
      <c r="AI15">
        <v>3030.94</v>
      </c>
      <c r="AJ15">
        <v>3322.05</v>
      </c>
      <c r="AK15">
        <v>3596.76</v>
      </c>
      <c r="AL15">
        <v>3834.86</v>
      </c>
      <c r="AM15">
        <v>4047.38</v>
      </c>
      <c r="AN15">
        <v>4243.85</v>
      </c>
      <c r="AO15">
        <v>4419.68</v>
      </c>
      <c r="AP15">
        <v>4553.88</v>
      </c>
      <c r="AQ15">
        <v>4661.71</v>
      </c>
      <c r="AR15">
        <v>4744.53</v>
      </c>
      <c r="AS15">
        <v>4808.08</v>
      </c>
      <c r="AT15">
        <v>4852.1</v>
      </c>
      <c r="AU15">
        <v>4879.09</v>
      </c>
      <c r="AV15">
        <v>4883.73</v>
      </c>
      <c r="AW15">
        <v>4873.75</v>
      </c>
      <c r="AX15">
        <v>4857.63</v>
      </c>
      <c r="AY15">
        <v>4818.73</v>
      </c>
      <c r="AZ15">
        <v>4760.13</v>
      </c>
      <c r="BA15">
        <v>4690.77</v>
      </c>
      <c r="BB15">
        <v>4614.12</v>
      </c>
      <c r="BC15">
        <v>4521.06</v>
      </c>
      <c r="BD15">
        <v>4409.25</v>
      </c>
      <c r="BE15">
        <v>4282.15</v>
      </c>
      <c r="BF15">
        <v>4117.4</v>
      </c>
      <c r="BG15">
        <v>3943.97</v>
      </c>
      <c r="BH15">
        <v>3753.9</v>
      </c>
      <c r="BI15">
        <v>3539.88</v>
      </c>
      <c r="BJ15">
        <v>3306.78</v>
      </c>
      <c r="BK15">
        <v>3050.7</v>
      </c>
      <c r="BL15">
        <v>2780.6</v>
      </c>
      <c r="BM15">
        <v>2493.96</v>
      </c>
      <c r="BN15">
        <v>2196.79</v>
      </c>
      <c r="BO15">
        <v>1877.26</v>
      </c>
      <c r="BP15">
        <v>1563.88</v>
      </c>
      <c r="BQ15">
        <v>1265.26</v>
      </c>
      <c r="BR15">
        <v>997.71</v>
      </c>
      <c r="BS15">
        <v>742.77</v>
      </c>
      <c r="BT15">
        <v>521.57</v>
      </c>
      <c r="BU15">
        <v>339.34</v>
      </c>
      <c r="BV15">
        <v>198.98</v>
      </c>
      <c r="BW15">
        <v>91.24</v>
      </c>
      <c r="BX15">
        <v>30.66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>
      <c r="A16" s="9">
        <v>46249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23.89</v>
      </c>
      <c r="W16">
        <v>76.35</v>
      </c>
      <c r="X16">
        <v>155.57</v>
      </c>
      <c r="Y16">
        <v>266.59</v>
      </c>
      <c r="Z16">
        <v>417.46</v>
      </c>
      <c r="AA16">
        <v>612.08</v>
      </c>
      <c r="AB16">
        <v>847.83</v>
      </c>
      <c r="AC16">
        <v>1102</v>
      </c>
      <c r="AD16">
        <v>1405</v>
      </c>
      <c r="AE16">
        <v>1705.39</v>
      </c>
      <c r="AF16">
        <v>2019.7</v>
      </c>
      <c r="AG16">
        <v>2328.81</v>
      </c>
      <c r="AH16">
        <v>2630.46</v>
      </c>
      <c r="AI16">
        <v>2920.2</v>
      </c>
      <c r="AJ16">
        <v>3206.15</v>
      </c>
      <c r="AK16">
        <v>3470.48</v>
      </c>
      <c r="AL16">
        <v>3703.51</v>
      </c>
      <c r="AM16">
        <v>3901.48</v>
      </c>
      <c r="AN16">
        <v>4083.63</v>
      </c>
      <c r="AO16">
        <v>4242.79</v>
      </c>
      <c r="AP16">
        <v>4361.27</v>
      </c>
      <c r="AQ16">
        <v>4465.23</v>
      </c>
      <c r="AR16">
        <v>4535.9</v>
      </c>
      <c r="AS16">
        <v>4591.66</v>
      </c>
      <c r="AT16">
        <v>4626.42</v>
      </c>
      <c r="AU16">
        <v>4644.06</v>
      </c>
      <c r="AV16">
        <v>4645.31</v>
      </c>
      <c r="AW16">
        <v>4629.65</v>
      </c>
      <c r="AX16">
        <v>4607</v>
      </c>
      <c r="AY16">
        <v>4564.82</v>
      </c>
      <c r="AZ16">
        <v>4497.02</v>
      </c>
      <c r="BA16">
        <v>4424.72</v>
      </c>
      <c r="BB16">
        <v>4340.42</v>
      </c>
      <c r="BC16">
        <v>4235.04</v>
      </c>
      <c r="BD16">
        <v>4118.62</v>
      </c>
      <c r="BE16">
        <v>3985.64</v>
      </c>
      <c r="BF16">
        <v>3817.37</v>
      </c>
      <c r="BG16">
        <v>3642.27</v>
      </c>
      <c r="BH16">
        <v>3446.35</v>
      </c>
      <c r="BI16">
        <v>3236.17</v>
      </c>
      <c r="BJ16">
        <v>3005.05</v>
      </c>
      <c r="BK16">
        <v>2753.7</v>
      </c>
      <c r="BL16">
        <v>2482.94</v>
      </c>
      <c r="BM16">
        <v>2213.71</v>
      </c>
      <c r="BN16">
        <v>1943.06</v>
      </c>
      <c r="BO16">
        <v>1657.58</v>
      </c>
      <c r="BP16">
        <v>1376.03</v>
      </c>
      <c r="BQ16">
        <v>1109.78</v>
      </c>
      <c r="BR16">
        <v>871.38</v>
      </c>
      <c r="BS16">
        <v>640.7</v>
      </c>
      <c r="BT16">
        <v>451.8</v>
      </c>
      <c r="BU16">
        <v>293.5</v>
      </c>
      <c r="BV16">
        <v>174.8</v>
      </c>
      <c r="BW16">
        <v>77.95</v>
      </c>
      <c r="BX16">
        <v>28.38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9">
        <v>46250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20.56</v>
      </c>
      <c r="W17">
        <v>69.93</v>
      </c>
      <c r="X17">
        <v>148.28</v>
      </c>
      <c r="Y17">
        <v>253.36</v>
      </c>
      <c r="Z17">
        <v>399.86</v>
      </c>
      <c r="AA17">
        <v>592.92</v>
      </c>
      <c r="AB17">
        <v>827.13</v>
      </c>
      <c r="AC17">
        <v>1080.38</v>
      </c>
      <c r="AD17">
        <v>1380.95</v>
      </c>
      <c r="AE17">
        <v>1678.2</v>
      </c>
      <c r="AF17">
        <v>1989.62</v>
      </c>
      <c r="AG17">
        <v>2298.97</v>
      </c>
      <c r="AH17">
        <v>2603.26</v>
      </c>
      <c r="AI17">
        <v>2890.19</v>
      </c>
      <c r="AJ17">
        <v>3171.63</v>
      </c>
      <c r="AK17">
        <v>3425.48</v>
      </c>
      <c r="AL17">
        <v>3652.97</v>
      </c>
      <c r="AM17">
        <v>3858.67</v>
      </c>
      <c r="AN17">
        <v>4040.07</v>
      </c>
      <c r="AO17">
        <v>4194.03</v>
      </c>
      <c r="AP17">
        <v>4312.78</v>
      </c>
      <c r="AQ17">
        <v>4401.6</v>
      </c>
      <c r="AR17">
        <v>4462.58</v>
      </c>
      <c r="AS17">
        <v>4509.27</v>
      </c>
      <c r="AT17">
        <v>4522.53</v>
      </c>
      <c r="AU17">
        <v>4513.07</v>
      </c>
      <c r="AV17">
        <v>4489.94</v>
      </c>
      <c r="AW17">
        <v>4451.72</v>
      </c>
      <c r="AX17">
        <v>4401.19</v>
      </c>
      <c r="AY17">
        <v>4333.54</v>
      </c>
      <c r="AZ17">
        <v>4240.9</v>
      </c>
      <c r="BA17">
        <v>4131.15</v>
      </c>
      <c r="BB17">
        <v>4011.65</v>
      </c>
      <c r="BC17">
        <v>3867.53</v>
      </c>
      <c r="BD17">
        <v>3699.44</v>
      </c>
      <c r="BE17">
        <v>3517.42</v>
      </c>
      <c r="BF17">
        <v>3305.56</v>
      </c>
      <c r="BG17">
        <v>3072.2</v>
      </c>
      <c r="BH17">
        <v>2832.77</v>
      </c>
      <c r="BI17">
        <v>2603.11</v>
      </c>
      <c r="BJ17">
        <v>2364.45</v>
      </c>
      <c r="BK17">
        <v>2123.6</v>
      </c>
      <c r="BL17">
        <v>1872.43</v>
      </c>
      <c r="BM17">
        <v>1637.81</v>
      </c>
      <c r="BN17">
        <v>1406.29</v>
      </c>
      <c r="BO17">
        <v>1163.36</v>
      </c>
      <c r="BP17">
        <v>931.09</v>
      </c>
      <c r="BQ17">
        <v>727.57</v>
      </c>
      <c r="BR17">
        <v>555.68</v>
      </c>
      <c r="BS17">
        <v>407.67</v>
      </c>
      <c r="BT17">
        <v>283.5</v>
      </c>
      <c r="BU17">
        <v>187.13</v>
      </c>
      <c r="BV17">
        <v>107.03</v>
      </c>
      <c r="BW17">
        <v>46.17</v>
      </c>
      <c r="BX17">
        <v>14.89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9">
        <v>46251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12.13</v>
      </c>
      <c r="W18">
        <v>40.18</v>
      </c>
      <c r="X18">
        <v>81.74</v>
      </c>
      <c r="Y18">
        <v>137.06</v>
      </c>
      <c r="Z18">
        <v>212.84</v>
      </c>
      <c r="AA18">
        <v>311.4</v>
      </c>
      <c r="AB18">
        <v>427.15</v>
      </c>
      <c r="AC18">
        <v>556.32</v>
      </c>
      <c r="AD18">
        <v>697.51</v>
      </c>
      <c r="AE18">
        <v>848.27</v>
      </c>
      <c r="AF18">
        <v>1020.81</v>
      </c>
      <c r="AG18">
        <v>1190.43</v>
      </c>
      <c r="AH18">
        <v>1350.74</v>
      </c>
      <c r="AI18">
        <v>1512.97</v>
      </c>
      <c r="AJ18">
        <v>1677.01</v>
      </c>
      <c r="AK18">
        <v>1830.75</v>
      </c>
      <c r="AL18">
        <v>1974.85</v>
      </c>
      <c r="AM18">
        <v>2116.46</v>
      </c>
      <c r="AN18">
        <v>2263.86</v>
      </c>
      <c r="AO18">
        <v>2402.17</v>
      </c>
      <c r="AP18">
        <v>2540.87</v>
      </c>
      <c r="AQ18">
        <v>2685.33</v>
      </c>
      <c r="AR18">
        <v>2819.87</v>
      </c>
      <c r="AS18">
        <v>2937.1</v>
      </c>
      <c r="AT18">
        <v>3035.96</v>
      </c>
      <c r="AU18">
        <v>3131.46</v>
      </c>
      <c r="AV18">
        <v>3215.49</v>
      </c>
      <c r="AW18">
        <v>3284.04</v>
      </c>
      <c r="AX18">
        <v>3330.7</v>
      </c>
      <c r="AY18">
        <v>3371</v>
      </c>
      <c r="AZ18">
        <v>3392.66</v>
      </c>
      <c r="BA18">
        <v>3399.28</v>
      </c>
      <c r="BB18">
        <v>3380.95</v>
      </c>
      <c r="BC18">
        <v>3342.55</v>
      </c>
      <c r="BD18">
        <v>3294.67</v>
      </c>
      <c r="BE18">
        <v>3229.45</v>
      </c>
      <c r="BF18">
        <v>3144.13</v>
      </c>
      <c r="BG18">
        <v>3038.62</v>
      </c>
      <c r="BH18">
        <v>2910.74</v>
      </c>
      <c r="BI18">
        <v>2765.07</v>
      </c>
      <c r="BJ18">
        <v>2610.57</v>
      </c>
      <c r="BK18">
        <v>2428.72</v>
      </c>
      <c r="BL18">
        <v>2223.6</v>
      </c>
      <c r="BM18">
        <v>2003.37</v>
      </c>
      <c r="BN18">
        <v>1774.2</v>
      </c>
      <c r="BO18">
        <v>1535.83</v>
      </c>
      <c r="BP18">
        <v>1287.63</v>
      </c>
      <c r="BQ18">
        <v>1051.84</v>
      </c>
      <c r="BR18">
        <v>823.22</v>
      </c>
      <c r="BS18">
        <v>612.52</v>
      </c>
      <c r="BT18">
        <v>434.29</v>
      </c>
      <c r="BU18">
        <v>284.15</v>
      </c>
      <c r="BV18">
        <v>162.78</v>
      </c>
      <c r="BW18">
        <v>67.12</v>
      </c>
      <c r="BX18">
        <v>23.49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9">
        <v>46252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12.56</v>
      </c>
      <c r="W19">
        <v>48.98</v>
      </c>
      <c r="X19">
        <v>108.51</v>
      </c>
      <c r="Y19">
        <v>185.64</v>
      </c>
      <c r="Z19">
        <v>294.02</v>
      </c>
      <c r="AA19">
        <v>433.03</v>
      </c>
      <c r="AB19">
        <v>591.41</v>
      </c>
      <c r="AC19">
        <v>764.9</v>
      </c>
      <c r="AD19">
        <v>973.87</v>
      </c>
      <c r="AE19">
        <v>1176.44</v>
      </c>
      <c r="AF19">
        <v>1392.33</v>
      </c>
      <c r="AG19">
        <v>1604.81</v>
      </c>
      <c r="AH19">
        <v>1822.38</v>
      </c>
      <c r="AI19">
        <v>2024.15</v>
      </c>
      <c r="AJ19">
        <v>2223.21</v>
      </c>
      <c r="AK19">
        <v>2403.69</v>
      </c>
      <c r="AL19">
        <v>2573.92</v>
      </c>
      <c r="AM19">
        <v>2719.83</v>
      </c>
      <c r="AN19">
        <v>2869.17</v>
      </c>
      <c r="AO19">
        <v>3000.38</v>
      </c>
      <c r="AP19">
        <v>3119.37</v>
      </c>
      <c r="AQ19">
        <v>3240.81</v>
      </c>
      <c r="AR19">
        <v>3344.03</v>
      </c>
      <c r="AS19">
        <v>3432.91</v>
      </c>
      <c r="AT19">
        <v>3478.83</v>
      </c>
      <c r="AU19">
        <v>3505.04</v>
      </c>
      <c r="AV19">
        <v>3518.36</v>
      </c>
      <c r="AW19">
        <v>3526.01</v>
      </c>
      <c r="AX19">
        <v>3514.25</v>
      </c>
      <c r="AY19">
        <v>3486.36</v>
      </c>
      <c r="AZ19">
        <v>3437.15</v>
      </c>
      <c r="BA19">
        <v>3372.56</v>
      </c>
      <c r="BB19">
        <v>3304.05</v>
      </c>
      <c r="BC19">
        <v>3224.06</v>
      </c>
      <c r="BD19">
        <v>3119.54</v>
      </c>
      <c r="BE19">
        <v>3006.7</v>
      </c>
      <c r="BF19">
        <v>2877.07</v>
      </c>
      <c r="BG19">
        <v>2730.81</v>
      </c>
      <c r="BH19">
        <v>2572.94</v>
      </c>
      <c r="BI19">
        <v>2408.05</v>
      </c>
      <c r="BJ19">
        <v>2233.82</v>
      </c>
      <c r="BK19">
        <v>2048.69</v>
      </c>
      <c r="BL19">
        <v>1855.34</v>
      </c>
      <c r="BM19">
        <v>1663.4</v>
      </c>
      <c r="BN19">
        <v>1476.68</v>
      </c>
      <c r="BO19">
        <v>1264.3</v>
      </c>
      <c r="BP19">
        <v>1055.6</v>
      </c>
      <c r="BQ19">
        <v>858.04</v>
      </c>
      <c r="BR19">
        <v>678.07</v>
      </c>
      <c r="BS19">
        <v>505.78</v>
      </c>
      <c r="BT19">
        <v>354.5</v>
      </c>
      <c r="BU19">
        <v>231.48</v>
      </c>
      <c r="BV19">
        <v>132.35</v>
      </c>
      <c r="BW19">
        <v>58.97</v>
      </c>
      <c r="BX19">
        <v>22.1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9">
        <v>46253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13.27</v>
      </c>
      <c r="W20">
        <v>54.62</v>
      </c>
      <c r="X20">
        <v>122.94</v>
      </c>
      <c r="Y20">
        <v>218.29</v>
      </c>
      <c r="Z20">
        <v>360.38</v>
      </c>
      <c r="AA20">
        <v>544.54</v>
      </c>
      <c r="AB20">
        <v>759.75</v>
      </c>
      <c r="AC20">
        <v>1004.71</v>
      </c>
      <c r="AD20">
        <v>1288.71</v>
      </c>
      <c r="AE20">
        <v>1576.71</v>
      </c>
      <c r="AF20">
        <v>1879.33</v>
      </c>
      <c r="AG20">
        <v>2185.84</v>
      </c>
      <c r="AH20">
        <v>2492.04</v>
      </c>
      <c r="AI20">
        <v>2782.19</v>
      </c>
      <c r="AJ20">
        <v>3077.33</v>
      </c>
      <c r="AK20">
        <v>3337.55</v>
      </c>
      <c r="AL20">
        <v>3575.62</v>
      </c>
      <c r="AM20">
        <v>3784.58</v>
      </c>
      <c r="AN20">
        <v>3981.41</v>
      </c>
      <c r="AO20">
        <v>4137.77</v>
      </c>
      <c r="AP20">
        <v>4263.89</v>
      </c>
      <c r="AQ20">
        <v>4371.31</v>
      </c>
      <c r="AR20">
        <v>4466.41</v>
      </c>
      <c r="AS20">
        <v>4539.11</v>
      </c>
      <c r="AT20">
        <v>4573.23</v>
      </c>
      <c r="AU20">
        <v>4587.86</v>
      </c>
      <c r="AV20">
        <v>4590.06</v>
      </c>
      <c r="AW20">
        <v>4576.9</v>
      </c>
      <c r="AX20">
        <v>4547.02</v>
      </c>
      <c r="AY20">
        <v>4511.78</v>
      </c>
      <c r="AZ20">
        <v>4447.69</v>
      </c>
      <c r="BA20">
        <v>4372.47</v>
      </c>
      <c r="BB20">
        <v>4282.53</v>
      </c>
      <c r="BC20">
        <v>4169.09</v>
      </c>
      <c r="BD20">
        <v>4035.41</v>
      </c>
      <c r="BE20">
        <v>3901.42</v>
      </c>
      <c r="BF20">
        <v>3733.09</v>
      </c>
      <c r="BG20">
        <v>3545.99</v>
      </c>
      <c r="BH20">
        <v>3337.56</v>
      </c>
      <c r="BI20">
        <v>3113.6</v>
      </c>
      <c r="BJ20">
        <v>2877.17</v>
      </c>
      <c r="BK20">
        <v>2631.13</v>
      </c>
      <c r="BL20">
        <v>2372.09</v>
      </c>
      <c r="BM20">
        <v>2111.69</v>
      </c>
      <c r="BN20">
        <v>1856.7</v>
      </c>
      <c r="BO20">
        <v>1579.87</v>
      </c>
      <c r="BP20">
        <v>1307.02</v>
      </c>
      <c r="BQ20">
        <v>1047.35</v>
      </c>
      <c r="BR20">
        <v>815.16</v>
      </c>
      <c r="BS20">
        <v>598.72</v>
      </c>
      <c r="BT20">
        <v>411.52</v>
      </c>
      <c r="BU20">
        <v>260.65</v>
      </c>
      <c r="BV20">
        <v>146.73</v>
      </c>
      <c r="BW20">
        <v>59.47</v>
      </c>
      <c r="BX20">
        <v>19.13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9">
        <v>46254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12.82</v>
      </c>
      <c r="W21">
        <v>55.7</v>
      </c>
      <c r="X21">
        <v>124.99</v>
      </c>
      <c r="Y21">
        <v>223.14</v>
      </c>
      <c r="Z21">
        <v>366.3</v>
      </c>
      <c r="AA21">
        <v>551.51</v>
      </c>
      <c r="AB21">
        <v>770.54</v>
      </c>
      <c r="AC21">
        <v>1014.36</v>
      </c>
      <c r="AD21">
        <v>1296.02</v>
      </c>
      <c r="AE21">
        <v>1582.24</v>
      </c>
      <c r="AF21">
        <v>1883.65</v>
      </c>
      <c r="AG21">
        <v>2183.18</v>
      </c>
      <c r="AH21">
        <v>2502.96</v>
      </c>
      <c r="AI21">
        <v>2811.59</v>
      </c>
      <c r="AJ21">
        <v>3107.66</v>
      </c>
      <c r="AK21">
        <v>3375.65</v>
      </c>
      <c r="AL21">
        <v>3620.84</v>
      </c>
      <c r="AM21">
        <v>3852.92</v>
      </c>
      <c r="AN21">
        <v>4064.46</v>
      </c>
      <c r="AO21">
        <v>4242.01</v>
      </c>
      <c r="AP21">
        <v>4384.94</v>
      </c>
      <c r="AQ21">
        <v>4505.99</v>
      </c>
      <c r="AR21">
        <v>4608.73</v>
      </c>
      <c r="AS21">
        <v>4695.12</v>
      </c>
      <c r="AT21">
        <v>4744.64</v>
      </c>
      <c r="AU21">
        <v>4767.43</v>
      </c>
      <c r="AV21">
        <v>4779.79</v>
      </c>
      <c r="AW21">
        <v>4770.75</v>
      </c>
      <c r="AX21">
        <v>4751.52</v>
      </c>
      <c r="AY21">
        <v>4711.16</v>
      </c>
      <c r="AZ21">
        <v>4645.03</v>
      </c>
      <c r="BA21">
        <v>4564.09</v>
      </c>
      <c r="BB21">
        <v>4469.32</v>
      </c>
      <c r="BC21">
        <v>4359.23</v>
      </c>
      <c r="BD21">
        <v>4216.49</v>
      </c>
      <c r="BE21">
        <v>4065.26</v>
      </c>
      <c r="BF21">
        <v>3886.84</v>
      </c>
      <c r="BG21">
        <v>3690.36</v>
      </c>
      <c r="BH21">
        <v>3481.52</v>
      </c>
      <c r="BI21">
        <v>3264.29</v>
      </c>
      <c r="BJ21">
        <v>3027.2</v>
      </c>
      <c r="BK21">
        <v>2765.95</v>
      </c>
      <c r="BL21">
        <v>2492.66</v>
      </c>
      <c r="BM21">
        <v>2212.51</v>
      </c>
      <c r="BN21">
        <v>1942.7</v>
      </c>
      <c r="BO21">
        <v>1645.64</v>
      </c>
      <c r="BP21">
        <v>1353.26</v>
      </c>
      <c r="BQ21">
        <v>1072.46</v>
      </c>
      <c r="BR21">
        <v>827.98</v>
      </c>
      <c r="BS21">
        <v>601.95</v>
      </c>
      <c r="BT21">
        <v>409.76</v>
      </c>
      <c r="BU21">
        <v>249.38</v>
      </c>
      <c r="BV21">
        <v>133.93</v>
      </c>
      <c r="BW21">
        <v>56.24</v>
      </c>
      <c r="BX21">
        <v>16.79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9">
        <v>46255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11.15</v>
      </c>
      <c r="W22">
        <v>52.28</v>
      </c>
      <c r="X22">
        <v>120.25</v>
      </c>
      <c r="Y22">
        <v>217.12</v>
      </c>
      <c r="Z22">
        <v>359.41</v>
      </c>
      <c r="AA22">
        <v>543.78</v>
      </c>
      <c r="AB22">
        <v>761.66</v>
      </c>
      <c r="AC22">
        <v>1000.91</v>
      </c>
      <c r="AD22">
        <v>1281.83</v>
      </c>
      <c r="AE22">
        <v>1558.65</v>
      </c>
      <c r="AF22">
        <v>1856.56</v>
      </c>
      <c r="AG22">
        <v>2152.27</v>
      </c>
      <c r="AH22">
        <v>2464</v>
      </c>
      <c r="AI22">
        <v>2760.48</v>
      </c>
      <c r="AJ22">
        <v>3045.02</v>
      </c>
      <c r="AK22">
        <v>3303.33</v>
      </c>
      <c r="AL22">
        <v>3537.66</v>
      </c>
      <c r="AM22">
        <v>3752.11</v>
      </c>
      <c r="AN22">
        <v>3952.68</v>
      </c>
      <c r="AO22">
        <v>4119.3</v>
      </c>
      <c r="AP22">
        <v>4270.45</v>
      </c>
      <c r="AQ22">
        <v>4406.72</v>
      </c>
      <c r="AR22">
        <v>4514.41</v>
      </c>
      <c r="AS22">
        <v>4609.98</v>
      </c>
      <c r="AT22">
        <v>4677.74</v>
      </c>
      <c r="AU22">
        <v>4712.69</v>
      </c>
      <c r="AV22">
        <v>4735.91</v>
      </c>
      <c r="AW22">
        <v>4743.01</v>
      </c>
      <c r="AX22">
        <v>4726.21</v>
      </c>
      <c r="AY22">
        <v>4686.86</v>
      </c>
      <c r="AZ22">
        <v>4615.73</v>
      </c>
      <c r="BA22">
        <v>4529.45</v>
      </c>
      <c r="BB22">
        <v>4438.21</v>
      </c>
      <c r="BC22">
        <v>4318.13</v>
      </c>
      <c r="BD22">
        <v>4182.24</v>
      </c>
      <c r="BE22">
        <v>4032.85</v>
      </c>
      <c r="BF22">
        <v>3849.9</v>
      </c>
      <c r="BG22">
        <v>3656.29</v>
      </c>
      <c r="BH22">
        <v>3444.39</v>
      </c>
      <c r="BI22">
        <v>3212.96</v>
      </c>
      <c r="BJ22">
        <v>2969.16</v>
      </c>
      <c r="BK22">
        <v>2700.6</v>
      </c>
      <c r="BL22">
        <v>2418.93</v>
      </c>
      <c r="BM22">
        <v>2145.12</v>
      </c>
      <c r="BN22">
        <v>1885.19</v>
      </c>
      <c r="BO22">
        <v>1597.07</v>
      </c>
      <c r="BP22">
        <v>1313.37</v>
      </c>
      <c r="BQ22">
        <v>1045.54</v>
      </c>
      <c r="BR22">
        <v>807.18</v>
      </c>
      <c r="BS22">
        <v>588.56</v>
      </c>
      <c r="BT22">
        <v>397.92</v>
      </c>
      <c r="BU22">
        <v>239.3</v>
      </c>
      <c r="BV22">
        <v>123.93</v>
      </c>
      <c r="BW22">
        <v>53.35</v>
      </c>
      <c r="BX22">
        <v>15.72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>
      <c r="A23" s="9">
        <v>46256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9.27</v>
      </c>
      <c r="W23">
        <v>47.14</v>
      </c>
      <c r="X23">
        <v>106.58</v>
      </c>
      <c r="Y23">
        <v>193.88</v>
      </c>
      <c r="Z23">
        <v>322.2</v>
      </c>
      <c r="AA23">
        <v>488.64</v>
      </c>
      <c r="AB23">
        <v>686.91</v>
      </c>
      <c r="AC23">
        <v>905.77</v>
      </c>
      <c r="AD23">
        <v>1162.83</v>
      </c>
      <c r="AE23">
        <v>1415.32</v>
      </c>
      <c r="AF23">
        <v>1685.14</v>
      </c>
      <c r="AG23">
        <v>1949.39</v>
      </c>
      <c r="AH23">
        <v>2230.08</v>
      </c>
      <c r="AI23">
        <v>2499.27</v>
      </c>
      <c r="AJ23">
        <v>2767.34</v>
      </c>
      <c r="AK23">
        <v>3016.3</v>
      </c>
      <c r="AL23">
        <v>3239.42</v>
      </c>
      <c r="AM23">
        <v>3444.93</v>
      </c>
      <c r="AN23">
        <v>3639.89</v>
      </c>
      <c r="AO23">
        <v>3804.5</v>
      </c>
      <c r="AP23">
        <v>3948.6</v>
      </c>
      <c r="AQ23">
        <v>4069.11</v>
      </c>
      <c r="AR23">
        <v>4164.6</v>
      </c>
      <c r="AS23">
        <v>4247.39</v>
      </c>
      <c r="AT23">
        <v>4295.15</v>
      </c>
      <c r="AU23">
        <v>4319.78</v>
      </c>
      <c r="AV23">
        <v>4323.93</v>
      </c>
      <c r="AW23">
        <v>4315.98</v>
      </c>
      <c r="AX23">
        <v>4287.83</v>
      </c>
      <c r="AY23">
        <v>4251.76</v>
      </c>
      <c r="AZ23">
        <v>4193.49</v>
      </c>
      <c r="BA23">
        <v>4121.65</v>
      </c>
      <c r="BB23">
        <v>4040.1</v>
      </c>
      <c r="BC23">
        <v>3939.74</v>
      </c>
      <c r="BD23">
        <v>3819.06</v>
      </c>
      <c r="BE23">
        <v>3681.87</v>
      </c>
      <c r="BF23">
        <v>3525.13</v>
      </c>
      <c r="BG23">
        <v>3358.13</v>
      </c>
      <c r="BH23">
        <v>3170.77</v>
      </c>
      <c r="BI23">
        <v>2972.56</v>
      </c>
      <c r="BJ23">
        <v>2757.61</v>
      </c>
      <c r="BK23">
        <v>2518.08</v>
      </c>
      <c r="BL23">
        <v>2267.95</v>
      </c>
      <c r="BM23">
        <v>2011.4</v>
      </c>
      <c r="BN23">
        <v>1765.21</v>
      </c>
      <c r="BO23">
        <v>1495.09</v>
      </c>
      <c r="BP23">
        <v>1231.78</v>
      </c>
      <c r="BQ23">
        <v>979.28</v>
      </c>
      <c r="BR23">
        <v>755.71</v>
      </c>
      <c r="BS23">
        <v>549.96</v>
      </c>
      <c r="BT23">
        <v>371.35</v>
      </c>
      <c r="BU23">
        <v>221.58</v>
      </c>
      <c r="BV23">
        <v>112.89</v>
      </c>
      <c r="BW23">
        <v>50.46</v>
      </c>
      <c r="BX23">
        <v>15.68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>
      <c r="A24" s="9">
        <v>46257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9.38</v>
      </c>
      <c r="W24">
        <v>41.46</v>
      </c>
      <c r="X24">
        <v>96.46</v>
      </c>
      <c r="Y24">
        <v>176.69</v>
      </c>
      <c r="Z24">
        <v>295.76</v>
      </c>
      <c r="AA24">
        <v>452.25</v>
      </c>
      <c r="AB24">
        <v>633.71</v>
      </c>
      <c r="AC24">
        <v>844.75</v>
      </c>
      <c r="AD24">
        <v>1061.2</v>
      </c>
      <c r="AE24">
        <v>1287.52</v>
      </c>
      <c r="AF24">
        <v>1520.03</v>
      </c>
      <c r="AG24">
        <v>1749.58</v>
      </c>
      <c r="AH24">
        <v>1993.68</v>
      </c>
      <c r="AI24">
        <v>2222.99</v>
      </c>
      <c r="AJ24">
        <v>2444.87</v>
      </c>
      <c r="AK24">
        <v>2643.53</v>
      </c>
      <c r="AL24">
        <v>2823.93</v>
      </c>
      <c r="AM24">
        <v>2981.43</v>
      </c>
      <c r="AN24">
        <v>3130.51</v>
      </c>
      <c r="AO24">
        <v>3254.92</v>
      </c>
      <c r="AP24">
        <v>3363</v>
      </c>
      <c r="AQ24">
        <v>3455.7</v>
      </c>
      <c r="AR24">
        <v>3534.6</v>
      </c>
      <c r="AS24">
        <v>3602.97</v>
      </c>
      <c r="AT24">
        <v>3639.12</v>
      </c>
      <c r="AU24">
        <v>3665.19</v>
      </c>
      <c r="AV24">
        <v>3678.79</v>
      </c>
      <c r="AW24">
        <v>3688.51</v>
      </c>
      <c r="AX24">
        <v>3674.13</v>
      </c>
      <c r="AY24">
        <v>3643.68</v>
      </c>
      <c r="AZ24">
        <v>3586.92</v>
      </c>
      <c r="BA24">
        <v>3507.14</v>
      </c>
      <c r="BB24">
        <v>3418.11</v>
      </c>
      <c r="BC24">
        <v>3320.61</v>
      </c>
      <c r="BD24">
        <v>3192.33</v>
      </c>
      <c r="BE24">
        <v>3064.46</v>
      </c>
      <c r="BF24">
        <v>2897.08</v>
      </c>
      <c r="BG24">
        <v>2719.78</v>
      </c>
      <c r="BH24">
        <v>2533.89</v>
      </c>
      <c r="BI24">
        <v>2352.14</v>
      </c>
      <c r="BJ24">
        <v>2149.02</v>
      </c>
      <c r="BK24">
        <v>1946.59</v>
      </c>
      <c r="BL24">
        <v>1736.44</v>
      </c>
      <c r="BM24">
        <v>1533.5</v>
      </c>
      <c r="BN24">
        <v>1339.65</v>
      </c>
      <c r="BO24">
        <v>1134.29</v>
      </c>
      <c r="BP24">
        <v>925.82</v>
      </c>
      <c r="BQ24">
        <v>738.39</v>
      </c>
      <c r="BR24">
        <v>564.8</v>
      </c>
      <c r="BS24">
        <v>413.91</v>
      </c>
      <c r="BT24">
        <v>277.33</v>
      </c>
      <c r="BU24">
        <v>164.26</v>
      </c>
      <c r="BV24">
        <v>82.8</v>
      </c>
      <c r="BW24">
        <v>37.07</v>
      </c>
      <c r="BX24">
        <v>12.09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>
      <c r="A25" s="9">
        <v>46258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4.15</v>
      </c>
      <c r="W25">
        <v>19.58</v>
      </c>
      <c r="X25">
        <v>47.91</v>
      </c>
      <c r="Y25">
        <v>86.41</v>
      </c>
      <c r="Z25">
        <v>138.32</v>
      </c>
      <c r="AA25">
        <v>204.56</v>
      </c>
      <c r="AB25">
        <v>280.54</v>
      </c>
      <c r="AC25">
        <v>363.93</v>
      </c>
      <c r="AD25">
        <v>455.33</v>
      </c>
      <c r="AE25">
        <v>557.55</v>
      </c>
      <c r="AF25">
        <v>669.98</v>
      </c>
      <c r="AG25">
        <v>789.43</v>
      </c>
      <c r="AH25">
        <v>924.24</v>
      </c>
      <c r="AI25">
        <v>1061.86</v>
      </c>
      <c r="AJ25">
        <v>1206.62</v>
      </c>
      <c r="AK25">
        <v>1355.82</v>
      </c>
      <c r="AL25">
        <v>1489.74</v>
      </c>
      <c r="AM25">
        <v>1619.96</v>
      </c>
      <c r="AN25">
        <v>1747.89</v>
      </c>
      <c r="AO25">
        <v>1875.88</v>
      </c>
      <c r="AP25">
        <v>2003.45</v>
      </c>
      <c r="AQ25">
        <v>2132.38</v>
      </c>
      <c r="AR25">
        <v>2251.42</v>
      </c>
      <c r="AS25">
        <v>2369.54</v>
      </c>
      <c r="AT25">
        <v>2478.62</v>
      </c>
      <c r="AU25">
        <v>2578.95</v>
      </c>
      <c r="AV25">
        <v>2662.35</v>
      </c>
      <c r="AW25">
        <v>2729.31</v>
      </c>
      <c r="AX25">
        <v>2787.66</v>
      </c>
      <c r="AY25">
        <v>2829.01</v>
      </c>
      <c r="AZ25">
        <v>2850.22</v>
      </c>
      <c r="BA25">
        <v>2868.1</v>
      </c>
      <c r="BB25">
        <v>2879.62</v>
      </c>
      <c r="BC25">
        <v>2878.08</v>
      </c>
      <c r="BD25">
        <v>2878.64</v>
      </c>
      <c r="BE25">
        <v>2859.57</v>
      </c>
      <c r="BF25">
        <v>2827.39</v>
      </c>
      <c r="BG25">
        <v>2768.09</v>
      </c>
      <c r="BH25">
        <v>2690.8</v>
      </c>
      <c r="BI25">
        <v>2586.74</v>
      </c>
      <c r="BJ25">
        <v>2444.84</v>
      </c>
      <c r="BK25">
        <v>2268.1</v>
      </c>
      <c r="BL25">
        <v>2069.42</v>
      </c>
      <c r="BM25">
        <v>1859.33</v>
      </c>
      <c r="BN25">
        <v>1648.98</v>
      </c>
      <c r="BO25">
        <v>1427.99</v>
      </c>
      <c r="BP25">
        <v>1182.65</v>
      </c>
      <c r="BQ25">
        <v>957</v>
      </c>
      <c r="BR25">
        <v>743.28</v>
      </c>
      <c r="BS25">
        <v>546.89</v>
      </c>
      <c r="BT25">
        <v>368.92</v>
      </c>
      <c r="BU25">
        <v>218.66</v>
      </c>
      <c r="BV25">
        <v>107.82</v>
      </c>
      <c r="BW25">
        <v>44.65</v>
      </c>
      <c r="BX25">
        <v>15.48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>
      <c r="A26" s="9">
        <v>46259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5.98</v>
      </c>
      <c r="W26">
        <v>33.72</v>
      </c>
      <c r="X26">
        <v>83.44</v>
      </c>
      <c r="Y26">
        <v>154.3</v>
      </c>
      <c r="Z26">
        <v>257.03</v>
      </c>
      <c r="AA26">
        <v>396.38</v>
      </c>
      <c r="AB26">
        <v>556.8</v>
      </c>
      <c r="AC26">
        <v>734</v>
      </c>
      <c r="AD26">
        <v>924.82</v>
      </c>
      <c r="AE26">
        <v>1130.07</v>
      </c>
      <c r="AF26">
        <v>1349.83</v>
      </c>
      <c r="AG26">
        <v>1570.31</v>
      </c>
      <c r="AH26">
        <v>1815.63</v>
      </c>
      <c r="AI26">
        <v>2048.47</v>
      </c>
      <c r="AJ26">
        <v>2270.9</v>
      </c>
      <c r="AK26">
        <v>2467.57</v>
      </c>
      <c r="AL26">
        <v>2641.75</v>
      </c>
      <c r="AM26">
        <v>2804.5</v>
      </c>
      <c r="AN26">
        <v>2949.66</v>
      </c>
      <c r="AO26">
        <v>3070.98</v>
      </c>
      <c r="AP26">
        <v>3159.85</v>
      </c>
      <c r="AQ26">
        <v>3225.92</v>
      </c>
      <c r="AR26">
        <v>3275.38</v>
      </c>
      <c r="AS26">
        <v>3310.3</v>
      </c>
      <c r="AT26">
        <v>3287.53</v>
      </c>
      <c r="AU26">
        <v>3252.94</v>
      </c>
      <c r="AV26">
        <v>3205.16</v>
      </c>
      <c r="AW26">
        <v>3139.02</v>
      </c>
      <c r="AX26">
        <v>3081.55</v>
      </c>
      <c r="AY26">
        <v>3028.74</v>
      </c>
      <c r="AZ26">
        <v>2943.7</v>
      </c>
      <c r="BA26">
        <v>2850.97</v>
      </c>
      <c r="BB26">
        <v>2741.56</v>
      </c>
      <c r="BC26">
        <v>2607.76</v>
      </c>
      <c r="BD26">
        <v>2466.18</v>
      </c>
      <c r="BE26">
        <v>2303.97</v>
      </c>
      <c r="BF26">
        <v>2133.35</v>
      </c>
      <c r="BG26">
        <v>1958.23</v>
      </c>
      <c r="BH26">
        <v>1785.37</v>
      </c>
      <c r="BI26">
        <v>1621.75</v>
      </c>
      <c r="BJ26">
        <v>1473.6</v>
      </c>
      <c r="BK26">
        <v>1316.66</v>
      </c>
      <c r="BL26">
        <v>1165.54</v>
      </c>
      <c r="BM26">
        <v>1018.52</v>
      </c>
      <c r="BN26">
        <v>874.68</v>
      </c>
      <c r="BO26">
        <v>727.9</v>
      </c>
      <c r="BP26">
        <v>591.33</v>
      </c>
      <c r="BQ26">
        <v>466.76</v>
      </c>
      <c r="BR26">
        <v>352.75</v>
      </c>
      <c r="BS26">
        <v>257.01</v>
      </c>
      <c r="BT26">
        <v>174.34</v>
      </c>
      <c r="BU26">
        <v>103.1</v>
      </c>
      <c r="BV26">
        <v>49.55</v>
      </c>
      <c r="BW26">
        <v>20.92</v>
      </c>
      <c r="BX26">
        <v>2.95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9">
        <v>46260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4.44</v>
      </c>
      <c r="W27">
        <v>28.24</v>
      </c>
      <c r="X27">
        <v>73.01</v>
      </c>
      <c r="Y27">
        <v>134.93</v>
      </c>
      <c r="Z27">
        <v>229.08</v>
      </c>
      <c r="AA27">
        <v>356.66</v>
      </c>
      <c r="AB27">
        <v>515.84</v>
      </c>
      <c r="AC27">
        <v>705.27</v>
      </c>
      <c r="AD27">
        <v>927.65</v>
      </c>
      <c r="AE27">
        <v>1145.04</v>
      </c>
      <c r="AF27">
        <v>1383.34</v>
      </c>
      <c r="AG27">
        <v>1619.89</v>
      </c>
      <c r="AH27">
        <v>1864.89</v>
      </c>
      <c r="AI27">
        <v>2108.56</v>
      </c>
      <c r="AJ27">
        <v>2350.33</v>
      </c>
      <c r="AK27">
        <v>2572.15</v>
      </c>
      <c r="AL27">
        <v>2777.47</v>
      </c>
      <c r="AM27">
        <v>2957.6</v>
      </c>
      <c r="AN27">
        <v>3124.75</v>
      </c>
      <c r="AO27">
        <v>3262.22</v>
      </c>
      <c r="AP27">
        <v>3387.5</v>
      </c>
      <c r="AQ27">
        <v>3504.21</v>
      </c>
      <c r="AR27">
        <v>3600.81</v>
      </c>
      <c r="AS27">
        <v>3687.38</v>
      </c>
      <c r="AT27">
        <v>3751.17</v>
      </c>
      <c r="AU27">
        <v>3799.06</v>
      </c>
      <c r="AV27">
        <v>3844.87</v>
      </c>
      <c r="AW27">
        <v>3885.96</v>
      </c>
      <c r="AX27">
        <v>3893.94</v>
      </c>
      <c r="AY27">
        <v>3890.3</v>
      </c>
      <c r="AZ27">
        <v>3862.65</v>
      </c>
      <c r="BA27">
        <v>3816.67</v>
      </c>
      <c r="BB27">
        <v>3753.21</v>
      </c>
      <c r="BC27">
        <v>3687.76</v>
      </c>
      <c r="BD27">
        <v>3597.45</v>
      </c>
      <c r="BE27">
        <v>3498.92</v>
      </c>
      <c r="BF27">
        <v>3375.14</v>
      </c>
      <c r="BG27">
        <v>3223.1</v>
      </c>
      <c r="BH27">
        <v>3051.49</v>
      </c>
      <c r="BI27">
        <v>2867.84</v>
      </c>
      <c r="BJ27">
        <v>2663.34</v>
      </c>
      <c r="BK27">
        <v>2454.99</v>
      </c>
      <c r="BL27">
        <v>2218.27</v>
      </c>
      <c r="BM27">
        <v>1970.95</v>
      </c>
      <c r="BN27">
        <v>1733.15</v>
      </c>
      <c r="BO27">
        <v>1467.66</v>
      </c>
      <c r="BP27">
        <v>1197.86</v>
      </c>
      <c r="BQ27">
        <v>948.71</v>
      </c>
      <c r="BR27">
        <v>725.78</v>
      </c>
      <c r="BS27">
        <v>514.96</v>
      </c>
      <c r="BT27">
        <v>331.4</v>
      </c>
      <c r="BU27">
        <v>189.15</v>
      </c>
      <c r="BV27">
        <v>81.43</v>
      </c>
      <c r="BW27">
        <v>35.18</v>
      </c>
      <c r="BX27">
        <v>8.69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9">
        <v>46261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5.89</v>
      </c>
      <c r="W28">
        <v>41.48</v>
      </c>
      <c r="X28">
        <v>109.28</v>
      </c>
      <c r="Y28">
        <v>213.7</v>
      </c>
      <c r="Z28">
        <v>376.95</v>
      </c>
      <c r="AA28">
        <v>603.34</v>
      </c>
      <c r="AB28">
        <v>885.41</v>
      </c>
      <c r="AC28">
        <v>1204.67</v>
      </c>
      <c r="AD28">
        <v>1558.26</v>
      </c>
      <c r="AE28">
        <v>1911.62</v>
      </c>
      <c r="AF28">
        <v>2265.88</v>
      </c>
      <c r="AG28">
        <v>2620.59</v>
      </c>
      <c r="AH28">
        <v>2961.23</v>
      </c>
      <c r="AI28">
        <v>3274.76</v>
      </c>
      <c r="AJ28">
        <v>3587.08</v>
      </c>
      <c r="AK28">
        <v>3870.21</v>
      </c>
      <c r="AL28">
        <v>4119.13</v>
      </c>
      <c r="AM28">
        <v>4330.98</v>
      </c>
      <c r="AN28">
        <v>4515.91</v>
      </c>
      <c r="AO28">
        <v>4670.12</v>
      </c>
      <c r="AP28">
        <v>4796.76</v>
      </c>
      <c r="AQ28">
        <v>4904.89</v>
      </c>
      <c r="AR28">
        <v>4985.13</v>
      </c>
      <c r="AS28">
        <v>5045.61</v>
      </c>
      <c r="AT28">
        <v>5074.77</v>
      </c>
      <c r="AU28">
        <v>5086.58</v>
      </c>
      <c r="AV28">
        <v>5085.71</v>
      </c>
      <c r="AW28">
        <v>5071.37</v>
      </c>
      <c r="AX28">
        <v>5040.83</v>
      </c>
      <c r="AY28">
        <v>4996.51</v>
      </c>
      <c r="AZ28">
        <v>4925.57</v>
      </c>
      <c r="BA28">
        <v>4842.97</v>
      </c>
      <c r="BB28">
        <v>4746.84</v>
      </c>
      <c r="BC28">
        <v>4625.64</v>
      </c>
      <c r="BD28">
        <v>4476.79</v>
      </c>
      <c r="BE28">
        <v>4306.72</v>
      </c>
      <c r="BF28">
        <v>4103.06</v>
      </c>
      <c r="BG28">
        <v>3874.07</v>
      </c>
      <c r="BH28">
        <v>3629.58</v>
      </c>
      <c r="BI28">
        <v>3369.55</v>
      </c>
      <c r="BJ28">
        <v>3083.79</v>
      </c>
      <c r="BK28">
        <v>2774.93</v>
      </c>
      <c r="BL28">
        <v>2457.47</v>
      </c>
      <c r="BM28">
        <v>2141.64</v>
      </c>
      <c r="BN28">
        <v>1841.3</v>
      </c>
      <c r="BO28">
        <v>1517.02</v>
      </c>
      <c r="BP28">
        <v>1210.14</v>
      </c>
      <c r="BQ28">
        <v>925.83</v>
      </c>
      <c r="BR28">
        <v>691.1</v>
      </c>
      <c r="BS28">
        <v>478.45</v>
      </c>
      <c r="BT28">
        <v>302.24</v>
      </c>
      <c r="BU28">
        <v>168.17</v>
      </c>
      <c r="BV28">
        <v>70.82</v>
      </c>
      <c r="BW28">
        <v>29.71</v>
      </c>
      <c r="BX28">
        <v>2.57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9">
        <v>46262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2.88</v>
      </c>
      <c r="W29">
        <v>16.58</v>
      </c>
      <c r="X29">
        <v>48.59</v>
      </c>
      <c r="Y29">
        <v>88.52</v>
      </c>
      <c r="Z29">
        <v>147.02</v>
      </c>
      <c r="AA29">
        <v>218.56</v>
      </c>
      <c r="AB29">
        <v>301.93</v>
      </c>
      <c r="AC29">
        <v>410.74</v>
      </c>
      <c r="AD29">
        <v>528.39</v>
      </c>
      <c r="AE29">
        <v>649.62</v>
      </c>
      <c r="AF29">
        <v>785.78</v>
      </c>
      <c r="AG29">
        <v>914.71</v>
      </c>
      <c r="AH29">
        <v>1045.49</v>
      </c>
      <c r="AI29">
        <v>1178.11</v>
      </c>
      <c r="AJ29">
        <v>1304.77</v>
      </c>
      <c r="AK29">
        <v>1428.32</v>
      </c>
      <c r="AL29">
        <v>1560.32</v>
      </c>
      <c r="AM29">
        <v>1681.24</v>
      </c>
      <c r="AN29">
        <v>1823.91</v>
      </c>
      <c r="AO29">
        <v>1943.19</v>
      </c>
      <c r="AP29">
        <v>2059.96</v>
      </c>
      <c r="AQ29">
        <v>2166</v>
      </c>
      <c r="AR29">
        <v>2268.59</v>
      </c>
      <c r="AS29">
        <v>2371.67</v>
      </c>
      <c r="AT29">
        <v>2452.27</v>
      </c>
      <c r="AU29">
        <v>2519.11</v>
      </c>
      <c r="AV29">
        <v>2575.68</v>
      </c>
      <c r="AW29">
        <v>2617.25</v>
      </c>
      <c r="AX29">
        <v>2639.43</v>
      </c>
      <c r="AY29">
        <v>2659.39</v>
      </c>
      <c r="AZ29">
        <v>2644.97</v>
      </c>
      <c r="BA29">
        <v>2618.2</v>
      </c>
      <c r="BB29">
        <v>2576.49</v>
      </c>
      <c r="BC29">
        <v>2516.27</v>
      </c>
      <c r="BD29">
        <v>2432.27</v>
      </c>
      <c r="BE29">
        <v>2352.68</v>
      </c>
      <c r="BF29">
        <v>2242.15</v>
      </c>
      <c r="BG29">
        <v>2116.29</v>
      </c>
      <c r="BH29">
        <v>1977.03</v>
      </c>
      <c r="BI29">
        <v>1836.65</v>
      </c>
      <c r="BJ29">
        <v>1675.06</v>
      </c>
      <c r="BK29">
        <v>1512.69</v>
      </c>
      <c r="BL29">
        <v>1335.07</v>
      </c>
      <c r="BM29">
        <v>1160.2</v>
      </c>
      <c r="BN29">
        <v>986.13</v>
      </c>
      <c r="BO29">
        <v>812.51</v>
      </c>
      <c r="BP29">
        <v>630.22</v>
      </c>
      <c r="BQ29">
        <v>486.53</v>
      </c>
      <c r="BR29">
        <v>359.83</v>
      </c>
      <c r="BS29">
        <v>252.4</v>
      </c>
      <c r="BT29">
        <v>165.52</v>
      </c>
      <c r="BU29">
        <v>93.9</v>
      </c>
      <c r="BV29">
        <v>40.59</v>
      </c>
      <c r="BW29">
        <v>13.65</v>
      </c>
      <c r="BX29">
        <v>0.66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9">
        <v>46263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3.18</v>
      </c>
      <c r="W30">
        <v>20.77</v>
      </c>
      <c r="X30">
        <v>66.94</v>
      </c>
      <c r="Y30">
        <v>130.47</v>
      </c>
      <c r="Z30">
        <v>226.98</v>
      </c>
      <c r="AA30">
        <v>359.13</v>
      </c>
      <c r="AB30">
        <v>523.92</v>
      </c>
      <c r="AC30">
        <v>719.33</v>
      </c>
      <c r="AD30">
        <v>949.92</v>
      </c>
      <c r="AE30">
        <v>1186.77</v>
      </c>
      <c r="AF30">
        <v>1438.69</v>
      </c>
      <c r="AG30">
        <v>1688.21</v>
      </c>
      <c r="AH30">
        <v>1953.19</v>
      </c>
      <c r="AI30">
        <v>2216.17</v>
      </c>
      <c r="AJ30">
        <v>2483.27</v>
      </c>
      <c r="AK30">
        <v>2737.77</v>
      </c>
      <c r="AL30">
        <v>2978.84</v>
      </c>
      <c r="AM30">
        <v>3178.21</v>
      </c>
      <c r="AN30">
        <v>3379.45</v>
      </c>
      <c r="AO30">
        <v>3547.06</v>
      </c>
      <c r="AP30">
        <v>3701.7</v>
      </c>
      <c r="AQ30">
        <v>3847.15</v>
      </c>
      <c r="AR30">
        <v>3980.7</v>
      </c>
      <c r="AS30">
        <v>4091.32</v>
      </c>
      <c r="AT30">
        <v>4159.24</v>
      </c>
      <c r="AU30">
        <v>4209.54</v>
      </c>
      <c r="AV30">
        <v>4243.87</v>
      </c>
      <c r="AW30">
        <v>4260.47</v>
      </c>
      <c r="AX30">
        <v>4252.96</v>
      </c>
      <c r="AY30">
        <v>4228.62</v>
      </c>
      <c r="AZ30">
        <v>4176.75</v>
      </c>
      <c r="BA30">
        <v>4102.01</v>
      </c>
      <c r="BB30">
        <v>4029.25</v>
      </c>
      <c r="BC30">
        <v>3914.13</v>
      </c>
      <c r="BD30">
        <v>3776.88</v>
      </c>
      <c r="BE30">
        <v>3632.58</v>
      </c>
      <c r="BF30">
        <v>3463.72</v>
      </c>
      <c r="BG30">
        <v>3278.16</v>
      </c>
      <c r="BH30">
        <v>3081.59</v>
      </c>
      <c r="BI30">
        <v>2875.17</v>
      </c>
      <c r="BJ30">
        <v>2642.63</v>
      </c>
      <c r="BK30">
        <v>2400.52</v>
      </c>
      <c r="BL30">
        <v>2152.91</v>
      </c>
      <c r="BM30">
        <v>1904.95</v>
      </c>
      <c r="BN30">
        <v>1662.01</v>
      </c>
      <c r="BO30">
        <v>1396.87</v>
      </c>
      <c r="BP30">
        <v>1131.61</v>
      </c>
      <c r="BQ30">
        <v>888.81</v>
      </c>
      <c r="BR30">
        <v>673</v>
      </c>
      <c r="BS30">
        <v>467.38</v>
      </c>
      <c r="BT30">
        <v>293.25</v>
      </c>
      <c r="BU30">
        <v>158.89</v>
      </c>
      <c r="BV30">
        <v>66.39</v>
      </c>
      <c r="BW30">
        <v>24.13</v>
      </c>
      <c r="BX30">
        <v>0.91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9">
        <v>46264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2.2</v>
      </c>
      <c r="W31">
        <v>26.59</v>
      </c>
      <c r="X31">
        <v>86.89</v>
      </c>
      <c r="Y31">
        <v>179.19</v>
      </c>
      <c r="Z31">
        <v>330.28</v>
      </c>
      <c r="AA31">
        <v>545.1</v>
      </c>
      <c r="AB31">
        <v>815.78</v>
      </c>
      <c r="AC31">
        <v>1128.55</v>
      </c>
      <c r="AD31">
        <v>1484.69</v>
      </c>
      <c r="AE31">
        <v>1836.83</v>
      </c>
      <c r="AF31">
        <v>2207.3</v>
      </c>
      <c r="AG31">
        <v>2568.44</v>
      </c>
      <c r="AH31">
        <v>2928.79</v>
      </c>
      <c r="AI31">
        <v>3261.14</v>
      </c>
      <c r="AJ31">
        <v>3584.53</v>
      </c>
      <c r="AK31">
        <v>3879.94</v>
      </c>
      <c r="AL31">
        <v>4147.18</v>
      </c>
      <c r="AM31">
        <v>4369.62</v>
      </c>
      <c r="AN31">
        <v>4562.58</v>
      </c>
      <c r="AO31">
        <v>4723.9</v>
      </c>
      <c r="AP31">
        <v>4853.6</v>
      </c>
      <c r="AQ31">
        <v>4959.73</v>
      </c>
      <c r="AR31">
        <v>5043.22</v>
      </c>
      <c r="AS31">
        <v>5099.61</v>
      </c>
      <c r="AT31">
        <v>5127.62</v>
      </c>
      <c r="AU31">
        <v>5136.42</v>
      </c>
      <c r="AV31">
        <v>5132.83</v>
      </c>
      <c r="AW31">
        <v>5125.88</v>
      </c>
      <c r="AX31">
        <v>5092.97</v>
      </c>
      <c r="AY31">
        <v>5044.62</v>
      </c>
      <c r="AZ31">
        <v>4971.76</v>
      </c>
      <c r="BA31">
        <v>4879.79</v>
      </c>
      <c r="BB31">
        <v>4782.63</v>
      </c>
      <c r="BC31">
        <v>4660.36</v>
      </c>
      <c r="BD31">
        <v>4514.51</v>
      </c>
      <c r="BE31">
        <v>4345.39</v>
      </c>
      <c r="BF31">
        <v>4142.67</v>
      </c>
      <c r="BG31">
        <v>3906.27</v>
      </c>
      <c r="BH31">
        <v>3678.12</v>
      </c>
      <c r="BI31">
        <v>3426.28</v>
      </c>
      <c r="BJ31">
        <v>3138.85</v>
      </c>
      <c r="BK31">
        <v>2821.9</v>
      </c>
      <c r="BL31">
        <v>2495.86</v>
      </c>
      <c r="BM31">
        <v>2169.76</v>
      </c>
      <c r="BN31">
        <v>1853.19</v>
      </c>
      <c r="BO31">
        <v>1523.12</v>
      </c>
      <c r="BP31">
        <v>1211.11</v>
      </c>
      <c r="BQ31">
        <v>924.45</v>
      </c>
      <c r="BR31">
        <v>683.77</v>
      </c>
      <c r="BS31">
        <v>464.7</v>
      </c>
      <c r="BT31">
        <v>280.67</v>
      </c>
      <c r="BU31">
        <v>147.33</v>
      </c>
      <c r="BV31">
        <v>60.93</v>
      </c>
      <c r="BW31">
        <v>20.8</v>
      </c>
      <c r="BX31">
        <v>1.58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9">
        <v>46265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1.42</v>
      </c>
      <c r="W32">
        <v>22.04</v>
      </c>
      <c r="X32">
        <v>80.61</v>
      </c>
      <c r="Y32">
        <v>167.73</v>
      </c>
      <c r="Z32">
        <v>312.23</v>
      </c>
      <c r="AA32">
        <v>527.52</v>
      </c>
      <c r="AB32">
        <v>798.77</v>
      </c>
      <c r="AC32">
        <v>1105.72</v>
      </c>
      <c r="AD32">
        <v>1451.47</v>
      </c>
      <c r="AE32">
        <v>1797.73</v>
      </c>
      <c r="AF32">
        <v>2161.58</v>
      </c>
      <c r="AG32">
        <v>2514.04</v>
      </c>
      <c r="AH32">
        <v>2857.26</v>
      </c>
      <c r="AI32">
        <v>3168.65</v>
      </c>
      <c r="AJ32">
        <v>3474.01</v>
      </c>
      <c r="AK32">
        <v>3755.21</v>
      </c>
      <c r="AL32">
        <v>4002.21</v>
      </c>
      <c r="AM32">
        <v>4201.35</v>
      </c>
      <c r="AN32">
        <v>4385.19</v>
      </c>
      <c r="AO32">
        <v>4533.99</v>
      </c>
      <c r="AP32">
        <v>4656.3</v>
      </c>
      <c r="AQ32">
        <v>4758.05</v>
      </c>
      <c r="AR32">
        <v>4841.2</v>
      </c>
      <c r="AS32">
        <v>4901.88</v>
      </c>
      <c r="AT32">
        <v>4928.78</v>
      </c>
      <c r="AU32">
        <v>4935.73</v>
      </c>
      <c r="AV32">
        <v>4924.38</v>
      </c>
      <c r="AW32">
        <v>4899.95</v>
      </c>
      <c r="AX32">
        <v>4848.94</v>
      </c>
      <c r="AY32">
        <v>4782.34</v>
      </c>
      <c r="AZ32">
        <v>4691.68</v>
      </c>
      <c r="BA32">
        <v>4583.7</v>
      </c>
      <c r="BB32">
        <v>4481.62</v>
      </c>
      <c r="BC32">
        <v>4359.45</v>
      </c>
      <c r="BD32">
        <v>4215.92</v>
      </c>
      <c r="BE32">
        <v>4058.81</v>
      </c>
      <c r="BF32">
        <v>3875.95</v>
      </c>
      <c r="BG32">
        <v>3665.85</v>
      </c>
      <c r="BH32">
        <v>3460.81</v>
      </c>
      <c r="BI32">
        <v>3238.42</v>
      </c>
      <c r="BJ32">
        <v>2986.81</v>
      </c>
      <c r="BK32">
        <v>2705.98</v>
      </c>
      <c r="BL32">
        <v>2427.48</v>
      </c>
      <c r="BM32">
        <v>2145.5</v>
      </c>
      <c r="BN32">
        <v>1871.37</v>
      </c>
      <c r="BO32">
        <v>1564.24</v>
      </c>
      <c r="BP32">
        <v>1260.67</v>
      </c>
      <c r="BQ32">
        <v>974.65</v>
      </c>
      <c r="BR32">
        <v>730.49</v>
      </c>
      <c r="BS32">
        <v>497.08</v>
      </c>
      <c r="BT32">
        <v>297.26</v>
      </c>
      <c r="BU32">
        <v>147.52</v>
      </c>
      <c r="BV32">
        <v>62.8</v>
      </c>
      <c r="BW32">
        <v>21.56</v>
      </c>
      <c r="BX32">
        <v>1.29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CS32"/>
  <sheetViews>
    <sheetView workbookViewId="0">
      <selection activeCell="A2" sqref="A2:A32"/>
    </sheetView>
  </sheetViews>
  <sheetFormatPr defaultColWidth="8.89166666666667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140.31</v>
      </c>
      <c r="C2">
        <v>139.78</v>
      </c>
      <c r="D2">
        <v>139.74</v>
      </c>
      <c r="E2">
        <v>139.86</v>
      </c>
      <c r="F2">
        <v>140.19</v>
      </c>
      <c r="G2">
        <v>140.18</v>
      </c>
      <c r="H2">
        <v>140.07</v>
      </c>
      <c r="I2">
        <v>140.19</v>
      </c>
      <c r="J2">
        <v>139.92</v>
      </c>
      <c r="K2">
        <v>139.95</v>
      </c>
      <c r="L2">
        <v>139.76</v>
      </c>
      <c r="M2">
        <v>139.63</v>
      </c>
      <c r="N2">
        <v>139.74</v>
      </c>
      <c r="O2">
        <v>139.66</v>
      </c>
      <c r="P2">
        <v>139.7</v>
      </c>
      <c r="Q2">
        <v>139.81</v>
      </c>
      <c r="R2">
        <v>139.81</v>
      </c>
      <c r="S2">
        <v>139.74</v>
      </c>
      <c r="T2">
        <v>139.62</v>
      </c>
      <c r="U2">
        <v>139.72</v>
      </c>
      <c r="V2">
        <v>139.69</v>
      </c>
      <c r="W2">
        <v>139.7</v>
      </c>
      <c r="X2">
        <v>139.45</v>
      </c>
      <c r="Y2">
        <v>139.57</v>
      </c>
      <c r="Z2">
        <v>139.6</v>
      </c>
      <c r="AA2">
        <v>139.58</v>
      </c>
      <c r="AB2">
        <v>139.77</v>
      </c>
      <c r="AC2">
        <v>139.72</v>
      </c>
      <c r="AD2">
        <v>139.88</v>
      </c>
      <c r="AE2">
        <v>141.39</v>
      </c>
      <c r="AF2">
        <v>141.36</v>
      </c>
      <c r="AG2">
        <v>141.22</v>
      </c>
      <c r="AH2">
        <v>141.1</v>
      </c>
      <c r="AI2">
        <v>141.3</v>
      </c>
      <c r="AJ2">
        <v>144.67</v>
      </c>
      <c r="AK2">
        <v>143.09</v>
      </c>
      <c r="AL2">
        <v>143.36</v>
      </c>
      <c r="AM2">
        <v>143.05</v>
      </c>
      <c r="AN2">
        <v>143.09</v>
      </c>
      <c r="AO2">
        <v>143.21</v>
      </c>
      <c r="AP2">
        <v>141.38</v>
      </c>
      <c r="AQ2">
        <v>141.66</v>
      </c>
      <c r="AR2">
        <v>141.64</v>
      </c>
      <c r="AS2">
        <v>141.53</v>
      </c>
      <c r="AT2">
        <v>141.54</v>
      </c>
      <c r="AU2">
        <v>141.34</v>
      </c>
      <c r="AV2">
        <v>141.39</v>
      </c>
      <c r="AW2">
        <v>141.54</v>
      </c>
      <c r="AX2">
        <v>141.96</v>
      </c>
      <c r="AY2">
        <v>141.88</v>
      </c>
      <c r="AZ2">
        <v>141.98</v>
      </c>
      <c r="BA2">
        <v>142.11</v>
      </c>
      <c r="BB2">
        <v>142.07</v>
      </c>
      <c r="BC2">
        <v>141.9</v>
      </c>
      <c r="BD2">
        <v>141.9</v>
      </c>
      <c r="BE2">
        <v>142.61</v>
      </c>
      <c r="BF2">
        <v>142.49</v>
      </c>
      <c r="BG2">
        <v>142.58</v>
      </c>
      <c r="BH2">
        <v>142.46</v>
      </c>
      <c r="BI2">
        <v>142.65</v>
      </c>
      <c r="BJ2">
        <v>142.64</v>
      </c>
      <c r="BK2">
        <v>142.73</v>
      </c>
      <c r="BL2">
        <v>142.72</v>
      </c>
      <c r="BM2">
        <v>142.86</v>
      </c>
      <c r="BN2">
        <v>142.7</v>
      </c>
      <c r="BO2">
        <v>142.59</v>
      </c>
      <c r="BP2">
        <v>142.65</v>
      </c>
      <c r="BQ2">
        <v>142.54</v>
      </c>
      <c r="BR2">
        <v>142.72</v>
      </c>
      <c r="BS2">
        <v>142.64</v>
      </c>
      <c r="BT2">
        <v>142.53</v>
      </c>
      <c r="BU2">
        <v>142.56</v>
      </c>
      <c r="BV2">
        <v>142.46</v>
      </c>
      <c r="BW2">
        <v>142.54</v>
      </c>
      <c r="BX2">
        <v>142.45</v>
      </c>
      <c r="BY2">
        <v>142.44</v>
      </c>
      <c r="BZ2">
        <v>142.42</v>
      </c>
      <c r="CA2">
        <v>142.47</v>
      </c>
      <c r="CB2">
        <v>142.41</v>
      </c>
      <c r="CC2">
        <v>142.4</v>
      </c>
      <c r="CD2">
        <v>142.39</v>
      </c>
      <c r="CE2">
        <v>142.19</v>
      </c>
      <c r="CF2">
        <v>141.96</v>
      </c>
      <c r="CG2">
        <v>142.07</v>
      </c>
      <c r="CH2">
        <v>141.9</v>
      </c>
      <c r="CI2">
        <v>141.89</v>
      </c>
      <c r="CJ2">
        <v>141.87</v>
      </c>
      <c r="CK2">
        <v>141.67</v>
      </c>
      <c r="CL2">
        <v>141.81</v>
      </c>
      <c r="CM2">
        <v>141.77</v>
      </c>
      <c r="CN2">
        <v>141.75</v>
      </c>
      <c r="CO2">
        <v>141.75</v>
      </c>
      <c r="CP2">
        <v>141.54</v>
      </c>
      <c r="CQ2">
        <v>141.66</v>
      </c>
      <c r="CR2">
        <v>141.17</v>
      </c>
      <c r="CS2">
        <v>140.95</v>
      </c>
    </row>
    <row r="3" spans="1:97">
      <c r="A3" s="9">
        <v>46236</v>
      </c>
      <c r="B3">
        <v>141.09</v>
      </c>
      <c r="C3">
        <v>140.58</v>
      </c>
      <c r="D3">
        <v>139.89</v>
      </c>
      <c r="E3">
        <v>139.89</v>
      </c>
      <c r="F3">
        <v>140.2</v>
      </c>
      <c r="G3">
        <v>140.36</v>
      </c>
      <c r="H3">
        <v>140.2</v>
      </c>
      <c r="I3">
        <v>140.29</v>
      </c>
      <c r="J3">
        <v>140.09</v>
      </c>
      <c r="K3">
        <v>140.15</v>
      </c>
      <c r="L3">
        <v>139.95</v>
      </c>
      <c r="M3">
        <v>140.01</v>
      </c>
      <c r="N3">
        <v>140.03</v>
      </c>
      <c r="O3">
        <v>139.94</v>
      </c>
      <c r="P3">
        <v>139.89</v>
      </c>
      <c r="Q3">
        <v>140.01</v>
      </c>
      <c r="R3">
        <v>140.09</v>
      </c>
      <c r="S3">
        <v>140.99</v>
      </c>
      <c r="T3">
        <v>141.09</v>
      </c>
      <c r="U3">
        <v>141.19</v>
      </c>
      <c r="V3">
        <v>140.99</v>
      </c>
      <c r="W3">
        <v>141</v>
      </c>
      <c r="X3">
        <v>140.94</v>
      </c>
      <c r="Y3">
        <v>140.94</v>
      </c>
      <c r="Z3">
        <v>140.82</v>
      </c>
      <c r="AA3">
        <v>140.94</v>
      </c>
      <c r="AB3">
        <v>140.58</v>
      </c>
      <c r="AC3">
        <v>140.8</v>
      </c>
      <c r="AD3">
        <v>140.81</v>
      </c>
      <c r="AE3">
        <v>142.36</v>
      </c>
      <c r="AF3">
        <v>142.31</v>
      </c>
      <c r="AG3">
        <v>142.4</v>
      </c>
      <c r="AH3">
        <v>144.06</v>
      </c>
      <c r="AI3">
        <v>144.19</v>
      </c>
      <c r="AJ3">
        <v>144.57</v>
      </c>
      <c r="AK3">
        <v>143.11</v>
      </c>
      <c r="AL3">
        <v>143.38</v>
      </c>
      <c r="AM3">
        <v>143.14</v>
      </c>
      <c r="AN3">
        <v>143.23</v>
      </c>
      <c r="AO3">
        <v>143.64</v>
      </c>
      <c r="AP3">
        <v>144.9</v>
      </c>
      <c r="AQ3">
        <v>144.95</v>
      </c>
      <c r="AR3">
        <v>145.03</v>
      </c>
      <c r="AS3">
        <v>144.83</v>
      </c>
      <c r="AT3">
        <v>144.77</v>
      </c>
      <c r="AU3">
        <v>144.61</v>
      </c>
      <c r="AV3">
        <v>144.7</v>
      </c>
      <c r="AW3">
        <v>144.65</v>
      </c>
      <c r="AX3">
        <v>144.84</v>
      </c>
      <c r="AY3">
        <v>144.84</v>
      </c>
      <c r="AZ3">
        <v>144.98</v>
      </c>
      <c r="BA3">
        <v>145.19</v>
      </c>
      <c r="BB3">
        <v>145.1</v>
      </c>
      <c r="BC3">
        <v>145.07</v>
      </c>
      <c r="BD3">
        <v>145.02</v>
      </c>
      <c r="BE3">
        <v>145.71</v>
      </c>
      <c r="BF3">
        <v>145.86</v>
      </c>
      <c r="BG3">
        <v>145.65</v>
      </c>
      <c r="BH3">
        <v>145.52</v>
      </c>
      <c r="BI3">
        <v>145.72</v>
      </c>
      <c r="BJ3">
        <v>145.72</v>
      </c>
      <c r="BK3">
        <v>145.79</v>
      </c>
      <c r="BL3">
        <v>145.67</v>
      </c>
      <c r="BM3">
        <v>145.92</v>
      </c>
      <c r="BN3">
        <v>145.86</v>
      </c>
      <c r="BO3">
        <v>145.72</v>
      </c>
      <c r="BP3">
        <v>145.68</v>
      </c>
      <c r="BQ3">
        <v>145.51</v>
      </c>
      <c r="BR3">
        <v>145.77</v>
      </c>
      <c r="BS3">
        <v>145.65</v>
      </c>
      <c r="BT3">
        <v>145.63</v>
      </c>
      <c r="BU3">
        <v>144.87</v>
      </c>
      <c r="BV3">
        <v>144.71</v>
      </c>
      <c r="BW3">
        <v>144.79</v>
      </c>
      <c r="BX3">
        <v>144.79</v>
      </c>
      <c r="BY3">
        <v>144.79</v>
      </c>
      <c r="BZ3">
        <v>144.71</v>
      </c>
      <c r="CA3">
        <v>144.66</v>
      </c>
      <c r="CB3">
        <v>144.68</v>
      </c>
      <c r="CC3">
        <v>144.6</v>
      </c>
      <c r="CD3">
        <v>144.73</v>
      </c>
      <c r="CE3">
        <v>144.64</v>
      </c>
      <c r="CF3">
        <v>144.56</v>
      </c>
      <c r="CG3">
        <v>144.62</v>
      </c>
      <c r="CH3">
        <v>144.37</v>
      </c>
      <c r="CI3">
        <v>144.56</v>
      </c>
      <c r="CJ3">
        <v>144.43</v>
      </c>
      <c r="CK3">
        <v>144.27</v>
      </c>
      <c r="CL3">
        <v>144.35</v>
      </c>
      <c r="CM3">
        <v>144.17</v>
      </c>
      <c r="CN3">
        <v>143.19</v>
      </c>
      <c r="CO3">
        <v>143.15</v>
      </c>
      <c r="CP3">
        <v>143.16</v>
      </c>
      <c r="CQ3">
        <v>143.05</v>
      </c>
      <c r="CR3">
        <v>142.53</v>
      </c>
      <c r="CS3">
        <v>142.17</v>
      </c>
    </row>
    <row r="4" spans="1:97">
      <c r="A4" s="9">
        <v>46237</v>
      </c>
      <c r="B4">
        <v>142.41</v>
      </c>
      <c r="C4">
        <v>141.29</v>
      </c>
      <c r="D4">
        <v>138.97</v>
      </c>
      <c r="E4">
        <v>138.9</v>
      </c>
      <c r="F4">
        <v>139.43</v>
      </c>
      <c r="G4">
        <v>139.41</v>
      </c>
      <c r="H4">
        <v>139.32</v>
      </c>
      <c r="I4">
        <v>139.39</v>
      </c>
      <c r="J4">
        <v>139.28</v>
      </c>
      <c r="K4">
        <v>139.4</v>
      </c>
      <c r="L4">
        <v>139.12</v>
      </c>
      <c r="M4">
        <v>139.14</v>
      </c>
      <c r="N4">
        <v>139.2</v>
      </c>
      <c r="O4">
        <v>139.1</v>
      </c>
      <c r="P4">
        <v>139.03</v>
      </c>
      <c r="Q4">
        <v>139.16</v>
      </c>
      <c r="R4">
        <v>139.23</v>
      </c>
      <c r="S4">
        <v>140.19</v>
      </c>
      <c r="T4">
        <v>140.21</v>
      </c>
      <c r="U4">
        <v>140.45</v>
      </c>
      <c r="V4">
        <v>140.38</v>
      </c>
      <c r="W4">
        <v>140.41</v>
      </c>
      <c r="X4">
        <v>140.46</v>
      </c>
      <c r="Y4">
        <v>140.32</v>
      </c>
      <c r="Z4">
        <v>139.96</v>
      </c>
      <c r="AA4">
        <v>140.02</v>
      </c>
      <c r="AB4">
        <v>139.54</v>
      </c>
      <c r="AC4">
        <v>139.87</v>
      </c>
      <c r="AD4">
        <v>139.82</v>
      </c>
      <c r="AE4">
        <v>141.59</v>
      </c>
      <c r="AF4">
        <v>141.45</v>
      </c>
      <c r="AG4">
        <v>141.76</v>
      </c>
      <c r="AH4">
        <v>143.27</v>
      </c>
      <c r="AI4">
        <v>143.49</v>
      </c>
      <c r="AJ4">
        <v>143.74</v>
      </c>
      <c r="AK4">
        <v>143.67</v>
      </c>
      <c r="AL4">
        <v>143.79</v>
      </c>
      <c r="AM4">
        <v>143.56</v>
      </c>
      <c r="AN4">
        <v>143.73</v>
      </c>
      <c r="AO4">
        <v>144.13</v>
      </c>
      <c r="AP4">
        <v>144.23</v>
      </c>
      <c r="AQ4">
        <v>144.35</v>
      </c>
      <c r="AR4">
        <v>144.23</v>
      </c>
      <c r="AS4">
        <v>144.14</v>
      </c>
      <c r="AT4">
        <v>144.07</v>
      </c>
      <c r="AU4">
        <v>144.08</v>
      </c>
      <c r="AV4">
        <v>143.99</v>
      </c>
      <c r="AW4">
        <v>144.05</v>
      </c>
      <c r="AX4">
        <v>144.13</v>
      </c>
      <c r="AY4">
        <v>144.14</v>
      </c>
      <c r="AZ4">
        <v>144.39</v>
      </c>
      <c r="BA4">
        <v>144.46</v>
      </c>
      <c r="BB4">
        <v>144.41</v>
      </c>
      <c r="BC4">
        <v>144.46</v>
      </c>
      <c r="BD4">
        <v>144.44</v>
      </c>
      <c r="BE4">
        <v>145.22</v>
      </c>
      <c r="BF4">
        <v>145.43</v>
      </c>
      <c r="BG4">
        <v>145.04</v>
      </c>
      <c r="BH4">
        <v>144.99</v>
      </c>
      <c r="BI4">
        <v>145.12</v>
      </c>
      <c r="BJ4">
        <v>145.2</v>
      </c>
      <c r="BK4">
        <v>144.94</v>
      </c>
      <c r="BL4">
        <v>144.73</v>
      </c>
      <c r="BM4">
        <v>144.82</v>
      </c>
      <c r="BN4">
        <v>144.73</v>
      </c>
      <c r="BO4">
        <v>144.38</v>
      </c>
      <c r="BP4">
        <v>144.38</v>
      </c>
      <c r="BQ4">
        <v>142.52</v>
      </c>
      <c r="BR4">
        <v>137.61</v>
      </c>
      <c r="BS4">
        <v>137.59</v>
      </c>
      <c r="BT4">
        <v>137.57</v>
      </c>
      <c r="BU4">
        <v>136.92</v>
      </c>
      <c r="BV4">
        <v>136.59</v>
      </c>
      <c r="BW4">
        <v>136.65</v>
      </c>
      <c r="BX4">
        <v>136.75</v>
      </c>
      <c r="BY4">
        <v>136.67</v>
      </c>
      <c r="BZ4">
        <v>136.54</v>
      </c>
      <c r="CA4">
        <v>136.57</v>
      </c>
      <c r="CB4">
        <v>136.63</v>
      </c>
      <c r="CC4">
        <v>136.54</v>
      </c>
      <c r="CD4">
        <v>136.77</v>
      </c>
      <c r="CE4">
        <v>136.73</v>
      </c>
      <c r="CF4">
        <v>136.71</v>
      </c>
      <c r="CG4">
        <v>136.76</v>
      </c>
      <c r="CH4">
        <v>136.55</v>
      </c>
      <c r="CI4">
        <v>136.62</v>
      </c>
      <c r="CJ4">
        <v>136.61</v>
      </c>
      <c r="CK4">
        <v>136.57</v>
      </c>
      <c r="CL4">
        <v>136.63</v>
      </c>
      <c r="CM4">
        <v>136.41</v>
      </c>
      <c r="CN4">
        <v>135.52</v>
      </c>
      <c r="CO4">
        <v>135.5</v>
      </c>
      <c r="CP4">
        <v>135.49</v>
      </c>
      <c r="CQ4">
        <v>135.54</v>
      </c>
      <c r="CR4">
        <v>135.46</v>
      </c>
      <c r="CS4">
        <v>135.27</v>
      </c>
    </row>
    <row r="5" spans="1:97">
      <c r="A5" s="9">
        <v>46238</v>
      </c>
      <c r="B5">
        <v>135.74</v>
      </c>
      <c r="C5">
        <v>136.05</v>
      </c>
      <c r="D5">
        <v>133.71</v>
      </c>
      <c r="E5">
        <v>133.85</v>
      </c>
      <c r="F5">
        <v>134.03</v>
      </c>
      <c r="G5">
        <v>133.97</v>
      </c>
      <c r="H5">
        <v>133.98</v>
      </c>
      <c r="I5">
        <v>134.01</v>
      </c>
      <c r="J5">
        <v>134.04</v>
      </c>
      <c r="K5">
        <v>134.07</v>
      </c>
      <c r="L5">
        <v>133.98</v>
      </c>
      <c r="M5">
        <v>134.09</v>
      </c>
      <c r="N5">
        <v>134.14</v>
      </c>
      <c r="O5">
        <v>134.1</v>
      </c>
      <c r="P5">
        <v>133.98</v>
      </c>
      <c r="Q5">
        <v>134.13</v>
      </c>
      <c r="R5">
        <v>134.16</v>
      </c>
      <c r="S5">
        <v>135.14</v>
      </c>
      <c r="T5">
        <v>135.24</v>
      </c>
      <c r="U5">
        <v>135.17</v>
      </c>
      <c r="V5">
        <v>134.93</v>
      </c>
      <c r="W5">
        <v>131.25</v>
      </c>
      <c r="X5">
        <v>131.41</v>
      </c>
      <c r="Y5">
        <v>131.32</v>
      </c>
      <c r="Z5">
        <v>131.01</v>
      </c>
      <c r="AA5">
        <v>129.28</v>
      </c>
      <c r="AB5">
        <v>128.78</v>
      </c>
      <c r="AC5">
        <v>128.48</v>
      </c>
      <c r="AD5">
        <v>128.32</v>
      </c>
      <c r="AE5">
        <v>128.47</v>
      </c>
      <c r="AF5">
        <v>128.58</v>
      </c>
      <c r="AG5">
        <v>129.09</v>
      </c>
      <c r="AH5">
        <v>129.69</v>
      </c>
      <c r="AI5">
        <v>128.7</v>
      </c>
      <c r="AJ5">
        <v>129.07</v>
      </c>
      <c r="AK5">
        <v>130.41</v>
      </c>
      <c r="AL5">
        <v>130.48</v>
      </c>
      <c r="AM5">
        <v>130.23</v>
      </c>
      <c r="AN5">
        <v>130.66</v>
      </c>
      <c r="AO5">
        <v>130.72</v>
      </c>
      <c r="AP5">
        <v>130.64</v>
      </c>
      <c r="AQ5">
        <v>130.54</v>
      </c>
      <c r="AR5">
        <v>130.35</v>
      </c>
      <c r="AS5">
        <v>131.03</v>
      </c>
      <c r="AT5">
        <v>134.45</v>
      </c>
      <c r="AU5">
        <v>134.77</v>
      </c>
      <c r="AV5">
        <v>134.74</v>
      </c>
      <c r="AW5">
        <v>134.84</v>
      </c>
      <c r="AX5">
        <v>135</v>
      </c>
      <c r="AY5">
        <v>135.3</v>
      </c>
      <c r="AZ5">
        <v>136.03</v>
      </c>
      <c r="BA5">
        <v>136.1</v>
      </c>
      <c r="BB5">
        <v>135.96</v>
      </c>
      <c r="BC5">
        <v>136.99</v>
      </c>
      <c r="BD5">
        <v>136.79</v>
      </c>
      <c r="BE5">
        <v>136.97</v>
      </c>
      <c r="BF5">
        <v>137.09</v>
      </c>
      <c r="BG5">
        <v>136.71</v>
      </c>
      <c r="BH5">
        <v>136.56</v>
      </c>
      <c r="BI5">
        <v>136.47</v>
      </c>
      <c r="BJ5">
        <v>136.62</v>
      </c>
      <c r="BK5">
        <v>136.66</v>
      </c>
      <c r="BL5">
        <v>136.46</v>
      </c>
      <c r="BM5">
        <v>136.43</v>
      </c>
      <c r="BN5">
        <v>136.38</v>
      </c>
      <c r="BO5">
        <v>136.06</v>
      </c>
      <c r="BP5">
        <v>136.07</v>
      </c>
      <c r="BQ5">
        <v>134.11</v>
      </c>
      <c r="BR5">
        <v>128.12</v>
      </c>
      <c r="BS5">
        <v>126.92</v>
      </c>
      <c r="BT5">
        <v>127.9</v>
      </c>
      <c r="BU5">
        <v>127.15</v>
      </c>
      <c r="BV5">
        <v>127.53</v>
      </c>
      <c r="BW5">
        <v>127.56</v>
      </c>
      <c r="BX5">
        <v>128.07</v>
      </c>
      <c r="BY5">
        <v>129.62</v>
      </c>
      <c r="BZ5">
        <v>129.17</v>
      </c>
      <c r="CA5">
        <v>129.19</v>
      </c>
      <c r="CB5">
        <v>129.37</v>
      </c>
      <c r="CC5">
        <v>129.33</v>
      </c>
      <c r="CD5">
        <v>129.47</v>
      </c>
      <c r="CE5">
        <v>129.5</v>
      </c>
      <c r="CF5">
        <v>129.62</v>
      </c>
      <c r="CG5">
        <v>129.5</v>
      </c>
      <c r="CH5">
        <v>129.4</v>
      </c>
      <c r="CI5">
        <v>129.53</v>
      </c>
      <c r="CJ5">
        <v>129.58</v>
      </c>
      <c r="CK5">
        <v>129.79</v>
      </c>
      <c r="CL5">
        <v>129.04</v>
      </c>
      <c r="CM5">
        <v>128.87</v>
      </c>
      <c r="CN5">
        <v>128</v>
      </c>
      <c r="CO5">
        <v>128.02</v>
      </c>
      <c r="CP5">
        <v>128.16</v>
      </c>
      <c r="CQ5">
        <v>128.11</v>
      </c>
      <c r="CR5">
        <v>127.55</v>
      </c>
      <c r="CS5">
        <v>127.31</v>
      </c>
    </row>
    <row r="6" spans="1:97">
      <c r="A6" s="9">
        <v>46239</v>
      </c>
      <c r="B6">
        <v>127.59</v>
      </c>
      <c r="C6">
        <v>127.73</v>
      </c>
      <c r="D6">
        <v>126.23</v>
      </c>
      <c r="E6">
        <v>126.31</v>
      </c>
      <c r="F6">
        <v>126.58</v>
      </c>
      <c r="G6">
        <v>126.41</v>
      </c>
      <c r="H6">
        <v>126.43</v>
      </c>
      <c r="I6">
        <v>126.46</v>
      </c>
      <c r="J6">
        <v>126.41</v>
      </c>
      <c r="K6">
        <v>126.49</v>
      </c>
      <c r="L6">
        <v>126.34</v>
      </c>
      <c r="M6">
        <v>126.16</v>
      </c>
      <c r="N6">
        <v>126.13</v>
      </c>
      <c r="O6">
        <v>126.05</v>
      </c>
      <c r="P6">
        <v>125.98</v>
      </c>
      <c r="Q6">
        <v>126.14</v>
      </c>
      <c r="R6">
        <v>125.9</v>
      </c>
      <c r="S6">
        <v>125.96</v>
      </c>
      <c r="T6">
        <v>125.76</v>
      </c>
      <c r="U6">
        <v>123.96</v>
      </c>
      <c r="V6">
        <v>123.91</v>
      </c>
      <c r="W6">
        <v>120.23</v>
      </c>
      <c r="X6">
        <v>120.29</v>
      </c>
      <c r="Y6">
        <v>120.3</v>
      </c>
      <c r="Z6">
        <v>120.09</v>
      </c>
      <c r="AA6">
        <v>118.85</v>
      </c>
      <c r="AB6">
        <v>118.86</v>
      </c>
      <c r="AC6">
        <v>119.31</v>
      </c>
      <c r="AD6">
        <v>119.29</v>
      </c>
      <c r="AE6">
        <v>119.41</v>
      </c>
      <c r="AF6">
        <v>119.71</v>
      </c>
      <c r="AG6">
        <v>119.88</v>
      </c>
      <c r="AH6">
        <v>120.67</v>
      </c>
      <c r="AI6">
        <v>121.59</v>
      </c>
      <c r="AJ6">
        <v>121.91</v>
      </c>
      <c r="AK6">
        <v>123.3</v>
      </c>
      <c r="AL6">
        <v>123.47</v>
      </c>
      <c r="AM6">
        <v>123.47</v>
      </c>
      <c r="AN6">
        <v>123.91</v>
      </c>
      <c r="AO6">
        <v>123.03</v>
      </c>
      <c r="AP6">
        <v>122.98</v>
      </c>
      <c r="AQ6">
        <v>123.04</v>
      </c>
      <c r="AR6">
        <v>122.89</v>
      </c>
      <c r="AS6">
        <v>123.65</v>
      </c>
      <c r="AT6">
        <v>127.15</v>
      </c>
      <c r="AU6">
        <v>127.63</v>
      </c>
      <c r="AV6">
        <v>127.51</v>
      </c>
      <c r="AW6">
        <v>127.67</v>
      </c>
      <c r="AX6">
        <v>127.67</v>
      </c>
      <c r="AY6">
        <v>128.07</v>
      </c>
      <c r="AZ6">
        <v>128.62</v>
      </c>
      <c r="BA6">
        <v>128.59</v>
      </c>
      <c r="BB6">
        <v>128.62</v>
      </c>
      <c r="BC6">
        <v>129.47</v>
      </c>
      <c r="BD6">
        <v>129.42</v>
      </c>
      <c r="BE6">
        <v>129.53</v>
      </c>
      <c r="BF6">
        <v>129.39</v>
      </c>
      <c r="BG6">
        <v>129.42</v>
      </c>
      <c r="BH6">
        <v>128.03</v>
      </c>
      <c r="BI6">
        <v>127.96</v>
      </c>
      <c r="BJ6">
        <v>127.98</v>
      </c>
      <c r="BK6">
        <v>127.86</v>
      </c>
      <c r="BL6">
        <v>127.56</v>
      </c>
      <c r="BM6">
        <v>127.1</v>
      </c>
      <c r="BN6">
        <v>126.72</v>
      </c>
      <c r="BO6">
        <v>126.52</v>
      </c>
      <c r="BP6">
        <v>126.43</v>
      </c>
      <c r="BQ6">
        <v>123.16</v>
      </c>
      <c r="BR6">
        <v>117.05</v>
      </c>
      <c r="BS6">
        <v>116</v>
      </c>
      <c r="BT6">
        <v>116.82</v>
      </c>
      <c r="BU6">
        <v>116.73</v>
      </c>
      <c r="BV6">
        <v>117.24</v>
      </c>
      <c r="BW6">
        <v>117.3</v>
      </c>
      <c r="BX6">
        <v>117.65</v>
      </c>
      <c r="BY6">
        <v>119.24</v>
      </c>
      <c r="BZ6">
        <v>119.29</v>
      </c>
      <c r="CA6">
        <v>119.34</v>
      </c>
      <c r="CB6">
        <v>119.31</v>
      </c>
      <c r="CC6">
        <v>119.29</v>
      </c>
      <c r="CD6">
        <v>119.01</v>
      </c>
      <c r="CE6">
        <v>119.18</v>
      </c>
      <c r="CF6">
        <v>119.3</v>
      </c>
      <c r="CG6">
        <v>119.18</v>
      </c>
      <c r="CH6">
        <v>119.1</v>
      </c>
      <c r="CI6">
        <v>119.13</v>
      </c>
      <c r="CJ6">
        <v>119.31</v>
      </c>
      <c r="CK6">
        <v>119.55</v>
      </c>
      <c r="CL6">
        <v>118.84</v>
      </c>
      <c r="CM6">
        <v>118.77</v>
      </c>
      <c r="CN6">
        <v>118.9</v>
      </c>
      <c r="CO6">
        <v>118.86</v>
      </c>
      <c r="CP6">
        <v>118.94</v>
      </c>
      <c r="CQ6">
        <v>118.97</v>
      </c>
      <c r="CR6">
        <v>118.39</v>
      </c>
      <c r="CS6">
        <v>118.3</v>
      </c>
    </row>
    <row r="7" spans="1:97">
      <c r="A7" s="9">
        <v>46240</v>
      </c>
      <c r="B7">
        <v>120.25</v>
      </c>
      <c r="C7">
        <v>120.51</v>
      </c>
      <c r="D7">
        <v>120.9</v>
      </c>
      <c r="E7">
        <v>121.23</v>
      </c>
      <c r="F7">
        <v>121.49</v>
      </c>
      <c r="G7">
        <v>121.45</v>
      </c>
      <c r="H7">
        <v>121.54</v>
      </c>
      <c r="I7">
        <v>121.56</v>
      </c>
      <c r="J7">
        <v>121.66</v>
      </c>
      <c r="K7">
        <v>121.75</v>
      </c>
      <c r="L7">
        <v>121.8</v>
      </c>
      <c r="M7">
        <v>121.66</v>
      </c>
      <c r="N7">
        <v>121.54</v>
      </c>
      <c r="O7">
        <v>121.64</v>
      </c>
      <c r="P7">
        <v>121.62</v>
      </c>
      <c r="Q7">
        <v>121.66</v>
      </c>
      <c r="R7">
        <v>121.52</v>
      </c>
      <c r="S7">
        <v>121.66</v>
      </c>
      <c r="T7">
        <v>121.54</v>
      </c>
      <c r="U7">
        <v>119.84</v>
      </c>
      <c r="V7">
        <v>119.66</v>
      </c>
      <c r="W7">
        <v>115.95</v>
      </c>
      <c r="X7">
        <v>116.08</v>
      </c>
      <c r="Y7">
        <v>116.27</v>
      </c>
      <c r="Z7">
        <v>116.33</v>
      </c>
      <c r="AA7">
        <v>115.13</v>
      </c>
      <c r="AB7">
        <v>115.2</v>
      </c>
      <c r="AC7">
        <v>115.64</v>
      </c>
      <c r="AD7">
        <v>115.65</v>
      </c>
      <c r="AE7">
        <v>115.67</v>
      </c>
      <c r="AF7">
        <v>116</v>
      </c>
      <c r="AG7">
        <v>116.05</v>
      </c>
      <c r="AH7">
        <v>116.97</v>
      </c>
      <c r="AI7">
        <v>117.8</v>
      </c>
      <c r="AJ7">
        <v>118.18</v>
      </c>
      <c r="AK7">
        <v>119.52</v>
      </c>
      <c r="AL7">
        <v>119.72</v>
      </c>
      <c r="AM7">
        <v>119.79</v>
      </c>
      <c r="AN7">
        <v>120.18</v>
      </c>
      <c r="AO7">
        <v>119.33</v>
      </c>
      <c r="AP7">
        <v>119.18</v>
      </c>
      <c r="AQ7">
        <v>119.14</v>
      </c>
      <c r="AR7">
        <v>119.12</v>
      </c>
      <c r="AS7">
        <v>119.61</v>
      </c>
      <c r="AT7">
        <v>123.15</v>
      </c>
      <c r="AU7">
        <v>123.54</v>
      </c>
      <c r="AV7">
        <v>123.57</v>
      </c>
      <c r="AW7">
        <v>123.6</v>
      </c>
      <c r="AX7">
        <v>123.7</v>
      </c>
      <c r="AY7">
        <v>124.06</v>
      </c>
      <c r="AZ7">
        <v>124.32</v>
      </c>
      <c r="BA7">
        <v>124.34</v>
      </c>
      <c r="BB7">
        <v>124.23</v>
      </c>
      <c r="BC7">
        <v>124.96</v>
      </c>
      <c r="BD7">
        <v>124.89</v>
      </c>
      <c r="BE7">
        <v>124.77</v>
      </c>
      <c r="BF7">
        <v>124.56</v>
      </c>
      <c r="BG7">
        <v>123.66</v>
      </c>
      <c r="BH7">
        <v>122.21</v>
      </c>
      <c r="BI7">
        <v>122.24</v>
      </c>
      <c r="BJ7">
        <v>121.66</v>
      </c>
      <c r="BK7">
        <v>121.67</v>
      </c>
      <c r="BL7">
        <v>121.45</v>
      </c>
      <c r="BM7">
        <v>121.09</v>
      </c>
      <c r="BN7">
        <v>120.78</v>
      </c>
      <c r="BO7">
        <v>120.6</v>
      </c>
      <c r="BP7">
        <v>120.57</v>
      </c>
      <c r="BQ7">
        <v>118.98</v>
      </c>
      <c r="BR7">
        <v>117.93</v>
      </c>
      <c r="BS7">
        <v>117</v>
      </c>
      <c r="BT7">
        <v>116.19</v>
      </c>
      <c r="BU7">
        <v>115.89</v>
      </c>
      <c r="BV7">
        <v>116.43</v>
      </c>
      <c r="BW7">
        <v>116.37</v>
      </c>
      <c r="BX7">
        <v>116.68</v>
      </c>
      <c r="BY7">
        <v>118.41</v>
      </c>
      <c r="BZ7">
        <v>118.44</v>
      </c>
      <c r="CA7">
        <v>118.51</v>
      </c>
      <c r="CB7">
        <v>118.36</v>
      </c>
      <c r="CC7">
        <v>118.42</v>
      </c>
      <c r="CD7">
        <v>117.97</v>
      </c>
      <c r="CE7">
        <v>118.03</v>
      </c>
      <c r="CF7">
        <v>118.17</v>
      </c>
      <c r="CG7">
        <v>118.01</v>
      </c>
      <c r="CH7">
        <v>117.93</v>
      </c>
      <c r="CI7">
        <v>118.02</v>
      </c>
      <c r="CJ7">
        <v>118.16</v>
      </c>
      <c r="CK7">
        <v>118.25</v>
      </c>
      <c r="CL7">
        <v>117.52</v>
      </c>
      <c r="CM7">
        <v>117.54</v>
      </c>
      <c r="CN7">
        <v>117.62</v>
      </c>
      <c r="CO7">
        <v>117.44</v>
      </c>
      <c r="CP7">
        <v>117.51</v>
      </c>
      <c r="CQ7">
        <v>117.55</v>
      </c>
      <c r="CR7">
        <v>117.05</v>
      </c>
      <c r="CS7">
        <v>116.95</v>
      </c>
    </row>
    <row r="8" spans="1:97">
      <c r="A8" s="9">
        <v>46241</v>
      </c>
      <c r="B8">
        <v>119.04</v>
      </c>
      <c r="C8">
        <v>120.51</v>
      </c>
      <c r="D8">
        <v>120.99</v>
      </c>
      <c r="E8">
        <v>121.05</v>
      </c>
      <c r="F8">
        <v>121.14</v>
      </c>
      <c r="G8">
        <v>121.13</v>
      </c>
      <c r="H8">
        <v>121.22</v>
      </c>
      <c r="I8">
        <v>121.12</v>
      </c>
      <c r="J8">
        <v>121.29</v>
      </c>
      <c r="K8">
        <v>121.38</v>
      </c>
      <c r="L8">
        <v>121.45</v>
      </c>
      <c r="M8">
        <v>121.22</v>
      </c>
      <c r="N8">
        <v>121.19</v>
      </c>
      <c r="O8">
        <v>121.14</v>
      </c>
      <c r="P8">
        <v>121.24</v>
      </c>
      <c r="Q8">
        <v>121.22</v>
      </c>
      <c r="R8">
        <v>121.18</v>
      </c>
      <c r="S8">
        <v>121.34</v>
      </c>
      <c r="T8">
        <v>122.92</v>
      </c>
      <c r="U8">
        <v>121.37</v>
      </c>
      <c r="V8">
        <v>121.59</v>
      </c>
      <c r="W8">
        <v>121.61</v>
      </c>
      <c r="X8">
        <v>121.69</v>
      </c>
      <c r="Y8">
        <v>121.88</v>
      </c>
      <c r="Z8">
        <v>121.93</v>
      </c>
      <c r="AA8">
        <v>122.57</v>
      </c>
      <c r="AB8">
        <v>122.77</v>
      </c>
      <c r="AC8">
        <v>123.82</v>
      </c>
      <c r="AD8">
        <v>123.97</v>
      </c>
      <c r="AE8">
        <v>123.97</v>
      </c>
      <c r="AF8">
        <v>124.1</v>
      </c>
      <c r="AG8">
        <v>123.94</v>
      </c>
      <c r="AH8">
        <v>124.02</v>
      </c>
      <c r="AI8">
        <v>125.8</v>
      </c>
      <c r="AJ8">
        <v>125.95</v>
      </c>
      <c r="AK8">
        <v>125.96</v>
      </c>
      <c r="AL8">
        <v>126.83</v>
      </c>
      <c r="AM8">
        <v>126.95</v>
      </c>
      <c r="AN8">
        <v>127.13</v>
      </c>
      <c r="AO8">
        <v>126.25</v>
      </c>
      <c r="AP8">
        <v>126.17</v>
      </c>
      <c r="AQ8">
        <v>126.35</v>
      </c>
      <c r="AR8">
        <v>126.36</v>
      </c>
      <c r="AS8">
        <v>126.03</v>
      </c>
      <c r="AT8">
        <v>125.98</v>
      </c>
      <c r="AU8">
        <v>126.04</v>
      </c>
      <c r="AV8">
        <v>125.95</v>
      </c>
      <c r="AW8">
        <v>126.08</v>
      </c>
      <c r="AX8">
        <v>127.19</v>
      </c>
      <c r="AY8">
        <v>127.34</v>
      </c>
      <c r="AZ8">
        <v>126.96</v>
      </c>
      <c r="BA8">
        <v>126.99</v>
      </c>
      <c r="BB8">
        <v>127</v>
      </c>
      <c r="BC8">
        <v>126.75</v>
      </c>
      <c r="BD8">
        <v>126.84</v>
      </c>
      <c r="BE8">
        <v>126.47</v>
      </c>
      <c r="BF8">
        <v>126.45</v>
      </c>
      <c r="BG8">
        <v>125.51</v>
      </c>
      <c r="BH8">
        <v>123.97</v>
      </c>
      <c r="BI8">
        <v>124.07</v>
      </c>
      <c r="BJ8">
        <v>119.99</v>
      </c>
      <c r="BK8">
        <v>116.63</v>
      </c>
      <c r="BL8">
        <v>116.33</v>
      </c>
      <c r="BM8">
        <v>115.98</v>
      </c>
      <c r="BN8">
        <v>114.81</v>
      </c>
      <c r="BO8">
        <v>114.5</v>
      </c>
      <c r="BP8">
        <v>114.46</v>
      </c>
      <c r="BQ8">
        <v>112.88</v>
      </c>
      <c r="BR8">
        <v>112.79</v>
      </c>
      <c r="BS8">
        <v>111.27</v>
      </c>
      <c r="BT8">
        <v>110.84</v>
      </c>
      <c r="BU8">
        <v>111.93</v>
      </c>
      <c r="BV8">
        <v>111.82</v>
      </c>
      <c r="BW8">
        <v>111.74</v>
      </c>
      <c r="BX8">
        <v>111.45</v>
      </c>
      <c r="BY8">
        <v>111.31</v>
      </c>
      <c r="BZ8">
        <v>111.49</v>
      </c>
      <c r="CA8">
        <v>111.22</v>
      </c>
      <c r="CB8">
        <v>110.76</v>
      </c>
      <c r="CC8">
        <v>110.78</v>
      </c>
      <c r="CD8">
        <v>110.32</v>
      </c>
      <c r="CE8">
        <v>110.23</v>
      </c>
      <c r="CF8">
        <v>110.25</v>
      </c>
      <c r="CG8">
        <v>110.33</v>
      </c>
      <c r="CH8">
        <v>112.46</v>
      </c>
      <c r="CI8">
        <v>112.82</v>
      </c>
      <c r="CJ8">
        <v>112.82</v>
      </c>
      <c r="CK8">
        <v>112.67</v>
      </c>
      <c r="CL8">
        <v>112.43</v>
      </c>
      <c r="CM8">
        <v>112.27</v>
      </c>
      <c r="CN8">
        <v>112.44</v>
      </c>
      <c r="CO8">
        <v>112.16</v>
      </c>
      <c r="CP8">
        <v>110.87</v>
      </c>
      <c r="CQ8">
        <v>110.93</v>
      </c>
      <c r="CR8">
        <v>110.93</v>
      </c>
      <c r="CS8">
        <v>110.93</v>
      </c>
    </row>
    <row r="9" spans="1:97">
      <c r="A9" s="9">
        <v>46242</v>
      </c>
      <c r="B9">
        <v>114.81</v>
      </c>
      <c r="C9">
        <v>116.44</v>
      </c>
      <c r="D9">
        <v>116.85</v>
      </c>
      <c r="E9">
        <v>115.57</v>
      </c>
      <c r="F9">
        <v>115.73</v>
      </c>
      <c r="G9">
        <v>115.79</v>
      </c>
      <c r="H9">
        <v>115.86</v>
      </c>
      <c r="I9">
        <v>115.8</v>
      </c>
      <c r="J9">
        <v>115.94</v>
      </c>
      <c r="K9">
        <v>116.03</v>
      </c>
      <c r="L9">
        <v>116.2</v>
      </c>
      <c r="M9">
        <v>116.15</v>
      </c>
      <c r="N9">
        <v>116.28</v>
      </c>
      <c r="O9">
        <v>116.35</v>
      </c>
      <c r="P9">
        <v>116.46</v>
      </c>
      <c r="Q9">
        <v>116.42</v>
      </c>
      <c r="R9">
        <v>116.58</v>
      </c>
      <c r="S9">
        <v>116.62</v>
      </c>
      <c r="T9">
        <v>118.4</v>
      </c>
      <c r="U9">
        <v>118.31</v>
      </c>
      <c r="V9">
        <v>118.57</v>
      </c>
      <c r="W9">
        <v>118.54</v>
      </c>
      <c r="X9">
        <v>118.42</v>
      </c>
      <c r="Y9">
        <v>118.59</v>
      </c>
      <c r="Z9">
        <v>118.53</v>
      </c>
      <c r="AA9">
        <v>118.67</v>
      </c>
      <c r="AB9">
        <v>118.53</v>
      </c>
      <c r="AC9">
        <v>118.57</v>
      </c>
      <c r="AD9">
        <v>118.58</v>
      </c>
      <c r="AE9">
        <v>118.56</v>
      </c>
      <c r="AF9">
        <v>118.65</v>
      </c>
      <c r="AG9">
        <v>118.37</v>
      </c>
      <c r="AH9">
        <v>118.35</v>
      </c>
      <c r="AI9">
        <v>118.12</v>
      </c>
      <c r="AJ9">
        <v>118.33</v>
      </c>
      <c r="AK9">
        <v>118.22</v>
      </c>
      <c r="AL9">
        <v>118.93</v>
      </c>
      <c r="AM9">
        <v>118.92</v>
      </c>
      <c r="AN9">
        <v>119</v>
      </c>
      <c r="AO9">
        <v>119.13</v>
      </c>
      <c r="AP9">
        <v>119.13</v>
      </c>
      <c r="AQ9">
        <v>119.19</v>
      </c>
      <c r="AR9">
        <v>119.1</v>
      </c>
      <c r="AS9">
        <v>118.71</v>
      </c>
      <c r="AT9">
        <v>118.61</v>
      </c>
      <c r="AU9">
        <v>118.46</v>
      </c>
      <c r="AV9">
        <v>118.32</v>
      </c>
      <c r="AW9">
        <v>118.41</v>
      </c>
      <c r="AX9">
        <v>119.66</v>
      </c>
      <c r="AY9">
        <v>119.71</v>
      </c>
      <c r="AZ9">
        <v>119.37</v>
      </c>
      <c r="BA9">
        <v>119.4</v>
      </c>
      <c r="BB9">
        <v>119.38</v>
      </c>
      <c r="BC9">
        <v>119.19</v>
      </c>
      <c r="BD9">
        <v>119.22</v>
      </c>
      <c r="BE9">
        <v>118.48</v>
      </c>
      <c r="BF9">
        <v>118.51</v>
      </c>
      <c r="BG9">
        <v>117.43</v>
      </c>
      <c r="BH9">
        <v>117.31</v>
      </c>
      <c r="BI9">
        <v>117.43</v>
      </c>
      <c r="BJ9">
        <v>113.37</v>
      </c>
      <c r="BK9">
        <v>110.17</v>
      </c>
      <c r="BL9">
        <v>110.01</v>
      </c>
      <c r="BM9">
        <v>110.32</v>
      </c>
      <c r="BN9">
        <v>110.49</v>
      </c>
      <c r="BO9">
        <v>110.32</v>
      </c>
      <c r="BP9">
        <v>111.89</v>
      </c>
      <c r="BQ9">
        <v>112.74</v>
      </c>
      <c r="BR9">
        <v>112.58</v>
      </c>
      <c r="BS9">
        <v>111.1</v>
      </c>
      <c r="BT9">
        <v>110.89</v>
      </c>
      <c r="BU9">
        <v>112.2</v>
      </c>
      <c r="BV9">
        <v>112.19</v>
      </c>
      <c r="BW9">
        <v>112.6</v>
      </c>
      <c r="BX9">
        <v>112.26</v>
      </c>
      <c r="BY9">
        <v>112.18</v>
      </c>
      <c r="BZ9">
        <v>111.89</v>
      </c>
      <c r="CA9">
        <v>111.62</v>
      </c>
      <c r="CB9">
        <v>110.58</v>
      </c>
      <c r="CC9">
        <v>110.54</v>
      </c>
      <c r="CD9">
        <v>110.97</v>
      </c>
      <c r="CE9">
        <v>110.72</v>
      </c>
      <c r="CF9">
        <v>110.84</v>
      </c>
      <c r="CG9">
        <v>110.96</v>
      </c>
      <c r="CH9">
        <v>113.12</v>
      </c>
      <c r="CI9">
        <v>113.45</v>
      </c>
      <c r="CJ9">
        <v>113.31</v>
      </c>
      <c r="CK9">
        <v>113.24</v>
      </c>
      <c r="CL9">
        <v>112.92</v>
      </c>
      <c r="CM9">
        <v>112.79</v>
      </c>
      <c r="CN9">
        <v>113.05</v>
      </c>
      <c r="CO9">
        <v>112.77</v>
      </c>
      <c r="CP9">
        <v>111.5</v>
      </c>
      <c r="CQ9">
        <v>111.53</v>
      </c>
      <c r="CR9">
        <v>111.57</v>
      </c>
      <c r="CS9">
        <v>111.66</v>
      </c>
    </row>
    <row r="10" spans="1:97">
      <c r="A10" s="9">
        <v>46243</v>
      </c>
      <c r="B10">
        <v>113.82</v>
      </c>
      <c r="C10">
        <v>114.32</v>
      </c>
      <c r="D10">
        <v>114.45</v>
      </c>
      <c r="E10">
        <v>112.97</v>
      </c>
      <c r="F10">
        <v>113.14</v>
      </c>
      <c r="G10">
        <v>113.07</v>
      </c>
      <c r="H10">
        <v>113.14</v>
      </c>
      <c r="I10">
        <v>112.98</v>
      </c>
      <c r="J10">
        <v>113.1</v>
      </c>
      <c r="K10">
        <v>113.09</v>
      </c>
      <c r="L10">
        <v>113.21</v>
      </c>
      <c r="M10">
        <v>113.14</v>
      </c>
      <c r="N10">
        <v>113.2</v>
      </c>
      <c r="O10">
        <v>113.26</v>
      </c>
      <c r="P10">
        <v>113.29</v>
      </c>
      <c r="Q10">
        <v>113.27</v>
      </c>
      <c r="R10">
        <v>113.31</v>
      </c>
      <c r="S10">
        <v>113.25</v>
      </c>
      <c r="T10">
        <v>115.04</v>
      </c>
      <c r="U10">
        <v>114.74</v>
      </c>
      <c r="V10">
        <v>114.99</v>
      </c>
      <c r="W10">
        <v>114.85</v>
      </c>
      <c r="X10">
        <v>114.55</v>
      </c>
      <c r="Y10">
        <v>114.73</v>
      </c>
      <c r="Z10">
        <v>113.59</v>
      </c>
      <c r="AA10">
        <v>113.64</v>
      </c>
      <c r="AB10">
        <v>113.49</v>
      </c>
      <c r="AC10">
        <v>113.4</v>
      </c>
      <c r="AD10">
        <v>110.9</v>
      </c>
      <c r="AE10">
        <v>109.29</v>
      </c>
      <c r="AF10">
        <v>109.44</v>
      </c>
      <c r="AG10">
        <v>109.04</v>
      </c>
      <c r="AH10">
        <v>109.06</v>
      </c>
      <c r="AI10">
        <v>108.78</v>
      </c>
      <c r="AJ10">
        <v>108.86</v>
      </c>
      <c r="AK10">
        <v>108.62</v>
      </c>
      <c r="AL10">
        <v>109.41</v>
      </c>
      <c r="AM10">
        <v>109.24</v>
      </c>
      <c r="AN10">
        <v>109.16</v>
      </c>
      <c r="AO10">
        <v>108.35</v>
      </c>
      <c r="AP10">
        <v>108.28</v>
      </c>
      <c r="AQ10">
        <v>108.26</v>
      </c>
      <c r="AR10">
        <v>108.09</v>
      </c>
      <c r="AS10">
        <v>107.89</v>
      </c>
      <c r="AT10">
        <v>106.78</v>
      </c>
      <c r="AU10">
        <v>106.58</v>
      </c>
      <c r="AV10">
        <v>106.51</v>
      </c>
      <c r="AW10">
        <v>106.3</v>
      </c>
      <c r="AX10">
        <v>106.74</v>
      </c>
      <c r="AY10">
        <v>106.72</v>
      </c>
      <c r="AZ10">
        <v>106.64</v>
      </c>
      <c r="BA10">
        <v>106.74</v>
      </c>
      <c r="BB10">
        <v>106.83</v>
      </c>
      <c r="BC10">
        <v>106.66</v>
      </c>
      <c r="BD10">
        <v>106.77</v>
      </c>
      <c r="BE10">
        <v>106.14</v>
      </c>
      <c r="BF10">
        <v>107</v>
      </c>
      <c r="BG10">
        <v>107.53</v>
      </c>
      <c r="BH10">
        <v>107</v>
      </c>
      <c r="BI10">
        <v>108.04</v>
      </c>
      <c r="BJ10">
        <v>104.55</v>
      </c>
      <c r="BK10">
        <v>101.38</v>
      </c>
      <c r="BL10">
        <v>101.28</v>
      </c>
      <c r="BM10">
        <v>101.57</v>
      </c>
      <c r="BN10">
        <v>101.81</v>
      </c>
      <c r="BO10">
        <v>101.72</v>
      </c>
      <c r="BP10">
        <v>103.17</v>
      </c>
      <c r="BQ10">
        <v>103.5</v>
      </c>
      <c r="BR10">
        <v>103.43</v>
      </c>
      <c r="BS10">
        <v>101.79</v>
      </c>
      <c r="BT10">
        <v>103.34</v>
      </c>
      <c r="BU10">
        <v>104.7</v>
      </c>
      <c r="BV10">
        <v>104.8</v>
      </c>
      <c r="BW10">
        <v>109.36</v>
      </c>
      <c r="BX10">
        <v>110.78</v>
      </c>
      <c r="BY10">
        <v>111.9</v>
      </c>
      <c r="BZ10">
        <v>112.48</v>
      </c>
      <c r="CA10">
        <v>112.5</v>
      </c>
      <c r="CB10">
        <v>111</v>
      </c>
      <c r="CC10">
        <v>107.32</v>
      </c>
      <c r="CD10">
        <v>107.66</v>
      </c>
      <c r="CE10">
        <v>107.46</v>
      </c>
      <c r="CF10">
        <v>107.38</v>
      </c>
      <c r="CG10">
        <v>107.58</v>
      </c>
      <c r="CH10">
        <v>109.58</v>
      </c>
      <c r="CI10">
        <v>110.1</v>
      </c>
      <c r="CJ10">
        <v>108.43</v>
      </c>
      <c r="CK10">
        <v>108.44</v>
      </c>
      <c r="CL10">
        <v>108.1</v>
      </c>
      <c r="CM10">
        <v>107.58</v>
      </c>
      <c r="CN10">
        <v>107.78</v>
      </c>
      <c r="CO10">
        <v>107.63</v>
      </c>
      <c r="CP10">
        <v>106.37</v>
      </c>
      <c r="CQ10">
        <v>106.4</v>
      </c>
      <c r="CR10">
        <v>106.06</v>
      </c>
      <c r="CS10">
        <v>106.17</v>
      </c>
    </row>
    <row r="11" spans="1:97">
      <c r="A11" s="9">
        <v>46244</v>
      </c>
      <c r="B11">
        <v>107.09</v>
      </c>
      <c r="C11">
        <v>106.09</v>
      </c>
      <c r="D11">
        <v>106.14</v>
      </c>
      <c r="E11">
        <v>104.75</v>
      </c>
      <c r="F11">
        <v>104.83</v>
      </c>
      <c r="G11">
        <v>104.79</v>
      </c>
      <c r="H11">
        <v>104.85</v>
      </c>
      <c r="I11">
        <v>104.83</v>
      </c>
      <c r="J11">
        <v>104.83</v>
      </c>
      <c r="K11">
        <v>104.9</v>
      </c>
      <c r="L11">
        <v>105</v>
      </c>
      <c r="M11">
        <v>104.92</v>
      </c>
      <c r="N11">
        <v>104.84</v>
      </c>
      <c r="O11">
        <v>104.95</v>
      </c>
      <c r="P11">
        <v>105</v>
      </c>
      <c r="Q11">
        <v>104.76</v>
      </c>
      <c r="R11">
        <v>104.83</v>
      </c>
      <c r="S11">
        <v>104.66</v>
      </c>
      <c r="T11">
        <v>104.59</v>
      </c>
      <c r="U11">
        <v>104.31</v>
      </c>
      <c r="V11">
        <v>104.34</v>
      </c>
      <c r="W11">
        <v>104.3</v>
      </c>
      <c r="X11">
        <v>103.32</v>
      </c>
      <c r="Y11">
        <v>103.25</v>
      </c>
      <c r="Z11">
        <v>103.02</v>
      </c>
      <c r="AA11">
        <v>103.03</v>
      </c>
      <c r="AB11">
        <v>102.8</v>
      </c>
      <c r="AC11">
        <v>102.72</v>
      </c>
      <c r="AD11">
        <v>100.3</v>
      </c>
      <c r="AE11">
        <v>98.21</v>
      </c>
      <c r="AF11">
        <v>98.37</v>
      </c>
      <c r="AG11">
        <v>97.89</v>
      </c>
      <c r="AH11">
        <v>97.77</v>
      </c>
      <c r="AI11">
        <v>97.73</v>
      </c>
      <c r="AJ11">
        <v>97.74</v>
      </c>
      <c r="AK11">
        <v>97.44</v>
      </c>
      <c r="AL11">
        <v>97.28</v>
      </c>
      <c r="AM11">
        <v>97.21</v>
      </c>
      <c r="AN11">
        <v>97.03</v>
      </c>
      <c r="AO11">
        <v>95.26</v>
      </c>
      <c r="AP11">
        <v>95.2</v>
      </c>
      <c r="AQ11">
        <v>95.13</v>
      </c>
      <c r="AR11">
        <v>94.99</v>
      </c>
      <c r="AS11">
        <v>94.88</v>
      </c>
      <c r="AT11">
        <v>93.81</v>
      </c>
      <c r="AU11">
        <v>93.72</v>
      </c>
      <c r="AV11">
        <v>93.61</v>
      </c>
      <c r="AW11">
        <v>93.26</v>
      </c>
      <c r="AX11">
        <v>92.65</v>
      </c>
      <c r="AY11">
        <v>92.43</v>
      </c>
      <c r="AZ11">
        <v>92.39</v>
      </c>
      <c r="BA11">
        <v>92.5</v>
      </c>
      <c r="BB11">
        <v>92.48</v>
      </c>
      <c r="BC11">
        <v>92.44</v>
      </c>
      <c r="BD11">
        <v>92.46</v>
      </c>
      <c r="BE11">
        <v>91.68</v>
      </c>
      <c r="BF11">
        <v>92.15</v>
      </c>
      <c r="BG11">
        <v>92.36</v>
      </c>
      <c r="BH11">
        <v>91.67</v>
      </c>
      <c r="BI11">
        <v>92.65</v>
      </c>
      <c r="BJ11">
        <v>92.54</v>
      </c>
      <c r="BK11">
        <v>92.63</v>
      </c>
      <c r="BL11">
        <v>92.63</v>
      </c>
      <c r="BM11">
        <v>92.91</v>
      </c>
      <c r="BN11">
        <v>94.08</v>
      </c>
      <c r="BO11">
        <v>94.19</v>
      </c>
      <c r="BP11">
        <v>95.54</v>
      </c>
      <c r="BQ11">
        <v>96.06</v>
      </c>
      <c r="BR11">
        <v>95.92</v>
      </c>
      <c r="BS11">
        <v>96.07</v>
      </c>
      <c r="BT11">
        <v>96.4</v>
      </c>
      <c r="BU11">
        <v>96.42</v>
      </c>
      <c r="BV11">
        <v>96.52</v>
      </c>
      <c r="BW11">
        <v>101.62</v>
      </c>
      <c r="BX11">
        <v>103.61</v>
      </c>
      <c r="BY11">
        <v>107.34</v>
      </c>
      <c r="BZ11">
        <v>108.95</v>
      </c>
      <c r="CA11">
        <v>109.29</v>
      </c>
      <c r="CB11">
        <v>108.02</v>
      </c>
      <c r="CC11">
        <v>106.83</v>
      </c>
      <c r="CD11">
        <v>108.66</v>
      </c>
      <c r="CE11">
        <v>109.95</v>
      </c>
      <c r="CF11">
        <v>109.92</v>
      </c>
      <c r="CG11">
        <v>110.01</v>
      </c>
      <c r="CH11">
        <v>109.84</v>
      </c>
      <c r="CI11">
        <v>110.16</v>
      </c>
      <c r="CJ11">
        <v>108.55</v>
      </c>
      <c r="CK11">
        <v>108.74</v>
      </c>
      <c r="CL11">
        <v>108.72</v>
      </c>
      <c r="CM11">
        <v>108.37</v>
      </c>
      <c r="CN11">
        <v>108.43</v>
      </c>
      <c r="CO11">
        <v>108.39</v>
      </c>
      <c r="CP11">
        <v>108.68</v>
      </c>
      <c r="CQ11">
        <v>108.83</v>
      </c>
      <c r="CR11">
        <v>108.25</v>
      </c>
      <c r="CS11">
        <v>108.36</v>
      </c>
    </row>
    <row r="12" spans="1:97">
      <c r="A12" s="9">
        <v>46245</v>
      </c>
      <c r="B12">
        <v>107.6</v>
      </c>
      <c r="C12">
        <v>106.7</v>
      </c>
      <c r="D12">
        <v>106.62</v>
      </c>
      <c r="E12">
        <v>106.47</v>
      </c>
      <c r="F12">
        <v>106.42</v>
      </c>
      <c r="G12">
        <v>106.19</v>
      </c>
      <c r="H12">
        <v>106.11</v>
      </c>
      <c r="I12">
        <v>106.02</v>
      </c>
      <c r="J12">
        <v>105</v>
      </c>
      <c r="K12">
        <v>104.99</v>
      </c>
      <c r="L12">
        <v>105.13</v>
      </c>
      <c r="M12">
        <v>105.04</v>
      </c>
      <c r="N12">
        <v>104.62</v>
      </c>
      <c r="O12">
        <v>104.71</v>
      </c>
      <c r="P12">
        <v>104.7</v>
      </c>
      <c r="Q12">
        <v>104.37</v>
      </c>
      <c r="R12">
        <v>104.34</v>
      </c>
      <c r="S12">
        <v>104.1</v>
      </c>
      <c r="T12">
        <v>104.07</v>
      </c>
      <c r="U12">
        <v>102.18</v>
      </c>
      <c r="V12">
        <v>102.2</v>
      </c>
      <c r="W12">
        <v>102.13</v>
      </c>
      <c r="X12">
        <v>101.36</v>
      </c>
      <c r="Y12">
        <v>101.2</v>
      </c>
      <c r="Z12">
        <v>101.02</v>
      </c>
      <c r="AA12">
        <v>101.03</v>
      </c>
      <c r="AB12">
        <v>101.02</v>
      </c>
      <c r="AC12">
        <v>100.93</v>
      </c>
      <c r="AD12">
        <v>98.53</v>
      </c>
      <c r="AE12">
        <v>96.42</v>
      </c>
      <c r="AF12">
        <v>96.38</v>
      </c>
      <c r="AG12">
        <v>96.17</v>
      </c>
      <c r="AH12">
        <v>96.03</v>
      </c>
      <c r="AI12">
        <v>96.11</v>
      </c>
      <c r="AJ12">
        <v>96.03</v>
      </c>
      <c r="AK12">
        <v>95.79</v>
      </c>
      <c r="AL12">
        <v>95.8</v>
      </c>
      <c r="AM12">
        <v>93.83</v>
      </c>
      <c r="AN12">
        <v>93.69</v>
      </c>
      <c r="AO12">
        <v>91.81</v>
      </c>
      <c r="AP12">
        <v>91.22</v>
      </c>
      <c r="AQ12">
        <v>91.19</v>
      </c>
      <c r="AR12">
        <v>91.01</v>
      </c>
      <c r="AS12">
        <v>90.84</v>
      </c>
      <c r="AT12">
        <v>89.7</v>
      </c>
      <c r="AU12">
        <v>89.16</v>
      </c>
      <c r="AV12">
        <v>89.05</v>
      </c>
      <c r="AW12">
        <v>87.79</v>
      </c>
      <c r="AX12">
        <v>85.69</v>
      </c>
      <c r="AY12">
        <v>85.59</v>
      </c>
      <c r="AZ12">
        <v>85.6</v>
      </c>
      <c r="BA12">
        <v>85.68</v>
      </c>
      <c r="BB12">
        <v>85.65</v>
      </c>
      <c r="BC12">
        <v>85.71</v>
      </c>
      <c r="BD12">
        <v>86.3</v>
      </c>
      <c r="BE12">
        <v>86.17</v>
      </c>
      <c r="BF12">
        <v>89.71</v>
      </c>
      <c r="BG12">
        <v>90.93</v>
      </c>
      <c r="BH12">
        <v>90.08</v>
      </c>
      <c r="BI12">
        <v>91.26</v>
      </c>
      <c r="BJ12">
        <v>92.31</v>
      </c>
      <c r="BK12">
        <v>92.52</v>
      </c>
      <c r="BL12">
        <v>92.63</v>
      </c>
      <c r="BM12">
        <v>92.74</v>
      </c>
      <c r="BN12">
        <v>92.84</v>
      </c>
      <c r="BO12">
        <v>92.89</v>
      </c>
      <c r="BP12">
        <v>93.27</v>
      </c>
      <c r="BQ12">
        <v>92.84</v>
      </c>
      <c r="BR12">
        <v>92.83</v>
      </c>
      <c r="BS12">
        <v>92.84</v>
      </c>
      <c r="BT12">
        <v>94.55</v>
      </c>
      <c r="BU12">
        <v>94.45</v>
      </c>
      <c r="BV12">
        <v>94.5</v>
      </c>
      <c r="BW12">
        <v>99.17</v>
      </c>
      <c r="BX12">
        <v>101.25</v>
      </c>
      <c r="BY12">
        <v>104.9</v>
      </c>
      <c r="BZ12">
        <v>106.58</v>
      </c>
      <c r="CA12">
        <v>106.96</v>
      </c>
      <c r="CB12">
        <v>106.44</v>
      </c>
      <c r="CC12">
        <v>105.28</v>
      </c>
      <c r="CD12">
        <v>106.63</v>
      </c>
      <c r="CE12">
        <v>108.05</v>
      </c>
      <c r="CF12">
        <v>107.91</v>
      </c>
      <c r="CG12">
        <v>108</v>
      </c>
      <c r="CH12">
        <v>107.85</v>
      </c>
      <c r="CI12">
        <v>108.17</v>
      </c>
      <c r="CJ12">
        <v>106.6</v>
      </c>
      <c r="CK12">
        <v>106.72</v>
      </c>
      <c r="CL12">
        <v>106.83</v>
      </c>
      <c r="CM12">
        <v>106.48</v>
      </c>
      <c r="CN12">
        <v>106.47</v>
      </c>
      <c r="CO12">
        <v>106.47</v>
      </c>
      <c r="CP12">
        <v>106.72</v>
      </c>
      <c r="CQ12">
        <v>106.88</v>
      </c>
      <c r="CR12">
        <v>106.37</v>
      </c>
      <c r="CS12">
        <v>106.35</v>
      </c>
    </row>
    <row r="13" spans="1:97">
      <c r="A13" s="9">
        <v>46246</v>
      </c>
      <c r="B13">
        <v>105.71</v>
      </c>
      <c r="C13">
        <v>105.84</v>
      </c>
      <c r="D13">
        <v>104.43</v>
      </c>
      <c r="E13">
        <v>104.28</v>
      </c>
      <c r="F13">
        <v>104.25</v>
      </c>
      <c r="G13">
        <v>104.05</v>
      </c>
      <c r="H13">
        <v>103.97</v>
      </c>
      <c r="I13">
        <v>103.82</v>
      </c>
      <c r="J13">
        <v>102.82</v>
      </c>
      <c r="K13">
        <v>102.83</v>
      </c>
      <c r="L13">
        <v>102.89</v>
      </c>
      <c r="M13">
        <v>102.04</v>
      </c>
      <c r="N13">
        <v>101.64</v>
      </c>
      <c r="O13">
        <v>101.71</v>
      </c>
      <c r="P13">
        <v>101.69</v>
      </c>
      <c r="Q13">
        <v>101.42</v>
      </c>
      <c r="R13">
        <v>101.22</v>
      </c>
      <c r="S13">
        <v>101.06</v>
      </c>
      <c r="T13">
        <v>100.98</v>
      </c>
      <c r="U13">
        <v>99.24</v>
      </c>
      <c r="V13">
        <v>99.22</v>
      </c>
      <c r="W13">
        <v>99.21</v>
      </c>
      <c r="X13">
        <v>98.6</v>
      </c>
      <c r="Y13">
        <v>98.35</v>
      </c>
      <c r="Z13">
        <v>99.11</v>
      </c>
      <c r="AA13">
        <v>99.3</v>
      </c>
      <c r="AB13">
        <v>99.16</v>
      </c>
      <c r="AC13">
        <v>98.23</v>
      </c>
      <c r="AD13">
        <v>98.41</v>
      </c>
      <c r="AE13">
        <v>97.88</v>
      </c>
      <c r="AF13">
        <v>97.66</v>
      </c>
      <c r="AG13">
        <v>97.52</v>
      </c>
      <c r="AH13">
        <v>97.03</v>
      </c>
      <c r="AI13">
        <v>97.13</v>
      </c>
      <c r="AJ13">
        <v>97.13</v>
      </c>
      <c r="AK13">
        <v>96.94</v>
      </c>
      <c r="AL13">
        <v>96.9</v>
      </c>
      <c r="AM13">
        <v>94.93</v>
      </c>
      <c r="AN13">
        <v>94.82</v>
      </c>
      <c r="AO13">
        <v>94.03</v>
      </c>
      <c r="AP13">
        <v>91.43</v>
      </c>
      <c r="AQ13">
        <v>90.16</v>
      </c>
      <c r="AR13">
        <v>90.09</v>
      </c>
      <c r="AS13">
        <v>89.9</v>
      </c>
      <c r="AT13">
        <v>89.76</v>
      </c>
      <c r="AU13">
        <v>89.13</v>
      </c>
      <c r="AV13">
        <v>88.95</v>
      </c>
      <c r="AW13">
        <v>87.87</v>
      </c>
      <c r="AX13">
        <v>85.97</v>
      </c>
      <c r="AY13">
        <v>85.49</v>
      </c>
      <c r="AZ13">
        <v>85.52</v>
      </c>
      <c r="BA13">
        <v>85.56</v>
      </c>
      <c r="BB13">
        <v>85.42</v>
      </c>
      <c r="BC13">
        <v>85.63</v>
      </c>
      <c r="BD13">
        <v>86.14</v>
      </c>
      <c r="BE13">
        <v>85.35</v>
      </c>
      <c r="BF13">
        <v>88.1</v>
      </c>
      <c r="BG13">
        <v>87.65</v>
      </c>
      <c r="BH13">
        <v>87.24</v>
      </c>
      <c r="BI13">
        <v>87.35</v>
      </c>
      <c r="BJ13">
        <v>88.52</v>
      </c>
      <c r="BK13">
        <v>88.59</v>
      </c>
      <c r="BL13">
        <v>90.14</v>
      </c>
      <c r="BM13">
        <v>91.98</v>
      </c>
      <c r="BN13">
        <v>92.22</v>
      </c>
      <c r="BO13">
        <v>93.29</v>
      </c>
      <c r="BP13">
        <v>94.74</v>
      </c>
      <c r="BQ13">
        <v>94.86</v>
      </c>
      <c r="BR13">
        <v>94.95</v>
      </c>
      <c r="BS13">
        <v>95.17</v>
      </c>
      <c r="BT13">
        <v>97.86</v>
      </c>
      <c r="BU13">
        <v>97.65</v>
      </c>
      <c r="BV13">
        <v>97.69</v>
      </c>
      <c r="BW13">
        <v>98.46</v>
      </c>
      <c r="BX13">
        <v>98.65</v>
      </c>
      <c r="BY13">
        <v>100.97</v>
      </c>
      <c r="BZ13">
        <v>101.93</v>
      </c>
      <c r="CA13">
        <v>102.14</v>
      </c>
      <c r="CB13">
        <v>101.93</v>
      </c>
      <c r="CC13">
        <v>104.56</v>
      </c>
      <c r="CD13">
        <v>105.85</v>
      </c>
      <c r="CE13">
        <v>110.3</v>
      </c>
      <c r="CF13">
        <v>110.09</v>
      </c>
      <c r="CG13">
        <v>110.37</v>
      </c>
      <c r="CH13">
        <v>110.44</v>
      </c>
      <c r="CI13">
        <v>110.46</v>
      </c>
      <c r="CJ13">
        <v>110.42</v>
      </c>
      <c r="CK13">
        <v>110.56</v>
      </c>
      <c r="CL13">
        <v>110.75</v>
      </c>
      <c r="CM13">
        <v>110.84</v>
      </c>
      <c r="CN13">
        <v>110.81</v>
      </c>
      <c r="CO13">
        <v>110.53</v>
      </c>
      <c r="CP13">
        <v>111.02</v>
      </c>
      <c r="CQ13">
        <v>111.14</v>
      </c>
      <c r="CR13">
        <v>110.89</v>
      </c>
      <c r="CS13">
        <v>110.76</v>
      </c>
    </row>
    <row r="14" spans="1:97">
      <c r="A14" s="9">
        <v>46247</v>
      </c>
      <c r="B14">
        <v>110.94</v>
      </c>
      <c r="C14">
        <v>111.07</v>
      </c>
      <c r="D14">
        <v>109.72</v>
      </c>
      <c r="E14">
        <v>108.45</v>
      </c>
      <c r="F14">
        <v>109.76</v>
      </c>
      <c r="G14">
        <v>109.59</v>
      </c>
      <c r="H14">
        <v>109.33</v>
      </c>
      <c r="I14">
        <v>109.21</v>
      </c>
      <c r="J14">
        <v>108.21</v>
      </c>
      <c r="K14">
        <v>108.06</v>
      </c>
      <c r="L14">
        <v>108.29</v>
      </c>
      <c r="M14">
        <v>107.2</v>
      </c>
      <c r="N14">
        <v>106.76</v>
      </c>
      <c r="O14">
        <v>106.89</v>
      </c>
      <c r="P14">
        <v>106.81</v>
      </c>
      <c r="Q14">
        <v>106.52</v>
      </c>
      <c r="R14">
        <v>105.21</v>
      </c>
      <c r="S14">
        <v>105.29</v>
      </c>
      <c r="T14">
        <v>105.18</v>
      </c>
      <c r="U14">
        <v>103.67</v>
      </c>
      <c r="V14">
        <v>103.56</v>
      </c>
      <c r="W14">
        <v>102.96</v>
      </c>
      <c r="X14">
        <v>103.01</v>
      </c>
      <c r="Y14">
        <v>101.44</v>
      </c>
      <c r="Z14">
        <v>101.19</v>
      </c>
      <c r="AA14">
        <v>101.49</v>
      </c>
      <c r="AB14">
        <v>101.38</v>
      </c>
      <c r="AC14">
        <v>100.22</v>
      </c>
      <c r="AD14">
        <v>100.31</v>
      </c>
      <c r="AE14">
        <v>100.34</v>
      </c>
      <c r="AF14">
        <v>100.17</v>
      </c>
      <c r="AG14">
        <v>99.89</v>
      </c>
      <c r="AH14">
        <v>99.69</v>
      </c>
      <c r="AI14">
        <v>99.4</v>
      </c>
      <c r="AJ14">
        <v>99.66</v>
      </c>
      <c r="AK14">
        <v>99.38</v>
      </c>
      <c r="AL14">
        <v>99.5</v>
      </c>
      <c r="AM14">
        <v>97.47</v>
      </c>
      <c r="AN14">
        <v>97.16</v>
      </c>
      <c r="AO14">
        <v>97.2</v>
      </c>
      <c r="AP14">
        <v>94.53</v>
      </c>
      <c r="AQ14">
        <v>93.36</v>
      </c>
      <c r="AR14">
        <v>93.38</v>
      </c>
      <c r="AS14">
        <v>93</v>
      </c>
      <c r="AT14">
        <v>93.13</v>
      </c>
      <c r="AU14">
        <v>92.76</v>
      </c>
      <c r="AV14">
        <v>92.47</v>
      </c>
      <c r="AW14">
        <v>92.72</v>
      </c>
      <c r="AX14">
        <v>90.48</v>
      </c>
      <c r="AY14">
        <v>90.11</v>
      </c>
      <c r="AZ14">
        <v>90.23</v>
      </c>
      <c r="BA14">
        <v>92.06</v>
      </c>
      <c r="BB14">
        <v>92.04</v>
      </c>
      <c r="BC14">
        <v>92.28</v>
      </c>
      <c r="BD14">
        <v>92.75</v>
      </c>
      <c r="BE14">
        <v>92.53</v>
      </c>
      <c r="BF14">
        <v>96.9</v>
      </c>
      <c r="BG14">
        <v>96.73</v>
      </c>
      <c r="BH14">
        <v>96.85</v>
      </c>
      <c r="BI14">
        <v>96.84</v>
      </c>
      <c r="BJ14">
        <v>97.25</v>
      </c>
      <c r="BK14">
        <v>96.85</v>
      </c>
      <c r="BL14">
        <v>98.33</v>
      </c>
      <c r="BM14">
        <v>100.36</v>
      </c>
      <c r="BN14">
        <v>100.58</v>
      </c>
      <c r="BO14">
        <v>101.59</v>
      </c>
      <c r="BP14">
        <v>103.1</v>
      </c>
      <c r="BQ14">
        <v>103.19</v>
      </c>
      <c r="BR14">
        <v>103.22</v>
      </c>
      <c r="BS14">
        <v>103.46</v>
      </c>
      <c r="BT14">
        <v>106.17</v>
      </c>
      <c r="BU14">
        <v>106.02</v>
      </c>
      <c r="BV14">
        <v>105.82</v>
      </c>
      <c r="BW14">
        <v>106.29</v>
      </c>
      <c r="BX14">
        <v>106.02</v>
      </c>
      <c r="BY14">
        <v>106</v>
      </c>
      <c r="BZ14">
        <v>106.11</v>
      </c>
      <c r="CA14">
        <v>106.25</v>
      </c>
      <c r="CB14">
        <v>106.2</v>
      </c>
      <c r="CC14">
        <v>106.38</v>
      </c>
      <c r="CD14">
        <v>106.06</v>
      </c>
      <c r="CE14">
        <v>109.09</v>
      </c>
      <c r="CF14">
        <v>108.98</v>
      </c>
      <c r="CG14">
        <v>109.12</v>
      </c>
      <c r="CH14">
        <v>109.31</v>
      </c>
      <c r="CI14">
        <v>109.18</v>
      </c>
      <c r="CJ14">
        <v>108.97</v>
      </c>
      <c r="CK14">
        <v>108.96</v>
      </c>
      <c r="CL14">
        <v>109.08</v>
      </c>
      <c r="CM14">
        <v>109.09</v>
      </c>
      <c r="CN14">
        <v>109.19</v>
      </c>
      <c r="CO14">
        <v>108.94</v>
      </c>
      <c r="CP14">
        <v>108.98</v>
      </c>
      <c r="CQ14">
        <v>108.93</v>
      </c>
      <c r="CR14">
        <v>109.1</v>
      </c>
      <c r="CS14">
        <v>108.92</v>
      </c>
    </row>
    <row r="15" spans="1:97">
      <c r="A15" s="9">
        <v>46248</v>
      </c>
      <c r="B15">
        <v>108.25</v>
      </c>
      <c r="C15">
        <v>108.25</v>
      </c>
      <c r="D15">
        <v>107.18</v>
      </c>
      <c r="E15">
        <v>106.03</v>
      </c>
      <c r="F15">
        <v>107.38</v>
      </c>
      <c r="G15">
        <v>107.29</v>
      </c>
      <c r="H15">
        <v>107.15</v>
      </c>
      <c r="I15">
        <v>107.24</v>
      </c>
      <c r="J15">
        <v>107.18</v>
      </c>
      <c r="K15">
        <v>107.16</v>
      </c>
      <c r="L15">
        <v>107.32</v>
      </c>
      <c r="M15">
        <v>106.38</v>
      </c>
      <c r="N15">
        <v>105.99</v>
      </c>
      <c r="O15">
        <v>106.25</v>
      </c>
      <c r="P15">
        <v>106.26</v>
      </c>
      <c r="Q15">
        <v>106.06</v>
      </c>
      <c r="R15">
        <v>104.88</v>
      </c>
      <c r="S15">
        <v>104.86</v>
      </c>
      <c r="T15">
        <v>104.64</v>
      </c>
      <c r="U15">
        <v>104.8</v>
      </c>
      <c r="V15">
        <v>104.87</v>
      </c>
      <c r="W15">
        <v>104.3</v>
      </c>
      <c r="X15">
        <v>103.88</v>
      </c>
      <c r="Y15">
        <v>102.15</v>
      </c>
      <c r="Z15">
        <v>102.41</v>
      </c>
      <c r="AA15">
        <v>102.74</v>
      </c>
      <c r="AB15">
        <v>102.82</v>
      </c>
      <c r="AC15">
        <v>101.68</v>
      </c>
      <c r="AD15">
        <v>101.52</v>
      </c>
      <c r="AE15">
        <v>101.73</v>
      </c>
      <c r="AF15">
        <v>101.82</v>
      </c>
      <c r="AG15">
        <v>101.61</v>
      </c>
      <c r="AH15">
        <v>101.29</v>
      </c>
      <c r="AI15">
        <v>101.18</v>
      </c>
      <c r="AJ15">
        <v>101.17</v>
      </c>
      <c r="AK15">
        <v>101.72</v>
      </c>
      <c r="AL15">
        <v>101.78</v>
      </c>
      <c r="AM15">
        <v>101.63</v>
      </c>
      <c r="AN15">
        <v>101.55</v>
      </c>
      <c r="AO15">
        <v>101.6</v>
      </c>
      <c r="AP15">
        <v>99.39</v>
      </c>
      <c r="AQ15">
        <v>98.29</v>
      </c>
      <c r="AR15">
        <v>98.16</v>
      </c>
      <c r="AS15">
        <v>98.01</v>
      </c>
      <c r="AT15">
        <v>98.28</v>
      </c>
      <c r="AU15">
        <v>98.31</v>
      </c>
      <c r="AV15">
        <v>98.07</v>
      </c>
      <c r="AW15">
        <v>99.54</v>
      </c>
      <c r="AX15">
        <v>99.11</v>
      </c>
      <c r="AY15">
        <v>99.09</v>
      </c>
      <c r="AZ15">
        <v>99.18</v>
      </c>
      <c r="BA15">
        <v>101.18</v>
      </c>
      <c r="BB15">
        <v>101.16</v>
      </c>
      <c r="BC15">
        <v>101.39</v>
      </c>
      <c r="BD15">
        <v>101.16</v>
      </c>
      <c r="BE15">
        <v>100.75</v>
      </c>
      <c r="BF15">
        <v>102.11</v>
      </c>
      <c r="BG15">
        <v>100.99</v>
      </c>
      <c r="BH15">
        <v>101.01</v>
      </c>
      <c r="BI15">
        <v>100.67</v>
      </c>
      <c r="BJ15">
        <v>100.04</v>
      </c>
      <c r="BK15">
        <v>99.2</v>
      </c>
      <c r="BL15">
        <v>100.76</v>
      </c>
      <c r="BM15">
        <v>102.51</v>
      </c>
      <c r="BN15">
        <v>102.13</v>
      </c>
      <c r="BO15">
        <v>101.22</v>
      </c>
      <c r="BP15">
        <v>101.81</v>
      </c>
      <c r="BQ15">
        <v>102</v>
      </c>
      <c r="BR15">
        <v>100.41</v>
      </c>
      <c r="BS15">
        <v>100.08</v>
      </c>
      <c r="BT15">
        <v>101.34</v>
      </c>
      <c r="BU15">
        <v>98.52</v>
      </c>
      <c r="BV15">
        <v>98.42</v>
      </c>
      <c r="BW15">
        <v>98.88</v>
      </c>
      <c r="BX15">
        <v>98.66</v>
      </c>
      <c r="BY15">
        <v>98.46</v>
      </c>
      <c r="BZ15">
        <v>98.45</v>
      </c>
      <c r="CA15">
        <v>98.57</v>
      </c>
      <c r="CB15">
        <v>98.39</v>
      </c>
      <c r="CC15">
        <v>98.55</v>
      </c>
      <c r="CD15">
        <v>98.09</v>
      </c>
      <c r="CE15">
        <v>101.25</v>
      </c>
      <c r="CF15">
        <v>101.11</v>
      </c>
      <c r="CG15">
        <v>101.12</v>
      </c>
      <c r="CH15">
        <v>101.49</v>
      </c>
      <c r="CI15">
        <v>101.33</v>
      </c>
      <c r="CJ15">
        <v>100.87</v>
      </c>
      <c r="CK15">
        <v>101.09</v>
      </c>
      <c r="CL15">
        <v>101.08</v>
      </c>
      <c r="CM15">
        <v>101.28</v>
      </c>
      <c r="CN15">
        <v>101.17</v>
      </c>
      <c r="CO15">
        <v>100.82</v>
      </c>
      <c r="CP15">
        <v>100.57</v>
      </c>
      <c r="CQ15">
        <v>100.46</v>
      </c>
      <c r="CR15">
        <v>100.62</v>
      </c>
      <c r="CS15">
        <v>100.67</v>
      </c>
    </row>
    <row r="16" spans="1:97">
      <c r="A16" s="9">
        <v>46249</v>
      </c>
      <c r="B16">
        <v>99.99</v>
      </c>
      <c r="C16">
        <v>100.2</v>
      </c>
      <c r="D16">
        <v>100.3</v>
      </c>
      <c r="E16">
        <v>99.26</v>
      </c>
      <c r="F16">
        <v>100.41</v>
      </c>
      <c r="G16">
        <v>100.61</v>
      </c>
      <c r="H16">
        <v>100.32</v>
      </c>
      <c r="I16">
        <v>100.6</v>
      </c>
      <c r="J16">
        <v>100.42</v>
      </c>
      <c r="K16">
        <v>100.43</v>
      </c>
      <c r="L16">
        <v>100.51</v>
      </c>
      <c r="M16">
        <v>100.54</v>
      </c>
      <c r="N16">
        <v>100.16</v>
      </c>
      <c r="O16">
        <v>100.21</v>
      </c>
      <c r="P16">
        <v>100.41</v>
      </c>
      <c r="Q16">
        <v>100.24</v>
      </c>
      <c r="R16">
        <v>99.01</v>
      </c>
      <c r="S16">
        <v>98.96</v>
      </c>
      <c r="T16">
        <v>98.94</v>
      </c>
      <c r="U16">
        <v>98.92</v>
      </c>
      <c r="V16">
        <v>99.28</v>
      </c>
      <c r="W16">
        <v>98.73</v>
      </c>
      <c r="X16">
        <v>98.2</v>
      </c>
      <c r="Y16">
        <v>96.46</v>
      </c>
      <c r="Z16">
        <v>96.87</v>
      </c>
      <c r="AA16">
        <v>97.26</v>
      </c>
      <c r="AB16">
        <v>97.27</v>
      </c>
      <c r="AC16">
        <v>97.3</v>
      </c>
      <c r="AD16">
        <v>97.07</v>
      </c>
      <c r="AE16">
        <v>97.02</v>
      </c>
      <c r="AF16">
        <v>97.14</v>
      </c>
      <c r="AG16">
        <v>97.27</v>
      </c>
      <c r="AH16">
        <v>97.29</v>
      </c>
      <c r="AI16">
        <v>97.15</v>
      </c>
      <c r="AJ16">
        <v>102.37</v>
      </c>
      <c r="AK16">
        <v>102.37</v>
      </c>
      <c r="AL16">
        <v>102.43</v>
      </c>
      <c r="AM16">
        <v>102.44</v>
      </c>
      <c r="AN16">
        <v>102.54</v>
      </c>
      <c r="AO16">
        <v>102.68</v>
      </c>
      <c r="AP16">
        <v>102.8</v>
      </c>
      <c r="AQ16">
        <v>102.73</v>
      </c>
      <c r="AR16">
        <v>102.77</v>
      </c>
      <c r="AS16">
        <v>102.7</v>
      </c>
      <c r="AT16">
        <v>103.31</v>
      </c>
      <c r="AU16">
        <v>103.26</v>
      </c>
      <c r="AV16">
        <v>103.15</v>
      </c>
      <c r="AW16">
        <v>105.08</v>
      </c>
      <c r="AX16">
        <v>105.09</v>
      </c>
      <c r="AY16">
        <v>105.51</v>
      </c>
      <c r="AZ16">
        <v>105.69</v>
      </c>
      <c r="BA16">
        <v>107.85</v>
      </c>
      <c r="BB16">
        <v>107.83</v>
      </c>
      <c r="BC16">
        <v>107.88</v>
      </c>
      <c r="BD16">
        <v>106.36</v>
      </c>
      <c r="BE16">
        <v>106.63</v>
      </c>
      <c r="BF16">
        <v>107.92</v>
      </c>
      <c r="BG16">
        <v>107.84</v>
      </c>
      <c r="BH16">
        <v>107.69</v>
      </c>
      <c r="BI16">
        <v>106.52</v>
      </c>
      <c r="BJ16">
        <v>105.61</v>
      </c>
      <c r="BK16">
        <v>104.73</v>
      </c>
      <c r="BL16">
        <v>104.75</v>
      </c>
      <c r="BM16">
        <v>104.77</v>
      </c>
      <c r="BN16">
        <v>104.35</v>
      </c>
      <c r="BO16">
        <v>102.35</v>
      </c>
      <c r="BP16">
        <v>102</v>
      </c>
      <c r="BQ16">
        <v>101.81</v>
      </c>
      <c r="BR16">
        <v>100.12</v>
      </c>
      <c r="BS16">
        <v>99.69</v>
      </c>
      <c r="BT16">
        <v>99.91</v>
      </c>
      <c r="BU16">
        <v>97.05</v>
      </c>
      <c r="BV16">
        <v>96.83</v>
      </c>
      <c r="BW16">
        <v>97.17</v>
      </c>
      <c r="BX16">
        <v>97.25</v>
      </c>
      <c r="BY16">
        <v>97.08</v>
      </c>
      <c r="BZ16">
        <v>96.78</v>
      </c>
      <c r="CA16">
        <v>96.78</v>
      </c>
      <c r="CB16">
        <v>96.78</v>
      </c>
      <c r="CC16">
        <v>96.89</v>
      </c>
      <c r="CD16">
        <v>96.63</v>
      </c>
      <c r="CE16">
        <v>96.84</v>
      </c>
      <c r="CF16">
        <v>96.73</v>
      </c>
      <c r="CG16">
        <v>96.58</v>
      </c>
      <c r="CH16">
        <v>96.78</v>
      </c>
      <c r="CI16">
        <v>96.79</v>
      </c>
      <c r="CJ16">
        <v>96.56</v>
      </c>
      <c r="CK16">
        <v>96.41</v>
      </c>
      <c r="CL16">
        <v>96.43</v>
      </c>
      <c r="CM16">
        <v>96.69</v>
      </c>
      <c r="CN16">
        <v>96.39</v>
      </c>
      <c r="CO16">
        <v>96.61</v>
      </c>
      <c r="CP16">
        <v>96.03</v>
      </c>
      <c r="CQ16">
        <v>95.79</v>
      </c>
      <c r="CR16">
        <v>96.21</v>
      </c>
      <c r="CS16">
        <v>96.2</v>
      </c>
    </row>
    <row r="17" spans="1:97">
      <c r="A17" s="9">
        <v>46250</v>
      </c>
      <c r="B17">
        <v>96.81</v>
      </c>
      <c r="C17">
        <v>100</v>
      </c>
      <c r="D17">
        <v>100.15</v>
      </c>
      <c r="E17">
        <v>100.29</v>
      </c>
      <c r="F17">
        <v>100.27</v>
      </c>
      <c r="G17">
        <v>100.47</v>
      </c>
      <c r="H17">
        <v>100.23</v>
      </c>
      <c r="I17">
        <v>100.56</v>
      </c>
      <c r="J17">
        <v>100.5</v>
      </c>
      <c r="K17">
        <v>100.4</v>
      </c>
      <c r="L17">
        <v>100.6</v>
      </c>
      <c r="M17">
        <v>100.75</v>
      </c>
      <c r="N17">
        <v>100.56</v>
      </c>
      <c r="O17">
        <v>100.53</v>
      </c>
      <c r="P17">
        <v>100.94</v>
      </c>
      <c r="Q17">
        <v>100.97</v>
      </c>
      <c r="R17">
        <v>100.47</v>
      </c>
      <c r="S17">
        <v>100.32</v>
      </c>
      <c r="T17">
        <v>100.62</v>
      </c>
      <c r="U17">
        <v>100.38</v>
      </c>
      <c r="V17">
        <v>100.94</v>
      </c>
      <c r="W17">
        <v>100.72</v>
      </c>
      <c r="X17">
        <v>100.37</v>
      </c>
      <c r="Y17">
        <v>99.89</v>
      </c>
      <c r="Z17">
        <v>100.62</v>
      </c>
      <c r="AA17">
        <v>100.97</v>
      </c>
      <c r="AB17">
        <v>100.78</v>
      </c>
      <c r="AC17">
        <v>98.38</v>
      </c>
      <c r="AD17">
        <v>97.97</v>
      </c>
      <c r="AE17">
        <v>97.95</v>
      </c>
      <c r="AF17">
        <v>98.07</v>
      </c>
      <c r="AG17">
        <v>98.28</v>
      </c>
      <c r="AH17">
        <v>98.31</v>
      </c>
      <c r="AI17">
        <v>98.4</v>
      </c>
      <c r="AJ17">
        <v>103.38</v>
      </c>
      <c r="AK17">
        <v>103.55</v>
      </c>
      <c r="AL17">
        <v>103.31</v>
      </c>
      <c r="AM17">
        <v>103.3</v>
      </c>
      <c r="AN17">
        <v>103.9</v>
      </c>
      <c r="AO17">
        <v>104.06</v>
      </c>
      <c r="AP17">
        <v>104.09</v>
      </c>
      <c r="AQ17">
        <v>103.85</v>
      </c>
      <c r="AR17">
        <v>104.03</v>
      </c>
      <c r="AS17">
        <v>104.08</v>
      </c>
      <c r="AT17">
        <v>104.09</v>
      </c>
      <c r="AU17">
        <v>103.84</v>
      </c>
      <c r="AV17">
        <v>102.97</v>
      </c>
      <c r="AW17">
        <v>100.22</v>
      </c>
      <c r="AX17">
        <v>95.05</v>
      </c>
      <c r="AY17">
        <v>94.4</v>
      </c>
      <c r="AZ17">
        <v>90.74</v>
      </c>
      <c r="BA17">
        <v>91.17</v>
      </c>
      <c r="BB17">
        <v>92.82</v>
      </c>
      <c r="BC17">
        <v>93.28</v>
      </c>
      <c r="BD17">
        <v>90.76</v>
      </c>
      <c r="BE17">
        <v>90.76</v>
      </c>
      <c r="BF17">
        <v>90.74</v>
      </c>
      <c r="BG17">
        <v>90.85</v>
      </c>
      <c r="BH17">
        <v>90.33</v>
      </c>
      <c r="BI17">
        <v>89.33</v>
      </c>
      <c r="BJ17">
        <v>89.48</v>
      </c>
      <c r="BK17">
        <v>88.95</v>
      </c>
      <c r="BL17">
        <v>89.06</v>
      </c>
      <c r="BM17">
        <v>88.82</v>
      </c>
      <c r="BN17">
        <v>88.5</v>
      </c>
      <c r="BO17">
        <v>86.55</v>
      </c>
      <c r="BP17">
        <v>86.17</v>
      </c>
      <c r="BQ17">
        <v>86</v>
      </c>
      <c r="BR17">
        <v>84.3</v>
      </c>
      <c r="BS17">
        <v>83.9</v>
      </c>
      <c r="BT17">
        <v>83.98</v>
      </c>
      <c r="BU17">
        <v>81.13</v>
      </c>
      <c r="BV17">
        <v>81.13</v>
      </c>
      <c r="BW17">
        <v>81.34</v>
      </c>
      <c r="BX17">
        <v>81.63</v>
      </c>
      <c r="BY17">
        <v>81.44</v>
      </c>
      <c r="BZ17">
        <v>81.08</v>
      </c>
      <c r="CA17">
        <v>81.16</v>
      </c>
      <c r="CB17">
        <v>80.98</v>
      </c>
      <c r="CC17">
        <v>81.05</v>
      </c>
      <c r="CD17">
        <v>80.51</v>
      </c>
      <c r="CE17">
        <v>80.71</v>
      </c>
      <c r="CF17">
        <v>80.52</v>
      </c>
      <c r="CG17">
        <v>80.44</v>
      </c>
      <c r="CH17">
        <v>80.55</v>
      </c>
      <c r="CI17">
        <v>80.51</v>
      </c>
      <c r="CJ17">
        <v>80.42</v>
      </c>
      <c r="CK17">
        <v>80.29</v>
      </c>
      <c r="CL17">
        <v>80.38</v>
      </c>
      <c r="CM17">
        <v>80.69</v>
      </c>
      <c r="CN17">
        <v>80.3</v>
      </c>
      <c r="CO17">
        <v>80.37</v>
      </c>
      <c r="CP17">
        <v>80.06</v>
      </c>
      <c r="CQ17">
        <v>79.86</v>
      </c>
      <c r="CR17">
        <v>80.04</v>
      </c>
      <c r="CS17">
        <v>80.02</v>
      </c>
    </row>
    <row r="18" spans="1:97">
      <c r="A18" s="9">
        <v>46251</v>
      </c>
      <c r="B18">
        <v>81.55</v>
      </c>
      <c r="C18">
        <v>87.54</v>
      </c>
      <c r="D18">
        <v>87.51</v>
      </c>
      <c r="E18">
        <v>87.64</v>
      </c>
      <c r="F18">
        <v>87.57</v>
      </c>
      <c r="G18">
        <v>87.83</v>
      </c>
      <c r="H18">
        <v>87.7</v>
      </c>
      <c r="I18">
        <v>87.88</v>
      </c>
      <c r="J18">
        <v>87.9</v>
      </c>
      <c r="K18">
        <v>87.73</v>
      </c>
      <c r="L18">
        <v>87.93</v>
      </c>
      <c r="M18">
        <v>87.97</v>
      </c>
      <c r="N18">
        <v>87.99</v>
      </c>
      <c r="O18">
        <v>87.95</v>
      </c>
      <c r="P18">
        <v>88.25</v>
      </c>
      <c r="Q18">
        <v>88.22</v>
      </c>
      <c r="R18">
        <v>87.72</v>
      </c>
      <c r="S18">
        <v>87.75</v>
      </c>
      <c r="T18">
        <v>88.06</v>
      </c>
      <c r="U18">
        <v>87.78</v>
      </c>
      <c r="V18">
        <v>88.12</v>
      </c>
      <c r="W18">
        <v>87.95</v>
      </c>
      <c r="X18">
        <v>88.13</v>
      </c>
      <c r="Y18">
        <v>87.8</v>
      </c>
      <c r="Z18">
        <v>88.05</v>
      </c>
      <c r="AA18">
        <v>88.67</v>
      </c>
      <c r="AB18">
        <v>88.34</v>
      </c>
      <c r="AC18">
        <v>85.93</v>
      </c>
      <c r="AD18">
        <v>85.64</v>
      </c>
      <c r="AE18">
        <v>85.42</v>
      </c>
      <c r="AF18">
        <v>84.98</v>
      </c>
      <c r="AG18">
        <v>85.11</v>
      </c>
      <c r="AH18">
        <v>85.3</v>
      </c>
      <c r="AI18">
        <v>85.21</v>
      </c>
      <c r="AJ18">
        <v>90.43</v>
      </c>
      <c r="AK18">
        <v>89.84</v>
      </c>
      <c r="AL18">
        <v>89.55</v>
      </c>
      <c r="AM18">
        <v>89.6</v>
      </c>
      <c r="AN18">
        <v>90.32</v>
      </c>
      <c r="AO18">
        <v>91.49</v>
      </c>
      <c r="AP18">
        <v>91.53</v>
      </c>
      <c r="AQ18">
        <v>91.2</v>
      </c>
      <c r="AR18">
        <v>91.67</v>
      </c>
      <c r="AS18">
        <v>91.5</v>
      </c>
      <c r="AT18">
        <v>91.36</v>
      </c>
      <c r="AU18">
        <v>91.21</v>
      </c>
      <c r="AV18">
        <v>90.1</v>
      </c>
      <c r="AW18">
        <v>86.1</v>
      </c>
      <c r="AX18">
        <v>80.53</v>
      </c>
      <c r="AY18">
        <v>79.6</v>
      </c>
      <c r="AZ18">
        <v>76.89</v>
      </c>
      <c r="BA18">
        <v>77.02</v>
      </c>
      <c r="BB18">
        <v>78.67</v>
      </c>
      <c r="BC18">
        <v>79.01</v>
      </c>
      <c r="BD18">
        <v>76.59</v>
      </c>
      <c r="BE18">
        <v>76.57</v>
      </c>
      <c r="BF18">
        <v>76.42</v>
      </c>
      <c r="BG18">
        <v>76.56</v>
      </c>
      <c r="BH18">
        <v>76.11</v>
      </c>
      <c r="BI18">
        <v>75.76</v>
      </c>
      <c r="BJ18">
        <v>76.53</v>
      </c>
      <c r="BK18">
        <v>76.35</v>
      </c>
      <c r="BL18">
        <v>76.15</v>
      </c>
      <c r="BM18">
        <v>76.18</v>
      </c>
      <c r="BN18">
        <v>76.49</v>
      </c>
      <c r="BO18">
        <v>77.15</v>
      </c>
      <c r="BP18">
        <v>77.32</v>
      </c>
      <c r="BQ18">
        <v>77.05</v>
      </c>
      <c r="BR18">
        <v>77.87</v>
      </c>
      <c r="BS18">
        <v>78.53</v>
      </c>
      <c r="BT18">
        <v>78.61</v>
      </c>
      <c r="BU18">
        <v>78.5</v>
      </c>
      <c r="BV18">
        <v>78.41</v>
      </c>
      <c r="BW18">
        <v>78.62</v>
      </c>
      <c r="BX18">
        <v>78.83</v>
      </c>
      <c r="BY18">
        <v>78.85</v>
      </c>
      <c r="BZ18">
        <v>78.62</v>
      </c>
      <c r="CA18">
        <v>78.72</v>
      </c>
      <c r="CB18">
        <v>78.68</v>
      </c>
      <c r="CC18">
        <v>78.76</v>
      </c>
      <c r="CD18">
        <v>78.42</v>
      </c>
      <c r="CE18">
        <v>78.52</v>
      </c>
      <c r="CF18">
        <v>78.45</v>
      </c>
      <c r="CG18">
        <v>78.48</v>
      </c>
      <c r="CH18">
        <v>78.45</v>
      </c>
      <c r="CI18">
        <v>78.5</v>
      </c>
      <c r="CJ18">
        <v>78.67</v>
      </c>
      <c r="CK18">
        <v>78.33</v>
      </c>
      <c r="CL18">
        <v>78.46</v>
      </c>
      <c r="CM18">
        <v>78.63</v>
      </c>
      <c r="CN18">
        <v>78.37</v>
      </c>
      <c r="CO18">
        <v>78.57</v>
      </c>
      <c r="CP18">
        <v>78.58</v>
      </c>
      <c r="CQ18">
        <v>78.4</v>
      </c>
      <c r="CR18">
        <v>78.55</v>
      </c>
      <c r="CS18">
        <v>78.33</v>
      </c>
    </row>
    <row r="19" spans="1:97">
      <c r="A19" s="9">
        <v>46252</v>
      </c>
      <c r="B19">
        <v>79.8</v>
      </c>
      <c r="C19">
        <v>85.08</v>
      </c>
      <c r="D19">
        <v>85.16</v>
      </c>
      <c r="E19">
        <v>85.27</v>
      </c>
      <c r="F19">
        <v>85.41</v>
      </c>
      <c r="G19">
        <v>85.36</v>
      </c>
      <c r="H19">
        <v>85.25</v>
      </c>
      <c r="I19">
        <v>85.45</v>
      </c>
      <c r="J19">
        <v>85.47</v>
      </c>
      <c r="K19">
        <v>85.24</v>
      </c>
      <c r="L19">
        <v>85.59</v>
      </c>
      <c r="M19">
        <v>85.39</v>
      </c>
      <c r="N19">
        <v>85.47</v>
      </c>
      <c r="O19">
        <v>85.65</v>
      </c>
      <c r="P19">
        <v>85.71</v>
      </c>
      <c r="Q19">
        <v>85.69</v>
      </c>
      <c r="R19">
        <v>85.35</v>
      </c>
      <c r="S19">
        <v>85.44</v>
      </c>
      <c r="T19">
        <v>85.57</v>
      </c>
      <c r="U19">
        <v>85.47</v>
      </c>
      <c r="V19">
        <v>85.62</v>
      </c>
      <c r="W19">
        <v>85.39</v>
      </c>
      <c r="X19">
        <v>85.58</v>
      </c>
      <c r="Y19">
        <v>85.36</v>
      </c>
      <c r="Z19">
        <v>85.54</v>
      </c>
      <c r="AA19">
        <v>86.09</v>
      </c>
      <c r="AB19">
        <v>85.91</v>
      </c>
      <c r="AC19">
        <v>83.21</v>
      </c>
      <c r="AD19">
        <v>83.08</v>
      </c>
      <c r="AE19">
        <v>83.07</v>
      </c>
      <c r="AF19">
        <v>82.63</v>
      </c>
      <c r="AG19">
        <v>82.51</v>
      </c>
      <c r="AH19">
        <v>82.79</v>
      </c>
      <c r="AI19">
        <v>82.72</v>
      </c>
      <c r="AJ19">
        <v>82.75</v>
      </c>
      <c r="AK19">
        <v>82.71</v>
      </c>
      <c r="AL19">
        <v>82.4</v>
      </c>
      <c r="AM19">
        <v>82.5</v>
      </c>
      <c r="AN19">
        <v>83.09</v>
      </c>
      <c r="AO19">
        <v>84.04</v>
      </c>
      <c r="AP19">
        <v>83.97</v>
      </c>
      <c r="AQ19">
        <v>83.84</v>
      </c>
      <c r="AR19">
        <v>84.05</v>
      </c>
      <c r="AS19">
        <v>83.94</v>
      </c>
      <c r="AT19">
        <v>83.52</v>
      </c>
      <c r="AU19">
        <v>83.5</v>
      </c>
      <c r="AV19">
        <v>82.31</v>
      </c>
      <c r="AW19">
        <v>77.97</v>
      </c>
      <c r="AX19">
        <v>72.62</v>
      </c>
      <c r="AY19">
        <v>71.6</v>
      </c>
      <c r="AZ19">
        <v>68.8</v>
      </c>
      <c r="BA19">
        <v>68.81</v>
      </c>
      <c r="BB19">
        <v>70.61</v>
      </c>
      <c r="BC19">
        <v>71.03</v>
      </c>
      <c r="BD19">
        <v>69.9</v>
      </c>
      <c r="BE19">
        <v>69.95</v>
      </c>
      <c r="BF19">
        <v>69.91</v>
      </c>
      <c r="BG19">
        <v>69.96</v>
      </c>
      <c r="BH19">
        <v>69.75</v>
      </c>
      <c r="BI19">
        <v>70.32</v>
      </c>
      <c r="BJ19">
        <v>71.28</v>
      </c>
      <c r="BK19">
        <v>71.23</v>
      </c>
      <c r="BL19">
        <v>71.17</v>
      </c>
      <c r="BM19">
        <v>71.16</v>
      </c>
      <c r="BN19">
        <v>71.4</v>
      </c>
      <c r="BO19">
        <v>72.14</v>
      </c>
      <c r="BP19">
        <v>72.3</v>
      </c>
      <c r="BQ19">
        <v>72.36</v>
      </c>
      <c r="BR19">
        <v>73.17</v>
      </c>
      <c r="BS19">
        <v>73.71</v>
      </c>
      <c r="BT19">
        <v>73.84</v>
      </c>
      <c r="BU19">
        <v>73.9</v>
      </c>
      <c r="BV19">
        <v>73.95</v>
      </c>
      <c r="BW19">
        <v>74.1</v>
      </c>
      <c r="BX19">
        <v>74.11</v>
      </c>
      <c r="BY19">
        <v>74.16</v>
      </c>
      <c r="BZ19">
        <v>74.17</v>
      </c>
      <c r="CA19">
        <v>74.14</v>
      </c>
      <c r="CB19">
        <v>74.08</v>
      </c>
      <c r="CC19">
        <v>73.93</v>
      </c>
      <c r="CD19">
        <v>73.48</v>
      </c>
      <c r="CE19">
        <v>73.36</v>
      </c>
      <c r="CF19">
        <v>72.28</v>
      </c>
      <c r="CG19">
        <v>72.25</v>
      </c>
      <c r="CH19">
        <v>72.33</v>
      </c>
      <c r="CI19">
        <v>71.85</v>
      </c>
      <c r="CJ19">
        <v>71.72</v>
      </c>
      <c r="CK19">
        <v>71.65</v>
      </c>
      <c r="CL19">
        <v>71.79</v>
      </c>
      <c r="CM19">
        <v>71.76</v>
      </c>
      <c r="CN19">
        <v>71.82</v>
      </c>
      <c r="CO19">
        <v>71.71</v>
      </c>
      <c r="CP19">
        <v>71.77</v>
      </c>
      <c r="CQ19">
        <v>71.7</v>
      </c>
      <c r="CR19">
        <v>71.61</v>
      </c>
      <c r="CS19">
        <v>71.17</v>
      </c>
    </row>
    <row r="20" spans="1:97">
      <c r="A20" s="9">
        <v>46253</v>
      </c>
      <c r="B20">
        <v>71.17</v>
      </c>
      <c r="C20">
        <v>73.55</v>
      </c>
      <c r="D20">
        <v>73.58</v>
      </c>
      <c r="E20">
        <v>73.72</v>
      </c>
      <c r="F20">
        <v>73.8</v>
      </c>
      <c r="G20">
        <v>73.82</v>
      </c>
      <c r="H20">
        <v>73.79</v>
      </c>
      <c r="I20">
        <v>73.88</v>
      </c>
      <c r="J20">
        <v>73.91</v>
      </c>
      <c r="K20">
        <v>74.02</v>
      </c>
      <c r="L20">
        <v>74.04</v>
      </c>
      <c r="M20">
        <v>74.12</v>
      </c>
      <c r="N20">
        <v>74.17</v>
      </c>
      <c r="O20">
        <v>74.36</v>
      </c>
      <c r="P20">
        <v>74.38</v>
      </c>
      <c r="Q20">
        <v>74.63</v>
      </c>
      <c r="R20">
        <v>74.63</v>
      </c>
      <c r="S20">
        <v>74.92</v>
      </c>
      <c r="T20">
        <v>76.81</v>
      </c>
      <c r="U20">
        <v>76.82</v>
      </c>
      <c r="V20">
        <v>76.86</v>
      </c>
      <c r="W20">
        <v>74.05</v>
      </c>
      <c r="X20">
        <v>74.15</v>
      </c>
      <c r="Y20">
        <v>74.12</v>
      </c>
      <c r="Z20">
        <v>74.02</v>
      </c>
      <c r="AA20">
        <v>74.34</v>
      </c>
      <c r="AB20">
        <v>73.49</v>
      </c>
      <c r="AC20">
        <v>73.48</v>
      </c>
      <c r="AD20">
        <v>73.17</v>
      </c>
      <c r="AE20">
        <v>74.07</v>
      </c>
      <c r="AF20">
        <v>75.41</v>
      </c>
      <c r="AG20">
        <v>75.35</v>
      </c>
      <c r="AH20">
        <v>75.5</v>
      </c>
      <c r="AI20">
        <v>75.4</v>
      </c>
      <c r="AJ20">
        <v>75.31</v>
      </c>
      <c r="AK20">
        <v>75.28</v>
      </c>
      <c r="AL20">
        <v>75.09</v>
      </c>
      <c r="AM20">
        <v>75.17</v>
      </c>
      <c r="AN20">
        <v>75.73</v>
      </c>
      <c r="AO20">
        <v>76.78</v>
      </c>
      <c r="AP20">
        <v>76.91</v>
      </c>
      <c r="AQ20">
        <v>76.76</v>
      </c>
      <c r="AR20">
        <v>76.8</v>
      </c>
      <c r="AS20">
        <v>76.71</v>
      </c>
      <c r="AT20">
        <v>76.64</v>
      </c>
      <c r="AU20">
        <v>76.54</v>
      </c>
      <c r="AV20">
        <v>76.31</v>
      </c>
      <c r="AW20">
        <v>75.24</v>
      </c>
      <c r="AX20">
        <v>75.46</v>
      </c>
      <c r="AY20">
        <v>75.45</v>
      </c>
      <c r="AZ20">
        <v>76.3</v>
      </c>
      <c r="BA20">
        <v>76.19</v>
      </c>
      <c r="BB20">
        <v>76.31</v>
      </c>
      <c r="BC20">
        <v>76.24</v>
      </c>
      <c r="BD20">
        <v>76.02</v>
      </c>
      <c r="BE20">
        <v>76.78</v>
      </c>
      <c r="BF20">
        <v>76.84</v>
      </c>
      <c r="BG20">
        <v>76.72</v>
      </c>
      <c r="BH20">
        <v>76.74</v>
      </c>
      <c r="BI20">
        <v>77.2</v>
      </c>
      <c r="BJ20">
        <v>77.78</v>
      </c>
      <c r="BK20">
        <v>77.64</v>
      </c>
      <c r="BL20">
        <v>77.43</v>
      </c>
      <c r="BM20">
        <v>77.42</v>
      </c>
      <c r="BN20">
        <v>77.71</v>
      </c>
      <c r="BO20">
        <v>78.4</v>
      </c>
      <c r="BP20">
        <v>78.6</v>
      </c>
      <c r="BQ20">
        <v>79.16</v>
      </c>
      <c r="BR20">
        <v>81.09</v>
      </c>
      <c r="BS20">
        <v>81.67</v>
      </c>
      <c r="BT20">
        <v>81.7</v>
      </c>
      <c r="BU20">
        <v>81.75</v>
      </c>
      <c r="BV20">
        <v>82.08</v>
      </c>
      <c r="BW20">
        <v>82.07</v>
      </c>
      <c r="BX20">
        <v>82.01</v>
      </c>
      <c r="BY20">
        <v>81.96</v>
      </c>
      <c r="BZ20">
        <v>82.09</v>
      </c>
      <c r="CA20">
        <v>81.97</v>
      </c>
      <c r="CB20">
        <v>82.01</v>
      </c>
      <c r="CC20">
        <v>81.81</v>
      </c>
      <c r="CD20">
        <v>81.81</v>
      </c>
      <c r="CE20">
        <v>81.66</v>
      </c>
      <c r="CF20">
        <v>80.57</v>
      </c>
      <c r="CG20">
        <v>80.64</v>
      </c>
      <c r="CH20">
        <v>80.69</v>
      </c>
      <c r="CI20">
        <v>80.21</v>
      </c>
      <c r="CJ20">
        <v>80.12</v>
      </c>
      <c r="CK20">
        <v>80.1</v>
      </c>
      <c r="CL20">
        <v>80.38</v>
      </c>
      <c r="CM20">
        <v>80.24</v>
      </c>
      <c r="CN20">
        <v>80.29</v>
      </c>
      <c r="CO20">
        <v>80.11</v>
      </c>
      <c r="CP20">
        <v>79.03</v>
      </c>
      <c r="CQ20">
        <v>79.03</v>
      </c>
      <c r="CR20">
        <v>79.04</v>
      </c>
      <c r="CS20">
        <v>78.52</v>
      </c>
    </row>
    <row r="21" spans="1:97">
      <c r="A21" s="9">
        <v>46254</v>
      </c>
      <c r="B21">
        <v>79.69</v>
      </c>
      <c r="C21">
        <v>79.34</v>
      </c>
      <c r="D21">
        <v>76.79</v>
      </c>
      <c r="E21">
        <v>76.96</v>
      </c>
      <c r="F21">
        <v>77.11</v>
      </c>
      <c r="G21">
        <v>77.19</v>
      </c>
      <c r="H21">
        <v>77.14</v>
      </c>
      <c r="I21">
        <v>77.25</v>
      </c>
      <c r="J21">
        <v>77.3</v>
      </c>
      <c r="K21">
        <v>77.34</v>
      </c>
      <c r="L21">
        <v>77.4</v>
      </c>
      <c r="M21">
        <v>77.5</v>
      </c>
      <c r="N21">
        <v>77.67</v>
      </c>
      <c r="O21">
        <v>77.76</v>
      </c>
      <c r="P21">
        <v>77.8</v>
      </c>
      <c r="Q21">
        <v>78.06</v>
      </c>
      <c r="R21">
        <v>78.08</v>
      </c>
      <c r="S21">
        <v>78.46</v>
      </c>
      <c r="T21">
        <v>80.34</v>
      </c>
      <c r="U21">
        <v>80.37</v>
      </c>
      <c r="V21">
        <v>80.53</v>
      </c>
      <c r="W21">
        <v>77.64</v>
      </c>
      <c r="X21">
        <v>77.74</v>
      </c>
      <c r="Y21">
        <v>77.83</v>
      </c>
      <c r="Z21">
        <v>77.66</v>
      </c>
      <c r="AA21">
        <v>77.49</v>
      </c>
      <c r="AB21">
        <v>76.75</v>
      </c>
      <c r="AC21">
        <v>76.75</v>
      </c>
      <c r="AD21">
        <v>76.64</v>
      </c>
      <c r="AE21">
        <v>77.03</v>
      </c>
      <c r="AF21">
        <v>78.99</v>
      </c>
      <c r="AG21">
        <v>79.07</v>
      </c>
      <c r="AH21">
        <v>79.27</v>
      </c>
      <c r="AI21">
        <v>79.6</v>
      </c>
      <c r="AJ21">
        <v>79.51</v>
      </c>
      <c r="AK21">
        <v>79.46</v>
      </c>
      <c r="AL21">
        <v>79.27</v>
      </c>
      <c r="AM21">
        <v>79.36</v>
      </c>
      <c r="AN21">
        <v>79.67</v>
      </c>
      <c r="AO21">
        <v>79.87</v>
      </c>
      <c r="AP21">
        <v>79.97</v>
      </c>
      <c r="AQ21">
        <v>79.83</v>
      </c>
      <c r="AR21">
        <v>79.81</v>
      </c>
      <c r="AS21">
        <v>79.84</v>
      </c>
      <c r="AT21">
        <v>80.11</v>
      </c>
      <c r="AU21">
        <v>79.96</v>
      </c>
      <c r="AV21">
        <v>80.13</v>
      </c>
      <c r="AW21">
        <v>79.96</v>
      </c>
      <c r="AX21">
        <v>80.19</v>
      </c>
      <c r="AY21">
        <v>80.06</v>
      </c>
      <c r="AZ21">
        <v>79.94</v>
      </c>
      <c r="BA21">
        <v>79.99</v>
      </c>
      <c r="BB21">
        <v>80.08</v>
      </c>
      <c r="BC21">
        <v>80.05</v>
      </c>
      <c r="BD21">
        <v>79.89</v>
      </c>
      <c r="BE21">
        <v>80.67</v>
      </c>
      <c r="BF21">
        <v>80.83</v>
      </c>
      <c r="BG21">
        <v>80.66</v>
      </c>
      <c r="BH21">
        <v>80.65</v>
      </c>
      <c r="BI21">
        <v>80.68</v>
      </c>
      <c r="BJ21">
        <v>80.43</v>
      </c>
      <c r="BK21">
        <v>80.25</v>
      </c>
      <c r="BL21">
        <v>80.17</v>
      </c>
      <c r="BM21">
        <v>80.02</v>
      </c>
      <c r="BN21">
        <v>80.08</v>
      </c>
      <c r="BO21">
        <v>79.91</v>
      </c>
      <c r="BP21">
        <v>79.8</v>
      </c>
      <c r="BQ21">
        <v>79.41</v>
      </c>
      <c r="BR21">
        <v>80.31</v>
      </c>
      <c r="BS21">
        <v>80.3</v>
      </c>
      <c r="BT21">
        <v>78.78</v>
      </c>
      <c r="BU21">
        <v>78.72</v>
      </c>
      <c r="BV21">
        <v>79.11</v>
      </c>
      <c r="BW21">
        <v>79.04</v>
      </c>
      <c r="BX21">
        <v>79.04</v>
      </c>
      <c r="BY21">
        <v>78.91</v>
      </c>
      <c r="BZ21">
        <v>79.02</v>
      </c>
      <c r="CA21">
        <v>78.83</v>
      </c>
      <c r="CB21">
        <v>78.85</v>
      </c>
      <c r="CC21">
        <v>78.56</v>
      </c>
      <c r="CD21">
        <v>78.54</v>
      </c>
      <c r="CE21">
        <v>78.41</v>
      </c>
      <c r="CF21">
        <v>77.05</v>
      </c>
      <c r="CG21">
        <v>76.95</v>
      </c>
      <c r="CH21">
        <v>76.88</v>
      </c>
      <c r="CI21">
        <v>76.26</v>
      </c>
      <c r="CJ21">
        <v>75.35</v>
      </c>
      <c r="CK21">
        <v>75.33</v>
      </c>
      <c r="CL21">
        <v>75.59</v>
      </c>
      <c r="CM21">
        <v>75.43</v>
      </c>
      <c r="CN21">
        <v>75.5</v>
      </c>
      <c r="CO21">
        <v>75.31</v>
      </c>
      <c r="CP21">
        <v>74.18</v>
      </c>
      <c r="CQ21">
        <v>74.24</v>
      </c>
      <c r="CR21">
        <v>74.2</v>
      </c>
      <c r="CS21">
        <v>73.75</v>
      </c>
    </row>
    <row r="22" spans="1:97">
      <c r="A22" s="9">
        <v>46255</v>
      </c>
      <c r="B22">
        <v>74.98</v>
      </c>
      <c r="C22">
        <v>73.18</v>
      </c>
      <c r="D22">
        <v>70.37</v>
      </c>
      <c r="E22">
        <v>68.63</v>
      </c>
      <c r="F22">
        <v>68.53</v>
      </c>
      <c r="G22">
        <v>67.9</v>
      </c>
      <c r="H22">
        <v>68.3</v>
      </c>
      <c r="I22">
        <v>68.22</v>
      </c>
      <c r="J22">
        <v>68.25</v>
      </c>
      <c r="K22">
        <v>68.21</v>
      </c>
      <c r="L22">
        <v>68.28</v>
      </c>
      <c r="M22">
        <v>68.07</v>
      </c>
      <c r="N22">
        <v>68.16</v>
      </c>
      <c r="O22">
        <v>68.13</v>
      </c>
      <c r="P22">
        <v>68.12</v>
      </c>
      <c r="Q22">
        <v>68.32</v>
      </c>
      <c r="R22">
        <v>66.74</v>
      </c>
      <c r="S22">
        <v>67.09</v>
      </c>
      <c r="T22">
        <v>69.01</v>
      </c>
      <c r="U22">
        <v>69.02</v>
      </c>
      <c r="V22">
        <v>69.97</v>
      </c>
      <c r="W22">
        <v>67.17</v>
      </c>
      <c r="X22">
        <v>67.26</v>
      </c>
      <c r="Y22">
        <v>67.34</v>
      </c>
      <c r="Z22">
        <v>67.15</v>
      </c>
      <c r="AA22">
        <v>66.93</v>
      </c>
      <c r="AB22">
        <v>66.18</v>
      </c>
      <c r="AC22">
        <v>66.23</v>
      </c>
      <c r="AD22">
        <v>66.73</v>
      </c>
      <c r="AE22">
        <v>67.22</v>
      </c>
      <c r="AF22">
        <v>69.23</v>
      </c>
      <c r="AG22">
        <v>69.24</v>
      </c>
      <c r="AH22">
        <v>69.37</v>
      </c>
      <c r="AI22">
        <v>69.73</v>
      </c>
      <c r="AJ22">
        <v>69.66</v>
      </c>
      <c r="AK22">
        <v>69.62</v>
      </c>
      <c r="AL22">
        <v>69.57</v>
      </c>
      <c r="AM22">
        <v>69.54</v>
      </c>
      <c r="AN22">
        <v>69.93</v>
      </c>
      <c r="AO22">
        <v>70.07</v>
      </c>
      <c r="AP22">
        <v>70.11</v>
      </c>
      <c r="AQ22">
        <v>69.95</v>
      </c>
      <c r="AR22">
        <v>70.04</v>
      </c>
      <c r="AS22">
        <v>70.03</v>
      </c>
      <c r="AT22">
        <v>70.18</v>
      </c>
      <c r="AU22">
        <v>70.1</v>
      </c>
      <c r="AV22">
        <v>70.39</v>
      </c>
      <c r="AW22">
        <v>70.16</v>
      </c>
      <c r="AX22">
        <v>70.29</v>
      </c>
      <c r="AY22">
        <v>70.25</v>
      </c>
      <c r="AZ22">
        <v>70.14</v>
      </c>
      <c r="BA22">
        <v>70.19</v>
      </c>
      <c r="BB22">
        <v>70.15</v>
      </c>
      <c r="BC22">
        <v>70.17</v>
      </c>
      <c r="BD22">
        <v>70.01</v>
      </c>
      <c r="BE22">
        <v>70.86</v>
      </c>
      <c r="BF22">
        <v>70.95</v>
      </c>
      <c r="BG22">
        <v>70.86</v>
      </c>
      <c r="BH22">
        <v>70.84</v>
      </c>
      <c r="BI22">
        <v>70.84</v>
      </c>
      <c r="BJ22">
        <v>69.66</v>
      </c>
      <c r="BK22">
        <v>69.47</v>
      </c>
      <c r="BL22">
        <v>69.39</v>
      </c>
      <c r="BM22">
        <v>69.22</v>
      </c>
      <c r="BN22">
        <v>69.29</v>
      </c>
      <c r="BO22">
        <v>69.15</v>
      </c>
      <c r="BP22">
        <v>69.38</v>
      </c>
      <c r="BQ22">
        <v>68.98</v>
      </c>
      <c r="BR22">
        <v>72.3</v>
      </c>
      <c r="BS22">
        <v>72.28</v>
      </c>
      <c r="BT22">
        <v>70.73</v>
      </c>
      <c r="BU22">
        <v>71.22</v>
      </c>
      <c r="BV22">
        <v>72.24</v>
      </c>
      <c r="BW22">
        <v>72.19</v>
      </c>
      <c r="BX22">
        <v>72.18</v>
      </c>
      <c r="BY22">
        <v>72.08</v>
      </c>
      <c r="BZ22">
        <v>73.51</v>
      </c>
      <c r="CA22">
        <v>73.35</v>
      </c>
      <c r="CB22">
        <v>73.32</v>
      </c>
      <c r="CC22">
        <v>73.19</v>
      </c>
      <c r="CD22">
        <v>72.35</v>
      </c>
      <c r="CE22">
        <v>70.67</v>
      </c>
      <c r="CF22">
        <v>70.25</v>
      </c>
      <c r="CG22">
        <v>70.08</v>
      </c>
      <c r="CH22">
        <v>70.01</v>
      </c>
      <c r="CI22">
        <v>69.83</v>
      </c>
      <c r="CJ22">
        <v>68.95</v>
      </c>
      <c r="CK22">
        <v>68.65</v>
      </c>
      <c r="CL22">
        <v>68.79</v>
      </c>
      <c r="CM22">
        <v>68.68</v>
      </c>
      <c r="CN22">
        <v>68.66</v>
      </c>
      <c r="CO22">
        <v>68.45</v>
      </c>
      <c r="CP22">
        <v>67.35</v>
      </c>
      <c r="CQ22">
        <v>67.26</v>
      </c>
      <c r="CR22">
        <v>67.25</v>
      </c>
      <c r="CS22">
        <v>67.07</v>
      </c>
    </row>
    <row r="23" spans="1:97">
      <c r="A23" s="9">
        <v>46256</v>
      </c>
      <c r="B23">
        <v>68.28</v>
      </c>
      <c r="C23">
        <v>65.24</v>
      </c>
      <c r="D23">
        <v>62.35</v>
      </c>
      <c r="E23">
        <v>60.55</v>
      </c>
      <c r="F23">
        <v>60.38</v>
      </c>
      <c r="G23">
        <v>59.73</v>
      </c>
      <c r="H23">
        <v>59.99</v>
      </c>
      <c r="I23">
        <v>59.98</v>
      </c>
      <c r="J23">
        <v>59.9</v>
      </c>
      <c r="K23">
        <v>59.74</v>
      </c>
      <c r="L23">
        <v>59.82</v>
      </c>
      <c r="M23">
        <v>59.52</v>
      </c>
      <c r="N23">
        <v>59.54</v>
      </c>
      <c r="O23">
        <v>59.48</v>
      </c>
      <c r="P23">
        <v>59.3</v>
      </c>
      <c r="Q23">
        <v>59.23</v>
      </c>
      <c r="R23">
        <v>57.6</v>
      </c>
      <c r="S23">
        <v>57.7</v>
      </c>
      <c r="T23">
        <v>57.66</v>
      </c>
      <c r="U23">
        <v>56.91</v>
      </c>
      <c r="V23">
        <v>56.94</v>
      </c>
      <c r="W23">
        <v>56.62</v>
      </c>
      <c r="X23">
        <v>56.58</v>
      </c>
      <c r="Y23">
        <v>56.73</v>
      </c>
      <c r="Z23">
        <v>56.6</v>
      </c>
      <c r="AA23">
        <v>56.04</v>
      </c>
      <c r="AB23">
        <v>56.12</v>
      </c>
      <c r="AC23">
        <v>56.15</v>
      </c>
      <c r="AD23">
        <v>56.9</v>
      </c>
      <c r="AE23">
        <v>56.38</v>
      </c>
      <c r="AF23">
        <v>56.51</v>
      </c>
      <c r="AG23">
        <v>56.36</v>
      </c>
      <c r="AH23">
        <v>56.07</v>
      </c>
      <c r="AI23">
        <v>57.14</v>
      </c>
      <c r="AJ23">
        <v>57.67</v>
      </c>
      <c r="AK23">
        <v>57.69</v>
      </c>
      <c r="AL23">
        <v>57.78</v>
      </c>
      <c r="AM23">
        <v>57.76</v>
      </c>
      <c r="AN23">
        <v>57.16</v>
      </c>
      <c r="AO23">
        <v>57.28</v>
      </c>
      <c r="AP23">
        <v>57.28</v>
      </c>
      <c r="AQ23">
        <v>57.17</v>
      </c>
      <c r="AR23">
        <v>57.25</v>
      </c>
      <c r="AS23">
        <v>55.95</v>
      </c>
      <c r="AT23">
        <v>56.06</v>
      </c>
      <c r="AU23">
        <v>56.05</v>
      </c>
      <c r="AV23">
        <v>56.27</v>
      </c>
      <c r="AW23">
        <v>56.14</v>
      </c>
      <c r="AX23">
        <v>56.17</v>
      </c>
      <c r="AY23">
        <v>56.15</v>
      </c>
      <c r="AZ23">
        <v>56.07</v>
      </c>
      <c r="BA23">
        <v>56.1</v>
      </c>
      <c r="BB23">
        <v>56.03</v>
      </c>
      <c r="BC23">
        <v>57.17</v>
      </c>
      <c r="BD23">
        <v>57.43</v>
      </c>
      <c r="BE23">
        <v>57.63</v>
      </c>
      <c r="BF23">
        <v>57.63</v>
      </c>
      <c r="BG23">
        <v>57.65</v>
      </c>
      <c r="BH23">
        <v>57.44</v>
      </c>
      <c r="BI23">
        <v>57.53</v>
      </c>
      <c r="BJ23">
        <v>56.49</v>
      </c>
      <c r="BK23">
        <v>56.44</v>
      </c>
      <c r="BL23">
        <v>56.21</v>
      </c>
      <c r="BM23">
        <v>56.09</v>
      </c>
      <c r="BN23">
        <v>56.72</v>
      </c>
      <c r="BO23">
        <v>56.56</v>
      </c>
      <c r="BP23">
        <v>56.9</v>
      </c>
      <c r="BQ23">
        <v>59.52</v>
      </c>
      <c r="BR23">
        <v>62.99</v>
      </c>
      <c r="BS23">
        <v>64.74</v>
      </c>
      <c r="BT23">
        <v>63.32</v>
      </c>
      <c r="BU23">
        <v>64.08</v>
      </c>
      <c r="BV23">
        <v>65.05</v>
      </c>
      <c r="BW23">
        <v>65.11</v>
      </c>
      <c r="BX23">
        <v>66.78</v>
      </c>
      <c r="BY23">
        <v>66.73</v>
      </c>
      <c r="BZ23">
        <v>68</v>
      </c>
      <c r="CA23">
        <v>67.88</v>
      </c>
      <c r="CB23">
        <v>66.13</v>
      </c>
      <c r="CC23">
        <v>65.08</v>
      </c>
      <c r="CD23">
        <v>63.88</v>
      </c>
      <c r="CE23">
        <v>62.41</v>
      </c>
      <c r="CF23">
        <v>58.03</v>
      </c>
      <c r="CG23">
        <v>57.75</v>
      </c>
      <c r="CH23">
        <v>58.26</v>
      </c>
      <c r="CI23">
        <v>57.27</v>
      </c>
      <c r="CJ23">
        <v>56.29</v>
      </c>
      <c r="CK23">
        <v>55.91</v>
      </c>
      <c r="CL23">
        <v>55.77</v>
      </c>
      <c r="CM23">
        <v>55.72</v>
      </c>
      <c r="CN23">
        <v>55.81</v>
      </c>
      <c r="CO23">
        <v>55.13</v>
      </c>
      <c r="CP23">
        <v>55.09</v>
      </c>
      <c r="CQ23">
        <v>54.91</v>
      </c>
      <c r="CR23">
        <v>54.88</v>
      </c>
      <c r="CS23">
        <v>54.78</v>
      </c>
    </row>
    <row r="24" spans="1:97">
      <c r="A24" s="9">
        <v>46257</v>
      </c>
      <c r="B24">
        <v>54.78</v>
      </c>
      <c r="C24">
        <v>57.81</v>
      </c>
      <c r="D24">
        <v>57.55</v>
      </c>
      <c r="E24">
        <v>55.74</v>
      </c>
      <c r="F24">
        <v>55.46</v>
      </c>
      <c r="G24">
        <v>54.8</v>
      </c>
      <c r="H24">
        <v>55.03</v>
      </c>
      <c r="I24">
        <v>56.65</v>
      </c>
      <c r="J24">
        <v>56.64</v>
      </c>
      <c r="K24">
        <v>56.51</v>
      </c>
      <c r="L24">
        <v>56.56</v>
      </c>
      <c r="M24">
        <v>56.31</v>
      </c>
      <c r="N24">
        <v>56.21</v>
      </c>
      <c r="O24">
        <v>56.16</v>
      </c>
      <c r="P24">
        <v>56.13</v>
      </c>
      <c r="Q24">
        <v>56.1</v>
      </c>
      <c r="R24">
        <v>54.45</v>
      </c>
      <c r="S24">
        <v>54.35</v>
      </c>
      <c r="T24">
        <v>54.39</v>
      </c>
      <c r="U24">
        <v>53.58</v>
      </c>
      <c r="V24">
        <v>53.61</v>
      </c>
      <c r="W24">
        <v>53.2</v>
      </c>
      <c r="X24">
        <v>53.08</v>
      </c>
      <c r="Y24">
        <v>53.1</v>
      </c>
      <c r="Z24">
        <v>52.98</v>
      </c>
      <c r="AA24">
        <v>52.52</v>
      </c>
      <c r="AB24">
        <v>52.44</v>
      </c>
      <c r="AC24">
        <v>52.43</v>
      </c>
      <c r="AD24">
        <v>53.04</v>
      </c>
      <c r="AE24">
        <v>53.29</v>
      </c>
      <c r="AF24">
        <v>53.3</v>
      </c>
      <c r="AG24">
        <v>53.11</v>
      </c>
      <c r="AH24">
        <v>52.63</v>
      </c>
      <c r="AI24">
        <v>50.05</v>
      </c>
      <c r="AJ24">
        <v>50.04</v>
      </c>
      <c r="AK24">
        <v>50.06</v>
      </c>
      <c r="AL24">
        <v>50.17</v>
      </c>
      <c r="AM24">
        <v>50.13</v>
      </c>
      <c r="AN24">
        <v>49.42</v>
      </c>
      <c r="AO24">
        <v>49.36</v>
      </c>
      <c r="AP24">
        <v>48.97</v>
      </c>
      <c r="AQ24">
        <v>48.87</v>
      </c>
      <c r="AR24">
        <v>48.96</v>
      </c>
      <c r="AS24">
        <v>47.63</v>
      </c>
      <c r="AT24">
        <v>47.45</v>
      </c>
      <c r="AU24">
        <v>47.1</v>
      </c>
      <c r="AV24">
        <v>47.17</v>
      </c>
      <c r="AW24">
        <v>47.16</v>
      </c>
      <c r="AX24">
        <v>47.16</v>
      </c>
      <c r="AY24">
        <v>47.13</v>
      </c>
      <c r="AZ24">
        <v>47.13</v>
      </c>
      <c r="BA24">
        <v>47.09</v>
      </c>
      <c r="BB24">
        <v>46.99</v>
      </c>
      <c r="BC24">
        <v>48.09</v>
      </c>
      <c r="BD24">
        <v>48.42</v>
      </c>
      <c r="BE24">
        <v>48.54</v>
      </c>
      <c r="BF24">
        <v>48.49</v>
      </c>
      <c r="BG24">
        <v>48.46</v>
      </c>
      <c r="BH24">
        <v>47.95</v>
      </c>
      <c r="BI24">
        <v>47.85</v>
      </c>
      <c r="BJ24">
        <v>47.01</v>
      </c>
      <c r="BK24">
        <v>46.97</v>
      </c>
      <c r="BL24">
        <v>46.71</v>
      </c>
      <c r="BM24">
        <v>46.66</v>
      </c>
      <c r="BN24">
        <v>47.39</v>
      </c>
      <c r="BO24">
        <v>47.32</v>
      </c>
      <c r="BP24">
        <v>47.81</v>
      </c>
      <c r="BQ24">
        <v>51.66</v>
      </c>
      <c r="BR24">
        <v>56.97</v>
      </c>
      <c r="BS24">
        <v>59.66</v>
      </c>
      <c r="BT24">
        <v>60.85</v>
      </c>
      <c r="BU24">
        <v>61.7</v>
      </c>
      <c r="BV24">
        <v>62.56</v>
      </c>
      <c r="BW24">
        <v>62.69</v>
      </c>
      <c r="BX24">
        <v>64.41</v>
      </c>
      <c r="BY24">
        <v>64.37</v>
      </c>
      <c r="BZ24">
        <v>65.7</v>
      </c>
      <c r="CA24">
        <v>65.57</v>
      </c>
      <c r="CB24">
        <v>63.87</v>
      </c>
      <c r="CC24">
        <v>62.99</v>
      </c>
      <c r="CD24">
        <v>62.71</v>
      </c>
      <c r="CE24">
        <v>61.16</v>
      </c>
      <c r="CF24">
        <v>56.88</v>
      </c>
      <c r="CG24">
        <v>56.9</v>
      </c>
      <c r="CH24">
        <v>57.3</v>
      </c>
      <c r="CI24">
        <v>56.4</v>
      </c>
      <c r="CJ24">
        <v>56.31</v>
      </c>
      <c r="CK24">
        <v>55.86</v>
      </c>
      <c r="CL24">
        <v>55.81</v>
      </c>
      <c r="CM24">
        <v>55.73</v>
      </c>
      <c r="CN24">
        <v>55.89</v>
      </c>
      <c r="CO24">
        <v>55.28</v>
      </c>
      <c r="CP24">
        <v>55.25</v>
      </c>
      <c r="CQ24">
        <v>55.02</v>
      </c>
      <c r="CR24">
        <v>55.08</v>
      </c>
      <c r="CS24">
        <v>54.9</v>
      </c>
    </row>
    <row r="25" spans="1:97">
      <c r="A25" s="9">
        <v>46258</v>
      </c>
      <c r="B25">
        <v>54.91</v>
      </c>
      <c r="C25">
        <v>61.09</v>
      </c>
      <c r="D25">
        <v>61.1</v>
      </c>
      <c r="E25">
        <v>61.25</v>
      </c>
      <c r="F25">
        <v>61.23</v>
      </c>
      <c r="G25">
        <v>61.38</v>
      </c>
      <c r="H25">
        <v>61.11</v>
      </c>
      <c r="I25">
        <v>62.9</v>
      </c>
      <c r="J25">
        <v>62.97</v>
      </c>
      <c r="K25">
        <v>62.94</v>
      </c>
      <c r="L25">
        <v>63.02</v>
      </c>
      <c r="M25">
        <v>62.96</v>
      </c>
      <c r="N25">
        <v>62.95</v>
      </c>
      <c r="O25">
        <v>62.92</v>
      </c>
      <c r="P25">
        <v>63.03</v>
      </c>
      <c r="Q25">
        <v>62.99</v>
      </c>
      <c r="R25">
        <v>63.03</v>
      </c>
      <c r="S25">
        <v>62.88</v>
      </c>
      <c r="T25">
        <v>62.99</v>
      </c>
      <c r="U25">
        <v>62.17</v>
      </c>
      <c r="V25">
        <v>61.37</v>
      </c>
      <c r="W25">
        <v>60.92</v>
      </c>
      <c r="X25">
        <v>60.89</v>
      </c>
      <c r="Y25">
        <v>60.8</v>
      </c>
      <c r="Z25">
        <v>62.43</v>
      </c>
      <c r="AA25">
        <v>61.98</v>
      </c>
      <c r="AB25">
        <v>61.92</v>
      </c>
      <c r="AC25">
        <v>61.89</v>
      </c>
      <c r="AD25">
        <v>61.73</v>
      </c>
      <c r="AE25">
        <v>61.97</v>
      </c>
      <c r="AF25">
        <v>62.06</v>
      </c>
      <c r="AG25">
        <v>61.78</v>
      </c>
      <c r="AH25">
        <v>58.73</v>
      </c>
      <c r="AI25">
        <v>56.24</v>
      </c>
      <c r="AJ25">
        <v>56.19</v>
      </c>
      <c r="AK25">
        <v>56.24</v>
      </c>
      <c r="AL25">
        <v>56.26</v>
      </c>
      <c r="AM25">
        <v>53.6</v>
      </c>
      <c r="AN25">
        <v>52.8</v>
      </c>
      <c r="AO25">
        <v>52.73</v>
      </c>
      <c r="AP25">
        <v>52.25</v>
      </c>
      <c r="AQ25">
        <v>52.03</v>
      </c>
      <c r="AR25">
        <v>51.98</v>
      </c>
      <c r="AS25">
        <v>50.55</v>
      </c>
      <c r="AT25">
        <v>50.37</v>
      </c>
      <c r="AU25">
        <v>49.3</v>
      </c>
      <c r="AV25">
        <v>48.73</v>
      </c>
      <c r="AW25">
        <v>49.35</v>
      </c>
      <c r="AX25">
        <v>49.29</v>
      </c>
      <c r="AY25">
        <v>49.04</v>
      </c>
      <c r="AZ25">
        <v>49.08</v>
      </c>
      <c r="BA25">
        <v>48.95</v>
      </c>
      <c r="BB25">
        <v>48.98</v>
      </c>
      <c r="BC25">
        <v>50.03</v>
      </c>
      <c r="BD25">
        <v>50.39</v>
      </c>
      <c r="BE25">
        <v>50.41</v>
      </c>
      <c r="BF25">
        <v>50.39</v>
      </c>
      <c r="BG25">
        <v>50.02</v>
      </c>
      <c r="BH25">
        <v>49.48</v>
      </c>
      <c r="BI25">
        <v>49.39</v>
      </c>
      <c r="BJ25">
        <v>49.52</v>
      </c>
      <c r="BK25">
        <v>49.5</v>
      </c>
      <c r="BL25">
        <v>49.16</v>
      </c>
      <c r="BM25">
        <v>49.19</v>
      </c>
      <c r="BN25">
        <v>49.88</v>
      </c>
      <c r="BO25">
        <v>49.79</v>
      </c>
      <c r="BP25">
        <v>49.93</v>
      </c>
      <c r="BQ25">
        <v>53.84</v>
      </c>
      <c r="BR25">
        <v>56.14</v>
      </c>
      <c r="BS25">
        <v>58.86</v>
      </c>
      <c r="BT25">
        <v>59.8</v>
      </c>
      <c r="BU25">
        <v>60.13</v>
      </c>
      <c r="BV25">
        <v>60.29</v>
      </c>
      <c r="BW25">
        <v>60.42</v>
      </c>
      <c r="BX25">
        <v>62.18</v>
      </c>
      <c r="BY25">
        <v>62.14</v>
      </c>
      <c r="BZ25">
        <v>62.12</v>
      </c>
      <c r="CA25">
        <v>62.04</v>
      </c>
      <c r="CB25">
        <v>60.44</v>
      </c>
      <c r="CC25">
        <v>59.52</v>
      </c>
      <c r="CD25">
        <v>60.14</v>
      </c>
      <c r="CE25">
        <v>60.23</v>
      </c>
      <c r="CF25">
        <v>56.24</v>
      </c>
      <c r="CG25">
        <v>56.33</v>
      </c>
      <c r="CH25">
        <v>56.74</v>
      </c>
      <c r="CI25">
        <v>55.91</v>
      </c>
      <c r="CJ25">
        <v>55.86</v>
      </c>
      <c r="CK25">
        <v>55.74</v>
      </c>
      <c r="CL25">
        <v>55.74</v>
      </c>
      <c r="CM25">
        <v>55.65</v>
      </c>
      <c r="CN25">
        <v>55.83</v>
      </c>
      <c r="CO25">
        <v>55.27</v>
      </c>
      <c r="CP25">
        <v>55.23</v>
      </c>
      <c r="CQ25">
        <v>55.4</v>
      </c>
      <c r="CR25">
        <v>55.62</v>
      </c>
      <c r="CS25">
        <v>55.58</v>
      </c>
    </row>
    <row r="26" spans="1:97">
      <c r="A26" s="9">
        <v>46259</v>
      </c>
      <c r="B26">
        <v>55.68</v>
      </c>
      <c r="C26">
        <v>62.99</v>
      </c>
      <c r="D26">
        <v>62.99</v>
      </c>
      <c r="E26">
        <v>63.17</v>
      </c>
      <c r="F26">
        <v>63.57</v>
      </c>
      <c r="G26">
        <v>63.63</v>
      </c>
      <c r="H26">
        <v>63.46</v>
      </c>
      <c r="I26">
        <v>65.21</v>
      </c>
      <c r="J26">
        <v>65.31</v>
      </c>
      <c r="K26">
        <v>65.29</v>
      </c>
      <c r="L26">
        <v>65.36</v>
      </c>
      <c r="M26">
        <v>65.24</v>
      </c>
      <c r="N26">
        <v>65.29</v>
      </c>
      <c r="O26">
        <v>65.22</v>
      </c>
      <c r="P26">
        <v>65.4</v>
      </c>
      <c r="Q26">
        <v>65.4</v>
      </c>
      <c r="R26">
        <v>65.46</v>
      </c>
      <c r="S26">
        <v>65.28</v>
      </c>
      <c r="T26">
        <v>65.45</v>
      </c>
      <c r="U26">
        <v>65.29</v>
      </c>
      <c r="V26">
        <v>65.43</v>
      </c>
      <c r="W26">
        <v>65.26</v>
      </c>
      <c r="X26">
        <v>65.25</v>
      </c>
      <c r="Y26">
        <v>65.12</v>
      </c>
      <c r="Z26">
        <v>66.84</v>
      </c>
      <c r="AA26">
        <v>66.82</v>
      </c>
      <c r="AB26">
        <v>66.71</v>
      </c>
      <c r="AC26">
        <v>66.65</v>
      </c>
      <c r="AD26">
        <v>66.65</v>
      </c>
      <c r="AE26">
        <v>66.87</v>
      </c>
      <c r="AF26">
        <v>66.76</v>
      </c>
      <c r="AG26">
        <v>66.68</v>
      </c>
      <c r="AH26">
        <v>64.02</v>
      </c>
      <c r="AI26">
        <v>60.87</v>
      </c>
      <c r="AJ26">
        <v>60.31</v>
      </c>
      <c r="AK26">
        <v>60.28</v>
      </c>
      <c r="AL26">
        <v>60.2</v>
      </c>
      <c r="AM26">
        <v>57.57</v>
      </c>
      <c r="AN26">
        <v>57.53</v>
      </c>
      <c r="AO26">
        <v>57.9</v>
      </c>
      <c r="AP26">
        <v>58.22</v>
      </c>
      <c r="AQ26">
        <v>58.03</v>
      </c>
      <c r="AR26">
        <v>57.9</v>
      </c>
      <c r="AS26">
        <v>57.76</v>
      </c>
      <c r="AT26">
        <v>56.37</v>
      </c>
      <c r="AU26">
        <v>55.26</v>
      </c>
      <c r="AV26">
        <v>54.68</v>
      </c>
      <c r="AW26">
        <v>55.29</v>
      </c>
      <c r="AX26">
        <v>55.22</v>
      </c>
      <c r="AY26">
        <v>55.03</v>
      </c>
      <c r="AZ26">
        <v>55.11</v>
      </c>
      <c r="BA26">
        <v>55.01</v>
      </c>
      <c r="BB26">
        <v>55.02</v>
      </c>
      <c r="BC26">
        <v>54.95</v>
      </c>
      <c r="BD26">
        <v>55.02</v>
      </c>
      <c r="BE26">
        <v>54.99</v>
      </c>
      <c r="BF26">
        <v>55</v>
      </c>
      <c r="BG26">
        <v>54.56</v>
      </c>
      <c r="BH26">
        <v>54.14</v>
      </c>
      <c r="BI26">
        <v>54.01</v>
      </c>
      <c r="BJ26">
        <v>54.15</v>
      </c>
      <c r="BK26">
        <v>54.2</v>
      </c>
      <c r="BL26">
        <v>54.11</v>
      </c>
      <c r="BM26">
        <v>54.87</v>
      </c>
      <c r="BN26">
        <v>54.81</v>
      </c>
      <c r="BO26">
        <v>54.84</v>
      </c>
      <c r="BP26">
        <v>54.62</v>
      </c>
      <c r="BQ26">
        <v>55.02</v>
      </c>
      <c r="BR26">
        <v>56.25</v>
      </c>
      <c r="BS26">
        <v>57.19</v>
      </c>
      <c r="BT26">
        <v>59.82</v>
      </c>
      <c r="BU26">
        <v>62.36</v>
      </c>
      <c r="BV26">
        <v>62.43</v>
      </c>
      <c r="BW26">
        <v>62.54</v>
      </c>
      <c r="BX26">
        <v>63.53</v>
      </c>
      <c r="BY26">
        <v>63.46</v>
      </c>
      <c r="BZ26">
        <v>63.56</v>
      </c>
      <c r="CA26">
        <v>63.92</v>
      </c>
      <c r="CB26">
        <v>66.93</v>
      </c>
      <c r="CC26">
        <v>67.11</v>
      </c>
      <c r="CD26">
        <v>69.28</v>
      </c>
      <c r="CE26">
        <v>69.19</v>
      </c>
      <c r="CF26">
        <v>69.16</v>
      </c>
      <c r="CG26">
        <v>69.43</v>
      </c>
      <c r="CH26">
        <v>69.22</v>
      </c>
      <c r="CI26">
        <v>69.43</v>
      </c>
      <c r="CJ26">
        <v>69.41</v>
      </c>
      <c r="CK26">
        <v>68.48</v>
      </c>
      <c r="CL26">
        <v>68.52</v>
      </c>
      <c r="CM26">
        <v>65.52</v>
      </c>
      <c r="CN26">
        <v>63.96</v>
      </c>
      <c r="CO26">
        <v>63.87</v>
      </c>
      <c r="CP26">
        <v>63.88</v>
      </c>
      <c r="CQ26">
        <v>64.02</v>
      </c>
      <c r="CR26">
        <v>64.11</v>
      </c>
      <c r="CS26">
        <v>63.94</v>
      </c>
    </row>
    <row r="27" spans="1:97">
      <c r="A27" s="9">
        <v>46260</v>
      </c>
      <c r="B27">
        <v>61.86</v>
      </c>
      <c r="C27">
        <v>64.65</v>
      </c>
      <c r="D27">
        <v>67.01</v>
      </c>
      <c r="E27">
        <v>67.22</v>
      </c>
      <c r="F27">
        <v>67.65</v>
      </c>
      <c r="G27">
        <v>67.67</v>
      </c>
      <c r="H27">
        <v>65.35</v>
      </c>
      <c r="I27">
        <v>65.91</v>
      </c>
      <c r="J27">
        <v>66.79</v>
      </c>
      <c r="K27">
        <v>65.17</v>
      </c>
      <c r="L27">
        <v>65.34</v>
      </c>
      <c r="M27">
        <v>64.66</v>
      </c>
      <c r="N27">
        <v>64.7</v>
      </c>
      <c r="O27">
        <v>64.59</v>
      </c>
      <c r="P27">
        <v>64.6</v>
      </c>
      <c r="Q27">
        <v>64.43</v>
      </c>
      <c r="R27">
        <v>64.41</v>
      </c>
      <c r="S27">
        <v>64.35</v>
      </c>
      <c r="T27">
        <v>64.54</v>
      </c>
      <c r="U27">
        <v>64.06</v>
      </c>
      <c r="V27">
        <v>64.05</v>
      </c>
      <c r="W27">
        <v>63.72</v>
      </c>
      <c r="X27">
        <v>63.74</v>
      </c>
      <c r="Y27">
        <v>63.59</v>
      </c>
      <c r="Z27">
        <v>65.37</v>
      </c>
      <c r="AA27">
        <v>65.38</v>
      </c>
      <c r="AB27">
        <v>65.36</v>
      </c>
      <c r="AC27">
        <v>65.38</v>
      </c>
      <c r="AD27">
        <v>65.42</v>
      </c>
      <c r="AE27">
        <v>65.4</v>
      </c>
      <c r="AF27">
        <v>64.89</v>
      </c>
      <c r="AG27">
        <v>64.69</v>
      </c>
      <c r="AH27">
        <v>62.25</v>
      </c>
      <c r="AI27">
        <v>61.4</v>
      </c>
      <c r="AJ27">
        <v>61.47</v>
      </c>
      <c r="AK27">
        <v>61.45</v>
      </c>
      <c r="AL27">
        <v>61.4</v>
      </c>
      <c r="AM27">
        <v>59.07</v>
      </c>
      <c r="AN27">
        <v>59.99</v>
      </c>
      <c r="AO27">
        <v>59.46</v>
      </c>
      <c r="AP27">
        <v>60.23</v>
      </c>
      <c r="AQ27">
        <v>59.99</v>
      </c>
      <c r="AR27">
        <v>59.86</v>
      </c>
      <c r="AS27">
        <v>59.72</v>
      </c>
      <c r="AT27">
        <v>58.33</v>
      </c>
      <c r="AU27">
        <v>57.63</v>
      </c>
      <c r="AV27">
        <v>56.97</v>
      </c>
      <c r="AW27">
        <v>57.75</v>
      </c>
      <c r="AX27">
        <v>58.44</v>
      </c>
      <c r="AY27">
        <v>58.38</v>
      </c>
      <c r="AZ27">
        <v>58.08</v>
      </c>
      <c r="BA27">
        <v>57.61</v>
      </c>
      <c r="BB27">
        <v>57.82</v>
      </c>
      <c r="BC27">
        <v>57.8</v>
      </c>
      <c r="BD27">
        <v>57.83</v>
      </c>
      <c r="BE27">
        <v>57.89</v>
      </c>
      <c r="BF27">
        <v>57.77</v>
      </c>
      <c r="BG27">
        <v>57.43</v>
      </c>
      <c r="BH27">
        <v>57.35</v>
      </c>
      <c r="BI27">
        <v>57.32</v>
      </c>
      <c r="BJ27">
        <v>57.41</v>
      </c>
      <c r="BK27">
        <v>57.41</v>
      </c>
      <c r="BL27">
        <v>57.46</v>
      </c>
      <c r="BM27">
        <v>58.3</v>
      </c>
      <c r="BN27">
        <v>59.66</v>
      </c>
      <c r="BO27">
        <v>59.76</v>
      </c>
      <c r="BP27">
        <v>59.53</v>
      </c>
      <c r="BQ27">
        <v>59.53</v>
      </c>
      <c r="BR27">
        <v>60.41</v>
      </c>
      <c r="BS27">
        <v>60.49</v>
      </c>
      <c r="BT27">
        <v>61.92</v>
      </c>
      <c r="BU27">
        <v>64.4</v>
      </c>
      <c r="BV27">
        <v>64.32</v>
      </c>
      <c r="BW27">
        <v>62.91</v>
      </c>
      <c r="BX27">
        <v>63.73</v>
      </c>
      <c r="BY27">
        <v>63.76</v>
      </c>
      <c r="BZ27">
        <v>63.53</v>
      </c>
      <c r="CA27">
        <v>64.03</v>
      </c>
      <c r="CB27">
        <v>66.97</v>
      </c>
      <c r="CC27">
        <v>66.99</v>
      </c>
      <c r="CD27">
        <v>68.19</v>
      </c>
      <c r="CE27">
        <v>68.17</v>
      </c>
      <c r="CF27">
        <v>68.11</v>
      </c>
      <c r="CG27">
        <v>68.25</v>
      </c>
      <c r="CH27">
        <v>68.26</v>
      </c>
      <c r="CI27">
        <v>68.27</v>
      </c>
      <c r="CJ27">
        <v>68.28</v>
      </c>
      <c r="CK27">
        <v>67.13</v>
      </c>
      <c r="CL27">
        <v>67.11</v>
      </c>
      <c r="CM27">
        <v>64.09</v>
      </c>
      <c r="CN27">
        <v>62.49</v>
      </c>
      <c r="CO27">
        <v>62.39</v>
      </c>
      <c r="CP27">
        <v>62.39</v>
      </c>
      <c r="CQ27">
        <v>62.44</v>
      </c>
      <c r="CR27">
        <v>62.55</v>
      </c>
      <c r="CS27">
        <v>62.45</v>
      </c>
    </row>
    <row r="28" spans="1:97">
      <c r="A28" s="9">
        <v>46261</v>
      </c>
      <c r="B28">
        <v>60.71</v>
      </c>
      <c r="C28">
        <v>67.14</v>
      </c>
      <c r="D28">
        <v>70.86</v>
      </c>
      <c r="E28">
        <v>70.89</v>
      </c>
      <c r="F28">
        <v>72.14</v>
      </c>
      <c r="G28">
        <v>72.95</v>
      </c>
      <c r="H28">
        <v>70.74</v>
      </c>
      <c r="I28">
        <v>71.41</v>
      </c>
      <c r="J28">
        <v>72.39</v>
      </c>
      <c r="K28">
        <v>70.73</v>
      </c>
      <c r="L28">
        <v>70.9</v>
      </c>
      <c r="M28">
        <v>70.47</v>
      </c>
      <c r="N28">
        <v>70.49</v>
      </c>
      <c r="O28">
        <v>70.46</v>
      </c>
      <c r="P28">
        <v>70.43</v>
      </c>
      <c r="Q28">
        <v>70.41</v>
      </c>
      <c r="R28">
        <v>70.22</v>
      </c>
      <c r="S28">
        <v>70.25</v>
      </c>
      <c r="T28">
        <v>70.41</v>
      </c>
      <c r="U28">
        <v>69.97</v>
      </c>
      <c r="V28">
        <v>69.72</v>
      </c>
      <c r="W28">
        <v>69.49</v>
      </c>
      <c r="X28">
        <v>69.73</v>
      </c>
      <c r="Y28">
        <v>69.62</v>
      </c>
      <c r="Z28">
        <v>69.73</v>
      </c>
      <c r="AA28">
        <v>69.67</v>
      </c>
      <c r="AB28">
        <v>69.72</v>
      </c>
      <c r="AC28">
        <v>69.71</v>
      </c>
      <c r="AD28">
        <v>69.82</v>
      </c>
      <c r="AE28">
        <v>69.78</v>
      </c>
      <c r="AF28">
        <v>69.17</v>
      </c>
      <c r="AG28">
        <v>69.08</v>
      </c>
      <c r="AH28">
        <v>69.25</v>
      </c>
      <c r="AI28">
        <v>68.26</v>
      </c>
      <c r="AJ28">
        <v>68.48</v>
      </c>
      <c r="AK28">
        <v>68.4</v>
      </c>
      <c r="AL28">
        <v>68.34</v>
      </c>
      <c r="AM28">
        <v>68.73</v>
      </c>
      <c r="AN28">
        <v>69.66</v>
      </c>
      <c r="AO28">
        <v>69.26</v>
      </c>
      <c r="AP28">
        <v>70.01</v>
      </c>
      <c r="AQ28">
        <v>69.93</v>
      </c>
      <c r="AR28">
        <v>69.92</v>
      </c>
      <c r="AS28">
        <v>69.86</v>
      </c>
      <c r="AT28">
        <v>67.5</v>
      </c>
      <c r="AU28">
        <v>67.36</v>
      </c>
      <c r="AV28">
        <v>66.95</v>
      </c>
      <c r="AW28">
        <v>67.45</v>
      </c>
      <c r="AX28">
        <v>68.22</v>
      </c>
      <c r="AY28">
        <v>68.44</v>
      </c>
      <c r="AZ28">
        <v>68.05</v>
      </c>
      <c r="BA28">
        <v>67.33</v>
      </c>
      <c r="BB28">
        <v>67.66</v>
      </c>
      <c r="BC28">
        <v>67.47</v>
      </c>
      <c r="BD28">
        <v>67.62</v>
      </c>
      <c r="BE28">
        <v>67.66</v>
      </c>
      <c r="BF28">
        <v>67.47</v>
      </c>
      <c r="BG28">
        <v>65.87</v>
      </c>
      <c r="BH28">
        <v>65.9</v>
      </c>
      <c r="BI28">
        <v>65.77</v>
      </c>
      <c r="BJ28">
        <v>65.75</v>
      </c>
      <c r="BK28">
        <v>65.8</v>
      </c>
      <c r="BL28">
        <v>66</v>
      </c>
      <c r="BM28">
        <v>66.63</v>
      </c>
      <c r="BN28">
        <v>68.07</v>
      </c>
      <c r="BO28">
        <v>68.21</v>
      </c>
      <c r="BP28">
        <v>67.9</v>
      </c>
      <c r="BQ28">
        <v>67.91</v>
      </c>
      <c r="BR28">
        <v>69.31</v>
      </c>
      <c r="BS28">
        <v>69.41</v>
      </c>
      <c r="BT28">
        <v>71</v>
      </c>
      <c r="BU28">
        <v>73.65</v>
      </c>
      <c r="BV28">
        <v>73.59</v>
      </c>
      <c r="BW28">
        <v>72.14</v>
      </c>
      <c r="BX28">
        <v>73.15</v>
      </c>
      <c r="BY28">
        <v>73.21</v>
      </c>
      <c r="BZ28">
        <v>73.02</v>
      </c>
      <c r="CA28">
        <v>73.52</v>
      </c>
      <c r="CB28">
        <v>76.4</v>
      </c>
      <c r="CC28">
        <v>76.46</v>
      </c>
      <c r="CD28">
        <v>77.5</v>
      </c>
      <c r="CE28">
        <v>77.49</v>
      </c>
      <c r="CF28">
        <v>77.35</v>
      </c>
      <c r="CG28">
        <v>77.52</v>
      </c>
      <c r="CH28">
        <v>77.46</v>
      </c>
      <c r="CI28">
        <v>77.52</v>
      </c>
      <c r="CJ28">
        <v>77.55</v>
      </c>
      <c r="CK28">
        <v>75.52</v>
      </c>
      <c r="CL28">
        <v>75.57</v>
      </c>
      <c r="CM28">
        <v>72.49</v>
      </c>
      <c r="CN28">
        <v>70.86</v>
      </c>
      <c r="CO28">
        <v>70.79</v>
      </c>
      <c r="CP28">
        <v>70.72</v>
      </c>
      <c r="CQ28">
        <v>70.57</v>
      </c>
      <c r="CR28">
        <v>70.52</v>
      </c>
      <c r="CS28">
        <v>70.32</v>
      </c>
    </row>
    <row r="29" spans="1:97">
      <c r="A29" s="9">
        <v>46262</v>
      </c>
      <c r="B29">
        <v>68.45</v>
      </c>
      <c r="C29">
        <v>74.86</v>
      </c>
      <c r="D29">
        <v>78.67</v>
      </c>
      <c r="E29">
        <v>78.63</v>
      </c>
      <c r="F29">
        <v>79.41</v>
      </c>
      <c r="G29">
        <v>80.22</v>
      </c>
      <c r="H29">
        <v>78</v>
      </c>
      <c r="I29">
        <v>78.7</v>
      </c>
      <c r="J29">
        <v>79.61</v>
      </c>
      <c r="K29">
        <v>78</v>
      </c>
      <c r="L29">
        <v>78.14</v>
      </c>
      <c r="M29">
        <v>77.71</v>
      </c>
      <c r="N29">
        <v>76.71</v>
      </c>
      <c r="O29">
        <v>76.4</v>
      </c>
      <c r="P29">
        <v>76.39</v>
      </c>
      <c r="Q29">
        <v>76.33</v>
      </c>
      <c r="R29">
        <v>76.12</v>
      </c>
      <c r="S29">
        <v>76.14</v>
      </c>
      <c r="T29">
        <v>76.31</v>
      </c>
      <c r="U29">
        <v>75.93</v>
      </c>
      <c r="V29">
        <v>75.58</v>
      </c>
      <c r="W29">
        <v>75.43</v>
      </c>
      <c r="X29">
        <v>75.66</v>
      </c>
      <c r="Y29">
        <v>75.52</v>
      </c>
      <c r="Z29">
        <v>75.55</v>
      </c>
      <c r="AA29">
        <v>75.55</v>
      </c>
      <c r="AB29">
        <v>75.76</v>
      </c>
      <c r="AC29">
        <v>75.72</v>
      </c>
      <c r="AD29">
        <v>75.75</v>
      </c>
      <c r="AE29">
        <v>75.74</v>
      </c>
      <c r="AF29">
        <v>75.37</v>
      </c>
      <c r="AG29">
        <v>75.3</v>
      </c>
      <c r="AH29">
        <v>75.51</v>
      </c>
      <c r="AI29">
        <v>74.55</v>
      </c>
      <c r="AJ29">
        <v>75.1</v>
      </c>
      <c r="AK29">
        <v>75.07</v>
      </c>
      <c r="AL29">
        <v>75</v>
      </c>
      <c r="AM29">
        <v>75.36</v>
      </c>
      <c r="AN29">
        <v>76.35</v>
      </c>
      <c r="AO29">
        <v>75.69</v>
      </c>
      <c r="AP29">
        <v>75.64</v>
      </c>
      <c r="AQ29">
        <v>75.53</v>
      </c>
      <c r="AR29">
        <v>75.51</v>
      </c>
      <c r="AS29">
        <v>75.55</v>
      </c>
      <c r="AT29">
        <v>74.39</v>
      </c>
      <c r="AU29">
        <v>74.25</v>
      </c>
      <c r="AV29">
        <v>73.8</v>
      </c>
      <c r="AW29">
        <v>74.27</v>
      </c>
      <c r="AX29">
        <v>74.98</v>
      </c>
      <c r="AY29">
        <v>75.16</v>
      </c>
      <c r="AZ29">
        <v>74.74</v>
      </c>
      <c r="BA29">
        <v>74.04</v>
      </c>
      <c r="BB29">
        <v>74.39</v>
      </c>
      <c r="BC29">
        <v>74.16</v>
      </c>
      <c r="BD29">
        <v>74.34</v>
      </c>
      <c r="BE29">
        <v>74.36</v>
      </c>
      <c r="BF29">
        <v>74.15</v>
      </c>
      <c r="BG29">
        <v>72.56</v>
      </c>
      <c r="BH29">
        <v>72.55</v>
      </c>
      <c r="BI29">
        <v>72.35</v>
      </c>
      <c r="BJ29">
        <v>72.39</v>
      </c>
      <c r="BK29">
        <v>73.85</v>
      </c>
      <c r="BL29">
        <v>74.02</v>
      </c>
      <c r="BM29">
        <v>73.65</v>
      </c>
      <c r="BN29">
        <v>75.14</v>
      </c>
      <c r="BO29">
        <v>75.19</v>
      </c>
      <c r="BP29">
        <v>75.1</v>
      </c>
      <c r="BQ29">
        <v>72.39</v>
      </c>
      <c r="BR29">
        <v>73.43</v>
      </c>
      <c r="BS29">
        <v>72.51</v>
      </c>
      <c r="BT29">
        <v>72.28</v>
      </c>
      <c r="BU29">
        <v>72.42</v>
      </c>
      <c r="BV29">
        <v>71.57</v>
      </c>
      <c r="BW29">
        <v>68.72</v>
      </c>
      <c r="BX29">
        <v>68.69</v>
      </c>
      <c r="BY29">
        <v>68.83</v>
      </c>
      <c r="BZ29">
        <v>68.52</v>
      </c>
      <c r="CA29">
        <v>68.58</v>
      </c>
      <c r="CB29">
        <v>68.55</v>
      </c>
      <c r="CC29">
        <v>68.5</v>
      </c>
      <c r="CD29">
        <v>68.29</v>
      </c>
      <c r="CE29">
        <v>68.32</v>
      </c>
      <c r="CF29">
        <v>68.13</v>
      </c>
      <c r="CG29">
        <v>68.12</v>
      </c>
      <c r="CH29">
        <v>68.06</v>
      </c>
      <c r="CI29">
        <v>67.95</v>
      </c>
      <c r="CJ29">
        <v>67.97</v>
      </c>
      <c r="CK29">
        <v>66.82</v>
      </c>
      <c r="CL29">
        <v>66.34</v>
      </c>
      <c r="CM29">
        <v>65.96</v>
      </c>
      <c r="CN29">
        <v>65.94</v>
      </c>
      <c r="CO29">
        <v>66.01</v>
      </c>
      <c r="CP29">
        <v>65.94</v>
      </c>
      <c r="CQ29">
        <v>65.85</v>
      </c>
      <c r="CR29">
        <v>65.95</v>
      </c>
      <c r="CS29">
        <v>65.86</v>
      </c>
    </row>
    <row r="30" spans="1:97">
      <c r="A30" s="9">
        <v>46263</v>
      </c>
      <c r="B30">
        <v>66.2</v>
      </c>
      <c r="C30">
        <v>73.62</v>
      </c>
      <c r="D30">
        <v>76.26</v>
      </c>
      <c r="E30">
        <v>76.39</v>
      </c>
      <c r="F30">
        <v>77.13</v>
      </c>
      <c r="G30">
        <v>77.99</v>
      </c>
      <c r="H30">
        <v>78</v>
      </c>
      <c r="I30">
        <v>78.19</v>
      </c>
      <c r="J30">
        <v>78.28</v>
      </c>
      <c r="K30">
        <v>78.41</v>
      </c>
      <c r="L30">
        <v>78.42</v>
      </c>
      <c r="M30">
        <v>78.55</v>
      </c>
      <c r="N30">
        <v>77.4</v>
      </c>
      <c r="O30">
        <v>77.19</v>
      </c>
      <c r="P30">
        <v>77.24</v>
      </c>
      <c r="Q30">
        <v>77.35</v>
      </c>
      <c r="R30">
        <v>77.21</v>
      </c>
      <c r="S30">
        <v>77.11</v>
      </c>
      <c r="T30">
        <v>77.26</v>
      </c>
      <c r="U30">
        <v>77.34</v>
      </c>
      <c r="V30">
        <v>77.29</v>
      </c>
      <c r="W30">
        <v>77.42</v>
      </c>
      <c r="X30">
        <v>77.6</v>
      </c>
      <c r="Y30">
        <v>77.5</v>
      </c>
      <c r="Z30">
        <v>77.55</v>
      </c>
      <c r="AA30">
        <v>77.54</v>
      </c>
      <c r="AB30">
        <v>77.63</v>
      </c>
      <c r="AC30">
        <v>77.55</v>
      </c>
      <c r="AD30">
        <v>77.59</v>
      </c>
      <c r="AE30">
        <v>77.57</v>
      </c>
      <c r="AF30">
        <v>77.57</v>
      </c>
      <c r="AG30">
        <v>77.51</v>
      </c>
      <c r="AH30">
        <v>77.65</v>
      </c>
      <c r="AI30">
        <v>77.57</v>
      </c>
      <c r="AJ30">
        <v>76.1</v>
      </c>
      <c r="AK30">
        <v>76.04</v>
      </c>
      <c r="AL30">
        <v>76.69</v>
      </c>
      <c r="AM30">
        <v>76.28</v>
      </c>
      <c r="AN30">
        <v>76.45</v>
      </c>
      <c r="AO30">
        <v>76.72</v>
      </c>
      <c r="AP30">
        <v>76.64</v>
      </c>
      <c r="AQ30">
        <v>75.59</v>
      </c>
      <c r="AR30">
        <v>75.54</v>
      </c>
      <c r="AS30">
        <v>75.17</v>
      </c>
      <c r="AT30">
        <v>74.07</v>
      </c>
      <c r="AU30">
        <v>73.93</v>
      </c>
      <c r="AV30">
        <v>73.84</v>
      </c>
      <c r="AW30">
        <v>75.26</v>
      </c>
      <c r="AX30">
        <v>75.2</v>
      </c>
      <c r="AY30">
        <v>75.22</v>
      </c>
      <c r="AZ30">
        <v>74.94</v>
      </c>
      <c r="BA30">
        <v>74.69</v>
      </c>
      <c r="BB30">
        <v>74.87</v>
      </c>
      <c r="BC30">
        <v>74.65</v>
      </c>
      <c r="BD30">
        <v>74.75</v>
      </c>
      <c r="BE30">
        <v>74.77</v>
      </c>
      <c r="BF30">
        <v>74.71</v>
      </c>
      <c r="BG30">
        <v>73.1</v>
      </c>
      <c r="BH30">
        <v>73.08</v>
      </c>
      <c r="BI30">
        <v>72.82</v>
      </c>
      <c r="BJ30">
        <v>72.91</v>
      </c>
      <c r="BK30">
        <v>74.37</v>
      </c>
      <c r="BL30">
        <v>74.41</v>
      </c>
      <c r="BM30">
        <v>73.91</v>
      </c>
      <c r="BN30">
        <v>73.67</v>
      </c>
      <c r="BO30">
        <v>73.65</v>
      </c>
      <c r="BP30">
        <v>75.57</v>
      </c>
      <c r="BQ30">
        <v>72.81</v>
      </c>
      <c r="BR30">
        <v>72.49</v>
      </c>
      <c r="BS30">
        <v>71.64</v>
      </c>
      <c r="BT30">
        <v>72.54</v>
      </c>
      <c r="BU30">
        <v>73.08</v>
      </c>
      <c r="BV30">
        <v>73.63</v>
      </c>
      <c r="BW30">
        <v>72.13</v>
      </c>
      <c r="BX30">
        <v>72</v>
      </c>
      <c r="BY30">
        <v>72.21</v>
      </c>
      <c r="BZ30">
        <v>72.21</v>
      </c>
      <c r="CA30">
        <v>72.21</v>
      </c>
      <c r="CB30">
        <v>72.19</v>
      </c>
      <c r="CC30">
        <v>72.29</v>
      </c>
      <c r="CD30">
        <v>73.27</v>
      </c>
      <c r="CE30">
        <v>73.17</v>
      </c>
      <c r="CF30">
        <v>73.02</v>
      </c>
      <c r="CG30">
        <v>73</v>
      </c>
      <c r="CH30">
        <v>72.9</v>
      </c>
      <c r="CI30">
        <v>72.96</v>
      </c>
      <c r="CJ30">
        <v>72.93</v>
      </c>
      <c r="CK30">
        <v>72.07</v>
      </c>
      <c r="CL30">
        <v>71.56</v>
      </c>
      <c r="CM30">
        <v>71.02</v>
      </c>
      <c r="CN30">
        <v>71.27</v>
      </c>
      <c r="CO30">
        <v>71.3</v>
      </c>
      <c r="CP30">
        <v>71.28</v>
      </c>
      <c r="CQ30">
        <v>71.55</v>
      </c>
      <c r="CR30">
        <v>71.5</v>
      </c>
      <c r="CS30">
        <v>71.37</v>
      </c>
    </row>
    <row r="31" spans="1:97">
      <c r="A31" s="9">
        <v>46264</v>
      </c>
      <c r="B31">
        <v>71.15</v>
      </c>
      <c r="C31">
        <v>73.81</v>
      </c>
      <c r="D31">
        <v>75.09</v>
      </c>
      <c r="E31">
        <v>75.29</v>
      </c>
      <c r="F31">
        <v>75.02</v>
      </c>
      <c r="G31">
        <v>75.22</v>
      </c>
      <c r="H31">
        <v>75.22</v>
      </c>
      <c r="I31">
        <v>75.26</v>
      </c>
      <c r="J31">
        <v>75.22</v>
      </c>
      <c r="K31">
        <v>75.33</v>
      </c>
      <c r="L31">
        <v>75.18</v>
      </c>
      <c r="M31">
        <v>75.34</v>
      </c>
      <c r="N31">
        <v>74.03</v>
      </c>
      <c r="O31">
        <v>73.84</v>
      </c>
      <c r="P31">
        <v>73.83</v>
      </c>
      <c r="Q31">
        <v>73.85</v>
      </c>
      <c r="R31">
        <v>73.75</v>
      </c>
      <c r="S31">
        <v>73.71</v>
      </c>
      <c r="T31">
        <v>73.7</v>
      </c>
      <c r="U31">
        <v>73.68</v>
      </c>
      <c r="V31">
        <v>73.86</v>
      </c>
      <c r="W31">
        <v>74.06</v>
      </c>
      <c r="X31">
        <v>73.97</v>
      </c>
      <c r="Y31">
        <v>73.81</v>
      </c>
      <c r="Z31">
        <v>73.93</v>
      </c>
      <c r="AA31">
        <v>73.9</v>
      </c>
      <c r="AB31">
        <v>73.87</v>
      </c>
      <c r="AC31">
        <v>73.83</v>
      </c>
      <c r="AD31">
        <v>73.86</v>
      </c>
      <c r="AE31">
        <v>73.74</v>
      </c>
      <c r="AF31">
        <v>73.77</v>
      </c>
      <c r="AG31">
        <v>73.71</v>
      </c>
      <c r="AH31">
        <v>70.98</v>
      </c>
      <c r="AI31">
        <v>71.11</v>
      </c>
      <c r="AJ31">
        <v>68.1</v>
      </c>
      <c r="AK31">
        <v>67.58</v>
      </c>
      <c r="AL31">
        <v>68.22</v>
      </c>
      <c r="AM31">
        <v>67.64</v>
      </c>
      <c r="AN31">
        <v>67.81</v>
      </c>
      <c r="AO31">
        <v>68.03</v>
      </c>
      <c r="AP31">
        <v>68.06</v>
      </c>
      <c r="AQ31">
        <v>67.09</v>
      </c>
      <c r="AR31">
        <v>66.65</v>
      </c>
      <c r="AS31">
        <v>66.44</v>
      </c>
      <c r="AT31">
        <v>66.31</v>
      </c>
      <c r="AU31">
        <v>66.33</v>
      </c>
      <c r="AV31">
        <v>66.48</v>
      </c>
      <c r="AW31">
        <v>67.63</v>
      </c>
      <c r="AX31">
        <v>67.63</v>
      </c>
      <c r="AY31">
        <v>67.52</v>
      </c>
      <c r="AZ31">
        <v>67.26</v>
      </c>
      <c r="BA31">
        <v>67.28</v>
      </c>
      <c r="BB31">
        <v>67.29</v>
      </c>
      <c r="BC31">
        <v>67.26</v>
      </c>
      <c r="BD31">
        <v>67.27</v>
      </c>
      <c r="BE31">
        <v>67.33</v>
      </c>
      <c r="BF31">
        <v>65.92</v>
      </c>
      <c r="BG31">
        <v>65.89</v>
      </c>
      <c r="BH31">
        <v>65.84</v>
      </c>
      <c r="BI31">
        <v>65.68</v>
      </c>
      <c r="BJ31">
        <v>65.81</v>
      </c>
      <c r="BK31">
        <v>67.18</v>
      </c>
      <c r="BL31">
        <v>67.17</v>
      </c>
      <c r="BM31">
        <v>66.85</v>
      </c>
      <c r="BN31">
        <v>66.52</v>
      </c>
      <c r="BO31">
        <v>66.5</v>
      </c>
      <c r="BP31">
        <v>68.42</v>
      </c>
      <c r="BQ31">
        <v>65.66</v>
      </c>
      <c r="BR31">
        <v>65.38</v>
      </c>
      <c r="BS31">
        <v>64.49</v>
      </c>
      <c r="BT31">
        <v>65.45</v>
      </c>
      <c r="BU31">
        <v>65.8</v>
      </c>
      <c r="BV31">
        <v>66.33</v>
      </c>
      <c r="BW31">
        <v>64.85</v>
      </c>
      <c r="BX31">
        <v>64.58</v>
      </c>
      <c r="BY31">
        <v>64.71</v>
      </c>
      <c r="BZ31">
        <v>64.61</v>
      </c>
      <c r="CA31">
        <v>64.62</v>
      </c>
      <c r="CB31">
        <v>64.63</v>
      </c>
      <c r="CC31">
        <v>64.64</v>
      </c>
      <c r="CD31">
        <v>65.66</v>
      </c>
      <c r="CE31">
        <v>65.57</v>
      </c>
      <c r="CF31">
        <v>65.46</v>
      </c>
      <c r="CG31">
        <v>65.44</v>
      </c>
      <c r="CH31">
        <v>65.4</v>
      </c>
      <c r="CI31">
        <v>65.39</v>
      </c>
      <c r="CJ31">
        <v>65.35</v>
      </c>
      <c r="CK31">
        <v>65.69</v>
      </c>
      <c r="CL31">
        <v>67.58</v>
      </c>
      <c r="CM31">
        <v>67.43</v>
      </c>
      <c r="CN31">
        <v>68.1</v>
      </c>
      <c r="CO31">
        <v>68.44</v>
      </c>
      <c r="CP31">
        <v>68.48</v>
      </c>
      <c r="CQ31">
        <v>68.79</v>
      </c>
      <c r="CR31">
        <v>68.62</v>
      </c>
      <c r="CS31">
        <v>68.63</v>
      </c>
    </row>
    <row r="32" spans="1:97">
      <c r="A32" s="9">
        <v>46265</v>
      </c>
      <c r="B32">
        <v>68.48</v>
      </c>
      <c r="C32">
        <v>71.14</v>
      </c>
      <c r="D32">
        <v>72.39</v>
      </c>
      <c r="E32">
        <v>72.61</v>
      </c>
      <c r="F32">
        <v>72.56</v>
      </c>
      <c r="G32">
        <v>72.76</v>
      </c>
      <c r="H32">
        <v>72.76</v>
      </c>
      <c r="I32">
        <v>72.75</v>
      </c>
      <c r="J32">
        <v>72.83</v>
      </c>
      <c r="K32">
        <v>73.01</v>
      </c>
      <c r="L32">
        <v>74.32</v>
      </c>
      <c r="M32">
        <v>74.55</v>
      </c>
      <c r="N32">
        <v>74.19</v>
      </c>
      <c r="O32">
        <v>74.33</v>
      </c>
      <c r="P32">
        <v>74.28</v>
      </c>
      <c r="Q32">
        <v>74.35</v>
      </c>
      <c r="R32">
        <v>74.32</v>
      </c>
      <c r="S32">
        <v>74.28</v>
      </c>
      <c r="T32">
        <v>74.28</v>
      </c>
      <c r="U32">
        <v>74.12</v>
      </c>
      <c r="V32">
        <v>74.37</v>
      </c>
      <c r="W32">
        <v>74.52</v>
      </c>
      <c r="X32">
        <v>74.46</v>
      </c>
      <c r="Y32">
        <v>74.22</v>
      </c>
      <c r="Z32">
        <v>74.37</v>
      </c>
      <c r="AA32">
        <v>74.35</v>
      </c>
      <c r="AB32">
        <v>74.33</v>
      </c>
      <c r="AC32">
        <v>74.24</v>
      </c>
      <c r="AD32">
        <v>74.26</v>
      </c>
      <c r="AE32">
        <v>74.11</v>
      </c>
      <c r="AF32">
        <v>74.21</v>
      </c>
      <c r="AG32">
        <v>74.01</v>
      </c>
      <c r="AH32">
        <v>71.23</v>
      </c>
      <c r="AI32">
        <v>70.36</v>
      </c>
      <c r="AJ32">
        <v>66.97</v>
      </c>
      <c r="AK32">
        <v>63.24</v>
      </c>
      <c r="AL32">
        <v>64.67</v>
      </c>
      <c r="AM32">
        <v>63.42</v>
      </c>
      <c r="AN32">
        <v>63.68</v>
      </c>
      <c r="AO32">
        <v>63.64</v>
      </c>
      <c r="AP32">
        <v>63.7</v>
      </c>
      <c r="AQ32">
        <v>64.22</v>
      </c>
      <c r="AR32">
        <v>64.86</v>
      </c>
      <c r="AS32">
        <v>69.39</v>
      </c>
      <c r="AT32">
        <v>69.25</v>
      </c>
      <c r="AU32">
        <v>69.2</v>
      </c>
      <c r="AV32">
        <v>69.54</v>
      </c>
      <c r="AW32">
        <v>70.67</v>
      </c>
      <c r="AX32">
        <v>71.51</v>
      </c>
      <c r="AY32">
        <v>72.12</v>
      </c>
      <c r="AZ32">
        <v>71.95</v>
      </c>
      <c r="BA32">
        <v>71.98</v>
      </c>
      <c r="BB32">
        <v>72.02</v>
      </c>
      <c r="BC32">
        <v>72.04</v>
      </c>
      <c r="BD32">
        <v>72.07</v>
      </c>
      <c r="BE32">
        <v>72.11</v>
      </c>
      <c r="BF32">
        <v>70.68</v>
      </c>
      <c r="BG32">
        <v>70.63</v>
      </c>
      <c r="BH32">
        <v>70.71</v>
      </c>
      <c r="BI32">
        <v>70.66</v>
      </c>
      <c r="BJ32">
        <v>70.69</v>
      </c>
      <c r="BK32">
        <v>66.78</v>
      </c>
      <c r="BL32">
        <v>66.8</v>
      </c>
      <c r="BM32">
        <v>66.94</v>
      </c>
      <c r="BN32">
        <v>66.55</v>
      </c>
      <c r="BO32">
        <v>66.48</v>
      </c>
      <c r="BP32">
        <v>68.5</v>
      </c>
      <c r="BQ32">
        <v>68.39</v>
      </c>
      <c r="BR32">
        <v>70.65</v>
      </c>
      <c r="BS32">
        <v>70.74</v>
      </c>
      <c r="BT32">
        <v>71.82</v>
      </c>
      <c r="BU32">
        <v>69.26</v>
      </c>
      <c r="BV32">
        <v>70.91</v>
      </c>
      <c r="BW32">
        <v>70.32</v>
      </c>
      <c r="BX32">
        <v>68.54</v>
      </c>
      <c r="BY32">
        <v>68.92</v>
      </c>
      <c r="BZ32">
        <v>68.83</v>
      </c>
      <c r="CA32">
        <v>68.82</v>
      </c>
      <c r="CB32">
        <v>68.73</v>
      </c>
      <c r="CC32">
        <v>68.63</v>
      </c>
      <c r="CD32">
        <v>69.69</v>
      </c>
      <c r="CE32">
        <v>69.67</v>
      </c>
      <c r="CF32">
        <v>68.73</v>
      </c>
      <c r="CG32">
        <v>68.76</v>
      </c>
      <c r="CH32">
        <v>68.64</v>
      </c>
      <c r="CI32">
        <v>68.59</v>
      </c>
      <c r="CJ32">
        <v>67.65</v>
      </c>
      <c r="CK32">
        <v>68.07</v>
      </c>
      <c r="CL32">
        <v>70.49</v>
      </c>
      <c r="CM32">
        <v>70.6</v>
      </c>
      <c r="CN32">
        <v>70.46</v>
      </c>
      <c r="CO32">
        <v>70.68</v>
      </c>
      <c r="CP32">
        <v>70.78</v>
      </c>
      <c r="CQ32">
        <v>71.15</v>
      </c>
      <c r="CR32">
        <v>70.91</v>
      </c>
      <c r="CS32">
        <v>70.91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CS32"/>
  <sheetViews>
    <sheetView workbookViewId="0">
      <selection activeCell="B27" sqref="B27:CS27"/>
    </sheetView>
  </sheetViews>
  <sheetFormatPr defaultColWidth="9" defaultRowHeight="13.5"/>
  <cols>
    <col min="1" max="1" width="11.8916666666667" style="9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428</v>
      </c>
      <c r="C2">
        <v>428</v>
      </c>
      <c r="D2">
        <v>428</v>
      </c>
      <c r="E2">
        <v>428</v>
      </c>
      <c r="F2">
        <v>428</v>
      </c>
      <c r="G2">
        <v>428</v>
      </c>
      <c r="H2">
        <v>428</v>
      </c>
      <c r="I2">
        <v>428</v>
      </c>
      <c r="J2">
        <v>428</v>
      </c>
      <c r="K2">
        <v>428</v>
      </c>
      <c r="L2">
        <v>428</v>
      </c>
      <c r="M2">
        <v>428</v>
      </c>
      <c r="N2">
        <v>428</v>
      </c>
      <c r="O2">
        <v>428</v>
      </c>
      <c r="P2">
        <v>428</v>
      </c>
      <c r="Q2">
        <v>428</v>
      </c>
      <c r="R2">
        <v>489</v>
      </c>
      <c r="S2">
        <v>489</v>
      </c>
      <c r="T2">
        <v>489</v>
      </c>
      <c r="U2">
        <v>489</v>
      </c>
      <c r="V2">
        <v>489</v>
      </c>
      <c r="W2">
        <v>489</v>
      </c>
      <c r="X2">
        <v>489</v>
      </c>
      <c r="Y2">
        <v>489</v>
      </c>
      <c r="Z2">
        <v>489</v>
      </c>
      <c r="AA2">
        <v>489</v>
      </c>
      <c r="AB2">
        <v>489</v>
      </c>
      <c r="AC2">
        <v>489</v>
      </c>
      <c r="AD2">
        <v>489</v>
      </c>
      <c r="AE2">
        <v>489</v>
      </c>
      <c r="AF2">
        <v>489</v>
      </c>
      <c r="AG2">
        <v>489</v>
      </c>
      <c r="AH2">
        <v>489</v>
      </c>
      <c r="AI2">
        <v>489</v>
      </c>
      <c r="AJ2">
        <v>489</v>
      </c>
      <c r="AK2">
        <v>489</v>
      </c>
      <c r="AL2">
        <v>489</v>
      </c>
      <c r="AM2">
        <v>489</v>
      </c>
      <c r="AN2">
        <v>489</v>
      </c>
      <c r="AO2">
        <v>489</v>
      </c>
      <c r="AP2">
        <v>489</v>
      </c>
      <c r="AQ2">
        <v>489</v>
      </c>
      <c r="AR2">
        <v>489</v>
      </c>
      <c r="AS2">
        <v>489</v>
      </c>
      <c r="AT2">
        <v>489</v>
      </c>
      <c r="AU2">
        <v>489</v>
      </c>
      <c r="AV2">
        <v>489</v>
      </c>
      <c r="AW2">
        <v>489</v>
      </c>
      <c r="AX2">
        <v>489</v>
      </c>
      <c r="AY2">
        <v>449</v>
      </c>
      <c r="AZ2">
        <v>449</v>
      </c>
      <c r="BA2">
        <v>449</v>
      </c>
      <c r="BB2">
        <v>389</v>
      </c>
      <c r="BC2">
        <v>389</v>
      </c>
      <c r="BD2">
        <v>389</v>
      </c>
      <c r="BE2">
        <v>389</v>
      </c>
      <c r="BF2">
        <v>389</v>
      </c>
      <c r="BG2">
        <v>389</v>
      </c>
      <c r="BH2">
        <v>389</v>
      </c>
      <c r="BI2">
        <v>389</v>
      </c>
      <c r="BJ2">
        <v>389</v>
      </c>
      <c r="BK2">
        <v>389</v>
      </c>
      <c r="BL2">
        <v>389</v>
      </c>
      <c r="BM2">
        <v>389</v>
      </c>
      <c r="BN2">
        <v>389</v>
      </c>
      <c r="BO2">
        <v>389</v>
      </c>
      <c r="BP2">
        <v>389</v>
      </c>
      <c r="BQ2">
        <v>389</v>
      </c>
      <c r="BR2">
        <v>389</v>
      </c>
      <c r="BS2">
        <v>319</v>
      </c>
      <c r="BT2">
        <v>319</v>
      </c>
      <c r="BU2">
        <v>319</v>
      </c>
      <c r="BV2">
        <v>319</v>
      </c>
      <c r="BW2">
        <v>319</v>
      </c>
      <c r="BX2">
        <v>319</v>
      </c>
      <c r="BY2">
        <v>319</v>
      </c>
      <c r="BZ2">
        <v>319</v>
      </c>
      <c r="CA2">
        <v>317</v>
      </c>
      <c r="CB2">
        <v>379</v>
      </c>
      <c r="CC2">
        <v>379</v>
      </c>
      <c r="CD2">
        <v>379</v>
      </c>
      <c r="CE2">
        <v>379</v>
      </c>
      <c r="CF2">
        <v>379</v>
      </c>
      <c r="CG2">
        <v>379</v>
      </c>
      <c r="CH2">
        <v>319</v>
      </c>
      <c r="CI2">
        <v>319</v>
      </c>
      <c r="CJ2">
        <v>319</v>
      </c>
      <c r="CK2">
        <v>319</v>
      </c>
      <c r="CL2">
        <v>319</v>
      </c>
      <c r="CM2">
        <v>319</v>
      </c>
      <c r="CN2">
        <v>319</v>
      </c>
      <c r="CO2">
        <v>319</v>
      </c>
      <c r="CP2">
        <v>319</v>
      </c>
      <c r="CQ2">
        <v>319</v>
      </c>
      <c r="CR2">
        <v>319</v>
      </c>
      <c r="CS2">
        <v>319</v>
      </c>
    </row>
    <row r="3" spans="1:97">
      <c r="A3" s="9">
        <v>46236</v>
      </c>
      <c r="B3">
        <v>485</v>
      </c>
      <c r="C3">
        <v>485</v>
      </c>
      <c r="D3">
        <v>485</v>
      </c>
      <c r="E3">
        <v>485</v>
      </c>
      <c r="F3">
        <v>485</v>
      </c>
      <c r="G3">
        <v>485</v>
      </c>
      <c r="H3">
        <v>485</v>
      </c>
      <c r="I3">
        <v>485</v>
      </c>
      <c r="J3">
        <v>485</v>
      </c>
      <c r="K3">
        <v>485</v>
      </c>
      <c r="L3">
        <v>485</v>
      </c>
      <c r="M3">
        <v>485</v>
      </c>
      <c r="N3">
        <v>485</v>
      </c>
      <c r="O3">
        <v>485</v>
      </c>
      <c r="P3">
        <v>485</v>
      </c>
      <c r="Q3">
        <v>485</v>
      </c>
      <c r="R3">
        <v>485</v>
      </c>
      <c r="S3">
        <v>485</v>
      </c>
      <c r="T3">
        <v>485</v>
      </c>
      <c r="U3">
        <v>485</v>
      </c>
      <c r="V3">
        <v>485</v>
      </c>
      <c r="W3">
        <v>485</v>
      </c>
      <c r="X3">
        <v>485</v>
      </c>
      <c r="Y3">
        <v>485</v>
      </c>
      <c r="Z3">
        <v>485</v>
      </c>
      <c r="AA3">
        <v>485</v>
      </c>
      <c r="AB3">
        <v>485</v>
      </c>
      <c r="AC3">
        <v>485</v>
      </c>
      <c r="AD3">
        <v>485</v>
      </c>
      <c r="AE3">
        <v>485</v>
      </c>
      <c r="AF3">
        <v>485</v>
      </c>
      <c r="AG3">
        <v>485</v>
      </c>
      <c r="AH3">
        <v>423</v>
      </c>
      <c r="AI3">
        <v>423</v>
      </c>
      <c r="AJ3">
        <v>423</v>
      </c>
      <c r="AK3">
        <v>423</v>
      </c>
      <c r="AL3">
        <v>423</v>
      </c>
      <c r="AM3">
        <v>423</v>
      </c>
      <c r="AN3">
        <v>423</v>
      </c>
      <c r="AO3">
        <v>423</v>
      </c>
      <c r="AP3">
        <v>424</v>
      </c>
      <c r="AQ3">
        <v>424</v>
      </c>
      <c r="AR3">
        <v>424</v>
      </c>
      <c r="AS3">
        <v>424</v>
      </c>
      <c r="AT3">
        <v>424</v>
      </c>
      <c r="AU3">
        <v>424</v>
      </c>
      <c r="AV3">
        <v>424</v>
      </c>
      <c r="AW3">
        <v>424</v>
      </c>
      <c r="AX3">
        <v>485</v>
      </c>
      <c r="AY3">
        <v>485</v>
      </c>
      <c r="AZ3">
        <v>485</v>
      </c>
      <c r="BA3">
        <v>485</v>
      </c>
      <c r="BB3">
        <v>485</v>
      </c>
      <c r="BC3">
        <v>485</v>
      </c>
      <c r="BD3">
        <v>485</v>
      </c>
      <c r="BE3">
        <v>485</v>
      </c>
      <c r="BF3">
        <v>485</v>
      </c>
      <c r="BG3">
        <v>485</v>
      </c>
      <c r="BH3">
        <v>485</v>
      </c>
      <c r="BI3">
        <v>485</v>
      </c>
      <c r="BJ3">
        <v>485</v>
      </c>
      <c r="BK3">
        <v>485</v>
      </c>
      <c r="BL3">
        <v>485</v>
      </c>
      <c r="BM3">
        <v>485</v>
      </c>
      <c r="BN3">
        <v>418</v>
      </c>
      <c r="BO3">
        <v>378</v>
      </c>
      <c r="BP3">
        <v>378</v>
      </c>
      <c r="BQ3">
        <v>378</v>
      </c>
      <c r="BR3">
        <v>378</v>
      </c>
      <c r="BS3">
        <v>378</v>
      </c>
      <c r="BT3">
        <v>378</v>
      </c>
      <c r="BU3">
        <v>378</v>
      </c>
      <c r="BV3">
        <v>318</v>
      </c>
      <c r="BW3">
        <v>318</v>
      </c>
      <c r="BX3">
        <v>318</v>
      </c>
      <c r="BY3">
        <v>318</v>
      </c>
      <c r="BZ3">
        <v>318</v>
      </c>
      <c r="CA3">
        <v>318</v>
      </c>
      <c r="CB3">
        <v>318</v>
      </c>
      <c r="CC3">
        <v>318</v>
      </c>
      <c r="CD3">
        <v>318</v>
      </c>
      <c r="CE3">
        <v>318</v>
      </c>
      <c r="CF3">
        <v>318</v>
      </c>
      <c r="CG3">
        <v>318</v>
      </c>
      <c r="CH3">
        <v>318</v>
      </c>
      <c r="CI3">
        <v>318</v>
      </c>
      <c r="CJ3">
        <v>318</v>
      </c>
      <c r="CK3">
        <v>318</v>
      </c>
      <c r="CL3">
        <v>318</v>
      </c>
      <c r="CM3">
        <v>318</v>
      </c>
      <c r="CN3">
        <v>318</v>
      </c>
      <c r="CO3">
        <v>318</v>
      </c>
      <c r="CP3">
        <v>318</v>
      </c>
      <c r="CQ3">
        <v>318</v>
      </c>
      <c r="CR3">
        <v>318</v>
      </c>
      <c r="CS3">
        <v>318</v>
      </c>
    </row>
    <row r="4" spans="1:97">
      <c r="A4" s="9">
        <v>46237</v>
      </c>
      <c r="B4">
        <v>445</v>
      </c>
      <c r="C4">
        <v>445</v>
      </c>
      <c r="D4">
        <v>445</v>
      </c>
      <c r="E4">
        <v>445</v>
      </c>
      <c r="F4">
        <v>445</v>
      </c>
      <c r="G4">
        <v>486</v>
      </c>
      <c r="H4">
        <v>486</v>
      </c>
      <c r="I4">
        <v>486</v>
      </c>
      <c r="J4">
        <v>486</v>
      </c>
      <c r="K4">
        <v>486</v>
      </c>
      <c r="L4">
        <v>486</v>
      </c>
      <c r="M4">
        <v>486</v>
      </c>
      <c r="N4">
        <v>486</v>
      </c>
      <c r="O4">
        <v>486</v>
      </c>
      <c r="P4">
        <v>486</v>
      </c>
      <c r="Q4">
        <v>486</v>
      </c>
      <c r="R4">
        <v>486</v>
      </c>
      <c r="S4">
        <v>486</v>
      </c>
      <c r="T4">
        <v>486</v>
      </c>
      <c r="U4">
        <v>486</v>
      </c>
      <c r="V4">
        <v>486</v>
      </c>
      <c r="W4">
        <v>486</v>
      </c>
      <c r="X4">
        <v>486</v>
      </c>
      <c r="Y4">
        <v>486</v>
      </c>
      <c r="Z4">
        <v>486</v>
      </c>
      <c r="AA4">
        <v>486</v>
      </c>
      <c r="AB4">
        <v>486</v>
      </c>
      <c r="AC4">
        <v>486</v>
      </c>
      <c r="AD4">
        <v>486</v>
      </c>
      <c r="AE4">
        <v>486</v>
      </c>
      <c r="AF4">
        <v>486</v>
      </c>
      <c r="AG4">
        <v>486</v>
      </c>
      <c r="AH4">
        <v>486</v>
      </c>
      <c r="AI4">
        <v>486</v>
      </c>
      <c r="AJ4">
        <v>486</v>
      </c>
      <c r="AK4">
        <v>486</v>
      </c>
      <c r="AL4">
        <v>486</v>
      </c>
      <c r="AM4">
        <v>486</v>
      </c>
      <c r="AN4">
        <v>486</v>
      </c>
      <c r="AO4">
        <v>486</v>
      </c>
      <c r="AP4">
        <v>425</v>
      </c>
      <c r="AQ4">
        <v>425</v>
      </c>
      <c r="AR4">
        <v>425</v>
      </c>
      <c r="AS4">
        <v>425</v>
      </c>
      <c r="AT4">
        <v>425</v>
      </c>
      <c r="AU4">
        <v>425</v>
      </c>
      <c r="AV4">
        <v>425</v>
      </c>
      <c r="AW4">
        <v>425</v>
      </c>
      <c r="AX4">
        <v>425</v>
      </c>
      <c r="AY4">
        <v>425</v>
      </c>
      <c r="AZ4">
        <v>425</v>
      </c>
      <c r="BA4">
        <v>425</v>
      </c>
      <c r="BB4">
        <v>425</v>
      </c>
      <c r="BC4">
        <v>425</v>
      </c>
      <c r="BD4">
        <v>425</v>
      </c>
      <c r="BE4">
        <v>425</v>
      </c>
      <c r="BF4">
        <v>358</v>
      </c>
      <c r="BG4">
        <v>358</v>
      </c>
      <c r="BH4">
        <v>358</v>
      </c>
      <c r="BI4">
        <v>420</v>
      </c>
      <c r="BJ4">
        <v>420</v>
      </c>
      <c r="BK4">
        <v>420</v>
      </c>
      <c r="BL4">
        <v>420</v>
      </c>
      <c r="BM4">
        <v>420</v>
      </c>
      <c r="BN4">
        <v>420</v>
      </c>
      <c r="BO4">
        <v>420</v>
      </c>
      <c r="BP4">
        <v>420</v>
      </c>
      <c r="BQ4">
        <v>420</v>
      </c>
      <c r="BR4">
        <v>380</v>
      </c>
      <c r="BS4">
        <v>380</v>
      </c>
      <c r="BT4">
        <v>380</v>
      </c>
      <c r="BU4">
        <v>380</v>
      </c>
      <c r="BV4">
        <v>319</v>
      </c>
      <c r="BW4">
        <v>319</v>
      </c>
      <c r="BX4">
        <v>319</v>
      </c>
      <c r="BY4">
        <v>319</v>
      </c>
      <c r="BZ4">
        <v>319</v>
      </c>
      <c r="CA4">
        <v>319</v>
      </c>
      <c r="CB4">
        <v>319</v>
      </c>
      <c r="CC4">
        <v>319</v>
      </c>
      <c r="CD4">
        <v>319</v>
      </c>
      <c r="CE4">
        <v>319</v>
      </c>
      <c r="CF4">
        <v>319</v>
      </c>
      <c r="CG4">
        <v>319</v>
      </c>
      <c r="CH4">
        <v>319</v>
      </c>
      <c r="CI4">
        <v>319</v>
      </c>
      <c r="CJ4">
        <v>319</v>
      </c>
      <c r="CK4">
        <v>319</v>
      </c>
      <c r="CL4">
        <v>319</v>
      </c>
      <c r="CM4">
        <v>319</v>
      </c>
      <c r="CN4">
        <v>319</v>
      </c>
      <c r="CO4">
        <v>319</v>
      </c>
      <c r="CP4">
        <v>319</v>
      </c>
      <c r="CQ4">
        <v>319</v>
      </c>
      <c r="CR4">
        <v>319</v>
      </c>
      <c r="CS4">
        <v>319</v>
      </c>
    </row>
    <row r="5" spans="1:97">
      <c r="A5" s="9">
        <v>46238</v>
      </c>
      <c r="B5">
        <v>424</v>
      </c>
      <c r="C5">
        <v>424</v>
      </c>
      <c r="D5">
        <v>424</v>
      </c>
      <c r="E5">
        <v>424</v>
      </c>
      <c r="F5">
        <v>424</v>
      </c>
      <c r="G5">
        <v>424</v>
      </c>
      <c r="H5">
        <v>424</v>
      </c>
      <c r="I5">
        <v>424</v>
      </c>
      <c r="J5">
        <v>424</v>
      </c>
      <c r="K5">
        <v>424</v>
      </c>
      <c r="L5">
        <v>424</v>
      </c>
      <c r="M5">
        <v>424</v>
      </c>
      <c r="N5">
        <v>424</v>
      </c>
      <c r="O5">
        <v>424</v>
      </c>
      <c r="P5">
        <v>424</v>
      </c>
      <c r="Q5">
        <v>424</v>
      </c>
      <c r="R5">
        <v>424</v>
      </c>
      <c r="S5">
        <v>424</v>
      </c>
      <c r="T5">
        <v>424</v>
      </c>
      <c r="U5">
        <v>424</v>
      </c>
      <c r="V5">
        <v>424</v>
      </c>
      <c r="W5">
        <v>424</v>
      </c>
      <c r="X5">
        <v>424</v>
      </c>
      <c r="Y5">
        <v>424</v>
      </c>
      <c r="Z5">
        <v>424</v>
      </c>
      <c r="AA5">
        <v>424</v>
      </c>
      <c r="AB5">
        <v>466</v>
      </c>
      <c r="AC5">
        <v>466</v>
      </c>
      <c r="AD5">
        <v>487</v>
      </c>
      <c r="AE5">
        <v>487</v>
      </c>
      <c r="AF5">
        <v>487</v>
      </c>
      <c r="AG5">
        <v>487</v>
      </c>
      <c r="AH5">
        <v>487</v>
      </c>
      <c r="AI5">
        <v>487</v>
      </c>
      <c r="AJ5">
        <v>487</v>
      </c>
      <c r="AK5">
        <v>487</v>
      </c>
      <c r="AL5">
        <v>487</v>
      </c>
      <c r="AM5">
        <v>487</v>
      </c>
      <c r="AN5">
        <v>487</v>
      </c>
      <c r="AO5">
        <v>487</v>
      </c>
      <c r="AP5">
        <v>487</v>
      </c>
      <c r="AQ5">
        <v>487</v>
      </c>
      <c r="AR5">
        <v>487</v>
      </c>
      <c r="AS5">
        <v>487</v>
      </c>
      <c r="AT5">
        <v>487</v>
      </c>
      <c r="AU5">
        <v>487</v>
      </c>
      <c r="AV5">
        <v>425</v>
      </c>
      <c r="AW5">
        <v>425</v>
      </c>
      <c r="AX5">
        <v>425</v>
      </c>
      <c r="AY5">
        <v>425</v>
      </c>
      <c r="AZ5">
        <v>425</v>
      </c>
      <c r="BA5">
        <v>425</v>
      </c>
      <c r="BB5">
        <v>425</v>
      </c>
      <c r="BC5">
        <v>425</v>
      </c>
      <c r="BD5">
        <v>425</v>
      </c>
      <c r="BE5">
        <v>425</v>
      </c>
      <c r="BF5">
        <v>425</v>
      </c>
      <c r="BG5">
        <v>425</v>
      </c>
      <c r="BH5">
        <v>425</v>
      </c>
      <c r="BI5">
        <v>425</v>
      </c>
      <c r="BJ5">
        <v>386</v>
      </c>
      <c r="BK5">
        <v>386</v>
      </c>
      <c r="BL5">
        <v>386</v>
      </c>
      <c r="BM5">
        <v>386</v>
      </c>
      <c r="BN5">
        <v>386</v>
      </c>
      <c r="BO5">
        <v>386</v>
      </c>
      <c r="BP5">
        <v>386</v>
      </c>
      <c r="BQ5">
        <v>386</v>
      </c>
      <c r="BR5">
        <v>319</v>
      </c>
      <c r="BS5">
        <v>319</v>
      </c>
      <c r="BT5">
        <v>319</v>
      </c>
      <c r="BU5">
        <v>319</v>
      </c>
      <c r="BV5">
        <v>319</v>
      </c>
      <c r="BW5">
        <v>319</v>
      </c>
      <c r="BX5">
        <v>319</v>
      </c>
      <c r="BY5">
        <v>319</v>
      </c>
      <c r="BZ5">
        <v>319</v>
      </c>
      <c r="CA5">
        <v>319</v>
      </c>
      <c r="CB5">
        <v>319</v>
      </c>
      <c r="CC5">
        <v>319</v>
      </c>
      <c r="CD5">
        <v>319</v>
      </c>
      <c r="CE5">
        <v>319</v>
      </c>
      <c r="CF5">
        <v>319</v>
      </c>
      <c r="CG5">
        <v>319</v>
      </c>
      <c r="CH5">
        <v>319</v>
      </c>
      <c r="CI5">
        <v>319</v>
      </c>
      <c r="CJ5">
        <v>319</v>
      </c>
      <c r="CK5">
        <v>319</v>
      </c>
      <c r="CL5">
        <v>319</v>
      </c>
      <c r="CM5">
        <v>319</v>
      </c>
      <c r="CN5">
        <v>319</v>
      </c>
      <c r="CO5">
        <v>319</v>
      </c>
      <c r="CP5">
        <v>319</v>
      </c>
      <c r="CQ5">
        <v>319</v>
      </c>
      <c r="CR5">
        <v>319</v>
      </c>
      <c r="CS5">
        <v>319</v>
      </c>
    </row>
    <row r="6" spans="1:97">
      <c r="A6" s="9">
        <v>46239</v>
      </c>
      <c r="B6">
        <v>479</v>
      </c>
      <c r="C6">
        <v>479</v>
      </c>
      <c r="D6">
        <v>479</v>
      </c>
      <c r="E6">
        <v>479</v>
      </c>
      <c r="F6">
        <v>479</v>
      </c>
      <c r="G6">
        <v>479</v>
      </c>
      <c r="H6">
        <v>479</v>
      </c>
      <c r="I6">
        <v>479</v>
      </c>
      <c r="J6">
        <v>479</v>
      </c>
      <c r="K6">
        <v>479</v>
      </c>
      <c r="L6">
        <v>479</v>
      </c>
      <c r="M6">
        <v>479</v>
      </c>
      <c r="N6">
        <v>479</v>
      </c>
      <c r="O6">
        <v>479</v>
      </c>
      <c r="P6">
        <v>479</v>
      </c>
      <c r="Q6">
        <v>479</v>
      </c>
      <c r="R6">
        <v>479</v>
      </c>
      <c r="S6">
        <v>479</v>
      </c>
      <c r="T6">
        <v>479</v>
      </c>
      <c r="U6">
        <v>479</v>
      </c>
      <c r="V6">
        <v>479</v>
      </c>
      <c r="W6">
        <v>479</v>
      </c>
      <c r="X6">
        <v>479</v>
      </c>
      <c r="Y6">
        <v>479</v>
      </c>
      <c r="Z6">
        <v>479</v>
      </c>
      <c r="AA6">
        <v>479</v>
      </c>
      <c r="AB6">
        <v>479</v>
      </c>
      <c r="AC6">
        <v>479</v>
      </c>
      <c r="AD6">
        <v>479</v>
      </c>
      <c r="AE6">
        <v>479</v>
      </c>
      <c r="AF6">
        <v>479</v>
      </c>
      <c r="AG6">
        <v>479</v>
      </c>
      <c r="AH6">
        <v>479</v>
      </c>
      <c r="AI6">
        <v>479</v>
      </c>
      <c r="AJ6">
        <v>479</v>
      </c>
      <c r="AK6">
        <v>479</v>
      </c>
      <c r="AL6">
        <v>479</v>
      </c>
      <c r="AM6">
        <v>479</v>
      </c>
      <c r="AN6">
        <v>479</v>
      </c>
      <c r="AO6">
        <v>479</v>
      </c>
      <c r="AP6">
        <v>479</v>
      </c>
      <c r="AQ6">
        <v>479</v>
      </c>
      <c r="AR6">
        <v>479</v>
      </c>
      <c r="AS6">
        <v>479</v>
      </c>
      <c r="AT6">
        <v>479</v>
      </c>
      <c r="AU6">
        <v>479</v>
      </c>
      <c r="AV6">
        <v>479</v>
      </c>
      <c r="AW6">
        <v>479</v>
      </c>
      <c r="AX6">
        <v>479</v>
      </c>
      <c r="AY6">
        <v>479</v>
      </c>
      <c r="AZ6">
        <v>479</v>
      </c>
      <c r="BA6">
        <v>479</v>
      </c>
      <c r="BB6">
        <v>479</v>
      </c>
      <c r="BC6">
        <v>479</v>
      </c>
      <c r="BD6">
        <v>458</v>
      </c>
      <c r="BE6">
        <v>458</v>
      </c>
      <c r="BF6">
        <v>458</v>
      </c>
      <c r="BG6">
        <v>418</v>
      </c>
      <c r="BH6">
        <v>377</v>
      </c>
      <c r="BI6">
        <v>313</v>
      </c>
      <c r="BJ6">
        <v>313</v>
      </c>
      <c r="BK6">
        <v>313</v>
      </c>
      <c r="BL6">
        <v>313</v>
      </c>
      <c r="BM6">
        <v>313</v>
      </c>
      <c r="BN6">
        <v>313</v>
      </c>
      <c r="BO6">
        <v>313</v>
      </c>
      <c r="BP6">
        <v>313</v>
      </c>
      <c r="BQ6">
        <v>313</v>
      </c>
      <c r="BR6">
        <v>313</v>
      </c>
      <c r="BS6">
        <v>313</v>
      </c>
      <c r="BT6">
        <v>313</v>
      </c>
      <c r="BU6">
        <v>313</v>
      </c>
      <c r="BV6">
        <v>313</v>
      </c>
      <c r="BW6">
        <v>313</v>
      </c>
      <c r="BX6">
        <v>313</v>
      </c>
      <c r="BY6">
        <v>313</v>
      </c>
      <c r="BZ6">
        <v>313</v>
      </c>
      <c r="CA6">
        <v>313</v>
      </c>
      <c r="CB6">
        <v>313</v>
      </c>
      <c r="CC6">
        <v>313</v>
      </c>
      <c r="CD6">
        <v>313</v>
      </c>
      <c r="CE6">
        <v>313</v>
      </c>
      <c r="CF6">
        <v>313</v>
      </c>
      <c r="CG6">
        <v>375</v>
      </c>
      <c r="CH6">
        <v>375</v>
      </c>
      <c r="CI6">
        <v>375</v>
      </c>
      <c r="CJ6">
        <v>375</v>
      </c>
      <c r="CK6">
        <v>375</v>
      </c>
      <c r="CL6">
        <v>375</v>
      </c>
      <c r="CM6">
        <v>375</v>
      </c>
      <c r="CN6">
        <v>375</v>
      </c>
      <c r="CO6">
        <v>375</v>
      </c>
      <c r="CP6">
        <v>375</v>
      </c>
      <c r="CQ6">
        <v>375</v>
      </c>
      <c r="CR6">
        <v>375</v>
      </c>
      <c r="CS6">
        <v>375</v>
      </c>
    </row>
    <row r="7" spans="1:97">
      <c r="A7" s="9">
        <v>46240</v>
      </c>
      <c r="B7">
        <v>415</v>
      </c>
      <c r="C7">
        <v>415</v>
      </c>
      <c r="D7">
        <v>415</v>
      </c>
      <c r="E7">
        <v>415</v>
      </c>
      <c r="F7">
        <v>415</v>
      </c>
      <c r="G7">
        <v>415</v>
      </c>
      <c r="H7">
        <v>415</v>
      </c>
      <c r="I7">
        <v>415</v>
      </c>
      <c r="J7">
        <v>415</v>
      </c>
      <c r="K7">
        <v>415</v>
      </c>
      <c r="L7">
        <v>415</v>
      </c>
      <c r="M7">
        <v>415</v>
      </c>
      <c r="N7">
        <v>415</v>
      </c>
      <c r="O7">
        <v>415</v>
      </c>
      <c r="P7">
        <v>415</v>
      </c>
      <c r="Q7">
        <v>415</v>
      </c>
      <c r="R7">
        <v>415</v>
      </c>
      <c r="S7">
        <v>415</v>
      </c>
      <c r="T7">
        <v>415</v>
      </c>
      <c r="U7">
        <v>415</v>
      </c>
      <c r="V7">
        <v>415</v>
      </c>
      <c r="W7">
        <v>415</v>
      </c>
      <c r="X7">
        <v>415</v>
      </c>
      <c r="Y7">
        <v>415</v>
      </c>
      <c r="Z7">
        <v>415</v>
      </c>
      <c r="AA7">
        <v>415</v>
      </c>
      <c r="AB7">
        <v>415</v>
      </c>
      <c r="AC7">
        <v>415</v>
      </c>
      <c r="AD7">
        <v>415</v>
      </c>
      <c r="AE7">
        <v>415</v>
      </c>
      <c r="AF7">
        <v>415</v>
      </c>
      <c r="AG7">
        <v>291</v>
      </c>
      <c r="AH7">
        <v>291</v>
      </c>
      <c r="AI7">
        <v>291</v>
      </c>
      <c r="AJ7">
        <v>291</v>
      </c>
      <c r="AK7">
        <v>291</v>
      </c>
      <c r="AL7">
        <v>291</v>
      </c>
      <c r="AM7">
        <v>291</v>
      </c>
      <c r="AN7">
        <v>291</v>
      </c>
      <c r="AO7">
        <v>291</v>
      </c>
      <c r="AP7">
        <v>291</v>
      </c>
      <c r="AQ7">
        <v>291</v>
      </c>
      <c r="AR7">
        <v>291</v>
      </c>
      <c r="AS7">
        <v>291</v>
      </c>
      <c r="AT7">
        <v>291</v>
      </c>
      <c r="AU7">
        <v>291</v>
      </c>
      <c r="AV7">
        <v>291</v>
      </c>
      <c r="AW7">
        <v>291</v>
      </c>
      <c r="AX7">
        <v>417</v>
      </c>
      <c r="AY7">
        <v>417</v>
      </c>
      <c r="AZ7">
        <v>417</v>
      </c>
      <c r="BA7">
        <v>417</v>
      </c>
      <c r="BB7">
        <v>417</v>
      </c>
      <c r="BC7">
        <v>417</v>
      </c>
      <c r="BD7">
        <v>417</v>
      </c>
      <c r="BE7">
        <v>417</v>
      </c>
      <c r="BF7">
        <v>417</v>
      </c>
      <c r="BG7">
        <v>417</v>
      </c>
      <c r="BH7">
        <v>417</v>
      </c>
      <c r="BI7">
        <v>417</v>
      </c>
      <c r="BJ7">
        <v>417</v>
      </c>
      <c r="BK7">
        <v>377</v>
      </c>
      <c r="BL7">
        <v>448</v>
      </c>
      <c r="BM7">
        <v>448</v>
      </c>
      <c r="BN7">
        <v>448</v>
      </c>
      <c r="BO7">
        <v>448</v>
      </c>
      <c r="BP7">
        <v>448</v>
      </c>
      <c r="BQ7">
        <v>448</v>
      </c>
      <c r="BR7">
        <v>448</v>
      </c>
      <c r="BS7">
        <v>448</v>
      </c>
      <c r="BT7">
        <v>448</v>
      </c>
      <c r="BU7">
        <v>512</v>
      </c>
      <c r="BV7">
        <v>512</v>
      </c>
      <c r="BW7">
        <v>512</v>
      </c>
      <c r="BX7">
        <v>512</v>
      </c>
      <c r="BY7">
        <v>512</v>
      </c>
      <c r="BZ7">
        <v>449</v>
      </c>
      <c r="CA7">
        <v>449</v>
      </c>
      <c r="CB7">
        <v>449</v>
      </c>
      <c r="CC7">
        <v>449</v>
      </c>
      <c r="CD7">
        <v>449</v>
      </c>
      <c r="CE7">
        <v>449</v>
      </c>
      <c r="CF7">
        <v>449</v>
      </c>
      <c r="CG7">
        <v>449</v>
      </c>
      <c r="CH7">
        <v>449</v>
      </c>
      <c r="CI7">
        <v>449</v>
      </c>
      <c r="CJ7">
        <v>449</v>
      </c>
      <c r="CK7">
        <v>449</v>
      </c>
      <c r="CL7">
        <v>449</v>
      </c>
      <c r="CM7">
        <v>385</v>
      </c>
      <c r="CN7">
        <v>385</v>
      </c>
      <c r="CO7">
        <v>385</v>
      </c>
      <c r="CP7">
        <v>385</v>
      </c>
      <c r="CQ7">
        <v>385</v>
      </c>
      <c r="CR7">
        <v>385</v>
      </c>
      <c r="CS7">
        <v>385</v>
      </c>
    </row>
    <row r="8" spans="1:97">
      <c r="A8" s="9">
        <v>46241</v>
      </c>
      <c r="B8">
        <v>355</v>
      </c>
      <c r="C8">
        <v>355</v>
      </c>
      <c r="D8">
        <v>355</v>
      </c>
      <c r="E8">
        <v>355</v>
      </c>
      <c r="F8">
        <v>355</v>
      </c>
      <c r="G8">
        <v>355</v>
      </c>
      <c r="H8">
        <v>355</v>
      </c>
      <c r="I8">
        <v>355</v>
      </c>
      <c r="J8">
        <v>355</v>
      </c>
      <c r="K8">
        <v>355</v>
      </c>
      <c r="L8">
        <v>418</v>
      </c>
      <c r="M8">
        <v>418</v>
      </c>
      <c r="N8">
        <v>418</v>
      </c>
      <c r="O8">
        <v>418</v>
      </c>
      <c r="P8">
        <v>418</v>
      </c>
      <c r="Q8">
        <v>418</v>
      </c>
      <c r="R8">
        <v>418</v>
      </c>
      <c r="S8">
        <v>418</v>
      </c>
      <c r="T8">
        <v>418</v>
      </c>
      <c r="U8">
        <v>418</v>
      </c>
      <c r="V8">
        <v>418</v>
      </c>
      <c r="W8">
        <v>418</v>
      </c>
      <c r="X8">
        <v>418</v>
      </c>
      <c r="Y8">
        <v>418</v>
      </c>
      <c r="Z8">
        <v>418</v>
      </c>
      <c r="AA8">
        <v>418</v>
      </c>
      <c r="AB8">
        <v>418</v>
      </c>
      <c r="AC8">
        <v>418</v>
      </c>
      <c r="AD8">
        <v>418</v>
      </c>
      <c r="AE8">
        <v>418</v>
      </c>
      <c r="AF8">
        <v>418</v>
      </c>
      <c r="AG8">
        <v>418</v>
      </c>
      <c r="AH8">
        <v>418</v>
      </c>
      <c r="AI8">
        <v>418</v>
      </c>
      <c r="AJ8">
        <v>418</v>
      </c>
      <c r="AK8">
        <v>418</v>
      </c>
      <c r="AL8">
        <v>418</v>
      </c>
      <c r="AM8">
        <v>418</v>
      </c>
      <c r="AN8">
        <v>418</v>
      </c>
      <c r="AO8">
        <v>418</v>
      </c>
      <c r="AP8">
        <v>418</v>
      </c>
      <c r="AQ8">
        <v>418</v>
      </c>
      <c r="AR8">
        <v>418</v>
      </c>
      <c r="AS8">
        <v>27</v>
      </c>
      <c r="AT8">
        <v>27</v>
      </c>
      <c r="AU8">
        <v>27</v>
      </c>
      <c r="AV8">
        <v>27</v>
      </c>
      <c r="AW8">
        <v>27</v>
      </c>
      <c r="AX8">
        <v>27</v>
      </c>
      <c r="AY8">
        <v>27</v>
      </c>
      <c r="AZ8">
        <v>27</v>
      </c>
      <c r="BA8">
        <v>27</v>
      </c>
      <c r="BB8">
        <v>27</v>
      </c>
      <c r="BC8">
        <v>27</v>
      </c>
      <c r="BD8">
        <v>27</v>
      </c>
      <c r="BE8">
        <v>27</v>
      </c>
      <c r="BF8">
        <v>27</v>
      </c>
      <c r="BG8">
        <v>27</v>
      </c>
      <c r="BH8">
        <v>27</v>
      </c>
      <c r="BI8">
        <v>355</v>
      </c>
      <c r="BJ8">
        <v>355</v>
      </c>
      <c r="BK8">
        <v>315</v>
      </c>
      <c r="BL8">
        <v>386</v>
      </c>
      <c r="BM8">
        <v>386</v>
      </c>
      <c r="BN8">
        <v>386</v>
      </c>
      <c r="BO8">
        <v>386</v>
      </c>
      <c r="BP8">
        <v>386</v>
      </c>
      <c r="BQ8">
        <v>386</v>
      </c>
      <c r="BR8">
        <v>386</v>
      </c>
      <c r="BS8">
        <v>386</v>
      </c>
      <c r="BT8">
        <v>386</v>
      </c>
      <c r="BU8">
        <v>450</v>
      </c>
      <c r="BV8">
        <v>513</v>
      </c>
      <c r="BW8">
        <v>513</v>
      </c>
      <c r="BX8">
        <v>513</v>
      </c>
      <c r="BY8">
        <v>513</v>
      </c>
      <c r="BZ8">
        <v>513</v>
      </c>
      <c r="CA8">
        <v>513</v>
      </c>
      <c r="CB8">
        <v>513</v>
      </c>
      <c r="CC8">
        <v>513</v>
      </c>
      <c r="CD8">
        <v>513</v>
      </c>
      <c r="CE8">
        <v>513</v>
      </c>
      <c r="CF8">
        <v>513</v>
      </c>
      <c r="CG8">
        <v>513</v>
      </c>
      <c r="CH8">
        <v>450</v>
      </c>
      <c r="CI8">
        <v>450</v>
      </c>
      <c r="CJ8">
        <v>450</v>
      </c>
      <c r="CK8">
        <v>450</v>
      </c>
      <c r="CL8">
        <v>450</v>
      </c>
      <c r="CM8">
        <v>386</v>
      </c>
      <c r="CN8">
        <v>386</v>
      </c>
      <c r="CO8">
        <v>386</v>
      </c>
      <c r="CP8">
        <v>386</v>
      </c>
      <c r="CQ8">
        <v>386</v>
      </c>
      <c r="CR8">
        <v>386</v>
      </c>
      <c r="CS8">
        <v>386</v>
      </c>
    </row>
    <row r="9" spans="1:97">
      <c r="A9" s="9">
        <v>46242</v>
      </c>
      <c r="B9">
        <v>26</v>
      </c>
      <c r="C9">
        <v>26</v>
      </c>
      <c r="D9">
        <v>26</v>
      </c>
      <c r="E9">
        <v>26</v>
      </c>
      <c r="F9">
        <v>26</v>
      </c>
      <c r="G9">
        <v>26</v>
      </c>
      <c r="H9">
        <v>26</v>
      </c>
      <c r="I9">
        <v>26</v>
      </c>
      <c r="J9">
        <v>26</v>
      </c>
      <c r="K9">
        <v>26</v>
      </c>
      <c r="L9">
        <v>26</v>
      </c>
      <c r="M9">
        <v>26</v>
      </c>
      <c r="N9">
        <v>26</v>
      </c>
      <c r="O9">
        <v>26</v>
      </c>
      <c r="P9">
        <v>26</v>
      </c>
      <c r="Q9">
        <v>26</v>
      </c>
      <c r="R9">
        <v>26</v>
      </c>
      <c r="S9">
        <v>26</v>
      </c>
      <c r="T9">
        <v>26</v>
      </c>
      <c r="U9">
        <v>26</v>
      </c>
      <c r="V9">
        <v>26</v>
      </c>
      <c r="W9">
        <v>26</v>
      </c>
      <c r="X9">
        <v>26</v>
      </c>
      <c r="Y9">
        <v>26</v>
      </c>
      <c r="Z9">
        <v>26</v>
      </c>
      <c r="AA9">
        <v>26</v>
      </c>
      <c r="AB9">
        <v>26</v>
      </c>
      <c r="AC9">
        <v>26</v>
      </c>
      <c r="AD9">
        <v>26</v>
      </c>
      <c r="AE9">
        <v>26</v>
      </c>
      <c r="AF9">
        <v>26</v>
      </c>
      <c r="AG9">
        <v>26</v>
      </c>
      <c r="AH9">
        <v>26</v>
      </c>
      <c r="AI9">
        <v>26</v>
      </c>
      <c r="AJ9">
        <v>26</v>
      </c>
      <c r="AK9">
        <v>26</v>
      </c>
      <c r="AL9">
        <v>26</v>
      </c>
      <c r="AM9">
        <v>26</v>
      </c>
      <c r="AN9">
        <v>26</v>
      </c>
      <c r="AO9">
        <v>26</v>
      </c>
      <c r="AP9">
        <v>26</v>
      </c>
      <c r="AQ9">
        <v>26</v>
      </c>
      <c r="AR9">
        <v>26</v>
      </c>
      <c r="AS9">
        <v>26</v>
      </c>
      <c r="AT9">
        <v>26</v>
      </c>
      <c r="AU9">
        <v>26</v>
      </c>
      <c r="AV9">
        <v>26</v>
      </c>
      <c r="AW9">
        <v>26</v>
      </c>
      <c r="AX9">
        <v>26</v>
      </c>
      <c r="AY9">
        <v>26</v>
      </c>
      <c r="AZ9">
        <v>26</v>
      </c>
      <c r="BA9">
        <v>26</v>
      </c>
      <c r="BB9">
        <v>26</v>
      </c>
      <c r="BC9">
        <v>26</v>
      </c>
      <c r="BD9">
        <v>26</v>
      </c>
      <c r="BE9">
        <v>26</v>
      </c>
      <c r="BF9">
        <v>26</v>
      </c>
      <c r="BG9">
        <v>26</v>
      </c>
      <c r="BH9">
        <v>26</v>
      </c>
      <c r="BI9">
        <v>26</v>
      </c>
      <c r="BJ9">
        <v>26</v>
      </c>
      <c r="BK9">
        <v>26</v>
      </c>
      <c r="BL9">
        <v>26</v>
      </c>
      <c r="BM9">
        <v>26</v>
      </c>
      <c r="BN9">
        <v>26</v>
      </c>
      <c r="BO9">
        <v>26</v>
      </c>
      <c r="BP9">
        <v>26</v>
      </c>
      <c r="BQ9">
        <v>26</v>
      </c>
      <c r="BR9">
        <v>26</v>
      </c>
      <c r="BS9">
        <v>26</v>
      </c>
      <c r="BT9">
        <v>26</v>
      </c>
      <c r="BU9">
        <v>26</v>
      </c>
      <c r="BV9">
        <v>26</v>
      </c>
      <c r="BW9">
        <v>488</v>
      </c>
      <c r="BX9">
        <v>488</v>
      </c>
      <c r="BY9">
        <v>488</v>
      </c>
      <c r="BZ9">
        <v>488</v>
      </c>
      <c r="CA9">
        <v>488</v>
      </c>
      <c r="CB9">
        <v>488</v>
      </c>
      <c r="CC9">
        <v>488</v>
      </c>
      <c r="CD9">
        <v>488</v>
      </c>
      <c r="CE9">
        <v>488</v>
      </c>
      <c r="CF9">
        <v>488</v>
      </c>
      <c r="CG9">
        <v>488</v>
      </c>
      <c r="CH9">
        <v>387</v>
      </c>
      <c r="CI9">
        <v>387</v>
      </c>
      <c r="CJ9">
        <v>387</v>
      </c>
      <c r="CK9">
        <v>387</v>
      </c>
      <c r="CL9">
        <v>387</v>
      </c>
      <c r="CM9">
        <v>387</v>
      </c>
      <c r="CN9">
        <v>387</v>
      </c>
      <c r="CO9">
        <v>387</v>
      </c>
      <c r="CP9">
        <v>387</v>
      </c>
      <c r="CQ9">
        <v>387</v>
      </c>
      <c r="CR9">
        <v>387</v>
      </c>
      <c r="CS9">
        <v>387</v>
      </c>
    </row>
    <row r="10" spans="1:97">
      <c r="A10" s="9">
        <v>46243</v>
      </c>
      <c r="B10">
        <v>273</v>
      </c>
      <c r="C10">
        <v>273</v>
      </c>
      <c r="D10">
        <v>273</v>
      </c>
      <c r="E10">
        <v>273</v>
      </c>
      <c r="F10">
        <v>273</v>
      </c>
      <c r="G10">
        <v>273</v>
      </c>
      <c r="H10">
        <v>273</v>
      </c>
      <c r="I10">
        <v>273</v>
      </c>
      <c r="J10">
        <v>273</v>
      </c>
      <c r="K10">
        <v>273</v>
      </c>
      <c r="L10">
        <v>273</v>
      </c>
      <c r="M10">
        <v>273</v>
      </c>
      <c r="N10">
        <v>273</v>
      </c>
      <c r="O10">
        <v>273</v>
      </c>
      <c r="P10">
        <v>273</v>
      </c>
      <c r="Q10">
        <v>273</v>
      </c>
      <c r="R10">
        <v>273</v>
      </c>
      <c r="S10">
        <v>273</v>
      </c>
      <c r="T10">
        <v>273</v>
      </c>
      <c r="U10">
        <v>273</v>
      </c>
      <c r="V10">
        <v>314</v>
      </c>
      <c r="W10">
        <v>314</v>
      </c>
      <c r="X10">
        <v>314</v>
      </c>
      <c r="Y10">
        <v>314</v>
      </c>
      <c r="Z10">
        <v>314</v>
      </c>
      <c r="AA10">
        <v>314</v>
      </c>
      <c r="AB10">
        <v>314</v>
      </c>
      <c r="AC10">
        <v>314</v>
      </c>
      <c r="AD10">
        <v>314</v>
      </c>
      <c r="AE10">
        <v>314</v>
      </c>
      <c r="AF10">
        <v>314</v>
      </c>
      <c r="AG10">
        <v>314</v>
      </c>
      <c r="AH10">
        <v>376</v>
      </c>
      <c r="AI10">
        <v>376</v>
      </c>
      <c r="AJ10">
        <v>376</v>
      </c>
      <c r="AK10">
        <v>376</v>
      </c>
      <c r="AL10">
        <v>415</v>
      </c>
      <c r="AM10">
        <v>415</v>
      </c>
      <c r="AN10">
        <v>415</v>
      </c>
      <c r="AO10">
        <v>415</v>
      </c>
      <c r="AP10">
        <v>415</v>
      </c>
      <c r="AQ10">
        <v>415</v>
      </c>
      <c r="AR10">
        <v>415</v>
      </c>
      <c r="AS10">
        <v>415</v>
      </c>
      <c r="AT10">
        <v>415</v>
      </c>
      <c r="AU10">
        <v>487</v>
      </c>
      <c r="AV10">
        <v>487</v>
      </c>
      <c r="AW10">
        <v>487</v>
      </c>
      <c r="AX10">
        <v>487</v>
      </c>
      <c r="AY10">
        <v>487</v>
      </c>
      <c r="AZ10">
        <v>487</v>
      </c>
      <c r="BA10">
        <v>487</v>
      </c>
      <c r="BB10">
        <v>487</v>
      </c>
      <c r="BC10">
        <v>487</v>
      </c>
      <c r="BD10">
        <v>487</v>
      </c>
      <c r="BE10">
        <v>487</v>
      </c>
      <c r="BF10">
        <v>487</v>
      </c>
      <c r="BG10">
        <v>487</v>
      </c>
      <c r="BH10">
        <v>487</v>
      </c>
      <c r="BI10">
        <v>487</v>
      </c>
      <c r="BJ10">
        <v>487</v>
      </c>
      <c r="BK10">
        <v>487</v>
      </c>
      <c r="BL10">
        <v>487</v>
      </c>
      <c r="BM10">
        <v>487</v>
      </c>
      <c r="BN10">
        <v>487</v>
      </c>
      <c r="BO10">
        <v>487</v>
      </c>
      <c r="BP10">
        <v>487</v>
      </c>
      <c r="BQ10">
        <v>487</v>
      </c>
      <c r="BR10">
        <v>487</v>
      </c>
      <c r="BS10">
        <v>487</v>
      </c>
      <c r="BT10">
        <v>487</v>
      </c>
      <c r="BU10">
        <v>487</v>
      </c>
      <c r="BV10">
        <v>425</v>
      </c>
      <c r="BW10">
        <v>425</v>
      </c>
      <c r="BX10">
        <v>425</v>
      </c>
      <c r="BY10">
        <v>425</v>
      </c>
      <c r="BZ10">
        <v>425</v>
      </c>
      <c r="CA10">
        <v>425</v>
      </c>
      <c r="CB10">
        <v>425</v>
      </c>
      <c r="CC10">
        <v>425</v>
      </c>
      <c r="CD10">
        <v>425</v>
      </c>
      <c r="CE10">
        <v>425</v>
      </c>
      <c r="CF10">
        <v>425</v>
      </c>
      <c r="CG10">
        <v>425</v>
      </c>
      <c r="CH10">
        <v>386</v>
      </c>
      <c r="CI10">
        <v>386</v>
      </c>
      <c r="CJ10">
        <v>386</v>
      </c>
      <c r="CK10">
        <v>386</v>
      </c>
      <c r="CL10">
        <v>386</v>
      </c>
      <c r="CM10">
        <v>386</v>
      </c>
      <c r="CN10">
        <v>386</v>
      </c>
      <c r="CO10">
        <v>386</v>
      </c>
      <c r="CP10">
        <v>386</v>
      </c>
      <c r="CQ10">
        <v>386</v>
      </c>
      <c r="CR10">
        <v>386</v>
      </c>
      <c r="CS10">
        <v>386</v>
      </c>
    </row>
    <row r="11" spans="1:97">
      <c r="A11" s="9">
        <v>46244</v>
      </c>
      <c r="B11">
        <v>376</v>
      </c>
      <c r="C11">
        <v>376</v>
      </c>
      <c r="D11">
        <v>376</v>
      </c>
      <c r="E11">
        <v>376</v>
      </c>
      <c r="F11">
        <v>376</v>
      </c>
      <c r="G11">
        <v>376</v>
      </c>
      <c r="H11">
        <v>376</v>
      </c>
      <c r="I11">
        <v>376</v>
      </c>
      <c r="J11">
        <v>313</v>
      </c>
      <c r="K11">
        <v>313</v>
      </c>
      <c r="L11">
        <v>313</v>
      </c>
      <c r="M11">
        <v>313</v>
      </c>
      <c r="N11">
        <v>313</v>
      </c>
      <c r="O11">
        <v>313</v>
      </c>
      <c r="P11">
        <v>313</v>
      </c>
      <c r="Q11">
        <v>313</v>
      </c>
      <c r="R11">
        <v>313</v>
      </c>
      <c r="S11">
        <v>313</v>
      </c>
      <c r="T11">
        <v>313</v>
      </c>
      <c r="U11">
        <v>313</v>
      </c>
      <c r="V11">
        <v>313</v>
      </c>
      <c r="W11">
        <v>313</v>
      </c>
      <c r="X11">
        <v>313</v>
      </c>
      <c r="Y11">
        <v>313</v>
      </c>
      <c r="Z11">
        <v>313</v>
      </c>
      <c r="AA11">
        <v>313</v>
      </c>
      <c r="AB11">
        <v>313</v>
      </c>
      <c r="AC11">
        <v>313</v>
      </c>
      <c r="AD11">
        <v>313</v>
      </c>
      <c r="AE11">
        <v>313</v>
      </c>
      <c r="AF11">
        <v>313</v>
      </c>
      <c r="AG11">
        <v>313</v>
      </c>
      <c r="AH11">
        <v>313</v>
      </c>
      <c r="AI11">
        <v>313</v>
      </c>
      <c r="AJ11">
        <v>313</v>
      </c>
      <c r="AK11">
        <v>376</v>
      </c>
      <c r="AL11">
        <v>415</v>
      </c>
      <c r="AM11">
        <v>415</v>
      </c>
      <c r="AN11">
        <v>415</v>
      </c>
      <c r="AO11">
        <v>415</v>
      </c>
      <c r="AP11">
        <v>415</v>
      </c>
      <c r="AQ11">
        <v>415</v>
      </c>
      <c r="AR11">
        <v>415</v>
      </c>
      <c r="AS11">
        <v>415</v>
      </c>
      <c r="AT11">
        <v>415</v>
      </c>
      <c r="AU11">
        <v>487</v>
      </c>
      <c r="AV11">
        <v>487</v>
      </c>
      <c r="AW11">
        <v>487</v>
      </c>
      <c r="AX11">
        <v>487</v>
      </c>
      <c r="AY11">
        <v>487</v>
      </c>
      <c r="AZ11">
        <v>487</v>
      </c>
      <c r="BA11">
        <v>487</v>
      </c>
      <c r="BB11">
        <v>487</v>
      </c>
      <c r="BC11">
        <v>487</v>
      </c>
      <c r="BD11">
        <v>487</v>
      </c>
      <c r="BE11">
        <v>487</v>
      </c>
      <c r="BF11">
        <v>487</v>
      </c>
      <c r="BG11">
        <v>487</v>
      </c>
      <c r="BH11">
        <v>487</v>
      </c>
      <c r="BI11">
        <v>487</v>
      </c>
      <c r="BJ11">
        <v>487</v>
      </c>
      <c r="BK11">
        <v>487</v>
      </c>
      <c r="BL11">
        <v>487</v>
      </c>
      <c r="BM11">
        <v>487</v>
      </c>
      <c r="BN11">
        <v>487</v>
      </c>
      <c r="BO11">
        <v>487</v>
      </c>
      <c r="BP11">
        <v>487</v>
      </c>
      <c r="BQ11">
        <v>487</v>
      </c>
      <c r="BR11">
        <v>487</v>
      </c>
      <c r="BS11">
        <v>487</v>
      </c>
      <c r="BT11">
        <v>487</v>
      </c>
      <c r="BU11">
        <v>487</v>
      </c>
      <c r="BV11">
        <v>487</v>
      </c>
      <c r="BW11">
        <v>487</v>
      </c>
      <c r="BX11">
        <v>487</v>
      </c>
      <c r="BY11">
        <v>487</v>
      </c>
      <c r="BZ11">
        <v>425</v>
      </c>
      <c r="CA11">
        <v>425</v>
      </c>
      <c r="CB11">
        <v>425</v>
      </c>
      <c r="CC11">
        <v>425</v>
      </c>
      <c r="CD11">
        <v>425</v>
      </c>
      <c r="CE11">
        <v>425</v>
      </c>
      <c r="CF11">
        <v>425</v>
      </c>
      <c r="CG11">
        <v>425</v>
      </c>
      <c r="CH11">
        <v>386</v>
      </c>
      <c r="CI11">
        <v>386</v>
      </c>
      <c r="CJ11">
        <v>386</v>
      </c>
      <c r="CK11">
        <v>386</v>
      </c>
      <c r="CL11">
        <v>386</v>
      </c>
      <c r="CM11">
        <v>386</v>
      </c>
      <c r="CN11">
        <v>386</v>
      </c>
      <c r="CO11">
        <v>386</v>
      </c>
      <c r="CP11">
        <v>386</v>
      </c>
      <c r="CQ11">
        <v>386</v>
      </c>
      <c r="CR11">
        <v>386</v>
      </c>
      <c r="CS11">
        <v>386</v>
      </c>
    </row>
    <row r="12" spans="1:97">
      <c r="A12" s="9">
        <v>46245</v>
      </c>
      <c r="B12">
        <v>377</v>
      </c>
      <c r="C12">
        <v>377</v>
      </c>
      <c r="D12">
        <v>377</v>
      </c>
      <c r="E12">
        <v>377</v>
      </c>
      <c r="F12">
        <v>336</v>
      </c>
      <c r="G12">
        <v>336</v>
      </c>
      <c r="H12">
        <v>336</v>
      </c>
      <c r="I12">
        <v>336</v>
      </c>
      <c r="J12">
        <v>336</v>
      </c>
      <c r="K12">
        <v>336</v>
      </c>
      <c r="L12">
        <v>336</v>
      </c>
      <c r="M12">
        <v>336</v>
      </c>
      <c r="N12">
        <v>314</v>
      </c>
      <c r="O12">
        <v>314</v>
      </c>
      <c r="P12">
        <v>314</v>
      </c>
      <c r="Q12">
        <v>314</v>
      </c>
      <c r="R12">
        <v>314</v>
      </c>
      <c r="S12">
        <v>314</v>
      </c>
      <c r="T12">
        <v>314</v>
      </c>
      <c r="U12">
        <v>314</v>
      </c>
      <c r="V12">
        <v>314</v>
      </c>
      <c r="W12">
        <v>314</v>
      </c>
      <c r="X12">
        <v>314</v>
      </c>
      <c r="Y12">
        <v>314</v>
      </c>
      <c r="Z12">
        <v>314</v>
      </c>
      <c r="AA12">
        <v>314</v>
      </c>
      <c r="AB12">
        <v>314</v>
      </c>
      <c r="AC12">
        <v>314</v>
      </c>
      <c r="AD12">
        <v>314</v>
      </c>
      <c r="AE12">
        <v>314</v>
      </c>
      <c r="AF12">
        <v>314</v>
      </c>
      <c r="AG12">
        <v>314</v>
      </c>
      <c r="AH12">
        <v>314</v>
      </c>
      <c r="AI12">
        <v>314</v>
      </c>
      <c r="AJ12">
        <v>314</v>
      </c>
      <c r="AK12">
        <v>314</v>
      </c>
      <c r="AL12">
        <v>416</v>
      </c>
      <c r="AM12">
        <v>416</v>
      </c>
      <c r="AN12">
        <v>416</v>
      </c>
      <c r="AO12">
        <v>416</v>
      </c>
      <c r="AP12">
        <v>416</v>
      </c>
      <c r="AQ12">
        <v>416</v>
      </c>
      <c r="AR12">
        <v>416</v>
      </c>
      <c r="AS12">
        <v>416</v>
      </c>
      <c r="AT12">
        <v>416</v>
      </c>
      <c r="AU12">
        <v>488</v>
      </c>
      <c r="AV12">
        <v>488</v>
      </c>
      <c r="AW12">
        <v>488</v>
      </c>
      <c r="AX12">
        <v>488</v>
      </c>
      <c r="AY12">
        <v>488</v>
      </c>
      <c r="AZ12">
        <v>488</v>
      </c>
      <c r="BA12">
        <v>488</v>
      </c>
      <c r="BB12">
        <v>488</v>
      </c>
      <c r="BC12">
        <v>488</v>
      </c>
      <c r="BD12">
        <v>488</v>
      </c>
      <c r="BE12">
        <v>488</v>
      </c>
      <c r="BF12">
        <v>488</v>
      </c>
      <c r="BG12">
        <v>488</v>
      </c>
      <c r="BH12">
        <v>488</v>
      </c>
      <c r="BI12">
        <v>488</v>
      </c>
      <c r="BJ12">
        <v>488</v>
      </c>
      <c r="BK12">
        <v>488</v>
      </c>
      <c r="BL12">
        <v>488</v>
      </c>
      <c r="BM12">
        <v>488</v>
      </c>
      <c r="BN12">
        <v>488</v>
      </c>
      <c r="BO12">
        <v>488</v>
      </c>
      <c r="BP12">
        <v>488</v>
      </c>
      <c r="BQ12">
        <v>488</v>
      </c>
      <c r="BR12">
        <v>488</v>
      </c>
      <c r="BS12">
        <v>488</v>
      </c>
      <c r="BT12">
        <v>488</v>
      </c>
      <c r="BU12">
        <v>488</v>
      </c>
      <c r="BV12">
        <v>425</v>
      </c>
      <c r="BW12">
        <v>425</v>
      </c>
      <c r="BX12">
        <v>425</v>
      </c>
      <c r="BY12">
        <v>425</v>
      </c>
      <c r="BZ12">
        <v>425</v>
      </c>
      <c r="CA12">
        <v>425</v>
      </c>
      <c r="CB12">
        <v>425</v>
      </c>
      <c r="CC12">
        <v>425</v>
      </c>
      <c r="CD12">
        <v>425</v>
      </c>
      <c r="CE12">
        <v>425</v>
      </c>
      <c r="CF12">
        <v>425</v>
      </c>
      <c r="CG12">
        <v>425</v>
      </c>
      <c r="CH12">
        <v>386</v>
      </c>
      <c r="CI12">
        <v>386</v>
      </c>
      <c r="CJ12">
        <v>386</v>
      </c>
      <c r="CK12">
        <v>386</v>
      </c>
      <c r="CL12">
        <v>386</v>
      </c>
      <c r="CM12">
        <v>386</v>
      </c>
      <c r="CN12">
        <v>386</v>
      </c>
      <c r="CO12">
        <v>386</v>
      </c>
      <c r="CP12">
        <v>386</v>
      </c>
      <c r="CQ12">
        <v>386</v>
      </c>
      <c r="CR12">
        <v>386</v>
      </c>
      <c r="CS12">
        <v>386</v>
      </c>
    </row>
    <row r="13" spans="1:97">
      <c r="A13" s="9">
        <v>46246</v>
      </c>
      <c r="B13">
        <v>380</v>
      </c>
      <c r="C13">
        <v>380</v>
      </c>
      <c r="D13">
        <v>380</v>
      </c>
      <c r="E13">
        <v>380</v>
      </c>
      <c r="F13">
        <v>380</v>
      </c>
      <c r="G13">
        <v>380</v>
      </c>
      <c r="H13">
        <v>380</v>
      </c>
      <c r="I13">
        <v>380</v>
      </c>
      <c r="J13">
        <v>380</v>
      </c>
      <c r="K13">
        <v>380</v>
      </c>
      <c r="L13">
        <v>380</v>
      </c>
      <c r="M13">
        <v>380</v>
      </c>
      <c r="N13">
        <v>380</v>
      </c>
      <c r="O13">
        <v>380</v>
      </c>
      <c r="P13">
        <v>380</v>
      </c>
      <c r="Q13">
        <v>380</v>
      </c>
      <c r="R13">
        <v>380</v>
      </c>
      <c r="S13">
        <v>380</v>
      </c>
      <c r="T13">
        <v>380</v>
      </c>
      <c r="U13">
        <v>380</v>
      </c>
      <c r="V13">
        <v>380</v>
      </c>
      <c r="W13">
        <v>380</v>
      </c>
      <c r="X13">
        <v>380</v>
      </c>
      <c r="Y13">
        <v>380</v>
      </c>
      <c r="Z13">
        <v>380</v>
      </c>
      <c r="AA13">
        <v>380</v>
      </c>
      <c r="AB13">
        <v>380</v>
      </c>
      <c r="AC13">
        <v>380</v>
      </c>
      <c r="AD13">
        <v>380</v>
      </c>
      <c r="AE13">
        <v>380</v>
      </c>
      <c r="AF13">
        <v>380</v>
      </c>
      <c r="AG13">
        <v>380</v>
      </c>
      <c r="AH13">
        <v>380</v>
      </c>
      <c r="AI13">
        <v>380</v>
      </c>
      <c r="AJ13">
        <v>380</v>
      </c>
      <c r="AK13">
        <v>421</v>
      </c>
      <c r="AL13">
        <v>482</v>
      </c>
      <c r="AM13">
        <v>482</v>
      </c>
      <c r="AN13">
        <v>482</v>
      </c>
      <c r="AO13">
        <v>482</v>
      </c>
      <c r="AP13">
        <v>482</v>
      </c>
      <c r="AQ13">
        <v>482</v>
      </c>
      <c r="AR13">
        <v>482</v>
      </c>
      <c r="AS13">
        <v>482</v>
      </c>
      <c r="AT13">
        <v>482</v>
      </c>
      <c r="AU13">
        <v>482</v>
      </c>
      <c r="AV13">
        <v>482</v>
      </c>
      <c r="AW13">
        <v>482</v>
      </c>
      <c r="AX13">
        <v>482</v>
      </c>
      <c r="AY13">
        <v>482</v>
      </c>
      <c r="AZ13">
        <v>482</v>
      </c>
      <c r="BA13">
        <v>482</v>
      </c>
      <c r="BB13">
        <v>482</v>
      </c>
      <c r="BC13">
        <v>374</v>
      </c>
      <c r="BD13">
        <v>374</v>
      </c>
      <c r="BE13">
        <v>374</v>
      </c>
      <c r="BF13">
        <v>374</v>
      </c>
      <c r="BG13">
        <v>374</v>
      </c>
      <c r="BH13">
        <v>374</v>
      </c>
      <c r="BI13">
        <v>374</v>
      </c>
      <c r="BJ13">
        <v>333</v>
      </c>
      <c r="BK13">
        <v>333</v>
      </c>
      <c r="BL13">
        <v>333</v>
      </c>
      <c r="BM13">
        <v>333</v>
      </c>
      <c r="BN13">
        <v>311</v>
      </c>
      <c r="BO13">
        <v>311</v>
      </c>
      <c r="BP13">
        <v>311</v>
      </c>
      <c r="BQ13">
        <v>311</v>
      </c>
      <c r="BR13">
        <v>311</v>
      </c>
      <c r="BS13">
        <v>311</v>
      </c>
      <c r="BT13">
        <v>311</v>
      </c>
      <c r="BU13">
        <v>311</v>
      </c>
      <c r="BV13">
        <v>311</v>
      </c>
      <c r="BW13">
        <v>311</v>
      </c>
      <c r="BX13">
        <v>311</v>
      </c>
      <c r="BY13">
        <v>311</v>
      </c>
      <c r="BZ13">
        <v>311</v>
      </c>
      <c r="CA13">
        <v>311</v>
      </c>
      <c r="CB13">
        <v>311</v>
      </c>
      <c r="CC13">
        <v>311</v>
      </c>
      <c r="CD13">
        <v>374</v>
      </c>
      <c r="CE13">
        <v>374</v>
      </c>
      <c r="CF13">
        <v>374</v>
      </c>
      <c r="CG13">
        <v>374</v>
      </c>
      <c r="CH13">
        <v>374</v>
      </c>
      <c r="CI13">
        <v>374</v>
      </c>
      <c r="CJ13">
        <v>374</v>
      </c>
      <c r="CK13">
        <v>374</v>
      </c>
      <c r="CL13">
        <v>311</v>
      </c>
      <c r="CM13">
        <v>311</v>
      </c>
      <c r="CN13">
        <v>311</v>
      </c>
      <c r="CO13">
        <v>311</v>
      </c>
      <c r="CP13">
        <v>311</v>
      </c>
      <c r="CQ13">
        <v>311</v>
      </c>
      <c r="CR13">
        <v>311</v>
      </c>
      <c r="CS13">
        <v>311</v>
      </c>
    </row>
    <row r="14" spans="1:97">
      <c r="A14" s="9">
        <v>46247</v>
      </c>
      <c r="B14">
        <v>441</v>
      </c>
      <c r="C14">
        <v>441</v>
      </c>
      <c r="D14">
        <v>441</v>
      </c>
      <c r="E14">
        <v>441</v>
      </c>
      <c r="F14">
        <v>482</v>
      </c>
      <c r="G14">
        <v>482</v>
      </c>
      <c r="H14">
        <v>482</v>
      </c>
      <c r="I14">
        <v>482</v>
      </c>
      <c r="J14">
        <v>482</v>
      </c>
      <c r="K14">
        <v>482</v>
      </c>
      <c r="L14">
        <v>482</v>
      </c>
      <c r="M14">
        <v>482</v>
      </c>
      <c r="N14">
        <v>482</v>
      </c>
      <c r="O14">
        <v>482</v>
      </c>
      <c r="P14">
        <v>482</v>
      </c>
      <c r="Q14">
        <v>482</v>
      </c>
      <c r="R14">
        <v>482</v>
      </c>
      <c r="S14">
        <v>482</v>
      </c>
      <c r="T14">
        <v>482</v>
      </c>
      <c r="U14">
        <v>482</v>
      </c>
      <c r="V14">
        <v>482</v>
      </c>
      <c r="W14">
        <v>482</v>
      </c>
      <c r="X14">
        <v>482</v>
      </c>
      <c r="Y14">
        <v>482</v>
      </c>
      <c r="Z14">
        <v>482</v>
      </c>
      <c r="AA14">
        <v>482</v>
      </c>
      <c r="AB14">
        <v>482</v>
      </c>
      <c r="AC14">
        <v>482</v>
      </c>
      <c r="AD14">
        <v>482</v>
      </c>
      <c r="AE14">
        <v>482</v>
      </c>
      <c r="AF14">
        <v>482</v>
      </c>
      <c r="AG14">
        <v>482</v>
      </c>
      <c r="AH14">
        <v>482</v>
      </c>
      <c r="AI14">
        <v>482</v>
      </c>
      <c r="AJ14">
        <v>482</v>
      </c>
      <c r="AK14">
        <v>482</v>
      </c>
      <c r="AL14">
        <v>482</v>
      </c>
      <c r="AM14">
        <v>482</v>
      </c>
      <c r="AN14">
        <v>482</v>
      </c>
      <c r="AO14">
        <v>482</v>
      </c>
      <c r="AP14">
        <v>482</v>
      </c>
      <c r="AQ14">
        <v>482</v>
      </c>
      <c r="AR14">
        <v>482</v>
      </c>
      <c r="AS14">
        <v>482</v>
      </c>
      <c r="AT14">
        <v>482</v>
      </c>
      <c r="AU14">
        <v>482</v>
      </c>
      <c r="AV14">
        <v>482</v>
      </c>
      <c r="AW14">
        <v>482</v>
      </c>
      <c r="AX14">
        <v>482</v>
      </c>
      <c r="AY14">
        <v>482</v>
      </c>
      <c r="AZ14">
        <v>482</v>
      </c>
      <c r="BA14">
        <v>482</v>
      </c>
      <c r="BB14">
        <v>482</v>
      </c>
      <c r="BC14">
        <v>413</v>
      </c>
      <c r="BD14">
        <v>413</v>
      </c>
      <c r="BE14">
        <v>413</v>
      </c>
      <c r="BF14">
        <v>413</v>
      </c>
      <c r="BG14">
        <v>374</v>
      </c>
      <c r="BH14">
        <v>374</v>
      </c>
      <c r="BI14">
        <v>374</v>
      </c>
      <c r="BJ14">
        <v>374</v>
      </c>
      <c r="BK14">
        <v>311</v>
      </c>
      <c r="BL14">
        <v>311</v>
      </c>
      <c r="BM14">
        <v>311</v>
      </c>
      <c r="BN14">
        <v>311</v>
      </c>
      <c r="BO14">
        <v>311</v>
      </c>
      <c r="BP14">
        <v>311</v>
      </c>
      <c r="BQ14">
        <v>311</v>
      </c>
      <c r="BR14">
        <v>311</v>
      </c>
      <c r="BS14">
        <v>311</v>
      </c>
      <c r="BT14">
        <v>311</v>
      </c>
      <c r="BU14">
        <v>311</v>
      </c>
      <c r="BV14">
        <v>311</v>
      </c>
      <c r="BW14">
        <v>311</v>
      </c>
      <c r="BX14">
        <v>311</v>
      </c>
      <c r="BY14">
        <v>311</v>
      </c>
      <c r="BZ14">
        <v>311</v>
      </c>
      <c r="CA14">
        <v>311</v>
      </c>
      <c r="CB14">
        <v>311</v>
      </c>
      <c r="CC14">
        <v>311</v>
      </c>
      <c r="CD14">
        <v>311</v>
      </c>
      <c r="CE14">
        <v>311</v>
      </c>
      <c r="CF14">
        <v>311</v>
      </c>
      <c r="CG14">
        <v>311</v>
      </c>
      <c r="CH14">
        <v>311</v>
      </c>
      <c r="CI14">
        <v>311</v>
      </c>
      <c r="CJ14">
        <v>311</v>
      </c>
      <c r="CK14">
        <v>311</v>
      </c>
      <c r="CL14">
        <v>311</v>
      </c>
      <c r="CM14">
        <v>311</v>
      </c>
      <c r="CN14">
        <v>311</v>
      </c>
      <c r="CO14">
        <v>311</v>
      </c>
      <c r="CP14">
        <v>311</v>
      </c>
      <c r="CQ14">
        <v>311</v>
      </c>
      <c r="CR14">
        <v>311</v>
      </c>
      <c r="CS14">
        <v>311</v>
      </c>
    </row>
    <row r="15" spans="1:97">
      <c r="A15" s="9">
        <v>46248</v>
      </c>
      <c r="B15">
        <v>418</v>
      </c>
      <c r="C15">
        <v>418</v>
      </c>
      <c r="D15">
        <v>418</v>
      </c>
      <c r="E15">
        <v>418</v>
      </c>
      <c r="F15">
        <v>418</v>
      </c>
      <c r="G15">
        <v>418</v>
      </c>
      <c r="H15">
        <v>418</v>
      </c>
      <c r="I15">
        <v>418</v>
      </c>
      <c r="J15">
        <v>418</v>
      </c>
      <c r="K15">
        <v>418</v>
      </c>
      <c r="L15">
        <v>418</v>
      </c>
      <c r="M15">
        <v>418</v>
      </c>
      <c r="N15">
        <v>479</v>
      </c>
      <c r="O15">
        <v>479</v>
      </c>
      <c r="P15">
        <v>479</v>
      </c>
      <c r="Q15">
        <v>479</v>
      </c>
      <c r="R15">
        <v>479</v>
      </c>
      <c r="S15">
        <v>479</v>
      </c>
      <c r="T15">
        <v>479</v>
      </c>
      <c r="U15">
        <v>479</v>
      </c>
      <c r="V15">
        <v>479</v>
      </c>
      <c r="W15">
        <v>479</v>
      </c>
      <c r="X15">
        <v>479</v>
      </c>
      <c r="Y15">
        <v>479</v>
      </c>
      <c r="Z15">
        <v>479</v>
      </c>
      <c r="AA15">
        <v>479</v>
      </c>
      <c r="AB15">
        <v>479</v>
      </c>
      <c r="AC15">
        <v>479</v>
      </c>
      <c r="AD15">
        <v>479</v>
      </c>
      <c r="AE15">
        <v>479</v>
      </c>
      <c r="AF15">
        <v>479</v>
      </c>
      <c r="AG15">
        <v>418</v>
      </c>
      <c r="AH15">
        <v>418</v>
      </c>
      <c r="AI15">
        <v>418</v>
      </c>
      <c r="AJ15">
        <v>418</v>
      </c>
      <c r="AK15">
        <v>418</v>
      </c>
      <c r="AL15">
        <v>418</v>
      </c>
      <c r="AM15">
        <v>418</v>
      </c>
      <c r="AN15">
        <v>418</v>
      </c>
      <c r="AO15">
        <v>26</v>
      </c>
      <c r="AP15">
        <v>26</v>
      </c>
      <c r="AQ15">
        <v>418</v>
      </c>
      <c r="AR15">
        <v>418</v>
      </c>
      <c r="AS15">
        <v>26</v>
      </c>
      <c r="AT15">
        <v>26</v>
      </c>
      <c r="AU15">
        <v>26</v>
      </c>
      <c r="AV15">
        <v>26</v>
      </c>
      <c r="AW15">
        <v>26</v>
      </c>
      <c r="AX15">
        <v>479</v>
      </c>
      <c r="AY15">
        <v>479</v>
      </c>
      <c r="AZ15">
        <v>479</v>
      </c>
      <c r="BA15">
        <v>479</v>
      </c>
      <c r="BB15">
        <v>479</v>
      </c>
      <c r="BC15">
        <v>410</v>
      </c>
      <c r="BD15">
        <v>410</v>
      </c>
      <c r="BE15">
        <v>410</v>
      </c>
      <c r="BF15">
        <v>410</v>
      </c>
      <c r="BG15">
        <v>371</v>
      </c>
      <c r="BH15">
        <v>371</v>
      </c>
      <c r="BI15">
        <v>371</v>
      </c>
      <c r="BJ15">
        <v>371</v>
      </c>
      <c r="BK15">
        <v>371</v>
      </c>
      <c r="BL15">
        <v>371</v>
      </c>
      <c r="BM15">
        <v>371</v>
      </c>
      <c r="BN15">
        <v>371</v>
      </c>
      <c r="BO15">
        <v>371</v>
      </c>
      <c r="BP15">
        <v>371</v>
      </c>
      <c r="BQ15">
        <v>371</v>
      </c>
      <c r="BR15">
        <v>352</v>
      </c>
      <c r="BS15">
        <v>352</v>
      </c>
      <c r="BT15">
        <v>352</v>
      </c>
      <c r="BU15">
        <v>352</v>
      </c>
      <c r="BV15">
        <v>310</v>
      </c>
      <c r="BW15">
        <v>310</v>
      </c>
      <c r="BX15">
        <v>310</v>
      </c>
      <c r="BY15">
        <v>310</v>
      </c>
      <c r="BZ15">
        <v>310</v>
      </c>
      <c r="CA15">
        <v>310</v>
      </c>
      <c r="CB15">
        <v>310</v>
      </c>
      <c r="CC15">
        <v>310</v>
      </c>
      <c r="CD15">
        <v>310</v>
      </c>
      <c r="CE15">
        <v>310</v>
      </c>
      <c r="CF15">
        <v>310</v>
      </c>
      <c r="CG15">
        <v>310</v>
      </c>
      <c r="CH15">
        <v>310</v>
      </c>
      <c r="CI15">
        <v>310</v>
      </c>
      <c r="CJ15">
        <v>310</v>
      </c>
      <c r="CK15">
        <v>310</v>
      </c>
      <c r="CL15">
        <v>310</v>
      </c>
      <c r="CM15">
        <v>310</v>
      </c>
      <c r="CN15">
        <v>310</v>
      </c>
      <c r="CO15">
        <v>310</v>
      </c>
      <c r="CP15">
        <v>310</v>
      </c>
      <c r="CQ15">
        <v>310</v>
      </c>
      <c r="CR15">
        <v>310</v>
      </c>
      <c r="CS15">
        <v>310</v>
      </c>
    </row>
    <row r="16" spans="1:97">
      <c r="A16" s="9">
        <v>46249</v>
      </c>
      <c r="B16">
        <v>369</v>
      </c>
      <c r="C16">
        <v>369</v>
      </c>
      <c r="D16">
        <v>369</v>
      </c>
      <c r="E16">
        <v>369</v>
      </c>
      <c r="F16">
        <v>369</v>
      </c>
      <c r="G16">
        <v>369</v>
      </c>
      <c r="H16">
        <v>369</v>
      </c>
      <c r="I16">
        <v>369</v>
      </c>
      <c r="J16">
        <v>369</v>
      </c>
      <c r="K16">
        <v>369</v>
      </c>
      <c r="L16">
        <v>369</v>
      </c>
      <c r="M16">
        <v>369</v>
      </c>
      <c r="N16">
        <v>369</v>
      </c>
      <c r="O16">
        <v>369</v>
      </c>
      <c r="P16">
        <v>369</v>
      </c>
      <c r="Q16">
        <v>369</v>
      </c>
      <c r="R16">
        <v>369</v>
      </c>
      <c r="S16">
        <v>369</v>
      </c>
      <c r="T16">
        <v>369</v>
      </c>
      <c r="U16">
        <v>369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  <c r="AK16">
        <v>410</v>
      </c>
      <c r="AL16">
        <v>347</v>
      </c>
      <c r="AM16">
        <v>347</v>
      </c>
      <c r="AN16">
        <v>347</v>
      </c>
      <c r="AO16">
        <v>347</v>
      </c>
      <c r="AP16">
        <v>347</v>
      </c>
      <c r="AQ16">
        <v>347</v>
      </c>
      <c r="AR16">
        <v>347</v>
      </c>
      <c r="AS16">
        <v>347</v>
      </c>
      <c r="AT16">
        <v>347</v>
      </c>
      <c r="AU16">
        <v>347</v>
      </c>
      <c r="AV16">
        <v>347</v>
      </c>
      <c r="AW16">
        <v>347</v>
      </c>
      <c r="AX16">
        <v>410</v>
      </c>
      <c r="AY16">
        <v>410</v>
      </c>
      <c r="AZ16">
        <v>410</v>
      </c>
      <c r="BA16">
        <v>410</v>
      </c>
      <c r="BB16">
        <v>410</v>
      </c>
      <c r="BC16">
        <v>410</v>
      </c>
      <c r="BD16">
        <v>410</v>
      </c>
      <c r="BE16">
        <v>410</v>
      </c>
      <c r="BF16">
        <v>410</v>
      </c>
      <c r="BG16">
        <v>410</v>
      </c>
      <c r="BH16">
        <v>410</v>
      </c>
      <c r="BI16">
        <v>477</v>
      </c>
      <c r="BJ16">
        <v>477</v>
      </c>
      <c r="BK16">
        <v>477</v>
      </c>
      <c r="BL16">
        <v>477</v>
      </c>
      <c r="BM16">
        <v>477</v>
      </c>
      <c r="BN16">
        <v>477</v>
      </c>
      <c r="BO16">
        <v>477</v>
      </c>
      <c r="BP16">
        <v>477</v>
      </c>
      <c r="BQ16">
        <v>477</v>
      </c>
      <c r="BR16">
        <v>477</v>
      </c>
      <c r="BS16">
        <v>477</v>
      </c>
      <c r="BT16">
        <v>477</v>
      </c>
      <c r="BU16">
        <v>477</v>
      </c>
      <c r="BV16">
        <v>477</v>
      </c>
      <c r="BW16">
        <v>477</v>
      </c>
      <c r="BX16">
        <v>477</v>
      </c>
      <c r="BY16">
        <v>477</v>
      </c>
      <c r="BZ16">
        <v>477</v>
      </c>
      <c r="CA16">
        <v>477</v>
      </c>
      <c r="CB16">
        <v>477</v>
      </c>
      <c r="CC16">
        <v>477</v>
      </c>
      <c r="CD16">
        <v>414</v>
      </c>
      <c r="CE16">
        <v>414</v>
      </c>
      <c r="CF16">
        <v>414</v>
      </c>
      <c r="CG16">
        <v>414</v>
      </c>
      <c r="CH16">
        <v>414</v>
      </c>
      <c r="CI16">
        <v>414</v>
      </c>
      <c r="CJ16">
        <v>414</v>
      </c>
      <c r="CK16">
        <v>414</v>
      </c>
      <c r="CL16">
        <v>414</v>
      </c>
      <c r="CM16">
        <v>414</v>
      </c>
      <c r="CN16">
        <v>414</v>
      </c>
      <c r="CO16">
        <v>347</v>
      </c>
      <c r="CP16">
        <v>347</v>
      </c>
      <c r="CQ16">
        <v>347</v>
      </c>
      <c r="CR16">
        <v>347</v>
      </c>
      <c r="CS16">
        <v>347</v>
      </c>
    </row>
    <row r="17" spans="1:97">
      <c r="A17" s="9">
        <v>46250</v>
      </c>
      <c r="B17">
        <v>429</v>
      </c>
      <c r="C17">
        <v>429</v>
      </c>
      <c r="D17">
        <v>429</v>
      </c>
      <c r="E17">
        <v>429</v>
      </c>
      <c r="F17">
        <v>470</v>
      </c>
      <c r="G17">
        <v>470</v>
      </c>
      <c r="H17">
        <v>470</v>
      </c>
      <c r="I17">
        <v>470</v>
      </c>
      <c r="J17">
        <v>470</v>
      </c>
      <c r="K17">
        <v>470</v>
      </c>
      <c r="L17">
        <v>470</v>
      </c>
      <c r="M17">
        <v>470</v>
      </c>
      <c r="N17">
        <v>470</v>
      </c>
      <c r="O17">
        <v>470</v>
      </c>
      <c r="P17">
        <v>470</v>
      </c>
      <c r="Q17">
        <v>470</v>
      </c>
      <c r="R17">
        <v>470</v>
      </c>
      <c r="S17">
        <v>470</v>
      </c>
      <c r="T17">
        <v>470</v>
      </c>
      <c r="U17">
        <v>470</v>
      </c>
      <c r="V17">
        <v>470</v>
      </c>
      <c r="W17">
        <v>470</v>
      </c>
      <c r="X17">
        <v>470</v>
      </c>
      <c r="Y17">
        <v>470</v>
      </c>
      <c r="Z17">
        <v>470</v>
      </c>
      <c r="AA17">
        <v>470</v>
      </c>
      <c r="AB17">
        <v>470</v>
      </c>
      <c r="AC17">
        <v>470</v>
      </c>
      <c r="AD17">
        <v>470</v>
      </c>
      <c r="AE17">
        <v>470</v>
      </c>
      <c r="AF17">
        <v>470</v>
      </c>
      <c r="AG17">
        <v>470</v>
      </c>
      <c r="AH17">
        <v>431</v>
      </c>
      <c r="AI17">
        <v>431</v>
      </c>
      <c r="AJ17">
        <v>431</v>
      </c>
      <c r="AK17">
        <v>431</v>
      </c>
      <c r="AL17">
        <v>369</v>
      </c>
      <c r="AM17">
        <v>369</v>
      </c>
      <c r="AN17">
        <v>369</v>
      </c>
      <c r="AO17">
        <v>369</v>
      </c>
      <c r="AP17">
        <v>369</v>
      </c>
      <c r="AQ17">
        <v>369</v>
      </c>
      <c r="AR17">
        <v>369</v>
      </c>
      <c r="AS17">
        <v>369</v>
      </c>
      <c r="AT17">
        <v>369</v>
      </c>
      <c r="AU17">
        <v>369</v>
      </c>
      <c r="AV17">
        <v>369</v>
      </c>
      <c r="AW17">
        <v>369</v>
      </c>
      <c r="AX17">
        <v>369</v>
      </c>
      <c r="AY17">
        <v>369</v>
      </c>
      <c r="AZ17">
        <v>369</v>
      </c>
      <c r="BA17">
        <v>369</v>
      </c>
      <c r="BB17">
        <v>369</v>
      </c>
      <c r="BC17">
        <v>369</v>
      </c>
      <c r="BD17">
        <v>369</v>
      </c>
      <c r="BE17">
        <v>369</v>
      </c>
      <c r="BF17">
        <v>369</v>
      </c>
      <c r="BG17">
        <v>369</v>
      </c>
      <c r="BH17">
        <v>369</v>
      </c>
      <c r="BI17">
        <v>369</v>
      </c>
      <c r="BJ17">
        <v>369</v>
      </c>
      <c r="BK17">
        <v>369</v>
      </c>
      <c r="BL17">
        <v>369</v>
      </c>
      <c r="BM17">
        <v>369</v>
      </c>
      <c r="BN17">
        <v>369</v>
      </c>
      <c r="BO17">
        <v>369</v>
      </c>
      <c r="BP17">
        <v>369</v>
      </c>
      <c r="BQ17">
        <v>369</v>
      </c>
      <c r="BR17">
        <v>369</v>
      </c>
      <c r="BS17">
        <v>369</v>
      </c>
      <c r="BT17">
        <v>369</v>
      </c>
      <c r="BU17">
        <v>369</v>
      </c>
      <c r="BV17">
        <v>431</v>
      </c>
      <c r="BW17">
        <v>431</v>
      </c>
      <c r="BX17">
        <v>371</v>
      </c>
      <c r="BY17">
        <v>371</v>
      </c>
      <c r="BZ17">
        <v>371</v>
      </c>
      <c r="CA17">
        <v>371</v>
      </c>
      <c r="CB17">
        <v>371</v>
      </c>
      <c r="CC17">
        <v>371</v>
      </c>
      <c r="CD17">
        <v>371</v>
      </c>
      <c r="CE17">
        <v>371</v>
      </c>
      <c r="CF17">
        <v>371</v>
      </c>
      <c r="CG17">
        <v>371</v>
      </c>
      <c r="CH17">
        <v>309</v>
      </c>
      <c r="CI17">
        <v>309</v>
      </c>
      <c r="CJ17">
        <v>309</v>
      </c>
      <c r="CK17">
        <v>309</v>
      </c>
      <c r="CL17">
        <v>309</v>
      </c>
      <c r="CM17">
        <v>309</v>
      </c>
      <c r="CN17">
        <v>309</v>
      </c>
      <c r="CO17">
        <v>309</v>
      </c>
      <c r="CP17">
        <v>309</v>
      </c>
      <c r="CQ17">
        <v>309</v>
      </c>
      <c r="CR17">
        <v>309</v>
      </c>
      <c r="CS17">
        <v>309</v>
      </c>
    </row>
    <row r="18" spans="1:97">
      <c r="A18" s="9">
        <v>46251</v>
      </c>
      <c r="B18">
        <v>429</v>
      </c>
      <c r="C18">
        <v>429</v>
      </c>
      <c r="D18">
        <v>429</v>
      </c>
      <c r="E18">
        <v>429</v>
      </c>
      <c r="F18">
        <v>429</v>
      </c>
      <c r="G18">
        <v>429</v>
      </c>
      <c r="H18">
        <v>429</v>
      </c>
      <c r="I18">
        <v>429</v>
      </c>
      <c r="J18">
        <v>470</v>
      </c>
      <c r="K18">
        <v>470</v>
      </c>
      <c r="L18">
        <v>470</v>
      </c>
      <c r="M18">
        <v>470</v>
      </c>
      <c r="N18">
        <v>470</v>
      </c>
      <c r="O18">
        <v>470</v>
      </c>
      <c r="P18">
        <v>470</v>
      </c>
      <c r="Q18">
        <v>470</v>
      </c>
      <c r="R18">
        <v>470</v>
      </c>
      <c r="S18">
        <v>470</v>
      </c>
      <c r="T18">
        <v>470</v>
      </c>
      <c r="U18">
        <v>470</v>
      </c>
      <c r="V18">
        <v>470</v>
      </c>
      <c r="W18">
        <v>470</v>
      </c>
      <c r="X18">
        <v>470</v>
      </c>
      <c r="Y18">
        <v>470</v>
      </c>
      <c r="Z18">
        <v>470</v>
      </c>
      <c r="AA18">
        <v>470</v>
      </c>
      <c r="AB18">
        <v>470</v>
      </c>
      <c r="AC18">
        <v>470</v>
      </c>
      <c r="AD18">
        <v>470</v>
      </c>
      <c r="AE18">
        <v>470</v>
      </c>
      <c r="AF18">
        <v>470</v>
      </c>
      <c r="AG18">
        <v>470</v>
      </c>
      <c r="AH18">
        <v>431</v>
      </c>
      <c r="AI18">
        <v>431</v>
      </c>
      <c r="AJ18">
        <v>431</v>
      </c>
      <c r="AK18">
        <v>431</v>
      </c>
      <c r="AL18">
        <v>431</v>
      </c>
      <c r="AM18">
        <v>431</v>
      </c>
      <c r="AN18">
        <v>431</v>
      </c>
      <c r="AO18">
        <v>431</v>
      </c>
      <c r="AP18">
        <v>431</v>
      </c>
      <c r="AQ18">
        <v>431</v>
      </c>
      <c r="AR18">
        <v>431</v>
      </c>
      <c r="AS18">
        <v>431</v>
      </c>
      <c r="AT18">
        <v>369</v>
      </c>
      <c r="AU18">
        <v>369</v>
      </c>
      <c r="AV18">
        <v>369</v>
      </c>
      <c r="AW18">
        <v>369</v>
      </c>
      <c r="AX18">
        <v>369</v>
      </c>
      <c r="AY18">
        <v>369</v>
      </c>
      <c r="AZ18">
        <v>369</v>
      </c>
      <c r="BA18">
        <v>369</v>
      </c>
      <c r="BB18">
        <v>366</v>
      </c>
      <c r="BC18">
        <v>366</v>
      </c>
      <c r="BD18">
        <v>366</v>
      </c>
      <c r="BE18">
        <v>366</v>
      </c>
      <c r="BF18">
        <v>366</v>
      </c>
      <c r="BG18">
        <v>366</v>
      </c>
      <c r="BH18">
        <v>366</v>
      </c>
      <c r="BI18">
        <v>369</v>
      </c>
      <c r="BJ18">
        <v>369</v>
      </c>
      <c r="BK18">
        <v>369</v>
      </c>
      <c r="BL18">
        <v>369</v>
      </c>
      <c r="BM18">
        <v>369</v>
      </c>
      <c r="BN18">
        <v>369</v>
      </c>
      <c r="BO18">
        <v>369</v>
      </c>
      <c r="BP18">
        <v>369</v>
      </c>
      <c r="BQ18">
        <v>369</v>
      </c>
      <c r="BR18">
        <v>369</v>
      </c>
      <c r="BS18">
        <v>369</v>
      </c>
      <c r="BT18">
        <v>369</v>
      </c>
      <c r="BU18">
        <v>369</v>
      </c>
      <c r="BV18">
        <v>431</v>
      </c>
      <c r="BW18">
        <v>431</v>
      </c>
      <c r="BX18">
        <v>371</v>
      </c>
      <c r="BY18">
        <v>371</v>
      </c>
      <c r="BZ18">
        <v>371</v>
      </c>
      <c r="CA18">
        <v>371</v>
      </c>
      <c r="CB18">
        <v>371</v>
      </c>
      <c r="CC18">
        <v>371</v>
      </c>
      <c r="CD18">
        <v>371</v>
      </c>
      <c r="CE18">
        <v>371</v>
      </c>
      <c r="CF18">
        <v>371</v>
      </c>
      <c r="CG18">
        <v>371</v>
      </c>
      <c r="CH18">
        <v>309</v>
      </c>
      <c r="CI18">
        <v>309</v>
      </c>
      <c r="CJ18">
        <v>309</v>
      </c>
      <c r="CK18">
        <v>309</v>
      </c>
      <c r="CL18">
        <v>309</v>
      </c>
      <c r="CM18">
        <v>309</v>
      </c>
      <c r="CN18">
        <v>309</v>
      </c>
      <c r="CO18">
        <v>309</v>
      </c>
      <c r="CP18">
        <v>309</v>
      </c>
      <c r="CQ18">
        <v>309</v>
      </c>
      <c r="CR18">
        <v>309</v>
      </c>
      <c r="CS18">
        <v>309</v>
      </c>
    </row>
    <row r="19" spans="1:97">
      <c r="A19" s="9">
        <v>46252</v>
      </c>
      <c r="B19">
        <v>471</v>
      </c>
      <c r="C19">
        <v>471</v>
      </c>
      <c r="D19">
        <v>471</v>
      </c>
      <c r="E19">
        <v>471</v>
      </c>
      <c r="F19">
        <v>471</v>
      </c>
      <c r="G19">
        <v>471</v>
      </c>
      <c r="H19">
        <v>471</v>
      </c>
      <c r="I19">
        <v>471</v>
      </c>
      <c r="J19">
        <v>471</v>
      </c>
      <c r="K19">
        <v>471</v>
      </c>
      <c r="L19">
        <v>471</v>
      </c>
      <c r="M19">
        <v>471</v>
      </c>
      <c r="N19">
        <v>471</v>
      </c>
      <c r="O19">
        <v>471</v>
      </c>
      <c r="P19">
        <v>471</v>
      </c>
      <c r="Q19">
        <v>471</v>
      </c>
      <c r="R19">
        <v>471</v>
      </c>
      <c r="S19">
        <v>471</v>
      </c>
      <c r="T19">
        <v>471</v>
      </c>
      <c r="U19">
        <v>471</v>
      </c>
      <c r="V19">
        <v>471</v>
      </c>
      <c r="W19">
        <v>471</v>
      </c>
      <c r="X19">
        <v>471</v>
      </c>
      <c r="Y19">
        <v>471</v>
      </c>
      <c r="Z19">
        <v>409</v>
      </c>
      <c r="AA19">
        <v>409</v>
      </c>
      <c r="AB19">
        <v>409</v>
      </c>
      <c r="AC19">
        <v>409</v>
      </c>
      <c r="AD19">
        <v>409</v>
      </c>
      <c r="AE19">
        <v>409</v>
      </c>
      <c r="AF19">
        <v>409</v>
      </c>
      <c r="AG19">
        <v>409</v>
      </c>
      <c r="AH19">
        <v>471</v>
      </c>
      <c r="AI19">
        <v>471</v>
      </c>
      <c r="AJ19">
        <v>471</v>
      </c>
      <c r="AK19">
        <v>471</v>
      </c>
      <c r="AL19">
        <v>471</v>
      </c>
      <c r="AM19">
        <v>471</v>
      </c>
      <c r="AN19">
        <v>471</v>
      </c>
      <c r="AO19">
        <v>471</v>
      </c>
      <c r="AP19">
        <v>471</v>
      </c>
      <c r="AQ19">
        <v>471</v>
      </c>
      <c r="AR19">
        <v>471</v>
      </c>
      <c r="AS19">
        <v>471</v>
      </c>
      <c r="AT19">
        <v>471</v>
      </c>
      <c r="AU19">
        <v>471</v>
      </c>
      <c r="AV19">
        <v>471</v>
      </c>
      <c r="AW19">
        <v>471</v>
      </c>
      <c r="AX19">
        <v>471</v>
      </c>
      <c r="AY19">
        <v>432</v>
      </c>
      <c r="AZ19">
        <v>432</v>
      </c>
      <c r="BA19">
        <v>432</v>
      </c>
      <c r="BB19">
        <v>432</v>
      </c>
      <c r="BC19">
        <v>432</v>
      </c>
      <c r="BD19">
        <v>370</v>
      </c>
      <c r="BE19">
        <v>370</v>
      </c>
      <c r="BF19">
        <v>309</v>
      </c>
      <c r="BG19">
        <v>309</v>
      </c>
      <c r="BH19">
        <v>309</v>
      </c>
      <c r="BI19">
        <v>309</v>
      </c>
      <c r="BJ19">
        <v>309</v>
      </c>
      <c r="BK19">
        <v>309</v>
      </c>
      <c r="BL19">
        <v>309</v>
      </c>
      <c r="BM19">
        <v>309</v>
      </c>
      <c r="BN19">
        <v>309</v>
      </c>
      <c r="BO19">
        <v>309</v>
      </c>
      <c r="BP19">
        <v>309</v>
      </c>
      <c r="BQ19">
        <v>309</v>
      </c>
      <c r="BR19">
        <v>309</v>
      </c>
      <c r="BS19">
        <v>309</v>
      </c>
      <c r="BT19">
        <v>309</v>
      </c>
      <c r="BU19">
        <v>309</v>
      </c>
      <c r="BV19">
        <v>371</v>
      </c>
      <c r="BW19">
        <v>371</v>
      </c>
      <c r="BX19">
        <v>371</v>
      </c>
      <c r="BY19">
        <v>371</v>
      </c>
      <c r="BZ19">
        <v>371</v>
      </c>
      <c r="CA19">
        <v>371</v>
      </c>
      <c r="CB19">
        <v>371</v>
      </c>
      <c r="CC19">
        <v>371</v>
      </c>
      <c r="CD19">
        <v>371</v>
      </c>
      <c r="CE19">
        <v>371</v>
      </c>
      <c r="CF19">
        <v>371</v>
      </c>
      <c r="CG19">
        <v>371</v>
      </c>
      <c r="CH19">
        <v>309</v>
      </c>
      <c r="CI19">
        <v>309</v>
      </c>
      <c r="CJ19">
        <v>309</v>
      </c>
      <c r="CK19">
        <v>309</v>
      </c>
      <c r="CL19">
        <v>309</v>
      </c>
      <c r="CM19">
        <v>309</v>
      </c>
      <c r="CN19">
        <v>309</v>
      </c>
      <c r="CO19">
        <v>309</v>
      </c>
      <c r="CP19">
        <v>309</v>
      </c>
      <c r="CQ19">
        <v>309</v>
      </c>
      <c r="CR19">
        <v>309</v>
      </c>
      <c r="CS19">
        <v>309</v>
      </c>
    </row>
    <row r="20" spans="1:97">
      <c r="A20" s="9">
        <v>46253</v>
      </c>
      <c r="B20">
        <v>167</v>
      </c>
      <c r="C20">
        <v>167</v>
      </c>
      <c r="D20">
        <v>167</v>
      </c>
      <c r="E20">
        <v>167</v>
      </c>
      <c r="F20">
        <v>167</v>
      </c>
      <c r="G20">
        <v>167</v>
      </c>
      <c r="H20">
        <v>167</v>
      </c>
      <c r="I20">
        <v>167</v>
      </c>
      <c r="J20">
        <v>167</v>
      </c>
      <c r="K20">
        <v>167</v>
      </c>
      <c r="L20">
        <v>167</v>
      </c>
      <c r="M20">
        <v>167</v>
      </c>
      <c r="N20">
        <v>167</v>
      </c>
      <c r="O20">
        <v>167</v>
      </c>
      <c r="P20">
        <v>167</v>
      </c>
      <c r="Q20">
        <v>167</v>
      </c>
      <c r="R20">
        <v>167</v>
      </c>
      <c r="S20">
        <v>167</v>
      </c>
      <c r="T20">
        <v>167</v>
      </c>
      <c r="U20">
        <v>167</v>
      </c>
      <c r="V20">
        <v>167</v>
      </c>
      <c r="W20">
        <v>167</v>
      </c>
      <c r="X20">
        <v>167</v>
      </c>
      <c r="Y20">
        <v>167</v>
      </c>
      <c r="Z20">
        <v>104</v>
      </c>
      <c r="AA20">
        <v>104</v>
      </c>
      <c r="AB20">
        <v>104</v>
      </c>
      <c r="AC20">
        <v>104</v>
      </c>
      <c r="AD20">
        <v>104</v>
      </c>
      <c r="AE20">
        <v>104</v>
      </c>
      <c r="AF20">
        <v>104</v>
      </c>
      <c r="AG20">
        <v>104</v>
      </c>
      <c r="AH20">
        <v>68</v>
      </c>
      <c r="AI20">
        <v>29</v>
      </c>
      <c r="AJ20">
        <v>29</v>
      </c>
      <c r="AK20">
        <v>29</v>
      </c>
      <c r="AL20">
        <v>29</v>
      </c>
      <c r="AM20">
        <v>29</v>
      </c>
      <c r="AN20">
        <v>29</v>
      </c>
      <c r="AO20">
        <v>29</v>
      </c>
      <c r="AP20">
        <v>29</v>
      </c>
      <c r="AQ20">
        <v>29</v>
      </c>
      <c r="AR20">
        <v>29</v>
      </c>
      <c r="AS20">
        <v>29</v>
      </c>
      <c r="AT20">
        <v>29</v>
      </c>
      <c r="AU20">
        <v>29</v>
      </c>
      <c r="AV20">
        <v>29</v>
      </c>
      <c r="AW20">
        <v>29</v>
      </c>
      <c r="AX20">
        <v>29</v>
      </c>
      <c r="AY20">
        <v>29</v>
      </c>
      <c r="AZ20">
        <v>29</v>
      </c>
      <c r="BA20">
        <v>29</v>
      </c>
      <c r="BB20">
        <v>51</v>
      </c>
      <c r="BC20">
        <v>51</v>
      </c>
      <c r="BD20">
        <v>51</v>
      </c>
      <c r="BE20">
        <v>51</v>
      </c>
      <c r="BF20">
        <v>51</v>
      </c>
      <c r="BG20">
        <v>51</v>
      </c>
      <c r="BH20">
        <v>51</v>
      </c>
      <c r="BI20">
        <v>29</v>
      </c>
      <c r="BJ20">
        <v>29</v>
      </c>
      <c r="BK20">
        <v>29</v>
      </c>
      <c r="BL20">
        <v>29</v>
      </c>
      <c r="BM20">
        <v>29</v>
      </c>
      <c r="BN20">
        <v>29</v>
      </c>
      <c r="BO20">
        <v>29</v>
      </c>
      <c r="BP20">
        <v>95</v>
      </c>
      <c r="BQ20">
        <v>95</v>
      </c>
      <c r="BR20">
        <v>95</v>
      </c>
      <c r="BS20">
        <v>95</v>
      </c>
      <c r="BT20">
        <v>95</v>
      </c>
      <c r="BU20">
        <v>95</v>
      </c>
      <c r="BV20">
        <v>95</v>
      </c>
      <c r="BW20">
        <v>95</v>
      </c>
      <c r="BX20">
        <v>95</v>
      </c>
      <c r="BY20">
        <v>95</v>
      </c>
      <c r="BZ20">
        <v>95</v>
      </c>
      <c r="CA20">
        <v>95</v>
      </c>
      <c r="CB20">
        <v>95</v>
      </c>
      <c r="CC20">
        <v>95</v>
      </c>
      <c r="CD20">
        <v>95</v>
      </c>
      <c r="CE20">
        <v>29</v>
      </c>
      <c r="CF20">
        <v>29</v>
      </c>
      <c r="CG20">
        <v>29</v>
      </c>
      <c r="CH20">
        <v>29</v>
      </c>
      <c r="CI20">
        <v>29</v>
      </c>
      <c r="CJ20">
        <v>29</v>
      </c>
      <c r="CK20">
        <v>29</v>
      </c>
      <c r="CL20">
        <v>65</v>
      </c>
      <c r="CM20">
        <v>65</v>
      </c>
      <c r="CN20">
        <v>65</v>
      </c>
      <c r="CO20">
        <v>65</v>
      </c>
      <c r="CP20">
        <v>65</v>
      </c>
      <c r="CQ20">
        <v>65</v>
      </c>
      <c r="CR20">
        <v>65</v>
      </c>
      <c r="CS20">
        <v>65</v>
      </c>
    </row>
    <row r="21" spans="1:97">
      <c r="A21" s="9">
        <v>46254</v>
      </c>
      <c r="B21">
        <v>168</v>
      </c>
      <c r="C21">
        <v>168</v>
      </c>
      <c r="D21">
        <v>168</v>
      </c>
      <c r="E21">
        <v>168</v>
      </c>
      <c r="F21">
        <v>168</v>
      </c>
      <c r="G21">
        <v>168</v>
      </c>
      <c r="H21">
        <v>168</v>
      </c>
      <c r="I21">
        <v>168</v>
      </c>
      <c r="J21">
        <v>168</v>
      </c>
      <c r="K21">
        <v>168</v>
      </c>
      <c r="L21">
        <v>168</v>
      </c>
      <c r="M21">
        <v>168</v>
      </c>
      <c r="N21">
        <v>168</v>
      </c>
      <c r="O21">
        <v>168</v>
      </c>
      <c r="P21">
        <v>168</v>
      </c>
      <c r="Q21">
        <v>168</v>
      </c>
      <c r="R21">
        <v>168</v>
      </c>
      <c r="S21">
        <v>168</v>
      </c>
      <c r="T21">
        <v>168</v>
      </c>
      <c r="U21">
        <v>168</v>
      </c>
      <c r="V21">
        <v>168</v>
      </c>
      <c r="W21">
        <v>168</v>
      </c>
      <c r="X21">
        <v>168</v>
      </c>
      <c r="Y21">
        <v>168</v>
      </c>
      <c r="Z21">
        <v>168</v>
      </c>
      <c r="AA21">
        <v>168</v>
      </c>
      <c r="AB21">
        <v>104</v>
      </c>
      <c r="AC21">
        <v>104</v>
      </c>
      <c r="AD21">
        <v>104</v>
      </c>
      <c r="AE21">
        <v>104</v>
      </c>
      <c r="AF21">
        <v>104</v>
      </c>
      <c r="AG21">
        <v>104</v>
      </c>
      <c r="AH21">
        <v>68</v>
      </c>
      <c r="AI21">
        <v>29</v>
      </c>
      <c r="AJ21">
        <v>29</v>
      </c>
      <c r="AK21">
        <v>29</v>
      </c>
      <c r="AL21">
        <v>29</v>
      </c>
      <c r="AM21">
        <v>29</v>
      </c>
      <c r="AN21">
        <v>29</v>
      </c>
      <c r="AO21">
        <v>29</v>
      </c>
      <c r="AP21">
        <v>29</v>
      </c>
      <c r="AQ21">
        <v>29</v>
      </c>
      <c r="AR21">
        <v>29</v>
      </c>
      <c r="AS21">
        <v>29</v>
      </c>
      <c r="AT21">
        <v>29</v>
      </c>
      <c r="AU21">
        <v>29</v>
      </c>
      <c r="AV21">
        <v>29</v>
      </c>
      <c r="AW21">
        <v>29</v>
      </c>
      <c r="AX21">
        <v>29</v>
      </c>
      <c r="AY21">
        <v>29</v>
      </c>
      <c r="AZ21">
        <v>29</v>
      </c>
      <c r="BA21">
        <v>29</v>
      </c>
      <c r="BB21">
        <v>29</v>
      </c>
      <c r="BC21">
        <v>29</v>
      </c>
      <c r="BD21">
        <v>29</v>
      </c>
      <c r="BE21">
        <v>29</v>
      </c>
      <c r="BF21">
        <v>29</v>
      </c>
      <c r="BG21">
        <v>51</v>
      </c>
      <c r="BH21">
        <v>51</v>
      </c>
      <c r="BI21">
        <v>51</v>
      </c>
      <c r="BJ21">
        <v>51</v>
      </c>
      <c r="BK21">
        <v>51</v>
      </c>
      <c r="BL21">
        <v>51</v>
      </c>
      <c r="BM21">
        <v>51</v>
      </c>
      <c r="BN21">
        <v>29</v>
      </c>
      <c r="BO21">
        <v>29</v>
      </c>
      <c r="BP21">
        <v>95</v>
      </c>
      <c r="BQ21">
        <v>95</v>
      </c>
      <c r="BR21">
        <v>95</v>
      </c>
      <c r="BS21">
        <v>95</v>
      </c>
      <c r="BT21">
        <v>95</v>
      </c>
      <c r="BU21">
        <v>95</v>
      </c>
      <c r="BV21">
        <v>95</v>
      </c>
      <c r="BW21">
        <v>95</v>
      </c>
      <c r="BX21">
        <v>95</v>
      </c>
      <c r="BY21">
        <v>95</v>
      </c>
      <c r="BZ21">
        <v>95</v>
      </c>
      <c r="CA21">
        <v>95</v>
      </c>
      <c r="CB21">
        <v>95</v>
      </c>
      <c r="CC21">
        <v>95</v>
      </c>
      <c r="CD21">
        <v>95</v>
      </c>
      <c r="CE21">
        <v>29</v>
      </c>
      <c r="CF21">
        <v>29</v>
      </c>
      <c r="CG21">
        <v>29</v>
      </c>
      <c r="CH21">
        <v>29</v>
      </c>
      <c r="CI21">
        <v>29</v>
      </c>
      <c r="CJ21">
        <v>29</v>
      </c>
      <c r="CK21">
        <v>29</v>
      </c>
      <c r="CL21">
        <v>65</v>
      </c>
      <c r="CM21">
        <v>65</v>
      </c>
      <c r="CN21">
        <v>65</v>
      </c>
      <c r="CO21">
        <v>65</v>
      </c>
      <c r="CP21">
        <v>65</v>
      </c>
      <c r="CQ21">
        <v>65</v>
      </c>
      <c r="CR21">
        <v>65</v>
      </c>
      <c r="CS21">
        <v>65</v>
      </c>
    </row>
    <row r="22" spans="1:97">
      <c r="A22" s="9">
        <v>46255</v>
      </c>
      <c r="B22">
        <v>335</v>
      </c>
      <c r="C22">
        <v>335</v>
      </c>
      <c r="D22">
        <v>335</v>
      </c>
      <c r="E22">
        <v>335</v>
      </c>
      <c r="F22">
        <v>335</v>
      </c>
      <c r="G22">
        <v>335</v>
      </c>
      <c r="H22">
        <v>335</v>
      </c>
      <c r="I22">
        <v>335</v>
      </c>
      <c r="J22">
        <v>335</v>
      </c>
      <c r="K22">
        <v>335</v>
      </c>
      <c r="L22">
        <v>335</v>
      </c>
      <c r="M22">
        <v>335</v>
      </c>
      <c r="N22">
        <v>273</v>
      </c>
      <c r="O22">
        <v>273</v>
      </c>
      <c r="P22">
        <v>273</v>
      </c>
      <c r="Q22">
        <v>273</v>
      </c>
      <c r="R22">
        <v>273</v>
      </c>
      <c r="S22">
        <v>273</v>
      </c>
      <c r="T22">
        <v>273</v>
      </c>
      <c r="U22">
        <v>273</v>
      </c>
      <c r="V22">
        <v>273</v>
      </c>
      <c r="W22">
        <v>273</v>
      </c>
      <c r="X22">
        <v>273</v>
      </c>
      <c r="Y22">
        <v>273</v>
      </c>
      <c r="Z22">
        <v>273</v>
      </c>
      <c r="AA22">
        <v>234</v>
      </c>
      <c r="AB22">
        <v>234</v>
      </c>
      <c r="AC22">
        <v>234</v>
      </c>
      <c r="AD22">
        <v>234</v>
      </c>
      <c r="AE22">
        <v>234</v>
      </c>
      <c r="AF22">
        <v>234</v>
      </c>
      <c r="AG22">
        <v>234</v>
      </c>
      <c r="AH22">
        <v>234</v>
      </c>
      <c r="AI22">
        <v>168</v>
      </c>
      <c r="AJ22">
        <v>168</v>
      </c>
      <c r="AK22">
        <v>168</v>
      </c>
      <c r="AL22">
        <v>168</v>
      </c>
      <c r="AM22">
        <v>168</v>
      </c>
      <c r="AN22">
        <v>168</v>
      </c>
      <c r="AO22">
        <v>168</v>
      </c>
      <c r="AP22">
        <v>168</v>
      </c>
      <c r="AQ22">
        <v>168</v>
      </c>
      <c r="AR22">
        <v>168</v>
      </c>
      <c r="AS22">
        <v>168</v>
      </c>
      <c r="AT22">
        <v>168</v>
      </c>
      <c r="AU22">
        <v>168</v>
      </c>
      <c r="AV22">
        <v>168</v>
      </c>
      <c r="AW22">
        <v>168</v>
      </c>
      <c r="AX22">
        <v>168</v>
      </c>
      <c r="AY22">
        <v>168</v>
      </c>
      <c r="AZ22">
        <v>168</v>
      </c>
      <c r="BA22">
        <v>168</v>
      </c>
      <c r="BB22">
        <v>104</v>
      </c>
      <c r="BC22">
        <v>104</v>
      </c>
      <c r="BD22">
        <v>104</v>
      </c>
      <c r="BE22">
        <v>104</v>
      </c>
      <c r="BF22">
        <v>104</v>
      </c>
      <c r="BG22">
        <v>104</v>
      </c>
      <c r="BH22">
        <v>104</v>
      </c>
      <c r="BI22">
        <v>104</v>
      </c>
      <c r="BJ22">
        <v>104</v>
      </c>
      <c r="BK22">
        <v>104</v>
      </c>
      <c r="BL22">
        <v>104</v>
      </c>
      <c r="BM22">
        <v>104</v>
      </c>
      <c r="BN22">
        <v>168</v>
      </c>
      <c r="BO22">
        <v>168</v>
      </c>
      <c r="BP22">
        <v>168</v>
      </c>
      <c r="BQ22">
        <v>234</v>
      </c>
      <c r="BR22">
        <v>234</v>
      </c>
      <c r="BS22">
        <v>234</v>
      </c>
      <c r="BT22">
        <v>234</v>
      </c>
      <c r="BU22">
        <v>234</v>
      </c>
      <c r="BV22">
        <v>234</v>
      </c>
      <c r="BW22">
        <v>234</v>
      </c>
      <c r="BX22">
        <v>234</v>
      </c>
      <c r="BY22">
        <v>234</v>
      </c>
      <c r="BZ22">
        <v>234</v>
      </c>
      <c r="CA22">
        <v>234</v>
      </c>
      <c r="CB22">
        <v>234</v>
      </c>
      <c r="CC22">
        <v>234</v>
      </c>
      <c r="CD22">
        <v>234</v>
      </c>
      <c r="CE22">
        <v>234</v>
      </c>
      <c r="CF22">
        <v>234</v>
      </c>
      <c r="CG22">
        <v>234</v>
      </c>
      <c r="CH22">
        <v>234</v>
      </c>
      <c r="CI22">
        <v>234</v>
      </c>
      <c r="CJ22">
        <v>234</v>
      </c>
      <c r="CK22">
        <v>234</v>
      </c>
      <c r="CL22">
        <v>234</v>
      </c>
      <c r="CM22">
        <v>234</v>
      </c>
      <c r="CN22">
        <v>234</v>
      </c>
      <c r="CO22">
        <v>234</v>
      </c>
      <c r="CP22">
        <v>234</v>
      </c>
      <c r="CQ22">
        <v>234</v>
      </c>
      <c r="CR22">
        <v>234</v>
      </c>
      <c r="CS22">
        <v>234</v>
      </c>
    </row>
    <row r="23" spans="1:97">
      <c r="A23" s="9">
        <v>46256</v>
      </c>
      <c r="B23">
        <v>272</v>
      </c>
      <c r="C23">
        <v>272</v>
      </c>
      <c r="D23">
        <v>272</v>
      </c>
      <c r="E23">
        <v>272</v>
      </c>
      <c r="F23">
        <v>272</v>
      </c>
      <c r="G23">
        <v>272</v>
      </c>
      <c r="H23">
        <v>272</v>
      </c>
      <c r="I23">
        <v>272</v>
      </c>
      <c r="J23">
        <v>272</v>
      </c>
      <c r="K23">
        <v>272</v>
      </c>
      <c r="L23">
        <v>272</v>
      </c>
      <c r="M23">
        <v>272</v>
      </c>
      <c r="N23">
        <v>272</v>
      </c>
      <c r="O23">
        <v>272</v>
      </c>
      <c r="P23">
        <v>272</v>
      </c>
      <c r="Q23">
        <v>272</v>
      </c>
      <c r="R23">
        <v>272</v>
      </c>
      <c r="S23">
        <v>272</v>
      </c>
      <c r="T23">
        <v>272</v>
      </c>
      <c r="U23">
        <v>272</v>
      </c>
      <c r="V23">
        <v>272</v>
      </c>
      <c r="W23">
        <v>272</v>
      </c>
      <c r="X23">
        <v>272</v>
      </c>
      <c r="Y23">
        <v>272</v>
      </c>
      <c r="Z23">
        <v>272</v>
      </c>
      <c r="AA23">
        <v>272</v>
      </c>
      <c r="AB23">
        <v>272</v>
      </c>
      <c r="AC23">
        <v>272</v>
      </c>
      <c r="AD23">
        <v>272</v>
      </c>
      <c r="AE23">
        <v>272</v>
      </c>
      <c r="AF23">
        <v>272</v>
      </c>
      <c r="AG23">
        <v>206</v>
      </c>
      <c r="AH23">
        <v>206</v>
      </c>
      <c r="AI23">
        <v>206</v>
      </c>
      <c r="AJ23">
        <v>206</v>
      </c>
      <c r="AK23">
        <v>206</v>
      </c>
      <c r="AL23">
        <v>206</v>
      </c>
      <c r="AM23">
        <v>206</v>
      </c>
      <c r="AN23">
        <v>206</v>
      </c>
      <c r="AO23">
        <v>206</v>
      </c>
      <c r="AP23">
        <v>269</v>
      </c>
      <c r="AQ23">
        <v>269</v>
      </c>
      <c r="AR23">
        <v>269</v>
      </c>
      <c r="AS23">
        <v>269</v>
      </c>
      <c r="AT23">
        <v>269</v>
      </c>
      <c r="AU23">
        <v>269</v>
      </c>
      <c r="AV23">
        <v>269</v>
      </c>
      <c r="AW23">
        <v>269</v>
      </c>
      <c r="AX23">
        <v>206</v>
      </c>
      <c r="AY23">
        <v>206</v>
      </c>
      <c r="AZ23">
        <v>206</v>
      </c>
      <c r="BA23">
        <v>206</v>
      </c>
      <c r="BB23">
        <v>207</v>
      </c>
      <c r="BC23">
        <v>207</v>
      </c>
      <c r="BD23">
        <v>207</v>
      </c>
      <c r="BE23">
        <v>207</v>
      </c>
      <c r="BF23">
        <v>207</v>
      </c>
      <c r="BG23">
        <v>207</v>
      </c>
      <c r="BH23">
        <v>207</v>
      </c>
      <c r="BI23">
        <v>207</v>
      </c>
      <c r="BJ23">
        <v>207</v>
      </c>
      <c r="BK23">
        <v>207</v>
      </c>
      <c r="BL23">
        <v>207</v>
      </c>
      <c r="BM23">
        <v>207</v>
      </c>
      <c r="BN23">
        <v>207</v>
      </c>
      <c r="BO23">
        <v>207</v>
      </c>
      <c r="BP23">
        <v>207</v>
      </c>
      <c r="BQ23">
        <v>207</v>
      </c>
      <c r="BR23">
        <v>207</v>
      </c>
      <c r="BS23">
        <v>207</v>
      </c>
      <c r="BT23">
        <v>207</v>
      </c>
      <c r="BU23">
        <v>207</v>
      </c>
      <c r="BV23">
        <v>207</v>
      </c>
      <c r="BW23">
        <v>207</v>
      </c>
      <c r="BX23">
        <v>207</v>
      </c>
      <c r="BY23">
        <v>207</v>
      </c>
      <c r="BZ23">
        <v>207</v>
      </c>
      <c r="CA23">
        <v>207</v>
      </c>
      <c r="CB23">
        <v>207</v>
      </c>
      <c r="CC23">
        <v>207</v>
      </c>
      <c r="CD23">
        <v>207</v>
      </c>
      <c r="CE23">
        <v>168</v>
      </c>
      <c r="CF23">
        <v>168</v>
      </c>
      <c r="CG23">
        <v>168</v>
      </c>
      <c r="CH23">
        <v>168</v>
      </c>
      <c r="CI23">
        <v>168</v>
      </c>
      <c r="CJ23">
        <v>168</v>
      </c>
      <c r="CK23">
        <v>168</v>
      </c>
      <c r="CL23">
        <v>168</v>
      </c>
      <c r="CM23">
        <v>168</v>
      </c>
      <c r="CN23">
        <v>168</v>
      </c>
      <c r="CO23">
        <v>168</v>
      </c>
      <c r="CP23">
        <v>168</v>
      </c>
      <c r="CQ23">
        <v>168</v>
      </c>
      <c r="CR23">
        <v>168</v>
      </c>
      <c r="CS23">
        <v>168</v>
      </c>
    </row>
    <row r="24" spans="1:97">
      <c r="A24" s="9">
        <v>46257</v>
      </c>
      <c r="B24">
        <v>410</v>
      </c>
      <c r="C24">
        <v>410</v>
      </c>
      <c r="D24">
        <v>410</v>
      </c>
      <c r="E24">
        <v>410</v>
      </c>
      <c r="F24">
        <v>410</v>
      </c>
      <c r="G24">
        <v>410</v>
      </c>
      <c r="H24">
        <v>410</v>
      </c>
      <c r="I24">
        <v>410</v>
      </c>
      <c r="J24">
        <v>410</v>
      </c>
      <c r="K24">
        <v>410</v>
      </c>
      <c r="L24">
        <v>410</v>
      </c>
      <c r="M24">
        <v>410</v>
      </c>
      <c r="N24">
        <v>410</v>
      </c>
      <c r="O24">
        <v>410</v>
      </c>
      <c r="P24">
        <v>410</v>
      </c>
      <c r="Q24">
        <v>410</v>
      </c>
      <c r="R24">
        <v>410</v>
      </c>
      <c r="S24">
        <v>410</v>
      </c>
      <c r="T24">
        <v>410</v>
      </c>
      <c r="U24">
        <v>410</v>
      </c>
      <c r="V24">
        <v>410</v>
      </c>
      <c r="W24">
        <v>410</v>
      </c>
      <c r="X24">
        <v>410</v>
      </c>
      <c r="Y24">
        <v>410</v>
      </c>
      <c r="Z24">
        <v>410</v>
      </c>
      <c r="AA24">
        <v>410</v>
      </c>
      <c r="AB24">
        <v>410</v>
      </c>
      <c r="AC24">
        <v>410</v>
      </c>
      <c r="AD24">
        <v>410</v>
      </c>
      <c r="AE24">
        <v>410</v>
      </c>
      <c r="AF24">
        <v>410</v>
      </c>
      <c r="AG24">
        <v>410</v>
      </c>
      <c r="AH24">
        <v>410</v>
      </c>
      <c r="AI24">
        <v>410</v>
      </c>
      <c r="AJ24">
        <v>410</v>
      </c>
      <c r="AK24">
        <v>410</v>
      </c>
      <c r="AL24">
        <v>410</v>
      </c>
      <c r="AM24">
        <v>410</v>
      </c>
      <c r="AN24">
        <v>410</v>
      </c>
      <c r="AO24">
        <v>410</v>
      </c>
      <c r="AP24">
        <v>26</v>
      </c>
      <c r="AQ24">
        <v>410</v>
      </c>
      <c r="AR24">
        <v>410</v>
      </c>
      <c r="AS24">
        <v>410</v>
      </c>
      <c r="AT24">
        <v>410</v>
      </c>
      <c r="AU24">
        <v>410</v>
      </c>
      <c r="AV24">
        <v>410</v>
      </c>
      <c r="AW24">
        <v>410</v>
      </c>
      <c r="AX24">
        <v>410</v>
      </c>
      <c r="AY24">
        <v>410</v>
      </c>
      <c r="AZ24">
        <v>410</v>
      </c>
      <c r="BA24">
        <v>410</v>
      </c>
      <c r="BB24">
        <v>410</v>
      </c>
      <c r="BC24">
        <v>410</v>
      </c>
      <c r="BD24">
        <v>410</v>
      </c>
      <c r="BE24">
        <v>410</v>
      </c>
      <c r="BF24">
        <v>410</v>
      </c>
      <c r="BG24">
        <v>410</v>
      </c>
      <c r="BH24">
        <v>410</v>
      </c>
      <c r="BI24">
        <v>410</v>
      </c>
      <c r="BJ24">
        <v>410</v>
      </c>
      <c r="BK24">
        <v>410</v>
      </c>
      <c r="BL24">
        <v>410</v>
      </c>
      <c r="BM24">
        <v>410</v>
      </c>
      <c r="BN24">
        <v>410</v>
      </c>
      <c r="BO24">
        <v>410</v>
      </c>
      <c r="BP24">
        <v>410</v>
      </c>
      <c r="BQ24">
        <v>410</v>
      </c>
      <c r="BR24">
        <v>410</v>
      </c>
      <c r="BS24">
        <v>410</v>
      </c>
      <c r="BT24">
        <v>410</v>
      </c>
      <c r="BU24">
        <v>410</v>
      </c>
      <c r="BV24">
        <v>410</v>
      </c>
      <c r="BW24">
        <v>410</v>
      </c>
      <c r="BX24">
        <v>410</v>
      </c>
      <c r="BY24">
        <v>410</v>
      </c>
      <c r="BZ24">
        <v>410</v>
      </c>
      <c r="CA24">
        <v>410</v>
      </c>
      <c r="CB24">
        <v>410</v>
      </c>
      <c r="CC24">
        <v>410</v>
      </c>
      <c r="CD24">
        <v>410</v>
      </c>
      <c r="CE24">
        <v>345</v>
      </c>
      <c r="CF24">
        <v>345</v>
      </c>
      <c r="CG24">
        <v>345</v>
      </c>
      <c r="CH24">
        <v>345</v>
      </c>
      <c r="CI24">
        <v>345</v>
      </c>
      <c r="CJ24">
        <v>345</v>
      </c>
      <c r="CK24">
        <v>345</v>
      </c>
      <c r="CL24">
        <v>345</v>
      </c>
      <c r="CM24">
        <v>345</v>
      </c>
      <c r="CN24">
        <v>345</v>
      </c>
      <c r="CO24">
        <v>345</v>
      </c>
      <c r="CP24">
        <v>345</v>
      </c>
      <c r="CQ24">
        <v>345</v>
      </c>
      <c r="CR24">
        <v>345</v>
      </c>
      <c r="CS24">
        <v>345</v>
      </c>
    </row>
    <row r="25" spans="1:97">
      <c r="A25" s="9">
        <v>46258</v>
      </c>
      <c r="B25">
        <v>387</v>
      </c>
      <c r="C25">
        <v>387</v>
      </c>
      <c r="D25">
        <v>387</v>
      </c>
      <c r="E25">
        <v>387</v>
      </c>
      <c r="F25">
        <v>387</v>
      </c>
      <c r="G25">
        <v>387</v>
      </c>
      <c r="H25">
        <v>387</v>
      </c>
      <c r="I25">
        <v>387</v>
      </c>
      <c r="J25">
        <v>387</v>
      </c>
      <c r="K25">
        <v>387</v>
      </c>
      <c r="L25">
        <v>387</v>
      </c>
      <c r="M25">
        <v>387</v>
      </c>
      <c r="N25">
        <v>387</v>
      </c>
      <c r="O25">
        <v>387</v>
      </c>
      <c r="P25">
        <v>387</v>
      </c>
      <c r="Q25">
        <v>387</v>
      </c>
      <c r="R25">
        <v>387</v>
      </c>
      <c r="S25">
        <v>387</v>
      </c>
      <c r="T25">
        <v>387</v>
      </c>
      <c r="U25">
        <v>387</v>
      </c>
      <c r="V25">
        <v>387</v>
      </c>
      <c r="W25">
        <v>387</v>
      </c>
      <c r="X25">
        <v>387</v>
      </c>
      <c r="Y25">
        <v>387</v>
      </c>
      <c r="Z25">
        <v>387</v>
      </c>
      <c r="AA25">
        <v>387</v>
      </c>
      <c r="AB25">
        <v>387</v>
      </c>
      <c r="AC25">
        <v>387</v>
      </c>
      <c r="AD25">
        <v>387</v>
      </c>
      <c r="AE25">
        <v>387</v>
      </c>
      <c r="AF25">
        <v>387</v>
      </c>
      <c r="AG25">
        <v>387</v>
      </c>
      <c r="AH25">
        <v>387</v>
      </c>
      <c r="AI25">
        <v>387</v>
      </c>
      <c r="AJ25">
        <v>387</v>
      </c>
      <c r="AK25">
        <v>387</v>
      </c>
      <c r="AL25">
        <v>387</v>
      </c>
      <c r="AM25">
        <v>387</v>
      </c>
      <c r="AN25">
        <v>387</v>
      </c>
      <c r="AO25">
        <v>387</v>
      </c>
      <c r="AP25">
        <v>387</v>
      </c>
      <c r="AQ25">
        <v>387</v>
      </c>
      <c r="AR25">
        <v>387</v>
      </c>
      <c r="AS25">
        <v>387</v>
      </c>
      <c r="AT25">
        <v>387</v>
      </c>
      <c r="AU25">
        <v>387</v>
      </c>
      <c r="AV25">
        <v>387</v>
      </c>
      <c r="AW25">
        <v>387</v>
      </c>
      <c r="AX25">
        <v>387</v>
      </c>
      <c r="AY25">
        <v>387</v>
      </c>
      <c r="AZ25">
        <v>387</v>
      </c>
      <c r="BA25">
        <v>387</v>
      </c>
      <c r="BB25">
        <v>387</v>
      </c>
      <c r="BC25">
        <v>387</v>
      </c>
      <c r="BD25">
        <v>387</v>
      </c>
      <c r="BE25">
        <v>387</v>
      </c>
      <c r="BF25">
        <v>387</v>
      </c>
      <c r="BG25">
        <v>387</v>
      </c>
      <c r="BH25">
        <v>387</v>
      </c>
      <c r="BI25">
        <v>387</v>
      </c>
      <c r="BJ25">
        <v>387</v>
      </c>
      <c r="BK25">
        <v>387</v>
      </c>
      <c r="BL25">
        <v>387</v>
      </c>
      <c r="BM25">
        <v>387</v>
      </c>
      <c r="BN25">
        <v>387</v>
      </c>
      <c r="BO25">
        <v>387</v>
      </c>
      <c r="BP25">
        <v>387</v>
      </c>
      <c r="BQ25">
        <v>387</v>
      </c>
      <c r="BR25">
        <v>387</v>
      </c>
      <c r="BS25">
        <v>387</v>
      </c>
      <c r="BT25">
        <v>387</v>
      </c>
      <c r="BU25">
        <v>387</v>
      </c>
      <c r="BV25">
        <v>387</v>
      </c>
      <c r="BW25">
        <v>387</v>
      </c>
      <c r="BX25">
        <v>387</v>
      </c>
      <c r="BY25">
        <v>387</v>
      </c>
      <c r="BZ25">
        <v>387</v>
      </c>
      <c r="CA25">
        <v>387</v>
      </c>
      <c r="CB25">
        <v>387</v>
      </c>
      <c r="CC25">
        <v>387</v>
      </c>
      <c r="CD25">
        <v>387</v>
      </c>
      <c r="CE25">
        <v>387</v>
      </c>
      <c r="CF25">
        <v>387</v>
      </c>
      <c r="CG25">
        <v>387</v>
      </c>
      <c r="CH25">
        <v>387</v>
      </c>
      <c r="CI25">
        <v>387</v>
      </c>
      <c r="CJ25">
        <v>387</v>
      </c>
      <c r="CK25">
        <v>387</v>
      </c>
      <c r="CL25">
        <v>387</v>
      </c>
      <c r="CM25">
        <v>387</v>
      </c>
      <c r="CN25">
        <v>387</v>
      </c>
      <c r="CO25">
        <v>387</v>
      </c>
      <c r="CP25">
        <v>387</v>
      </c>
      <c r="CQ25">
        <v>387</v>
      </c>
      <c r="CR25">
        <v>387</v>
      </c>
      <c r="CS25">
        <v>387</v>
      </c>
    </row>
    <row r="26" spans="1:97">
      <c r="A26" s="9">
        <v>46259</v>
      </c>
      <c r="B26">
        <v>452</v>
      </c>
      <c r="C26">
        <v>452</v>
      </c>
      <c r="D26">
        <v>452</v>
      </c>
      <c r="E26">
        <v>452</v>
      </c>
      <c r="F26">
        <v>452</v>
      </c>
      <c r="G26">
        <v>452</v>
      </c>
      <c r="H26">
        <v>452</v>
      </c>
      <c r="I26">
        <v>452</v>
      </c>
      <c r="J26">
        <v>452</v>
      </c>
      <c r="K26">
        <v>452</v>
      </c>
      <c r="L26">
        <v>452</v>
      </c>
      <c r="M26">
        <v>452</v>
      </c>
      <c r="N26">
        <v>452</v>
      </c>
      <c r="O26">
        <v>452</v>
      </c>
      <c r="P26">
        <v>452</v>
      </c>
      <c r="Q26">
        <v>452</v>
      </c>
      <c r="R26">
        <v>452</v>
      </c>
      <c r="S26">
        <v>452</v>
      </c>
      <c r="T26">
        <v>452</v>
      </c>
      <c r="U26">
        <v>452</v>
      </c>
      <c r="V26">
        <v>452</v>
      </c>
      <c r="W26">
        <v>452</v>
      </c>
      <c r="X26">
        <v>452</v>
      </c>
      <c r="Y26">
        <v>452</v>
      </c>
      <c r="Z26">
        <v>452</v>
      </c>
      <c r="AA26">
        <v>452</v>
      </c>
      <c r="AB26">
        <v>452</v>
      </c>
      <c r="AC26">
        <v>452</v>
      </c>
      <c r="AD26">
        <v>452</v>
      </c>
      <c r="AE26">
        <v>452</v>
      </c>
      <c r="AF26">
        <v>452</v>
      </c>
      <c r="AG26">
        <v>452</v>
      </c>
      <c r="AH26">
        <v>452</v>
      </c>
      <c r="AI26">
        <v>452</v>
      </c>
      <c r="AJ26">
        <v>452</v>
      </c>
      <c r="AK26">
        <v>452</v>
      </c>
      <c r="AL26">
        <v>452</v>
      </c>
      <c r="AM26">
        <v>452</v>
      </c>
      <c r="AN26">
        <v>452</v>
      </c>
      <c r="AO26">
        <v>452</v>
      </c>
      <c r="AP26">
        <v>452</v>
      </c>
      <c r="AQ26">
        <v>452</v>
      </c>
      <c r="AR26">
        <v>452</v>
      </c>
      <c r="AS26">
        <v>452</v>
      </c>
      <c r="AT26">
        <v>452</v>
      </c>
      <c r="AU26">
        <v>452</v>
      </c>
      <c r="AV26">
        <v>452</v>
      </c>
      <c r="AW26">
        <v>452</v>
      </c>
      <c r="AX26">
        <v>452</v>
      </c>
      <c r="AY26">
        <v>452</v>
      </c>
      <c r="AZ26">
        <v>452</v>
      </c>
      <c r="BA26">
        <v>452</v>
      </c>
      <c r="BB26">
        <v>452</v>
      </c>
      <c r="BC26">
        <v>452</v>
      </c>
      <c r="BD26">
        <v>452</v>
      </c>
      <c r="BE26">
        <v>452</v>
      </c>
      <c r="BF26">
        <v>452</v>
      </c>
      <c r="BG26">
        <v>452</v>
      </c>
      <c r="BH26">
        <v>452</v>
      </c>
      <c r="BI26">
        <v>452</v>
      </c>
      <c r="BJ26">
        <v>452</v>
      </c>
      <c r="BK26">
        <v>452</v>
      </c>
      <c r="BL26">
        <v>452</v>
      </c>
      <c r="BM26">
        <v>452</v>
      </c>
      <c r="BN26">
        <v>452</v>
      </c>
      <c r="BO26">
        <v>452</v>
      </c>
      <c r="BP26">
        <v>452</v>
      </c>
      <c r="BQ26">
        <v>452</v>
      </c>
      <c r="BR26">
        <v>452</v>
      </c>
      <c r="BS26">
        <v>452</v>
      </c>
      <c r="BT26">
        <v>452</v>
      </c>
      <c r="BU26">
        <v>452</v>
      </c>
      <c r="BV26">
        <v>452</v>
      </c>
      <c r="BW26">
        <v>452</v>
      </c>
      <c r="BX26">
        <v>452</v>
      </c>
      <c r="BY26">
        <v>452</v>
      </c>
      <c r="BZ26">
        <v>452</v>
      </c>
      <c r="CA26">
        <v>452</v>
      </c>
      <c r="CB26">
        <v>452</v>
      </c>
      <c r="CC26">
        <v>452</v>
      </c>
      <c r="CD26">
        <v>452</v>
      </c>
      <c r="CE26">
        <v>452</v>
      </c>
      <c r="CF26">
        <v>452</v>
      </c>
      <c r="CG26">
        <v>452</v>
      </c>
      <c r="CH26">
        <v>452</v>
      </c>
      <c r="CI26">
        <v>452</v>
      </c>
      <c r="CJ26">
        <v>452</v>
      </c>
      <c r="CK26">
        <v>452</v>
      </c>
      <c r="CL26">
        <v>452</v>
      </c>
      <c r="CM26">
        <v>452</v>
      </c>
      <c r="CN26">
        <v>452</v>
      </c>
      <c r="CO26">
        <v>452</v>
      </c>
      <c r="CP26">
        <v>452</v>
      </c>
      <c r="CQ26">
        <v>452</v>
      </c>
      <c r="CR26">
        <v>452</v>
      </c>
      <c r="CS26">
        <v>452</v>
      </c>
    </row>
    <row r="27" spans="1:97">
      <c r="A27" s="9">
        <v>46260</v>
      </c>
      <c r="B27">
        <v>474</v>
      </c>
      <c r="C27">
        <v>474</v>
      </c>
      <c r="D27">
        <v>474</v>
      </c>
      <c r="E27">
        <v>474</v>
      </c>
      <c r="F27">
        <v>474</v>
      </c>
      <c r="G27">
        <v>474</v>
      </c>
      <c r="H27">
        <v>474</v>
      </c>
      <c r="I27">
        <v>474</v>
      </c>
      <c r="J27">
        <v>474</v>
      </c>
      <c r="K27">
        <v>474</v>
      </c>
      <c r="L27">
        <v>474</v>
      </c>
      <c r="M27">
        <v>474</v>
      </c>
      <c r="N27">
        <v>474</v>
      </c>
      <c r="O27">
        <v>474</v>
      </c>
      <c r="P27">
        <v>474</v>
      </c>
      <c r="Q27">
        <v>474</v>
      </c>
      <c r="R27">
        <v>474</v>
      </c>
      <c r="S27">
        <v>474</v>
      </c>
      <c r="T27">
        <v>474</v>
      </c>
      <c r="U27">
        <v>474</v>
      </c>
      <c r="V27">
        <v>474</v>
      </c>
      <c r="W27">
        <v>474</v>
      </c>
      <c r="X27">
        <v>474</v>
      </c>
      <c r="Y27">
        <v>474</v>
      </c>
      <c r="Z27">
        <v>474</v>
      </c>
      <c r="AA27">
        <v>474</v>
      </c>
      <c r="AB27">
        <v>474</v>
      </c>
      <c r="AC27">
        <v>474</v>
      </c>
      <c r="AD27">
        <v>474</v>
      </c>
      <c r="AE27">
        <v>474</v>
      </c>
      <c r="AF27">
        <v>474</v>
      </c>
      <c r="AG27">
        <v>474</v>
      </c>
      <c r="AH27">
        <v>474</v>
      </c>
      <c r="AI27">
        <v>474</v>
      </c>
      <c r="AJ27">
        <v>435</v>
      </c>
      <c r="AK27">
        <v>435</v>
      </c>
      <c r="AL27">
        <v>435</v>
      </c>
      <c r="AM27">
        <v>435</v>
      </c>
      <c r="AN27">
        <v>435</v>
      </c>
      <c r="AO27">
        <v>435</v>
      </c>
      <c r="AP27">
        <v>435</v>
      </c>
      <c r="AQ27">
        <v>435</v>
      </c>
      <c r="AR27">
        <v>435</v>
      </c>
      <c r="AS27">
        <v>435</v>
      </c>
      <c r="AT27">
        <v>435</v>
      </c>
      <c r="AU27">
        <v>435</v>
      </c>
      <c r="AV27">
        <v>435</v>
      </c>
      <c r="AW27">
        <v>435</v>
      </c>
      <c r="AX27">
        <v>435</v>
      </c>
      <c r="AY27">
        <v>435</v>
      </c>
      <c r="AZ27">
        <v>435</v>
      </c>
      <c r="BA27">
        <v>435</v>
      </c>
      <c r="BB27">
        <v>435</v>
      </c>
      <c r="BC27">
        <v>435</v>
      </c>
      <c r="BD27">
        <v>435</v>
      </c>
      <c r="BE27">
        <v>435</v>
      </c>
      <c r="BF27">
        <v>435</v>
      </c>
      <c r="BG27">
        <v>435</v>
      </c>
      <c r="BH27">
        <v>435</v>
      </c>
      <c r="BI27">
        <v>435</v>
      </c>
      <c r="BJ27">
        <v>435</v>
      </c>
      <c r="BK27">
        <v>435</v>
      </c>
      <c r="BL27">
        <v>435</v>
      </c>
      <c r="BM27">
        <v>435</v>
      </c>
      <c r="BN27">
        <v>435</v>
      </c>
      <c r="BO27">
        <v>435</v>
      </c>
      <c r="BP27">
        <v>435</v>
      </c>
      <c r="BQ27">
        <v>435</v>
      </c>
      <c r="BR27">
        <v>435</v>
      </c>
      <c r="BS27">
        <v>435</v>
      </c>
      <c r="BT27">
        <v>435</v>
      </c>
      <c r="BU27">
        <v>435</v>
      </c>
      <c r="BV27">
        <v>435</v>
      </c>
      <c r="BW27">
        <v>435</v>
      </c>
      <c r="BX27">
        <v>435</v>
      </c>
      <c r="BY27">
        <v>435</v>
      </c>
      <c r="BZ27">
        <v>435</v>
      </c>
      <c r="CA27">
        <v>435</v>
      </c>
      <c r="CB27">
        <v>435</v>
      </c>
      <c r="CC27">
        <v>369</v>
      </c>
      <c r="CD27">
        <v>369</v>
      </c>
      <c r="CE27">
        <v>408</v>
      </c>
      <c r="CF27">
        <v>408</v>
      </c>
      <c r="CG27">
        <v>408</v>
      </c>
      <c r="CH27">
        <v>408</v>
      </c>
      <c r="CI27">
        <v>408</v>
      </c>
      <c r="CJ27">
        <v>408</v>
      </c>
      <c r="CK27">
        <v>408</v>
      </c>
      <c r="CL27">
        <v>408</v>
      </c>
      <c r="CM27">
        <v>408</v>
      </c>
      <c r="CN27">
        <v>408</v>
      </c>
      <c r="CO27">
        <v>408</v>
      </c>
      <c r="CP27">
        <v>408</v>
      </c>
      <c r="CQ27">
        <v>408</v>
      </c>
      <c r="CR27">
        <v>408</v>
      </c>
      <c r="CS27">
        <v>408</v>
      </c>
    </row>
    <row r="28" spans="1:97">
      <c r="A28" s="9">
        <v>46261</v>
      </c>
      <c r="B28">
        <v>233</v>
      </c>
      <c r="C28">
        <v>233</v>
      </c>
      <c r="D28">
        <v>233</v>
      </c>
      <c r="E28">
        <v>233</v>
      </c>
      <c r="F28">
        <v>233</v>
      </c>
      <c r="G28">
        <v>233</v>
      </c>
      <c r="H28">
        <v>233</v>
      </c>
      <c r="I28">
        <v>233</v>
      </c>
      <c r="J28">
        <v>233</v>
      </c>
      <c r="K28">
        <v>233</v>
      </c>
      <c r="L28">
        <v>233</v>
      </c>
      <c r="M28">
        <v>233</v>
      </c>
      <c r="N28">
        <v>233</v>
      </c>
      <c r="O28">
        <v>233</v>
      </c>
      <c r="P28">
        <v>233</v>
      </c>
      <c r="Q28">
        <v>233</v>
      </c>
      <c r="R28">
        <v>233</v>
      </c>
      <c r="S28">
        <v>233</v>
      </c>
      <c r="T28">
        <v>233</v>
      </c>
      <c r="U28">
        <v>233</v>
      </c>
      <c r="V28">
        <v>233</v>
      </c>
      <c r="W28">
        <v>233</v>
      </c>
      <c r="X28">
        <v>233</v>
      </c>
      <c r="Y28">
        <v>233</v>
      </c>
      <c r="Z28">
        <v>233</v>
      </c>
      <c r="AA28">
        <v>233</v>
      </c>
      <c r="AB28">
        <v>233</v>
      </c>
      <c r="AC28">
        <v>233</v>
      </c>
      <c r="AD28">
        <v>233</v>
      </c>
      <c r="AE28">
        <v>233</v>
      </c>
      <c r="AF28">
        <v>233</v>
      </c>
      <c r="AG28">
        <v>233</v>
      </c>
      <c r="AH28">
        <v>233</v>
      </c>
      <c r="AI28">
        <v>233</v>
      </c>
      <c r="AJ28">
        <v>167</v>
      </c>
      <c r="AK28">
        <v>167</v>
      </c>
      <c r="AL28">
        <v>167</v>
      </c>
      <c r="AM28">
        <v>167</v>
      </c>
      <c r="AN28">
        <v>167</v>
      </c>
      <c r="AO28">
        <v>167</v>
      </c>
      <c r="AP28">
        <v>167</v>
      </c>
      <c r="AQ28">
        <v>167</v>
      </c>
      <c r="AR28">
        <v>167</v>
      </c>
      <c r="AS28">
        <v>167</v>
      </c>
      <c r="AT28">
        <v>167</v>
      </c>
      <c r="AU28">
        <v>167</v>
      </c>
      <c r="AV28">
        <v>167</v>
      </c>
      <c r="AW28">
        <v>167</v>
      </c>
      <c r="AX28">
        <v>167</v>
      </c>
      <c r="AY28">
        <v>167</v>
      </c>
      <c r="AZ28">
        <v>167</v>
      </c>
      <c r="BA28">
        <v>167</v>
      </c>
      <c r="BB28">
        <v>167</v>
      </c>
      <c r="BC28">
        <v>167</v>
      </c>
      <c r="BD28">
        <v>167</v>
      </c>
      <c r="BE28">
        <v>167</v>
      </c>
      <c r="BF28">
        <v>167</v>
      </c>
      <c r="BG28">
        <v>167</v>
      </c>
      <c r="BH28">
        <v>167</v>
      </c>
      <c r="BI28">
        <v>167</v>
      </c>
      <c r="BJ28">
        <v>167</v>
      </c>
      <c r="BK28">
        <v>167</v>
      </c>
      <c r="BL28">
        <v>167</v>
      </c>
      <c r="BM28">
        <v>268</v>
      </c>
      <c r="BN28">
        <v>268</v>
      </c>
      <c r="BO28">
        <v>268</v>
      </c>
      <c r="BP28">
        <v>334</v>
      </c>
      <c r="BQ28">
        <v>334</v>
      </c>
      <c r="BR28">
        <v>334</v>
      </c>
      <c r="BS28">
        <v>334</v>
      </c>
      <c r="BT28">
        <v>334</v>
      </c>
      <c r="BU28">
        <v>334</v>
      </c>
      <c r="BV28">
        <v>334</v>
      </c>
      <c r="BW28">
        <v>334</v>
      </c>
      <c r="BX28">
        <v>334</v>
      </c>
      <c r="BY28">
        <v>334</v>
      </c>
      <c r="BZ28">
        <v>272</v>
      </c>
      <c r="CA28">
        <v>272</v>
      </c>
      <c r="CB28">
        <v>272</v>
      </c>
      <c r="CC28">
        <v>272</v>
      </c>
      <c r="CD28">
        <v>233</v>
      </c>
      <c r="CE28">
        <v>233</v>
      </c>
      <c r="CF28">
        <v>233</v>
      </c>
      <c r="CG28">
        <v>233</v>
      </c>
      <c r="CH28">
        <v>233</v>
      </c>
      <c r="CI28">
        <v>233</v>
      </c>
      <c r="CJ28">
        <v>233</v>
      </c>
      <c r="CK28">
        <v>233</v>
      </c>
      <c r="CL28">
        <v>233</v>
      </c>
      <c r="CM28">
        <v>233</v>
      </c>
      <c r="CN28">
        <v>233</v>
      </c>
      <c r="CO28">
        <v>233</v>
      </c>
      <c r="CP28">
        <v>233</v>
      </c>
      <c r="CQ28">
        <v>233</v>
      </c>
      <c r="CR28">
        <v>233</v>
      </c>
      <c r="CS28">
        <v>233</v>
      </c>
    </row>
    <row r="29" spans="1:97">
      <c r="A29" s="9">
        <v>46262</v>
      </c>
      <c r="B29">
        <v>272</v>
      </c>
      <c r="C29">
        <v>272</v>
      </c>
      <c r="D29">
        <v>272</v>
      </c>
      <c r="E29">
        <v>272</v>
      </c>
      <c r="F29">
        <v>272</v>
      </c>
      <c r="G29">
        <v>272</v>
      </c>
      <c r="H29">
        <v>272</v>
      </c>
      <c r="I29">
        <v>272</v>
      </c>
      <c r="J29">
        <v>272</v>
      </c>
      <c r="K29">
        <v>272</v>
      </c>
      <c r="L29">
        <v>272</v>
      </c>
      <c r="M29">
        <v>272</v>
      </c>
      <c r="N29">
        <v>272</v>
      </c>
      <c r="O29">
        <v>272</v>
      </c>
      <c r="P29">
        <v>272</v>
      </c>
      <c r="Q29">
        <v>272</v>
      </c>
      <c r="R29">
        <v>272</v>
      </c>
      <c r="S29">
        <v>233</v>
      </c>
      <c r="T29">
        <v>233</v>
      </c>
      <c r="U29">
        <v>233</v>
      </c>
      <c r="V29">
        <v>233</v>
      </c>
      <c r="W29">
        <v>233</v>
      </c>
      <c r="X29">
        <v>233</v>
      </c>
      <c r="Y29">
        <v>233</v>
      </c>
      <c r="Z29">
        <v>233</v>
      </c>
      <c r="AA29">
        <v>233</v>
      </c>
      <c r="AB29">
        <v>233</v>
      </c>
      <c r="AC29">
        <v>233</v>
      </c>
      <c r="AD29">
        <v>233</v>
      </c>
      <c r="AE29">
        <v>233</v>
      </c>
      <c r="AF29">
        <v>233</v>
      </c>
      <c r="AG29">
        <v>233</v>
      </c>
      <c r="AH29">
        <v>167</v>
      </c>
      <c r="AI29">
        <v>167</v>
      </c>
      <c r="AJ29">
        <v>167</v>
      </c>
      <c r="AK29">
        <v>164</v>
      </c>
      <c r="AL29">
        <v>164</v>
      </c>
      <c r="AM29">
        <v>164</v>
      </c>
      <c r="AN29">
        <v>164</v>
      </c>
      <c r="AO29">
        <v>164</v>
      </c>
      <c r="AP29">
        <v>164</v>
      </c>
      <c r="AQ29">
        <v>164</v>
      </c>
      <c r="AR29">
        <v>167</v>
      </c>
      <c r="AS29">
        <v>167</v>
      </c>
      <c r="AT29">
        <v>167</v>
      </c>
      <c r="AU29">
        <v>167</v>
      </c>
      <c r="AV29">
        <v>167</v>
      </c>
      <c r="AW29">
        <v>167</v>
      </c>
      <c r="AX29">
        <v>167</v>
      </c>
      <c r="AY29">
        <v>167</v>
      </c>
      <c r="AZ29">
        <v>167</v>
      </c>
      <c r="BA29">
        <v>167</v>
      </c>
      <c r="BB29">
        <v>167</v>
      </c>
      <c r="BC29">
        <v>167</v>
      </c>
      <c r="BD29">
        <v>167</v>
      </c>
      <c r="BE29">
        <v>167</v>
      </c>
      <c r="BF29">
        <v>167</v>
      </c>
      <c r="BG29">
        <v>167</v>
      </c>
      <c r="BH29">
        <v>167</v>
      </c>
      <c r="BI29">
        <v>167</v>
      </c>
      <c r="BJ29">
        <v>167</v>
      </c>
      <c r="BK29">
        <v>167</v>
      </c>
      <c r="BL29">
        <v>167</v>
      </c>
      <c r="BM29">
        <v>167</v>
      </c>
      <c r="BN29">
        <v>167</v>
      </c>
      <c r="BO29">
        <v>167</v>
      </c>
      <c r="BP29">
        <v>167</v>
      </c>
      <c r="BQ29">
        <v>167</v>
      </c>
      <c r="BR29">
        <v>167</v>
      </c>
      <c r="BS29">
        <v>167</v>
      </c>
      <c r="BT29">
        <v>167</v>
      </c>
      <c r="BU29">
        <v>167</v>
      </c>
      <c r="BV29">
        <v>167</v>
      </c>
      <c r="BW29">
        <v>167</v>
      </c>
      <c r="BX29">
        <v>167</v>
      </c>
      <c r="BY29">
        <v>167</v>
      </c>
      <c r="BZ29">
        <v>167</v>
      </c>
      <c r="CA29">
        <v>167</v>
      </c>
      <c r="CB29">
        <v>167</v>
      </c>
      <c r="CC29">
        <v>167</v>
      </c>
      <c r="CD29">
        <v>167</v>
      </c>
      <c r="CE29">
        <v>167</v>
      </c>
      <c r="CF29">
        <v>167</v>
      </c>
      <c r="CG29">
        <v>167</v>
      </c>
      <c r="CH29">
        <v>167</v>
      </c>
      <c r="CI29">
        <v>167</v>
      </c>
      <c r="CJ29">
        <v>167</v>
      </c>
      <c r="CK29">
        <v>167</v>
      </c>
      <c r="CL29">
        <v>233</v>
      </c>
      <c r="CM29">
        <v>233</v>
      </c>
      <c r="CN29">
        <v>233</v>
      </c>
      <c r="CO29">
        <v>192</v>
      </c>
      <c r="CP29">
        <v>169</v>
      </c>
      <c r="CQ29">
        <v>169</v>
      </c>
      <c r="CR29">
        <v>169</v>
      </c>
      <c r="CS29">
        <v>169</v>
      </c>
    </row>
    <row r="30" spans="1:97">
      <c r="A30" s="9">
        <v>46263</v>
      </c>
      <c r="B30">
        <v>169</v>
      </c>
      <c r="C30">
        <v>169</v>
      </c>
      <c r="D30">
        <v>169</v>
      </c>
      <c r="E30">
        <v>169</v>
      </c>
      <c r="F30">
        <v>169</v>
      </c>
      <c r="G30">
        <v>169</v>
      </c>
      <c r="H30">
        <v>169</v>
      </c>
      <c r="I30">
        <v>169</v>
      </c>
      <c r="J30">
        <v>169</v>
      </c>
      <c r="K30">
        <v>169</v>
      </c>
      <c r="L30">
        <v>169</v>
      </c>
      <c r="M30">
        <v>169</v>
      </c>
      <c r="N30">
        <v>169</v>
      </c>
      <c r="O30">
        <v>169</v>
      </c>
      <c r="P30">
        <v>169</v>
      </c>
      <c r="Q30">
        <v>169</v>
      </c>
      <c r="R30">
        <v>169</v>
      </c>
      <c r="S30">
        <v>169</v>
      </c>
      <c r="T30">
        <v>169</v>
      </c>
      <c r="U30">
        <v>169</v>
      </c>
      <c r="V30">
        <v>169</v>
      </c>
      <c r="W30">
        <v>169</v>
      </c>
      <c r="X30">
        <v>169</v>
      </c>
      <c r="Y30">
        <v>169</v>
      </c>
      <c r="Z30">
        <v>169</v>
      </c>
      <c r="AA30">
        <v>169</v>
      </c>
      <c r="AB30">
        <v>169</v>
      </c>
      <c r="AC30">
        <v>169</v>
      </c>
      <c r="AD30">
        <v>169</v>
      </c>
      <c r="AE30">
        <v>169</v>
      </c>
      <c r="AF30">
        <v>169</v>
      </c>
      <c r="AG30">
        <v>169</v>
      </c>
      <c r="AH30">
        <v>169</v>
      </c>
      <c r="AI30">
        <v>169</v>
      </c>
      <c r="AJ30">
        <v>103</v>
      </c>
      <c r="AK30">
        <v>103</v>
      </c>
      <c r="AL30">
        <v>103</v>
      </c>
      <c r="AM30">
        <v>26</v>
      </c>
      <c r="AN30">
        <v>26</v>
      </c>
      <c r="AO30">
        <v>26</v>
      </c>
      <c r="AP30">
        <v>26</v>
      </c>
      <c r="AQ30">
        <v>26</v>
      </c>
      <c r="AR30">
        <v>26</v>
      </c>
      <c r="AS30">
        <v>26</v>
      </c>
      <c r="AT30">
        <v>26</v>
      </c>
      <c r="AU30">
        <v>26</v>
      </c>
      <c r="AV30">
        <v>26</v>
      </c>
      <c r="AW30">
        <v>26</v>
      </c>
      <c r="AX30">
        <v>26</v>
      </c>
      <c r="AY30">
        <v>26</v>
      </c>
      <c r="AZ30">
        <v>26</v>
      </c>
      <c r="BA30">
        <v>26</v>
      </c>
      <c r="BB30">
        <v>26</v>
      </c>
      <c r="BC30">
        <v>26</v>
      </c>
      <c r="BD30">
        <v>26</v>
      </c>
      <c r="BE30">
        <v>26</v>
      </c>
      <c r="BF30">
        <v>26</v>
      </c>
      <c r="BG30">
        <v>26</v>
      </c>
      <c r="BH30">
        <v>26</v>
      </c>
      <c r="BI30">
        <v>26</v>
      </c>
      <c r="BJ30">
        <v>167</v>
      </c>
      <c r="BK30">
        <v>167</v>
      </c>
      <c r="BL30">
        <v>167</v>
      </c>
      <c r="BM30">
        <v>206</v>
      </c>
      <c r="BN30">
        <v>206</v>
      </c>
      <c r="BO30">
        <v>206</v>
      </c>
      <c r="BP30">
        <v>272</v>
      </c>
      <c r="BQ30">
        <v>272</v>
      </c>
      <c r="BR30">
        <v>272</v>
      </c>
      <c r="BS30">
        <v>272</v>
      </c>
      <c r="BT30">
        <v>272</v>
      </c>
      <c r="BU30">
        <v>272</v>
      </c>
      <c r="BV30">
        <v>272</v>
      </c>
      <c r="BW30">
        <v>272</v>
      </c>
      <c r="BX30">
        <v>272</v>
      </c>
      <c r="BY30">
        <v>272</v>
      </c>
      <c r="BZ30">
        <v>272</v>
      </c>
      <c r="CA30">
        <v>272</v>
      </c>
      <c r="CB30">
        <v>272</v>
      </c>
      <c r="CC30">
        <v>272</v>
      </c>
      <c r="CD30">
        <v>233</v>
      </c>
      <c r="CE30">
        <v>233</v>
      </c>
      <c r="CF30">
        <v>233</v>
      </c>
      <c r="CG30">
        <v>233</v>
      </c>
      <c r="CH30">
        <v>233</v>
      </c>
      <c r="CI30">
        <v>233</v>
      </c>
      <c r="CJ30">
        <v>233</v>
      </c>
      <c r="CK30">
        <v>233</v>
      </c>
      <c r="CL30">
        <v>233</v>
      </c>
      <c r="CM30">
        <v>233</v>
      </c>
      <c r="CN30">
        <v>233</v>
      </c>
      <c r="CO30">
        <v>233</v>
      </c>
      <c r="CP30">
        <v>233</v>
      </c>
      <c r="CQ30">
        <v>233</v>
      </c>
      <c r="CR30">
        <v>233</v>
      </c>
      <c r="CS30">
        <v>233</v>
      </c>
    </row>
    <row r="31" spans="1:97">
      <c r="A31" s="9">
        <v>46264</v>
      </c>
      <c r="B31">
        <v>168</v>
      </c>
      <c r="C31">
        <v>168</v>
      </c>
      <c r="D31">
        <v>168</v>
      </c>
      <c r="E31">
        <v>168</v>
      </c>
      <c r="F31">
        <v>168</v>
      </c>
      <c r="G31">
        <v>168</v>
      </c>
      <c r="H31">
        <v>168</v>
      </c>
      <c r="I31">
        <v>168</v>
      </c>
      <c r="J31">
        <v>168</v>
      </c>
      <c r="K31">
        <v>168</v>
      </c>
      <c r="L31">
        <v>168</v>
      </c>
      <c r="M31">
        <v>168</v>
      </c>
      <c r="N31">
        <v>168</v>
      </c>
      <c r="O31">
        <v>168</v>
      </c>
      <c r="P31">
        <v>168</v>
      </c>
      <c r="Q31">
        <v>168</v>
      </c>
      <c r="R31">
        <v>168</v>
      </c>
      <c r="S31">
        <v>168</v>
      </c>
      <c r="T31">
        <v>168</v>
      </c>
      <c r="U31">
        <v>168</v>
      </c>
      <c r="V31">
        <v>168</v>
      </c>
      <c r="W31">
        <v>168</v>
      </c>
      <c r="X31">
        <v>168</v>
      </c>
      <c r="Y31">
        <v>168</v>
      </c>
      <c r="Z31">
        <v>168</v>
      </c>
      <c r="AA31">
        <v>168</v>
      </c>
      <c r="AB31">
        <v>168</v>
      </c>
      <c r="AC31">
        <v>168</v>
      </c>
      <c r="AD31">
        <v>168</v>
      </c>
      <c r="AE31">
        <v>168</v>
      </c>
      <c r="AF31">
        <v>168</v>
      </c>
      <c r="AG31">
        <v>168</v>
      </c>
      <c r="AH31">
        <v>168</v>
      </c>
      <c r="AI31">
        <v>29</v>
      </c>
      <c r="AJ31">
        <v>26</v>
      </c>
      <c r="AK31">
        <v>26</v>
      </c>
      <c r="AL31">
        <v>26</v>
      </c>
      <c r="AM31">
        <v>26</v>
      </c>
      <c r="AN31">
        <v>26</v>
      </c>
      <c r="AO31">
        <v>26</v>
      </c>
      <c r="AP31">
        <v>26</v>
      </c>
      <c r="AQ31">
        <v>26</v>
      </c>
      <c r="AR31">
        <v>26</v>
      </c>
      <c r="AS31">
        <v>26</v>
      </c>
      <c r="AT31">
        <v>26</v>
      </c>
      <c r="AU31">
        <v>26</v>
      </c>
      <c r="AV31">
        <v>26</v>
      </c>
      <c r="AW31">
        <v>26</v>
      </c>
      <c r="AX31">
        <v>26</v>
      </c>
      <c r="AY31">
        <v>26</v>
      </c>
      <c r="AZ31">
        <v>26</v>
      </c>
      <c r="BA31">
        <v>26</v>
      </c>
      <c r="BB31">
        <v>26</v>
      </c>
      <c r="BC31">
        <v>26</v>
      </c>
      <c r="BD31">
        <v>26</v>
      </c>
      <c r="BE31">
        <v>26</v>
      </c>
      <c r="BF31">
        <v>26</v>
      </c>
      <c r="BG31">
        <v>26</v>
      </c>
      <c r="BH31">
        <v>26</v>
      </c>
      <c r="BI31">
        <v>26</v>
      </c>
      <c r="BJ31">
        <v>29</v>
      </c>
      <c r="BK31">
        <v>29</v>
      </c>
      <c r="BL31">
        <v>29</v>
      </c>
      <c r="BM31">
        <v>157</v>
      </c>
      <c r="BN31">
        <v>232</v>
      </c>
      <c r="BO31">
        <v>232</v>
      </c>
      <c r="BP31">
        <v>232</v>
      </c>
      <c r="BQ31">
        <v>232</v>
      </c>
      <c r="BR31">
        <v>232</v>
      </c>
      <c r="BS31">
        <v>232</v>
      </c>
      <c r="BT31">
        <v>232</v>
      </c>
      <c r="BU31">
        <v>232</v>
      </c>
      <c r="BV31">
        <v>232</v>
      </c>
      <c r="BW31">
        <v>232</v>
      </c>
      <c r="BX31">
        <v>232</v>
      </c>
      <c r="BY31">
        <v>232</v>
      </c>
      <c r="BZ31">
        <v>168</v>
      </c>
      <c r="CA31">
        <v>234</v>
      </c>
      <c r="CB31">
        <v>234</v>
      </c>
      <c r="CC31">
        <v>234</v>
      </c>
      <c r="CD31">
        <v>273</v>
      </c>
      <c r="CE31">
        <v>273</v>
      </c>
      <c r="CF31">
        <v>273</v>
      </c>
      <c r="CG31">
        <v>273</v>
      </c>
      <c r="CH31">
        <v>273</v>
      </c>
      <c r="CI31">
        <v>273</v>
      </c>
      <c r="CJ31">
        <v>273</v>
      </c>
      <c r="CK31">
        <v>273</v>
      </c>
      <c r="CL31">
        <v>273</v>
      </c>
      <c r="CM31">
        <v>273</v>
      </c>
      <c r="CN31">
        <v>273</v>
      </c>
      <c r="CO31">
        <v>273</v>
      </c>
      <c r="CP31">
        <v>273</v>
      </c>
      <c r="CQ31">
        <v>273</v>
      </c>
      <c r="CR31">
        <v>273</v>
      </c>
      <c r="CS31">
        <v>273</v>
      </c>
    </row>
    <row r="32" spans="1:97">
      <c r="A32" s="9">
        <v>46265</v>
      </c>
      <c r="B32">
        <v>126</v>
      </c>
      <c r="C32">
        <v>126</v>
      </c>
      <c r="D32">
        <v>126</v>
      </c>
      <c r="E32">
        <v>126</v>
      </c>
      <c r="F32">
        <v>126</v>
      </c>
      <c r="G32">
        <v>126</v>
      </c>
      <c r="H32">
        <v>126</v>
      </c>
      <c r="I32">
        <v>126</v>
      </c>
      <c r="J32">
        <v>167</v>
      </c>
      <c r="K32">
        <v>167</v>
      </c>
      <c r="L32">
        <v>167</v>
      </c>
      <c r="M32">
        <v>167</v>
      </c>
      <c r="N32">
        <v>167</v>
      </c>
      <c r="O32">
        <v>167</v>
      </c>
      <c r="P32">
        <v>167</v>
      </c>
      <c r="Q32">
        <v>167</v>
      </c>
      <c r="R32">
        <v>167</v>
      </c>
      <c r="S32">
        <v>167</v>
      </c>
      <c r="T32">
        <v>167</v>
      </c>
      <c r="U32">
        <v>167</v>
      </c>
      <c r="V32">
        <v>167</v>
      </c>
      <c r="W32">
        <v>167</v>
      </c>
      <c r="X32">
        <v>167</v>
      </c>
      <c r="Y32">
        <v>167</v>
      </c>
      <c r="Z32">
        <v>167</v>
      </c>
      <c r="AA32">
        <v>167</v>
      </c>
      <c r="AB32">
        <v>167</v>
      </c>
      <c r="AC32">
        <v>167</v>
      </c>
      <c r="AD32">
        <v>167</v>
      </c>
      <c r="AE32">
        <v>167</v>
      </c>
      <c r="AF32">
        <v>167</v>
      </c>
      <c r="AG32">
        <v>167</v>
      </c>
      <c r="AH32">
        <v>167</v>
      </c>
      <c r="AI32">
        <v>29</v>
      </c>
      <c r="AJ32">
        <v>29</v>
      </c>
      <c r="AK32">
        <v>29</v>
      </c>
      <c r="AL32">
        <v>26</v>
      </c>
      <c r="AM32">
        <v>26</v>
      </c>
      <c r="AN32">
        <v>26</v>
      </c>
      <c r="AO32">
        <v>26</v>
      </c>
      <c r="AP32">
        <v>26</v>
      </c>
      <c r="AQ32">
        <v>26</v>
      </c>
      <c r="AR32">
        <v>26</v>
      </c>
      <c r="AS32">
        <v>26</v>
      </c>
      <c r="AT32">
        <v>26</v>
      </c>
      <c r="AU32">
        <v>26</v>
      </c>
      <c r="AV32">
        <v>26</v>
      </c>
      <c r="AW32">
        <v>26</v>
      </c>
      <c r="AX32">
        <v>26</v>
      </c>
      <c r="AY32">
        <v>26</v>
      </c>
      <c r="AZ32">
        <v>26</v>
      </c>
      <c r="BA32">
        <v>26</v>
      </c>
      <c r="BB32">
        <v>26</v>
      </c>
      <c r="BC32">
        <v>26</v>
      </c>
      <c r="BD32">
        <v>26</v>
      </c>
      <c r="BE32">
        <v>29</v>
      </c>
      <c r="BF32">
        <v>29</v>
      </c>
      <c r="BG32">
        <v>29</v>
      </c>
      <c r="BH32">
        <v>29</v>
      </c>
      <c r="BI32">
        <v>29</v>
      </c>
      <c r="BJ32">
        <v>29</v>
      </c>
      <c r="BK32">
        <v>29</v>
      </c>
      <c r="BL32">
        <v>29</v>
      </c>
      <c r="BM32">
        <v>29</v>
      </c>
      <c r="BN32">
        <v>165</v>
      </c>
      <c r="BO32">
        <v>165</v>
      </c>
      <c r="BP32">
        <v>165</v>
      </c>
      <c r="BQ32">
        <v>206</v>
      </c>
      <c r="BR32">
        <v>206</v>
      </c>
      <c r="BS32">
        <v>206</v>
      </c>
      <c r="BT32">
        <v>206</v>
      </c>
      <c r="BU32">
        <v>206</v>
      </c>
      <c r="BV32">
        <v>206</v>
      </c>
      <c r="BW32">
        <v>206</v>
      </c>
      <c r="BX32">
        <v>206</v>
      </c>
      <c r="BY32">
        <v>206</v>
      </c>
      <c r="BZ32">
        <v>206</v>
      </c>
      <c r="CA32">
        <v>206</v>
      </c>
      <c r="CB32">
        <v>206</v>
      </c>
      <c r="CC32">
        <v>206</v>
      </c>
      <c r="CD32">
        <v>206</v>
      </c>
      <c r="CE32">
        <v>167</v>
      </c>
      <c r="CF32">
        <v>167</v>
      </c>
      <c r="CG32">
        <v>167</v>
      </c>
      <c r="CH32">
        <v>167</v>
      </c>
      <c r="CI32">
        <v>167</v>
      </c>
      <c r="CJ32">
        <v>167</v>
      </c>
      <c r="CK32">
        <v>167</v>
      </c>
      <c r="CL32">
        <v>167</v>
      </c>
      <c r="CM32">
        <v>167</v>
      </c>
      <c r="CN32">
        <v>167</v>
      </c>
      <c r="CO32">
        <v>167</v>
      </c>
      <c r="CP32">
        <v>188</v>
      </c>
      <c r="CQ32">
        <v>188</v>
      </c>
      <c r="CR32">
        <v>188</v>
      </c>
      <c r="CS32">
        <v>188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CS93"/>
  <sheetViews>
    <sheetView workbookViewId="0">
      <selection activeCell="N44" sqref="N44"/>
    </sheetView>
  </sheetViews>
  <sheetFormatPr defaultColWidth="9" defaultRowHeight="13.5"/>
  <cols>
    <col min="1" max="1" width="11.8916666666667"/>
    <col min="2" max="2" width="12.6666666666667"/>
    <col min="3" max="28" width="13.75"/>
    <col min="29" max="33" width="12.6666666666667"/>
    <col min="34" max="34" width="13.75"/>
    <col min="35" max="35" width="12.6666666666667"/>
    <col min="36" max="70" width="13.75"/>
    <col min="71" max="89" width="12.6666666666667"/>
    <col min="90" max="90" width="13.75"/>
    <col min="91" max="91" width="12.6666666666667"/>
    <col min="92" max="97" width="13.75"/>
  </cols>
  <sheetData>
    <row r="1" spans="1:97">
      <c r="A1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8">
        <v>46235</v>
      </c>
      <c r="B2" cm="1">
        <f t="array" ref="B2:CS2">_xlfn._xlws.FILTER(_xlfn.TRIMRANGE(火电空间!$B$2:$CS$32),_xlfn.TRIMRANGE(火电空间!$A$2:$A$32)=A2)/_xlfn._xlws.FILTER(_xlfn.TRIMRANGE(日前开机!$B$2:$CS$32),_xlfn.TRIMRANGE(日前开机!$A$2:$A$32)=A2)</f>
        <v>0.324268144044321</v>
      </c>
      <c r="C2">
        <v>0.317513573407202</v>
      </c>
      <c r="D2">
        <v>0.326154599891127</v>
      </c>
      <c r="E2">
        <v>0.331796407185629</v>
      </c>
      <c r="F2">
        <v>0.336446379967338</v>
      </c>
      <c r="G2">
        <v>0.323756668481219</v>
      </c>
      <c r="H2">
        <v>0.314347849755035</v>
      </c>
      <c r="I2">
        <v>0.310267283614589</v>
      </c>
      <c r="J2">
        <v>0.314895481763745</v>
      </c>
      <c r="K2">
        <v>0.301376701143168</v>
      </c>
      <c r="L2">
        <v>0.300558519324986</v>
      </c>
      <c r="M2">
        <v>0.288392487751769</v>
      </c>
      <c r="N2">
        <v>0.283579749591726</v>
      </c>
      <c r="O2">
        <v>0.288238432226456</v>
      </c>
      <c r="P2">
        <v>0.294597713663582</v>
      </c>
      <c r="Q2">
        <v>0.290946107784431</v>
      </c>
      <c r="R2">
        <v>0.297059880239521</v>
      </c>
      <c r="S2">
        <v>0.299724550898204</v>
      </c>
      <c r="T2">
        <v>0.303542188350572</v>
      </c>
      <c r="U2">
        <v>0.337181818181818</v>
      </c>
      <c r="V2">
        <v>0.355529667936854</v>
      </c>
      <c r="W2">
        <v>0.366104518236255</v>
      </c>
      <c r="X2">
        <v>0.378793140990746</v>
      </c>
      <c r="Y2">
        <v>0.380363636363636</v>
      </c>
      <c r="Z2">
        <v>0.389698965704954</v>
      </c>
      <c r="AA2">
        <v>0.360948932720886</v>
      </c>
      <c r="AB2">
        <v>0.329501215887599</v>
      </c>
      <c r="AC2">
        <v>0.306569575790326</v>
      </c>
      <c r="AD2">
        <v>0.311765468792218</v>
      </c>
      <c r="AE2">
        <v>0.310159416373953</v>
      </c>
      <c r="AF2">
        <v>0.31595460686301</v>
      </c>
      <c r="AG2">
        <v>0.323662793839502</v>
      </c>
      <c r="AH2">
        <v>0.344244084020207</v>
      </c>
      <c r="AI2">
        <v>0.352958255783036</v>
      </c>
      <c r="AJ2">
        <v>0.353914916245679</v>
      </c>
      <c r="AK2">
        <v>0.331611743862313</v>
      </c>
      <c r="AL2">
        <v>0.314661098456087</v>
      </c>
      <c r="AM2">
        <v>0.335102505694761</v>
      </c>
      <c r="AN2">
        <v>0.334145279676031</v>
      </c>
      <c r="AO2">
        <v>0.340744621614782</v>
      </c>
      <c r="AP2">
        <v>0.341289293849659</v>
      </c>
      <c r="AQ2">
        <v>0.362314349664263</v>
      </c>
      <c r="AR2">
        <v>0.362233275304651</v>
      </c>
      <c r="AS2">
        <v>0.368999253916936</v>
      </c>
      <c r="AT2">
        <v>0.372712260631684</v>
      </c>
      <c r="AU2">
        <v>0.363472270579458</v>
      </c>
      <c r="AV2">
        <v>0.383324048744093</v>
      </c>
      <c r="AW2">
        <v>0.4052439691619</v>
      </c>
      <c r="AX2">
        <v>0.426904424346126</v>
      </c>
      <c r="AY2">
        <v>0.420879503698401</v>
      </c>
      <c r="AZ2">
        <v>0.425676449534717</v>
      </c>
      <c r="BA2">
        <v>0.432992355802641</v>
      </c>
      <c r="BB2">
        <v>0.445233188967404</v>
      </c>
      <c r="BC2">
        <v>0.424297174897563</v>
      </c>
      <c r="BD2">
        <v>0.443929695924089</v>
      </c>
      <c r="BE2">
        <v>0.454276903170153</v>
      </c>
      <c r="BF2">
        <v>0.475880094888937</v>
      </c>
      <c r="BG2">
        <v>0.492822514556826</v>
      </c>
      <c r="BH2">
        <v>0.484465842286641</v>
      </c>
      <c r="BI2">
        <v>0.51015811879181</v>
      </c>
      <c r="BJ2">
        <v>0.546673659212349</v>
      </c>
      <c r="BK2">
        <v>0.564661785078171</v>
      </c>
      <c r="BL2">
        <v>0.562719599152052</v>
      </c>
      <c r="BM2">
        <v>0.58544616561484</v>
      </c>
      <c r="BN2">
        <v>0.62611971696309</v>
      </c>
      <c r="BO2">
        <v>0.651277108433735</v>
      </c>
      <c r="BP2">
        <v>0.651376171352075</v>
      </c>
      <c r="BQ2">
        <v>0.628932874354561</v>
      </c>
      <c r="BR2">
        <v>0.638269267546376</v>
      </c>
      <c r="BS2">
        <v>0.659059475999235</v>
      </c>
      <c r="BT2">
        <v>0.672449799196787</v>
      </c>
      <c r="BU2">
        <v>0.680774733637747</v>
      </c>
      <c r="BV2">
        <v>0.685511415525114</v>
      </c>
      <c r="BW2">
        <v>0.70304902517509</v>
      </c>
      <c r="BX2">
        <v>0.700892382556616</v>
      </c>
      <c r="BY2">
        <v>0.713164514317799</v>
      </c>
      <c r="BZ2">
        <v>0.731761182856073</v>
      </c>
      <c r="CA2">
        <v>0.732702013670793</v>
      </c>
      <c r="CB2">
        <v>0.747330131165712</v>
      </c>
      <c r="CC2">
        <v>0.747450951413264</v>
      </c>
      <c r="CD2">
        <v>0.742078699427305</v>
      </c>
      <c r="CE2">
        <v>0.747060779604655</v>
      </c>
      <c r="CF2">
        <v>0.746108996859412</v>
      </c>
      <c r="CG2">
        <v>0.737750969887308</v>
      </c>
      <c r="CH2">
        <v>0.744608535008313</v>
      </c>
      <c r="CI2">
        <v>0.716885645667837</v>
      </c>
      <c r="CJ2">
        <v>0.6963026048402</v>
      </c>
      <c r="CK2">
        <v>0.66359874376501</v>
      </c>
      <c r="CL2">
        <v>0.657555514502125</v>
      </c>
      <c r="CM2">
        <v>0.648673194162202</v>
      </c>
      <c r="CN2">
        <v>0.642840569000554</v>
      </c>
      <c r="CO2">
        <v>0.63279068908184</v>
      </c>
      <c r="CP2">
        <v>0.621034546462221</v>
      </c>
      <c r="CQ2">
        <v>0.60188952521707</v>
      </c>
      <c r="CR2">
        <v>0.574086458525771</v>
      </c>
      <c r="CS2">
        <v>0.568336597081101</v>
      </c>
    </row>
    <row r="3" spans="1:97">
      <c r="A3" s="8">
        <v>46236</v>
      </c>
      <c r="B3" cm="1">
        <f t="array" ref="B3:CS3">_xlfn._xlws.FILTER(_xlfn.TRIMRANGE(火电空间!$B$2:$CS$32),_xlfn.TRIMRANGE(火电空间!$A$2:$A$32)=A3)/_xlfn._xlws.FILTER(_xlfn.TRIMRANGE(日前开机!$B$2:$CS$32),_xlfn.TRIMRANGE(日前开机!$A$2:$A$32)=A3)</f>
        <v>0.580573434324774</v>
      </c>
      <c r="C3">
        <v>0.576807685202291</v>
      </c>
      <c r="D3">
        <v>0.57975023092555</v>
      </c>
      <c r="E3">
        <v>0.588435248475891</v>
      </c>
      <c r="F3">
        <v>0.594737853316091</v>
      </c>
      <c r="G3">
        <v>0.603677812673194</v>
      </c>
      <c r="H3">
        <v>0.593331377223547</v>
      </c>
      <c r="I3">
        <v>0.586909957821383</v>
      </c>
      <c r="J3">
        <v>0.584547221712819</v>
      </c>
      <c r="K3">
        <v>0.577903539336145</v>
      </c>
      <c r="L3">
        <v>0.57609682743444</v>
      </c>
      <c r="M3">
        <v>0.565174399413167</v>
      </c>
      <c r="N3">
        <v>0.562680726205758</v>
      </c>
      <c r="O3">
        <v>0.565332477535302</v>
      </c>
      <c r="P3">
        <v>0.567932880982945</v>
      </c>
      <c r="Q3">
        <v>0.566824500275078</v>
      </c>
      <c r="R3">
        <v>0.569439574546121</v>
      </c>
      <c r="S3">
        <v>0.573066568861177</v>
      </c>
      <c r="T3">
        <v>0.574402714102329</v>
      </c>
      <c r="U3">
        <v>0.589894003300935</v>
      </c>
      <c r="V3">
        <v>0.589291032459197</v>
      </c>
      <c r="W3">
        <v>0.582148542086925</v>
      </c>
      <c r="X3">
        <v>0.589457179534201</v>
      </c>
      <c r="Y3">
        <v>0.582566293783239</v>
      </c>
      <c r="Z3">
        <v>0.592228498074454</v>
      </c>
      <c r="AA3">
        <v>0.577998166147075</v>
      </c>
      <c r="AB3">
        <v>0.573658169814781</v>
      </c>
      <c r="AC3">
        <v>0.567416467999266</v>
      </c>
      <c r="AD3">
        <v>0.571440308087291</v>
      </c>
      <c r="AE3">
        <v>0.570612506876948</v>
      </c>
      <c r="AF3">
        <v>0.575120850907757</v>
      </c>
      <c r="AG3">
        <v>0.578637447276728</v>
      </c>
      <c r="AH3">
        <v>0.593546304786356</v>
      </c>
      <c r="AI3">
        <v>0.591695213643866</v>
      </c>
      <c r="AJ3">
        <v>0.586602604071153</v>
      </c>
      <c r="AK3">
        <v>0.577674307720521</v>
      </c>
      <c r="AL3">
        <v>0.559025123785072</v>
      </c>
      <c r="AM3">
        <v>0.564719237117183</v>
      </c>
      <c r="AN3">
        <v>0.557680542820466</v>
      </c>
      <c r="AO3">
        <v>0.554438657619659</v>
      </c>
      <c r="AP3">
        <v>0.545083807078672</v>
      </c>
      <c r="AQ3">
        <v>0.554756647716853</v>
      </c>
      <c r="AR3">
        <v>0.546716302952503</v>
      </c>
      <c r="AS3">
        <v>0.542901522097928</v>
      </c>
      <c r="AT3">
        <v>0.536686961305703</v>
      </c>
      <c r="AU3">
        <v>0.52381808178984</v>
      </c>
      <c r="AV3">
        <v>0.529738859343481</v>
      </c>
      <c r="AW3">
        <v>0.537869796442325</v>
      </c>
      <c r="AX3">
        <v>0.549344580964607</v>
      </c>
      <c r="AY3">
        <v>0.545083807078672</v>
      </c>
      <c r="AZ3">
        <v>0.541371721987897</v>
      </c>
      <c r="BA3">
        <v>0.547145057766367</v>
      </c>
      <c r="BB3">
        <v>0.548382174949569</v>
      </c>
      <c r="BC3">
        <v>0.543882266642215</v>
      </c>
      <c r="BD3">
        <v>0.552542086924629</v>
      </c>
      <c r="BE3">
        <v>0.5520220062351</v>
      </c>
      <c r="BF3">
        <v>0.562701265358518</v>
      </c>
      <c r="BG3">
        <v>0.568141940216395</v>
      </c>
      <c r="BH3">
        <v>0.577588483403631</v>
      </c>
      <c r="BI3">
        <v>0.592677058499908</v>
      </c>
      <c r="BJ3">
        <v>0.62615624426921</v>
      </c>
      <c r="BK3">
        <v>0.636963873097378</v>
      </c>
      <c r="BL3">
        <v>0.642384742343664</v>
      </c>
      <c r="BM3">
        <v>0.661053365120117</v>
      </c>
      <c r="BN3">
        <v>0.695187603154227</v>
      </c>
      <c r="BO3">
        <v>0.714350999449844</v>
      </c>
      <c r="BP3">
        <v>0.709179900971942</v>
      </c>
      <c r="BQ3">
        <v>0.684601136988814</v>
      </c>
      <c r="BR3">
        <v>0.690315789473684</v>
      </c>
      <c r="BS3">
        <v>0.703075738125802</v>
      </c>
      <c r="BT3">
        <v>0.711104346231432</v>
      </c>
      <c r="BU3">
        <v>0.717745827984596</v>
      </c>
      <c r="BV3">
        <v>0.719347881899872</v>
      </c>
      <c r="BW3">
        <v>0.730759948652118</v>
      </c>
      <c r="BX3">
        <v>0.730585365853659</v>
      </c>
      <c r="BY3">
        <v>0.734862277645333</v>
      </c>
      <c r="BZ3">
        <v>0.747532734274711</v>
      </c>
      <c r="CA3">
        <v>0.751017788373372</v>
      </c>
      <c r="CB3">
        <v>0.758729139922978</v>
      </c>
      <c r="CC3">
        <v>0.753441775169631</v>
      </c>
      <c r="CD3">
        <v>0.743006785255823</v>
      </c>
      <c r="CE3">
        <v>0.744512011736659</v>
      </c>
      <c r="CF3">
        <v>0.740421786172749</v>
      </c>
      <c r="CG3">
        <v>0.728761782505043</v>
      </c>
      <c r="CH3">
        <v>0.730064184852375</v>
      </c>
      <c r="CI3">
        <v>0.698755914175683</v>
      </c>
      <c r="CJ3">
        <v>0.673387126352467</v>
      </c>
      <c r="CK3">
        <v>0.636923528333028</v>
      </c>
      <c r="CL3">
        <v>0.626463598019439</v>
      </c>
      <c r="CM3">
        <v>0.61382541720154</v>
      </c>
      <c r="CN3">
        <v>0.604440858243169</v>
      </c>
      <c r="CO3">
        <v>0.592291949385659</v>
      </c>
      <c r="CP3">
        <v>0.576209792774619</v>
      </c>
      <c r="CQ3">
        <v>0.553970291582615</v>
      </c>
      <c r="CR3">
        <v>0.524469099578214</v>
      </c>
      <c r="CS3">
        <v>0.516349899138089</v>
      </c>
    </row>
    <row r="4" spans="1:97">
      <c r="A4" s="8">
        <v>46237</v>
      </c>
      <c r="B4" cm="1">
        <f t="array" ref="B4:CS4">_xlfn._xlws.FILTER(_xlfn.TRIMRANGE(火电空间!$B$2:$CS$32),_xlfn.TRIMRANGE(火电空间!$A$2:$A$32)=A4)/_xlfn._xlws.FILTER(_xlfn.TRIMRANGE(日前开机!$B$2:$CS$32),_xlfn.TRIMRANGE(日前开机!$A$2:$A$32)=A4)</f>
        <v>0.529843388960205</v>
      </c>
      <c r="C4">
        <v>0.525263524665322</v>
      </c>
      <c r="D4">
        <v>0.528244269209609</v>
      </c>
      <c r="E4">
        <v>0.523275628094627</v>
      </c>
      <c r="F4">
        <v>0.521236750412617</v>
      </c>
      <c r="G4">
        <v>0.517026957637997</v>
      </c>
      <c r="H4">
        <v>0.507167064001467</v>
      </c>
      <c r="I4">
        <v>0.497961489088575</v>
      </c>
      <c r="J4">
        <v>0.492662754447093</v>
      </c>
      <c r="K4">
        <v>0.4798679625894</v>
      </c>
      <c r="L4">
        <v>0.472823033192738</v>
      </c>
      <c r="M4">
        <v>0.464938932697598</v>
      </c>
      <c r="N4">
        <v>0.456025307170365</v>
      </c>
      <c r="O4">
        <v>0.45420905923345</v>
      </c>
      <c r="P4">
        <v>0.453110214560792</v>
      </c>
      <c r="Q4">
        <v>0.446304786356134</v>
      </c>
      <c r="R4">
        <v>0.450120667522465</v>
      </c>
      <c r="S4">
        <v>0.448219695580414</v>
      </c>
      <c r="T4">
        <v>0.450828901522098</v>
      </c>
      <c r="U4">
        <v>0.463085274161012</v>
      </c>
      <c r="V4">
        <v>0.469185035760132</v>
      </c>
      <c r="W4">
        <v>0.461507793874931</v>
      </c>
      <c r="X4">
        <v>0.45614450761049</v>
      </c>
      <c r="Y4">
        <v>0.443739592884651</v>
      </c>
      <c r="Z4">
        <v>0.451621492756281</v>
      </c>
      <c r="AA4">
        <v>0.444818631945718</v>
      </c>
      <c r="AB4">
        <v>0.439113882266642</v>
      </c>
      <c r="AC4">
        <v>0.428467265725289</v>
      </c>
      <c r="AD4">
        <v>0.427617825050431</v>
      </c>
      <c r="AE4">
        <v>0.422455529066569</v>
      </c>
      <c r="AF4">
        <v>0.420685127452778</v>
      </c>
      <c r="AG4">
        <v>0.421420869246286</v>
      </c>
      <c r="AH4">
        <v>0.436986246103063</v>
      </c>
      <c r="AI4">
        <v>0.426408949202274</v>
      </c>
      <c r="AJ4">
        <v>0.414319823950119</v>
      </c>
      <c r="AK4">
        <v>0.394590133871264</v>
      </c>
      <c r="AL4">
        <v>0.367798276178251</v>
      </c>
      <c r="AM4">
        <v>0.368342563726389</v>
      </c>
      <c r="AN4">
        <v>0.350649917476618</v>
      </c>
      <c r="AO4">
        <v>0.334261507427105</v>
      </c>
      <c r="AP4">
        <v>0.321233082706767</v>
      </c>
      <c r="AQ4">
        <v>0.320425820649184</v>
      </c>
      <c r="AR4">
        <v>0.309716853108381</v>
      </c>
      <c r="AS4">
        <v>0.292571428571429</v>
      </c>
      <c r="AT4">
        <v>0.276472033742894</v>
      </c>
      <c r="AU4">
        <v>0.271640931597286</v>
      </c>
      <c r="AV4">
        <v>0.260758114799193</v>
      </c>
      <c r="AW4">
        <v>0.272363836420319</v>
      </c>
      <c r="AX4">
        <v>0.272311754997249</v>
      </c>
      <c r="AY4">
        <v>0.26587823216578</v>
      </c>
      <c r="AZ4">
        <v>0.262952503209243</v>
      </c>
      <c r="BA4">
        <v>0.252938199156428</v>
      </c>
      <c r="BB4">
        <v>0.251489822116266</v>
      </c>
      <c r="BC4">
        <v>0.249489822116266</v>
      </c>
      <c r="BD4">
        <v>0.251565743627361</v>
      </c>
      <c r="BE4">
        <v>0.248622409682743</v>
      </c>
      <c r="BF4">
        <v>0.260834769851458</v>
      </c>
      <c r="BG4">
        <v>0.269977626994315</v>
      </c>
      <c r="BH4">
        <v>0.281771501925546</v>
      </c>
      <c r="BI4">
        <v>0.290078122134605</v>
      </c>
      <c r="BJ4">
        <v>0.322960938932698</v>
      </c>
      <c r="BK4">
        <v>0.341574546121401</v>
      </c>
      <c r="BL4">
        <v>0.36002273977627</v>
      </c>
      <c r="BM4">
        <v>0.379145791307537</v>
      </c>
      <c r="BN4">
        <v>0.418362002567394</v>
      </c>
      <c r="BO4">
        <v>0.438208325692279</v>
      </c>
      <c r="BP4">
        <v>0.436881716486338</v>
      </c>
      <c r="BQ4">
        <v>0.419578947368421</v>
      </c>
      <c r="BR4">
        <v>0.432247203374289</v>
      </c>
      <c r="BS4">
        <v>0.4520660187053</v>
      </c>
      <c r="BT4">
        <v>0.459763799743261</v>
      </c>
      <c r="BU4">
        <v>0.474043645699615</v>
      </c>
      <c r="BV4">
        <v>0.477669906473501</v>
      </c>
      <c r="BW4">
        <v>0.486031175499725</v>
      </c>
      <c r="BX4">
        <v>0.493492389510361</v>
      </c>
      <c r="BY4">
        <v>0.494508710801394</v>
      </c>
      <c r="BZ4">
        <v>0.507563176233266</v>
      </c>
      <c r="CA4">
        <v>0.510985145791307</v>
      </c>
      <c r="CB4">
        <v>0.522870713368788</v>
      </c>
      <c r="CC4">
        <v>0.516689895470383</v>
      </c>
      <c r="CD4">
        <v>0.506951769668073</v>
      </c>
      <c r="CE4">
        <v>0.512542820465799</v>
      </c>
      <c r="CF4">
        <v>0.506952869979828</v>
      </c>
      <c r="CG4">
        <v>0.501192371171832</v>
      </c>
      <c r="CH4">
        <v>0.502114065651935</v>
      </c>
      <c r="CI4">
        <v>0.48410342930497</v>
      </c>
      <c r="CJ4">
        <v>0.472763249587383</v>
      </c>
      <c r="CK4">
        <v>0.456553456812764</v>
      </c>
      <c r="CL4">
        <v>0.461966623876765</v>
      </c>
      <c r="CM4">
        <v>0.456708233999633</v>
      </c>
      <c r="CN4">
        <v>0.45397946084724</v>
      </c>
      <c r="CO4">
        <v>0.450248303686044</v>
      </c>
      <c r="CP4">
        <v>0.440019438841005</v>
      </c>
      <c r="CQ4">
        <v>0.422008435723455</v>
      </c>
      <c r="CR4">
        <v>0.403131120484137</v>
      </c>
      <c r="CS4">
        <v>0.398567394094994</v>
      </c>
    </row>
    <row r="5" spans="1:97">
      <c r="A5" s="8">
        <v>46238</v>
      </c>
      <c r="B5" cm="1">
        <f t="array" ref="B5:CS5">_xlfn._xlws.FILTER(_xlfn.TRIMRANGE(火电空间!$B$2:$CS$32),_xlfn.TRIMRANGE(火电空间!$A$2:$A$32)=A5)/_xlfn._xlws.FILTER(_xlfn.TRIMRANGE(日前开机!$B$2:$CS$32),_xlfn.TRIMRANGE(日前开机!$A$2:$A$32)=A5)</f>
        <v>0.412527049330644</v>
      </c>
      <c r="C5">
        <v>0.407160828901522</v>
      </c>
      <c r="D5">
        <v>0.402554190353934</v>
      </c>
      <c r="E5">
        <v>0.393805244819366</v>
      </c>
      <c r="F5">
        <v>0.410513112048414</v>
      </c>
      <c r="G5">
        <v>0.418345497891069</v>
      </c>
      <c r="H5">
        <v>0.422718870346598</v>
      </c>
      <c r="I5">
        <v>0.421535668439391</v>
      </c>
      <c r="J5">
        <v>0.422778653951953</v>
      </c>
      <c r="K5">
        <v>0.415507060333761</v>
      </c>
      <c r="L5">
        <v>0.410059783605355</v>
      </c>
      <c r="M5">
        <v>0.415666605538236</v>
      </c>
      <c r="N5">
        <v>0.412385842655419</v>
      </c>
      <c r="O5">
        <v>0.417326609205942</v>
      </c>
      <c r="P5">
        <v>0.420381808178984</v>
      </c>
      <c r="Q5">
        <v>0.418867045662938</v>
      </c>
      <c r="R5">
        <v>0.429214744177517</v>
      </c>
      <c r="S5">
        <v>0.42985109114249</v>
      </c>
      <c r="T5">
        <v>0.435074637814047</v>
      </c>
      <c r="U5">
        <v>0.445928479735925</v>
      </c>
      <c r="V5">
        <v>0.46604841371722</v>
      </c>
      <c r="W5">
        <v>0.450724738675958</v>
      </c>
      <c r="X5">
        <v>0.441149825783972</v>
      </c>
      <c r="Y5">
        <v>0.457094076655052</v>
      </c>
      <c r="Z5">
        <v>0.480324225197139</v>
      </c>
      <c r="AA5">
        <v>0.483310471300202</v>
      </c>
      <c r="AB5">
        <v>0.477381991564277</v>
      </c>
      <c r="AC5">
        <v>0.467412800293416</v>
      </c>
      <c r="AD5">
        <v>0.458878415551073</v>
      </c>
      <c r="AE5">
        <v>0.454487937602032</v>
      </c>
      <c r="AF5">
        <v>0.456543079992744</v>
      </c>
      <c r="AG5">
        <v>0.462999093052784</v>
      </c>
      <c r="AH5">
        <v>0.490017413386541</v>
      </c>
      <c r="AI5">
        <v>0.479393796481045</v>
      </c>
      <c r="AJ5">
        <v>0.475931434790495</v>
      </c>
      <c r="AK5">
        <v>0.47247741701433</v>
      </c>
      <c r="AL5">
        <v>0.448216941773989</v>
      </c>
      <c r="AM5">
        <v>0.453787774351533</v>
      </c>
      <c r="AN5">
        <v>0.437874478505351</v>
      </c>
      <c r="AO5">
        <v>0.424327226555414</v>
      </c>
      <c r="AP5">
        <v>0.416798476328678</v>
      </c>
      <c r="AQ5">
        <v>0.407839288953383</v>
      </c>
      <c r="AR5">
        <v>0.400089969163795</v>
      </c>
      <c r="AS5">
        <v>0.381350263014693</v>
      </c>
      <c r="AT5">
        <v>0.372926900054417</v>
      </c>
      <c r="AU5">
        <v>0.372207509522946</v>
      </c>
      <c r="AV5">
        <v>0.359951024850354</v>
      </c>
      <c r="AW5">
        <v>0.375360783602394</v>
      </c>
      <c r="AX5">
        <v>0.376918556140033</v>
      </c>
      <c r="AY5">
        <v>0.383122437874116</v>
      </c>
      <c r="AZ5">
        <v>0.38459894794123</v>
      </c>
      <c r="BA5">
        <v>0.372452022492291</v>
      </c>
      <c r="BB5">
        <v>0.366567023399238</v>
      </c>
      <c r="BC5">
        <v>0.382417921276982</v>
      </c>
      <c r="BD5">
        <v>0.365874115726465</v>
      </c>
      <c r="BE5">
        <v>0.348161436604389</v>
      </c>
      <c r="BF5">
        <v>0.387314710683838</v>
      </c>
      <c r="BG5">
        <v>0.396043896245239</v>
      </c>
      <c r="BH5">
        <v>0.415122075095229</v>
      </c>
      <c r="BI5">
        <v>0.416831851986214</v>
      </c>
      <c r="BJ5">
        <v>0.42221585343733</v>
      </c>
      <c r="BK5">
        <v>0.445622347179394</v>
      </c>
      <c r="BL5">
        <v>0.462381643388355</v>
      </c>
      <c r="BM5">
        <v>0.483858153455469</v>
      </c>
      <c r="BN5">
        <v>0.522801378559768</v>
      </c>
      <c r="BO5">
        <v>0.524345728278614</v>
      </c>
      <c r="BP5">
        <v>0.519580627607473</v>
      </c>
      <c r="BQ5">
        <v>0.525126065662978</v>
      </c>
      <c r="BR5">
        <v>0.543264647197533</v>
      </c>
      <c r="BS5">
        <v>0.565782695447125</v>
      </c>
      <c r="BT5">
        <v>0.574744422274624</v>
      </c>
      <c r="BU5">
        <v>0.592135316524578</v>
      </c>
      <c r="BV5">
        <v>0.598256484672592</v>
      </c>
      <c r="BW5">
        <v>0.608408126247052</v>
      </c>
      <c r="BX5">
        <v>0.619630691093778</v>
      </c>
      <c r="BY5">
        <v>0.618372211137312</v>
      </c>
      <c r="BZ5">
        <v>0.634639216397606</v>
      </c>
      <c r="CA5">
        <v>0.639478323961545</v>
      </c>
      <c r="CB5">
        <v>0.657968801015781</v>
      </c>
      <c r="CC5">
        <v>0.652679122075095</v>
      </c>
      <c r="CD5">
        <v>0.645454743333938</v>
      </c>
      <c r="CE5">
        <v>0.654953020134228</v>
      </c>
      <c r="CF5">
        <v>0.650605477961183</v>
      </c>
      <c r="CG5">
        <v>0.653307455106113</v>
      </c>
      <c r="CH5">
        <v>0.64711518229639</v>
      </c>
      <c r="CI5">
        <v>0.642044259024125</v>
      </c>
      <c r="CJ5">
        <v>0.649581715944132</v>
      </c>
      <c r="CK5">
        <v>0.637668782876837</v>
      </c>
      <c r="CL5">
        <v>0.640587701795755</v>
      </c>
      <c r="CM5">
        <v>0.640150553237802</v>
      </c>
      <c r="CN5">
        <v>0.643195356430256</v>
      </c>
      <c r="CO5">
        <v>0.642590604026846</v>
      </c>
      <c r="CP5">
        <v>0.626568474514783</v>
      </c>
      <c r="CQ5">
        <v>0.606845274805006</v>
      </c>
      <c r="CR5">
        <v>0.591262470524215</v>
      </c>
      <c r="CS5">
        <v>0.56879629965536</v>
      </c>
    </row>
    <row r="6" spans="1:97">
      <c r="A6" s="8">
        <v>46239</v>
      </c>
      <c r="B6" cm="1">
        <f t="array" ref="B6:CS6">_xlfn._xlws.FILTER(_xlfn.TRIMRANGE(火电空间!$B$2:$CS$32),_xlfn.TRIMRANGE(火电空间!$A$2:$A$32)=A6)/_xlfn._xlws.FILTER(_xlfn.TRIMRANGE(日前开机!$B$2:$CS$32),_xlfn.TRIMRANGE(日前开机!$A$2:$A$32)=A6)</f>
        <v>0.530632686377653</v>
      </c>
      <c r="C6">
        <v>0.532682024306185</v>
      </c>
      <c r="D6">
        <v>0.542101578088155</v>
      </c>
      <c r="E6">
        <v>0.5410277525848</v>
      </c>
      <c r="F6">
        <v>0.565087611101034</v>
      </c>
      <c r="G6">
        <v>0.563916198077272</v>
      </c>
      <c r="H6">
        <v>0.566666424814076</v>
      </c>
      <c r="I6">
        <v>0.563582441501905</v>
      </c>
      <c r="J6">
        <v>0.559187375294758</v>
      </c>
      <c r="K6">
        <v>0.550725194993651</v>
      </c>
      <c r="L6">
        <v>0.543728641393071</v>
      </c>
      <c r="M6">
        <v>0.549004534736078</v>
      </c>
      <c r="N6">
        <v>0.550778886268819</v>
      </c>
      <c r="O6">
        <v>0.55647741701433</v>
      </c>
      <c r="P6">
        <v>0.559836023943406</v>
      </c>
      <c r="Q6">
        <v>0.558433520769091</v>
      </c>
      <c r="R6">
        <v>0.559161617993833</v>
      </c>
      <c r="S6">
        <v>0.548650825321966</v>
      </c>
      <c r="T6">
        <v>0.544356974424089</v>
      </c>
      <c r="U6">
        <v>0.539998911663341</v>
      </c>
      <c r="V6">
        <v>0.539248322147651</v>
      </c>
      <c r="W6">
        <v>0.532048975149646</v>
      </c>
      <c r="X6">
        <v>0.533321966261564</v>
      </c>
      <c r="Y6">
        <v>0.536916016687829</v>
      </c>
      <c r="Z6">
        <v>0.548290585887901</v>
      </c>
      <c r="AA6">
        <v>0.555334663522583</v>
      </c>
      <c r="AB6">
        <v>0.555281335026302</v>
      </c>
      <c r="AC6">
        <v>0.549571558135317</v>
      </c>
      <c r="AD6">
        <v>0.549333212407038</v>
      </c>
      <c r="AE6">
        <v>0.55298204244513</v>
      </c>
      <c r="AF6">
        <v>0.561664429530201</v>
      </c>
      <c r="AG6">
        <v>0.575528750226737</v>
      </c>
      <c r="AH6">
        <v>0.610375113368402</v>
      </c>
      <c r="AI6">
        <v>0.61224015962271</v>
      </c>
      <c r="AJ6">
        <v>0.61903936150916</v>
      </c>
      <c r="AK6">
        <v>0.618040631235262</v>
      </c>
      <c r="AL6">
        <v>0.604089969163795</v>
      </c>
      <c r="AM6">
        <v>0.631859241792128</v>
      </c>
      <c r="AN6">
        <v>0.630996916379467</v>
      </c>
      <c r="AO6">
        <v>0.643982586613459</v>
      </c>
      <c r="AP6">
        <v>0.659586432069654</v>
      </c>
      <c r="AQ6">
        <v>0.668822782514058</v>
      </c>
      <c r="AR6">
        <v>0.668819517504081</v>
      </c>
      <c r="AS6">
        <v>0.656673317612915</v>
      </c>
      <c r="AT6">
        <v>0.65399709776891</v>
      </c>
      <c r="AU6">
        <v>0.657146018501723</v>
      </c>
      <c r="AV6">
        <v>0.645123888989661</v>
      </c>
      <c r="AW6">
        <v>0.665982223834573</v>
      </c>
      <c r="AX6">
        <v>0.673554870306548</v>
      </c>
      <c r="AY6">
        <v>0.685290041719572</v>
      </c>
      <c r="AZ6">
        <v>0.68823435516053</v>
      </c>
      <c r="BA6">
        <v>0.669002720841647</v>
      </c>
      <c r="BB6">
        <v>0.65631888264103</v>
      </c>
      <c r="BC6">
        <v>0.67564121168148</v>
      </c>
      <c r="BD6">
        <v>0.679413386540903</v>
      </c>
      <c r="BE6">
        <v>0.681073825503356</v>
      </c>
      <c r="BF6">
        <v>0.702683838200617</v>
      </c>
      <c r="BG6">
        <v>0.692709958280428</v>
      </c>
      <c r="BH6">
        <v>0.698069653546164</v>
      </c>
      <c r="BI6">
        <v>0.683588245964085</v>
      </c>
      <c r="BJ6">
        <v>0.717331398512607</v>
      </c>
      <c r="BK6">
        <v>0.73445020859786</v>
      </c>
      <c r="BL6">
        <v>0.729135860692908</v>
      </c>
      <c r="BM6">
        <v>0.722531108289498</v>
      </c>
      <c r="BN6">
        <v>0.754379829493923</v>
      </c>
      <c r="BO6">
        <v>0.766060221295121</v>
      </c>
      <c r="BP6">
        <v>0.764397242880464</v>
      </c>
      <c r="BQ6">
        <v>0.765801922728097</v>
      </c>
      <c r="BR6">
        <v>0.776985307455106</v>
      </c>
      <c r="BS6">
        <v>0.794052602938509</v>
      </c>
      <c r="BT6">
        <v>0.798602575730093</v>
      </c>
      <c r="BU6">
        <v>0.811083620533285</v>
      </c>
      <c r="BV6">
        <v>0.812870669327045</v>
      </c>
      <c r="BW6">
        <v>0.819695991293307</v>
      </c>
      <c r="BX6">
        <v>0.826796662434246</v>
      </c>
      <c r="BY6">
        <v>0.821278795574098</v>
      </c>
      <c r="BZ6">
        <v>0.833169236350444</v>
      </c>
      <c r="CA6">
        <v>0.835663341193543</v>
      </c>
      <c r="CB6">
        <v>0.851578088155269</v>
      </c>
      <c r="CC6">
        <v>0.844095773625975</v>
      </c>
      <c r="CD6">
        <v>0.835153274079449</v>
      </c>
      <c r="CE6">
        <v>0.843240341012153</v>
      </c>
      <c r="CF6">
        <v>0.837577362597497</v>
      </c>
      <c r="CG6">
        <v>0.837014692544894</v>
      </c>
      <c r="CH6">
        <v>0.82980555051696</v>
      </c>
      <c r="CI6">
        <v>0.805777253763831</v>
      </c>
      <c r="CJ6">
        <v>0.794329403228732</v>
      </c>
      <c r="CK6">
        <v>0.781781969889352</v>
      </c>
      <c r="CL6">
        <v>0.783952838744785</v>
      </c>
      <c r="CM6">
        <v>0.78469617268275</v>
      </c>
      <c r="CN6">
        <v>0.787122075095229</v>
      </c>
      <c r="CO6">
        <v>0.785953927081444</v>
      </c>
      <c r="CP6">
        <v>0.76930382731725</v>
      </c>
      <c r="CQ6">
        <v>0.767417739887538</v>
      </c>
      <c r="CR6">
        <v>0.769277344458553</v>
      </c>
      <c r="CS6">
        <v>0.746345365499728</v>
      </c>
    </row>
    <row r="7" spans="1:97">
      <c r="A7" s="8">
        <v>46240</v>
      </c>
      <c r="B7" cm="1">
        <f t="array" ref="B7:CS7">_xlfn._xlws.FILTER(_xlfn.TRIMRANGE(火电空间!$B$2:$CS$32),_xlfn.TRIMRANGE(火电空间!$A$2:$A$32)=A7)/_xlfn._xlws.FILTER(_xlfn.TRIMRANGE(日前开机!$B$2:$CS$32),_xlfn.TRIMRANGE(日前开机!$A$2:$A$32)=A7)</f>
        <v>0.700662797025213</v>
      </c>
      <c r="C7">
        <v>0.702802829675313</v>
      </c>
      <c r="D7">
        <v>0.707691275167785</v>
      </c>
      <c r="E7">
        <v>0.711214220932342</v>
      </c>
      <c r="F7">
        <v>0.72024015962271</v>
      </c>
      <c r="G7">
        <v>0.72066606203519</v>
      </c>
      <c r="H7">
        <v>0.727227280972247</v>
      </c>
      <c r="I7">
        <v>0.728730273898059</v>
      </c>
      <c r="J7">
        <v>0.716207872301832</v>
      </c>
      <c r="K7">
        <v>0.709440232178487</v>
      </c>
      <c r="L7">
        <v>0.704466533647742</v>
      </c>
      <c r="M7">
        <v>0.69837729004172</v>
      </c>
      <c r="N7">
        <v>0.688654815889715</v>
      </c>
      <c r="O7">
        <v>0.685547251949936</v>
      </c>
      <c r="P7">
        <v>0.683373480863414</v>
      </c>
      <c r="Q7">
        <v>0.678502811536369</v>
      </c>
      <c r="R7">
        <v>0.685926718664974</v>
      </c>
      <c r="S7">
        <v>0.68318229639035</v>
      </c>
      <c r="T7">
        <v>0.683476510067114</v>
      </c>
      <c r="U7">
        <v>0.694132777072374</v>
      </c>
      <c r="V7">
        <v>0.710412116814801</v>
      </c>
      <c r="W7">
        <v>0.713065844367858</v>
      </c>
      <c r="X7">
        <v>0.715833121712316</v>
      </c>
      <c r="Y7">
        <v>0.725134772356249</v>
      </c>
      <c r="Z7">
        <v>0.755314710683838</v>
      </c>
      <c r="AA7">
        <v>0.756564121168148</v>
      </c>
      <c r="AB7">
        <v>0.754684926537275</v>
      </c>
      <c r="AC7">
        <v>0.748467984763287</v>
      </c>
      <c r="AD7">
        <v>0.750202067839652</v>
      </c>
      <c r="AE7">
        <v>0.751254489388718</v>
      </c>
      <c r="AF7">
        <v>0.742889896608017</v>
      </c>
      <c r="AG7">
        <v>0.736243787411573</v>
      </c>
      <c r="AH7">
        <v>0.746721929983675</v>
      </c>
      <c r="AI7">
        <v>0.728528568837294</v>
      </c>
      <c r="AJ7">
        <v>0.713093778342101</v>
      </c>
      <c r="AK7">
        <v>0.702203156176311</v>
      </c>
      <c r="AL7">
        <v>0.686757482314529</v>
      </c>
      <c r="AM7">
        <v>0.694448757482314</v>
      </c>
      <c r="AN7">
        <v>0.691493923453655</v>
      </c>
      <c r="AO7">
        <v>0.687494649011428</v>
      </c>
      <c r="AP7">
        <v>0.677907128605115</v>
      </c>
      <c r="AQ7">
        <v>0.682374025031743</v>
      </c>
      <c r="AR7">
        <v>0.675348811899148</v>
      </c>
      <c r="AS7">
        <v>0.665390531471068</v>
      </c>
      <c r="AT7">
        <v>0.657697805187738</v>
      </c>
      <c r="AU7">
        <v>0.658238345728279</v>
      </c>
      <c r="AV7">
        <v>0.657512425176855</v>
      </c>
      <c r="AW7">
        <v>0.665341919100308</v>
      </c>
      <c r="AX7">
        <v>0.668042445129693</v>
      </c>
      <c r="AY7">
        <v>0.673573009250862</v>
      </c>
      <c r="AZ7">
        <v>0.671726101940867</v>
      </c>
      <c r="BA7">
        <v>0.666848177036096</v>
      </c>
      <c r="BB7">
        <v>0.670425176854707</v>
      </c>
      <c r="BC7">
        <v>0.669062942136768</v>
      </c>
      <c r="BD7">
        <v>0.677366588064575</v>
      </c>
      <c r="BE7">
        <v>0.677910756393978</v>
      </c>
      <c r="BF7">
        <v>0.694725557772538</v>
      </c>
      <c r="BG7">
        <v>0.702384545619445</v>
      </c>
      <c r="BH7">
        <v>0.711541810266643</v>
      </c>
      <c r="BI7">
        <v>0.71719100308362</v>
      </c>
      <c r="BJ7">
        <v>0.750217304552875</v>
      </c>
      <c r="BK7">
        <v>0.767578088155269</v>
      </c>
      <c r="BL7">
        <v>0.781801559949211</v>
      </c>
      <c r="BM7">
        <v>0.772187193905315</v>
      </c>
      <c r="BN7">
        <v>0.799167785234899</v>
      </c>
      <c r="BO7">
        <v>0.801562851442046</v>
      </c>
      <c r="BP7">
        <v>0.815792490477054</v>
      </c>
      <c r="BQ7">
        <v>0.80850172319971</v>
      </c>
      <c r="BR7">
        <v>0.814148376564484</v>
      </c>
      <c r="BS7">
        <v>0.82969562851442</v>
      </c>
      <c r="BT7">
        <v>0.830666424814076</v>
      </c>
      <c r="BU7">
        <v>0.843441320515146</v>
      </c>
      <c r="BV7">
        <v>0.838086341374932</v>
      </c>
      <c r="BW7">
        <v>0.840877562125884</v>
      </c>
      <c r="BX7">
        <v>0.843127516778523</v>
      </c>
      <c r="BY7">
        <v>0.837467803373844</v>
      </c>
      <c r="BZ7">
        <v>0.850068202430619</v>
      </c>
      <c r="CA7">
        <v>0.853058226011246</v>
      </c>
      <c r="CB7">
        <v>0.850595682931253</v>
      </c>
      <c r="CC7">
        <v>0.841865409033194</v>
      </c>
      <c r="CD7">
        <v>0.831296571739525</v>
      </c>
      <c r="CE7">
        <v>0.83289352439688</v>
      </c>
      <c r="CF7">
        <v>0.819882822419735</v>
      </c>
      <c r="CG7">
        <v>0.814921821150009</v>
      </c>
      <c r="CH7">
        <v>0.807077816071105</v>
      </c>
      <c r="CI7">
        <v>0.781086522764375</v>
      </c>
      <c r="CJ7">
        <v>0.76168692182115</v>
      </c>
      <c r="CK7">
        <v>0.733442046072919</v>
      </c>
      <c r="CL7">
        <v>0.715563214220932</v>
      </c>
      <c r="CM7">
        <v>0.704448757482315</v>
      </c>
      <c r="CN7">
        <v>0.714549972791583</v>
      </c>
      <c r="CO7">
        <v>0.724130237620171</v>
      </c>
      <c r="CP7">
        <v>0.699447124977326</v>
      </c>
      <c r="CQ7">
        <v>0.675112642844186</v>
      </c>
      <c r="CR7">
        <v>0.647392708144386</v>
      </c>
      <c r="CS7">
        <v>0.615567204788681</v>
      </c>
    </row>
    <row r="8" spans="1:97">
      <c r="A8" s="8">
        <v>46241</v>
      </c>
      <c r="B8" cm="1">
        <f t="array" ref="B8:CS8">_xlfn._xlws.FILTER(_xlfn.TRIMRANGE(火电空间!$B$2:$CS$32),_xlfn.TRIMRANGE(火电空间!$A$2:$A$32)=A8)/_xlfn._xlws.FILTER(_xlfn.TRIMRANGE(日前开机!$B$2:$CS$32),_xlfn.TRIMRANGE(日前开机!$A$2:$A$32)=A8)</f>
        <v>0.602062340503099</v>
      </c>
      <c r="C8">
        <v>0.600418079096045</v>
      </c>
      <c r="D8">
        <v>0.590784761904762</v>
      </c>
      <c r="E8">
        <v>0.596961119751166</v>
      </c>
      <c r="F8">
        <v>0.60443705743509</v>
      </c>
      <c r="G8">
        <v>0.578346184107002</v>
      </c>
      <c r="H8">
        <v>0.554843430369788</v>
      </c>
      <c r="I8">
        <v>0.542822850318471</v>
      </c>
      <c r="J8">
        <v>0.536586385350318</v>
      </c>
      <c r="K8">
        <v>0.511927547770701</v>
      </c>
      <c r="L8">
        <v>0.490533439490446</v>
      </c>
      <c r="M8">
        <v>0.465918391719745</v>
      </c>
      <c r="N8">
        <v>0.467285031847134</v>
      </c>
      <c r="O8">
        <v>0.459328042328042</v>
      </c>
      <c r="P8">
        <v>0.439472934472935</v>
      </c>
      <c r="Q8">
        <v>0.416598697598698</v>
      </c>
      <c r="R8">
        <v>0.412568172568173</v>
      </c>
      <c r="S8">
        <v>0.390880748880749</v>
      </c>
      <c r="T8">
        <v>0.373466829466829</v>
      </c>
      <c r="U8">
        <v>0.367742775742776</v>
      </c>
      <c r="V8">
        <v>0.365448921448921</v>
      </c>
      <c r="W8">
        <v>0.357953601953602</v>
      </c>
      <c r="X8">
        <v>0.348745624745625</v>
      </c>
      <c r="Y8">
        <v>0.342574277574278</v>
      </c>
      <c r="Z8">
        <v>0.355380138380138</v>
      </c>
      <c r="AA8">
        <v>0.355901505901506</v>
      </c>
      <c r="AB8">
        <v>0.348913715913716</v>
      </c>
      <c r="AC8">
        <v>0.337269027269027</v>
      </c>
      <c r="AD8">
        <v>0.343581196581197</v>
      </c>
      <c r="AE8">
        <v>0.352255189255189</v>
      </c>
      <c r="AF8">
        <v>0.35380056980057</v>
      </c>
      <c r="AG8">
        <v>0.361510785510786</v>
      </c>
      <c r="AH8">
        <v>0.391817256817257</v>
      </c>
      <c r="AI8">
        <v>0.388908017908018</v>
      </c>
      <c r="AJ8">
        <v>0.377752136752137</v>
      </c>
      <c r="AK8">
        <v>0.371072039072039</v>
      </c>
      <c r="AL8">
        <v>0.353022792022792</v>
      </c>
      <c r="AM8">
        <v>0.351844525844526</v>
      </c>
      <c r="AN8">
        <v>0.34051973951974</v>
      </c>
      <c r="AO8">
        <v>0.319984533984534</v>
      </c>
      <c r="AP8">
        <v>0.310613756613757</v>
      </c>
      <c r="AQ8">
        <v>0.310485958485959</v>
      </c>
      <c r="AR8">
        <v>0.309748880748881</v>
      </c>
      <c r="AS8">
        <v>0.323786731786732</v>
      </c>
      <c r="AT8">
        <v>0.315952380952381</v>
      </c>
      <c r="AU8">
        <v>0.319689865689866</v>
      </c>
      <c r="AV8">
        <v>0.31888196988197</v>
      </c>
      <c r="AW8">
        <v>0.325347985347985</v>
      </c>
      <c r="AX8">
        <v>0.344846560846561</v>
      </c>
      <c r="AY8">
        <v>0.33830118030118</v>
      </c>
      <c r="AZ8">
        <v>0.339454619454619</v>
      </c>
      <c r="BA8">
        <v>0.327177859177859</v>
      </c>
      <c r="BB8">
        <v>0.302192511192512</v>
      </c>
      <c r="BC8">
        <v>0.288628408628409</v>
      </c>
      <c r="BD8">
        <v>0.282381359381359</v>
      </c>
      <c r="BE8">
        <v>0.242333333333333</v>
      </c>
      <c r="BF8">
        <v>0.239373219373219</v>
      </c>
      <c r="BG8">
        <v>0.236261294261294</v>
      </c>
      <c r="BH8">
        <v>0.227924704924705</v>
      </c>
      <c r="BI8">
        <v>0.222479853479853</v>
      </c>
      <c r="BJ8">
        <v>0.24911680911681</v>
      </c>
      <c r="BK8">
        <v>0.259970695970696</v>
      </c>
      <c r="BL8">
        <v>0.274264143264143</v>
      </c>
      <c r="BM8">
        <v>0.287097273097273</v>
      </c>
      <c r="BN8">
        <v>0.320288156288156</v>
      </c>
      <c r="BO8">
        <v>0.321221815221815</v>
      </c>
      <c r="BP8">
        <v>0.332960927960928</v>
      </c>
      <c r="BQ8">
        <v>0.320140822140822</v>
      </c>
      <c r="BR8">
        <v>0.335259259259259</v>
      </c>
      <c r="BS8">
        <v>0.327895807895808</v>
      </c>
      <c r="BT8">
        <v>0.32243426943427</v>
      </c>
      <c r="BU8">
        <v>0.325503459503459</v>
      </c>
      <c r="BV8">
        <v>0.335592185592185</v>
      </c>
      <c r="BW8">
        <v>0.348392348392348</v>
      </c>
      <c r="BX8">
        <v>0.355850223850224</v>
      </c>
      <c r="BY8">
        <v>0.358820512820513</v>
      </c>
      <c r="BZ8">
        <v>0.390635327635328</v>
      </c>
      <c r="CA8">
        <v>0.389200651200651</v>
      </c>
      <c r="CB8">
        <v>0.391742775742775</v>
      </c>
      <c r="CC8">
        <v>0.379838013838014</v>
      </c>
      <c r="CD8">
        <v>0.360408628408628</v>
      </c>
      <c r="CE8">
        <v>0.36083312983313</v>
      </c>
      <c r="CF8">
        <v>0.348916157916158</v>
      </c>
      <c r="CG8">
        <v>0.334282458282458</v>
      </c>
      <c r="CH8">
        <v>0.308847781847782</v>
      </c>
      <c r="CI8">
        <v>0.307036223036223</v>
      </c>
      <c r="CJ8">
        <v>0.299851959361393</v>
      </c>
      <c r="CK8">
        <v>0.287183069224354</v>
      </c>
      <c r="CL8">
        <v>0.30384839527027</v>
      </c>
      <c r="CM8">
        <v>0.303934966216216</v>
      </c>
      <c r="CN8">
        <v>0.305289327046721</v>
      </c>
      <c r="CO8">
        <v>0.306772667542707</v>
      </c>
      <c r="CP8">
        <v>0.286174770039422</v>
      </c>
      <c r="CQ8">
        <v>0.263044240035042</v>
      </c>
      <c r="CR8">
        <v>0.242911519929917</v>
      </c>
      <c r="CS8">
        <v>0.213495838808585</v>
      </c>
    </row>
    <row r="9" spans="1:97">
      <c r="A9" s="8">
        <v>46242</v>
      </c>
      <c r="B9" cm="1">
        <f t="array" ref="B9:CS9">_xlfn._xlws.FILTER(_xlfn.TRIMRANGE(火电空间!$B$2:$CS$32),_xlfn.TRIMRANGE(火电空间!$A$2:$A$32)=A9)/_xlfn._xlws.FILTER(_xlfn.TRIMRANGE(日前开机!$B$2:$CS$32),_xlfn.TRIMRANGE(日前开机!$A$2:$A$32)=A9)</f>
        <v>0.314096085409253</v>
      </c>
      <c r="C9">
        <v>0.318580960854093</v>
      </c>
      <c r="D9">
        <v>0.324951067615658</v>
      </c>
      <c r="E9">
        <v>0.324193060498221</v>
      </c>
      <c r="F9">
        <v>0.309004893238434</v>
      </c>
      <c r="G9">
        <v>0.288002669039146</v>
      </c>
      <c r="H9">
        <v>0.280005782918149</v>
      </c>
      <c r="I9">
        <v>0.274421708185053</v>
      </c>
      <c r="J9">
        <v>0.275665480427046</v>
      </c>
      <c r="K9">
        <v>0.26592615658363</v>
      </c>
      <c r="L9">
        <v>0.262004448398577</v>
      </c>
      <c r="M9">
        <v>0.251799822064057</v>
      </c>
      <c r="N9">
        <v>0.235242882562278</v>
      </c>
      <c r="O9">
        <v>0.22871975088968</v>
      </c>
      <c r="P9">
        <v>0.2281628113879</v>
      </c>
      <c r="Q9">
        <v>0.228375</v>
      </c>
      <c r="R9">
        <v>0.20981628113879</v>
      </c>
      <c r="S9">
        <v>0.202415925266904</v>
      </c>
      <c r="T9">
        <v>0.196673932384342</v>
      </c>
      <c r="U9">
        <v>0.198200622775801</v>
      </c>
      <c r="V9">
        <v>0.210822064056939</v>
      </c>
      <c r="W9">
        <v>0.218098309608541</v>
      </c>
      <c r="X9">
        <v>0.223857651245552</v>
      </c>
      <c r="Y9">
        <v>0.237413256227758</v>
      </c>
      <c r="Z9">
        <v>0.255667259786477</v>
      </c>
      <c r="AA9">
        <v>0.25807384341637</v>
      </c>
      <c r="AB9">
        <v>0.26057962633452</v>
      </c>
      <c r="AC9">
        <v>0.244469306049822</v>
      </c>
      <c r="AD9">
        <v>0.22375756227758</v>
      </c>
      <c r="AE9">
        <v>0.216993772241993</v>
      </c>
      <c r="AF9">
        <v>0.21669884341637</v>
      </c>
      <c r="AG9">
        <v>0.21728024911032</v>
      </c>
      <c r="AH9">
        <v>0.246889234875445</v>
      </c>
      <c r="AI9">
        <v>0.234800266903915</v>
      </c>
      <c r="AJ9">
        <v>0.225326512455516</v>
      </c>
      <c r="AK9">
        <v>0.211534697508897</v>
      </c>
      <c r="AL9">
        <v>0.213068060498221</v>
      </c>
      <c r="AM9">
        <v>0.224292704626335</v>
      </c>
      <c r="AN9">
        <v>0.221128113879004</v>
      </c>
      <c r="AO9">
        <v>0.215635231316726</v>
      </c>
      <c r="AP9">
        <v>0.200178825622776</v>
      </c>
      <c r="AQ9">
        <v>0.208805160142349</v>
      </c>
      <c r="AR9">
        <v>0.213490658362989</v>
      </c>
      <c r="AS9">
        <v>0.185638790035587</v>
      </c>
      <c r="AT9">
        <v>0.167125444839858</v>
      </c>
      <c r="AU9">
        <v>0.169407473309609</v>
      </c>
      <c r="AV9">
        <v>0.168845640569395</v>
      </c>
      <c r="AW9">
        <v>0.179434608540925</v>
      </c>
      <c r="AX9">
        <v>0.191501334519572</v>
      </c>
      <c r="AY9">
        <v>0.196258007117438</v>
      </c>
      <c r="AZ9">
        <v>0.210897241992882</v>
      </c>
      <c r="BA9">
        <v>0.200701512455516</v>
      </c>
      <c r="BB9">
        <v>0.222823843416371</v>
      </c>
      <c r="BC9">
        <v>0.218160587188612</v>
      </c>
      <c r="BD9">
        <v>0.235181494661922</v>
      </c>
      <c r="BE9">
        <v>0.234335409252669</v>
      </c>
      <c r="BF9">
        <v>0.241891014234875</v>
      </c>
      <c r="BG9">
        <v>0.263039590747331</v>
      </c>
      <c r="BH9">
        <v>0.275267793594306</v>
      </c>
      <c r="BI9">
        <v>0.295539145907473</v>
      </c>
      <c r="BJ9">
        <v>0.346848309608541</v>
      </c>
      <c r="BK9">
        <v>0.381776245551602</v>
      </c>
      <c r="BL9">
        <v>0.419335409252669</v>
      </c>
      <c r="BM9">
        <v>0.430908807829182</v>
      </c>
      <c r="BN9">
        <v>0.524884786476868</v>
      </c>
      <c r="BO9">
        <v>0.538849644128114</v>
      </c>
      <c r="BP9">
        <v>0.557663701067616</v>
      </c>
      <c r="BQ9">
        <v>0.532980427046263</v>
      </c>
      <c r="BR9">
        <v>0.48386921708185</v>
      </c>
      <c r="BS9">
        <v>0.501878558718861</v>
      </c>
      <c r="BT9">
        <v>0.515984430604982</v>
      </c>
      <c r="BU9">
        <v>0.538615213523132</v>
      </c>
      <c r="BV9">
        <v>0.517640569395018</v>
      </c>
      <c r="BW9">
        <v>0.513953736654804</v>
      </c>
      <c r="BX9">
        <v>0.543073398576512</v>
      </c>
      <c r="BY9">
        <v>0.549033807829182</v>
      </c>
      <c r="BZ9">
        <v>0.529373220640569</v>
      </c>
      <c r="CA9">
        <v>0.533688167259786</v>
      </c>
      <c r="CB9">
        <v>0.537278024911032</v>
      </c>
      <c r="CC9">
        <v>0.524797597864769</v>
      </c>
      <c r="CD9">
        <v>0.485193950177936</v>
      </c>
      <c r="CE9">
        <v>0.491794483985765</v>
      </c>
      <c r="CF9">
        <v>0.474872330960854</v>
      </c>
      <c r="CG9">
        <v>0.461925266903915</v>
      </c>
      <c r="CH9">
        <v>0.459038256227758</v>
      </c>
      <c r="CI9">
        <v>0.448294039145907</v>
      </c>
      <c r="CJ9">
        <v>0.446197508896797</v>
      </c>
      <c r="CK9">
        <v>0.438135231316726</v>
      </c>
      <c r="CL9">
        <v>0.482661921708185</v>
      </c>
      <c r="CM9">
        <v>0.488952402135231</v>
      </c>
      <c r="CN9">
        <v>0.499125444839858</v>
      </c>
      <c r="CO9">
        <v>0.498859430604982</v>
      </c>
      <c r="CP9">
        <v>0.479659697508897</v>
      </c>
      <c r="CQ9">
        <v>0.455842526690391</v>
      </c>
      <c r="CR9">
        <v>0.431610765124555</v>
      </c>
      <c r="CS9">
        <v>0.402614768683274</v>
      </c>
    </row>
    <row r="10" spans="1:97">
      <c r="A10" s="8">
        <v>46243</v>
      </c>
      <c r="B10" cm="1">
        <f t="array" ref="B10:CS10">_xlfn._xlws.FILTER(_xlfn.TRIMRANGE(火电空间!$B$2:$CS$32),_xlfn.TRIMRANGE(火电空间!$A$2:$A$32)=A10)/_xlfn._xlws.FILTER(_xlfn.TRIMRANGE(日前开机!$B$2:$CS$32),_xlfn.TRIMRANGE(日前开机!$A$2:$A$32)=A10)</f>
        <v>0.419262455516014</v>
      </c>
      <c r="C10">
        <v>0.404451957295374</v>
      </c>
      <c r="D10">
        <v>0.399988879003559</v>
      </c>
      <c r="E10">
        <v>0.398819839857651</v>
      </c>
      <c r="F10">
        <v>0.391602758007117</v>
      </c>
      <c r="G10">
        <v>0.396347419928826</v>
      </c>
      <c r="H10">
        <v>0.412076957295374</v>
      </c>
      <c r="I10">
        <v>0.410506227758007</v>
      </c>
      <c r="J10">
        <v>0.394635231316726</v>
      </c>
      <c r="K10">
        <v>0.392943950177936</v>
      </c>
      <c r="L10">
        <v>0.384173487544484</v>
      </c>
      <c r="M10">
        <v>0.380662366548043</v>
      </c>
      <c r="N10">
        <v>0.402274466192171</v>
      </c>
      <c r="O10">
        <v>0.391999555160142</v>
      </c>
      <c r="P10">
        <v>0.394089857651246</v>
      </c>
      <c r="Q10">
        <v>0.394231761565836</v>
      </c>
      <c r="R10">
        <v>0.400800266903915</v>
      </c>
      <c r="S10">
        <v>0.401744661921708</v>
      </c>
      <c r="T10">
        <v>0.412726423487545</v>
      </c>
      <c r="U10">
        <v>0.436972419928826</v>
      </c>
      <c r="V10">
        <v>0.446639234875445</v>
      </c>
      <c r="W10">
        <v>0.451366548042705</v>
      </c>
      <c r="X10">
        <v>0.464586743772242</v>
      </c>
      <c r="Y10">
        <v>0.464731761565836</v>
      </c>
      <c r="Z10">
        <v>0.507299377224199</v>
      </c>
      <c r="AA10">
        <v>0.511105871886121</v>
      </c>
      <c r="AB10">
        <v>0.495106761565836</v>
      </c>
      <c r="AC10">
        <v>0.480091192170819</v>
      </c>
      <c r="AD10">
        <v>0.450661476868327</v>
      </c>
      <c r="AE10">
        <v>0.444689501779359</v>
      </c>
      <c r="AF10">
        <v>0.443124555160142</v>
      </c>
      <c r="AG10">
        <v>0.439054715302491</v>
      </c>
      <c r="AH10">
        <v>0.459492882562278</v>
      </c>
      <c r="AI10">
        <v>0.442754003558719</v>
      </c>
      <c r="AJ10">
        <v>0.4399621886121</v>
      </c>
      <c r="AK10">
        <v>0.4221628113879</v>
      </c>
      <c r="AL10">
        <v>0.406633896797153</v>
      </c>
      <c r="AM10">
        <v>0.401560943060498</v>
      </c>
      <c r="AN10">
        <v>0.392998220640569</v>
      </c>
      <c r="AO10">
        <v>0.393529359430605</v>
      </c>
      <c r="AP10">
        <v>0.368646352313167</v>
      </c>
      <c r="AQ10">
        <v>0.393576957295374</v>
      </c>
      <c r="AR10">
        <v>0.401421708185053</v>
      </c>
      <c r="AS10">
        <v>0.390393683274021</v>
      </c>
      <c r="AT10">
        <v>0.400363434163701</v>
      </c>
      <c r="AU10">
        <v>0.384767793594306</v>
      </c>
      <c r="AV10">
        <v>0.397152135231317</v>
      </c>
      <c r="AW10">
        <v>0.410613879003558</v>
      </c>
      <c r="AX10">
        <v>0.417973309608541</v>
      </c>
      <c r="AY10">
        <v>0.422</v>
      </c>
      <c r="AZ10">
        <v>0.421816725978648</v>
      </c>
      <c r="BA10">
        <v>0.428217526690391</v>
      </c>
      <c r="BB10">
        <v>0.435428825622776</v>
      </c>
      <c r="BC10">
        <v>0.45968371886121</v>
      </c>
      <c r="BD10">
        <v>0.466661921708185</v>
      </c>
      <c r="BE10">
        <v>0.482107651245552</v>
      </c>
      <c r="BF10">
        <v>0.500012010676157</v>
      </c>
      <c r="BG10">
        <v>0.507878558718861</v>
      </c>
      <c r="BH10">
        <v>0.508122775800712</v>
      </c>
      <c r="BI10">
        <v>0.509730427046263</v>
      </c>
      <c r="BJ10">
        <v>0.520055160142349</v>
      </c>
      <c r="BK10">
        <v>0.524868327402135</v>
      </c>
      <c r="BL10">
        <v>0.532741548042705</v>
      </c>
      <c r="BM10">
        <v>0.540220640569395</v>
      </c>
      <c r="BN10">
        <v>0.549755338078292</v>
      </c>
      <c r="BO10">
        <v>0.566423042704626</v>
      </c>
      <c r="BP10">
        <v>0.594435053380783</v>
      </c>
      <c r="BQ10">
        <v>0.593053825622776</v>
      </c>
      <c r="BR10">
        <v>0.615012010676157</v>
      </c>
      <c r="BS10">
        <v>0.628086743772242</v>
      </c>
      <c r="BT10">
        <v>0.635892348754448</v>
      </c>
      <c r="BU10">
        <v>0.649455071174377</v>
      </c>
      <c r="BV10">
        <v>0.656300266903915</v>
      </c>
      <c r="BW10">
        <v>0.66339768683274</v>
      </c>
      <c r="BX10">
        <v>0.666613434163701</v>
      </c>
      <c r="BY10">
        <v>0.65239012455516</v>
      </c>
      <c r="BZ10">
        <v>0.674732651245552</v>
      </c>
      <c r="CA10">
        <v>0.674240658362989</v>
      </c>
      <c r="CB10">
        <v>0.681467081850534</v>
      </c>
      <c r="CC10">
        <v>0.683935943060498</v>
      </c>
      <c r="CD10">
        <v>0.680310943060498</v>
      </c>
      <c r="CE10">
        <v>0.681435053380783</v>
      </c>
      <c r="CF10">
        <v>0.674614768683274</v>
      </c>
      <c r="CG10">
        <v>0.658439056939502</v>
      </c>
      <c r="CH10">
        <v>0.650398576512455</v>
      </c>
      <c r="CI10">
        <v>0.62507384341637</v>
      </c>
      <c r="CJ10">
        <v>0.615060053380783</v>
      </c>
      <c r="CK10">
        <v>0.611745551601424</v>
      </c>
      <c r="CL10">
        <v>0.607663256227758</v>
      </c>
      <c r="CM10">
        <v>0.616796708185053</v>
      </c>
      <c r="CN10">
        <v>0.619416814946619</v>
      </c>
      <c r="CO10">
        <v>0.629669039145907</v>
      </c>
      <c r="CP10">
        <v>0.613550266903915</v>
      </c>
      <c r="CQ10">
        <v>0.588494217081851</v>
      </c>
      <c r="CR10">
        <v>0.56005293594306</v>
      </c>
      <c r="CS10">
        <v>0.539496441281139</v>
      </c>
    </row>
    <row r="11" spans="1:97">
      <c r="A11" s="8">
        <v>46244</v>
      </c>
      <c r="B11" cm="1">
        <f t="array" ref="B11:CS11">_xlfn._xlws.FILTER(_xlfn.TRIMRANGE(火电空间!$B$2:$CS$32),_xlfn.TRIMRANGE(火电空间!$A$2:$A$32)=A11)/_xlfn._xlws.FILTER(_xlfn.TRIMRANGE(日前开机!$B$2:$CS$32),_xlfn.TRIMRANGE(日前开机!$A$2:$A$32)=A11)</f>
        <v>0.50874421708185</v>
      </c>
      <c r="C11">
        <v>0.493285587188612</v>
      </c>
      <c r="D11">
        <v>0.482137900355872</v>
      </c>
      <c r="E11">
        <v>0.473718861209964</v>
      </c>
      <c r="F11">
        <v>0.492223754448399</v>
      </c>
      <c r="G11">
        <v>0.49882384341637</v>
      </c>
      <c r="H11">
        <v>0.491938167259787</v>
      </c>
      <c r="I11">
        <v>0.477799822064057</v>
      </c>
      <c r="J11">
        <v>0.471000444839858</v>
      </c>
      <c r="K11">
        <v>0.461262900355872</v>
      </c>
      <c r="L11">
        <v>0.467057129798903</v>
      </c>
      <c r="M11">
        <v>0.45391773308958</v>
      </c>
      <c r="N11">
        <v>0.466385740402194</v>
      </c>
      <c r="O11">
        <v>0.455019652650823</v>
      </c>
      <c r="P11">
        <v>0.452953382084095</v>
      </c>
      <c r="Q11">
        <v>0.45334323583181</v>
      </c>
      <c r="R11">
        <v>0.47259689213894</v>
      </c>
      <c r="S11">
        <v>0.470867458866545</v>
      </c>
      <c r="T11">
        <v>0.472754570383912</v>
      </c>
      <c r="U11">
        <v>0.484123400365631</v>
      </c>
      <c r="V11">
        <v>0.503667276051188</v>
      </c>
      <c r="W11">
        <v>0.507934186471664</v>
      </c>
      <c r="X11">
        <v>0.518965811965812</v>
      </c>
      <c r="Y11">
        <v>0.514104363472785</v>
      </c>
      <c r="Z11">
        <v>0.563842555105713</v>
      </c>
      <c r="AA11">
        <v>0.553924426450742</v>
      </c>
      <c r="AB11">
        <v>0.552499775078722</v>
      </c>
      <c r="AC11">
        <v>0.535773729194782</v>
      </c>
      <c r="AD11">
        <v>0.530626630679262</v>
      </c>
      <c r="AE11">
        <v>0.527533513270355</v>
      </c>
      <c r="AF11">
        <v>0.527753936122357</v>
      </c>
      <c r="AG11">
        <v>0.529098965362123</v>
      </c>
      <c r="AH11">
        <v>0.560971210076473</v>
      </c>
      <c r="AI11">
        <v>0.556154295996401</v>
      </c>
      <c r="AJ11">
        <v>0.535386414754836</v>
      </c>
      <c r="AK11">
        <v>0.513014844804318</v>
      </c>
      <c r="AL11">
        <v>0.491218623481781</v>
      </c>
      <c r="AM11">
        <v>0.478197031039136</v>
      </c>
      <c r="AN11">
        <v>0.465955015744489</v>
      </c>
      <c r="AO11">
        <v>0.451781376518219</v>
      </c>
      <c r="AP11">
        <v>0.433069725596041</v>
      </c>
      <c r="AQ11">
        <v>0.447899235267656</v>
      </c>
      <c r="AR11">
        <v>0.452142150247413</v>
      </c>
      <c r="AS11">
        <v>0.442137201979307</v>
      </c>
      <c r="AT11">
        <v>0.426070175438597</v>
      </c>
      <c r="AU11">
        <v>0.401950967161494</v>
      </c>
      <c r="AV11">
        <v>0.400840755735493</v>
      </c>
      <c r="AW11">
        <v>0.395590643274854</v>
      </c>
      <c r="AX11">
        <v>0.411641224862888</v>
      </c>
      <c r="AY11">
        <v>0.392079524680073</v>
      </c>
      <c r="AZ11">
        <v>0.370485831809872</v>
      </c>
      <c r="BA11">
        <v>0.347881170018282</v>
      </c>
      <c r="BB11">
        <v>0.345781992687386</v>
      </c>
      <c r="BC11">
        <v>0.314606946983547</v>
      </c>
      <c r="BD11">
        <v>0.312957038391225</v>
      </c>
      <c r="BE11">
        <v>0.29101873857404</v>
      </c>
      <c r="BF11">
        <v>0.272686928702011</v>
      </c>
      <c r="BG11">
        <v>0.283378884826325</v>
      </c>
      <c r="BH11">
        <v>0.304398994515539</v>
      </c>
      <c r="BI11">
        <v>0.292184643510055</v>
      </c>
      <c r="BJ11">
        <v>0.318948354661792</v>
      </c>
      <c r="BK11">
        <v>0.320583638025594</v>
      </c>
      <c r="BL11">
        <v>0.328587294332724</v>
      </c>
      <c r="BM11">
        <v>0.331697440585009</v>
      </c>
      <c r="BN11">
        <v>0.36364213893967</v>
      </c>
      <c r="BO11">
        <v>0.384472120658135</v>
      </c>
      <c r="BP11">
        <v>0.407283363802559</v>
      </c>
      <c r="BQ11">
        <v>0.392838208409506</v>
      </c>
      <c r="BR11">
        <v>0.419162248628885</v>
      </c>
      <c r="BS11">
        <v>0.433166361974406</v>
      </c>
      <c r="BT11">
        <v>0.452784734917733</v>
      </c>
      <c r="BU11">
        <v>0.466718921389397</v>
      </c>
      <c r="BV11">
        <v>0.466159049360146</v>
      </c>
      <c r="BW11">
        <v>0.474030621572212</v>
      </c>
      <c r="BX11">
        <v>0.482971206581353</v>
      </c>
      <c r="BY11">
        <v>0.480829981718464</v>
      </c>
      <c r="BZ11">
        <v>0.483793875685558</v>
      </c>
      <c r="CA11">
        <v>0.488868372943327</v>
      </c>
      <c r="CB11">
        <v>0.496437385740402</v>
      </c>
      <c r="CC11">
        <v>0.487333638025594</v>
      </c>
      <c r="CD11">
        <v>0.455437385740402</v>
      </c>
      <c r="CE11">
        <v>0.451765996343693</v>
      </c>
      <c r="CF11">
        <v>0.437776508226691</v>
      </c>
      <c r="CG11">
        <v>0.424125228519196</v>
      </c>
      <c r="CH11">
        <v>0.416196983546618</v>
      </c>
      <c r="CI11">
        <v>0.388717093235831</v>
      </c>
      <c r="CJ11">
        <v>0.386401736745887</v>
      </c>
      <c r="CK11">
        <v>0.369176416819013</v>
      </c>
      <c r="CL11">
        <v>0.424054844606947</v>
      </c>
      <c r="CM11">
        <v>0.422022851919561</v>
      </c>
      <c r="CN11">
        <v>0.428547989031079</v>
      </c>
      <c r="CO11">
        <v>0.416501371115174</v>
      </c>
      <c r="CP11">
        <v>0.401804844606947</v>
      </c>
      <c r="CQ11">
        <v>0.372582266910421</v>
      </c>
      <c r="CR11">
        <v>0.35261563071298</v>
      </c>
      <c r="CS11">
        <v>0.325490859232175</v>
      </c>
    </row>
    <row r="12" spans="1:97">
      <c r="A12" s="8">
        <v>46245</v>
      </c>
      <c r="B12" cm="1">
        <f t="array" ref="B12:CS12">_xlfn._xlws.FILTER(_xlfn.TRIMRANGE(火电空间!$B$2:$CS$32),_xlfn.TRIMRANGE(火电空间!$A$2:$A$32)=A12)/_xlfn._xlws.FILTER(_xlfn.TRIMRANGE(日前开机!$B$2:$CS$32),_xlfn.TRIMRANGE(日前开机!$A$2:$A$32)=A12)</f>
        <v>0.345083638025594</v>
      </c>
      <c r="C12">
        <v>0.343743601462523</v>
      </c>
      <c r="D12">
        <v>0.35064168190128</v>
      </c>
      <c r="E12">
        <v>0.350224862888483</v>
      </c>
      <c r="F12">
        <v>0.367961151736746</v>
      </c>
      <c r="G12">
        <v>0.369140310786106</v>
      </c>
      <c r="H12">
        <v>0.380910877513711</v>
      </c>
      <c r="I12">
        <v>0.388939213893967</v>
      </c>
      <c r="J12">
        <v>0.397813071297989</v>
      </c>
      <c r="K12">
        <v>0.408068098720293</v>
      </c>
      <c r="L12">
        <v>0.40208592321755</v>
      </c>
      <c r="M12">
        <v>0.396428244972578</v>
      </c>
      <c r="N12">
        <v>0.412030621572212</v>
      </c>
      <c r="O12">
        <v>0.398990402193784</v>
      </c>
      <c r="P12">
        <v>0.403211151736746</v>
      </c>
      <c r="Q12">
        <v>0.404226691042048</v>
      </c>
      <c r="R12">
        <v>0.417208409506399</v>
      </c>
      <c r="S12">
        <v>0.422675045703839</v>
      </c>
      <c r="T12">
        <v>0.422084552102377</v>
      </c>
      <c r="U12">
        <v>0.428515996343693</v>
      </c>
      <c r="V12">
        <v>0.437011425959781</v>
      </c>
      <c r="W12">
        <v>0.424746800731261</v>
      </c>
      <c r="X12">
        <v>0.438673217550274</v>
      </c>
      <c r="Y12">
        <v>0.412579067641682</v>
      </c>
      <c r="Z12">
        <v>0.446146709323583</v>
      </c>
      <c r="AA12">
        <v>0.420381627056673</v>
      </c>
      <c r="AB12">
        <v>0.415953382084095</v>
      </c>
      <c r="AC12">
        <v>0.397356946983547</v>
      </c>
      <c r="AD12">
        <v>0.403721663619744</v>
      </c>
      <c r="AE12">
        <v>0.412202010968921</v>
      </c>
      <c r="AF12">
        <v>0.412493601462523</v>
      </c>
      <c r="AG12">
        <v>0.415834095063985</v>
      </c>
      <c r="AH12">
        <v>0.441039305301645</v>
      </c>
      <c r="AI12">
        <v>0.441027879341865</v>
      </c>
      <c r="AJ12">
        <v>0.420957952468007</v>
      </c>
      <c r="AK12">
        <v>0.400861060329067</v>
      </c>
      <c r="AL12">
        <v>0.37063071297989</v>
      </c>
      <c r="AM12">
        <v>0.379064899451554</v>
      </c>
      <c r="AN12">
        <v>0.379551645338208</v>
      </c>
      <c r="AO12">
        <v>0.36774268738574</v>
      </c>
      <c r="AP12">
        <v>0.351697440585009</v>
      </c>
      <c r="AQ12">
        <v>0.37112705667276</v>
      </c>
      <c r="AR12">
        <v>0.368741773308957</v>
      </c>
      <c r="AS12">
        <v>0.361980804387569</v>
      </c>
      <c r="AT12">
        <v>0.375025137111517</v>
      </c>
      <c r="AU12">
        <v>0.352431444241316</v>
      </c>
      <c r="AV12">
        <v>0.349058957952468</v>
      </c>
      <c r="AW12">
        <v>0.366920018281536</v>
      </c>
      <c r="AX12">
        <v>0.384941499085923</v>
      </c>
      <c r="AY12">
        <v>0.368330895795247</v>
      </c>
      <c r="AZ12">
        <v>0.377708409506399</v>
      </c>
      <c r="BA12">
        <v>0.37550365630713</v>
      </c>
      <c r="BB12">
        <v>0.397214808043876</v>
      </c>
      <c r="BC12">
        <v>0.400457495429616</v>
      </c>
      <c r="BD12">
        <v>0.435743601462523</v>
      </c>
      <c r="BE12">
        <v>0.445023765996344</v>
      </c>
      <c r="BF12">
        <v>0.432095063985375</v>
      </c>
      <c r="BG12">
        <v>0.448860281195079</v>
      </c>
      <c r="BH12">
        <v>0.479228910369069</v>
      </c>
      <c r="BI12">
        <v>0.47490553602812</v>
      </c>
      <c r="BJ12">
        <v>0.527170913884007</v>
      </c>
      <c r="BK12">
        <v>0.551497363796134</v>
      </c>
      <c r="BL12">
        <v>0.564244727592267</v>
      </c>
      <c r="BM12">
        <v>0.571742091388401</v>
      </c>
      <c r="BN12">
        <v>0.57684007029877</v>
      </c>
      <c r="BO12">
        <v>0.591022847100176</v>
      </c>
      <c r="BP12">
        <v>0.591306239015817</v>
      </c>
      <c r="BQ12">
        <v>0.569036467486819</v>
      </c>
      <c r="BR12">
        <v>0.589043497363796</v>
      </c>
      <c r="BS12">
        <v>0.604966608084359</v>
      </c>
      <c r="BT12">
        <v>0.627448594024605</v>
      </c>
      <c r="BU12">
        <v>0.633255732692728</v>
      </c>
      <c r="BV12">
        <v>0.646539855863726</v>
      </c>
      <c r="BW12">
        <v>0.654647302904564</v>
      </c>
      <c r="BX12">
        <v>0.653210744704084</v>
      </c>
      <c r="BY12">
        <v>0.648831185848438</v>
      </c>
      <c r="BZ12">
        <v>0.658134963965931</v>
      </c>
      <c r="CA12">
        <v>0.659838327225695</v>
      </c>
      <c r="CB12">
        <v>0.674295753395128</v>
      </c>
      <c r="CC12">
        <v>0.674649708989006</v>
      </c>
      <c r="CD12">
        <v>0.643901889997876</v>
      </c>
      <c r="CE12">
        <v>0.651422807390104</v>
      </c>
      <c r="CF12">
        <v>0.643436823104693</v>
      </c>
      <c r="CG12">
        <v>0.639816096835846</v>
      </c>
      <c r="CH12">
        <v>0.621089827988957</v>
      </c>
      <c r="CI12">
        <v>0.597518369080484</v>
      </c>
      <c r="CJ12">
        <v>0.588929709067743</v>
      </c>
      <c r="CK12">
        <v>0.567594393714164</v>
      </c>
      <c r="CL12">
        <v>0.604273094075175</v>
      </c>
      <c r="CM12">
        <v>0.607696750902527</v>
      </c>
      <c r="CN12">
        <v>0.624253387825339</v>
      </c>
      <c r="CO12">
        <v>0.630673693267369</v>
      </c>
      <c r="CP12">
        <v>0.627800387180039</v>
      </c>
      <c r="CQ12">
        <v>0.611962142396214</v>
      </c>
      <c r="CR12">
        <v>0.596501613250161</v>
      </c>
      <c r="CS12">
        <v>0.575462680146268</v>
      </c>
    </row>
    <row r="13" spans="1:97">
      <c r="A13" s="8">
        <v>46246</v>
      </c>
      <c r="B13" cm="1">
        <f t="array" ref="B13:CS13">_xlfn._xlws.FILTER(_xlfn.TRIMRANGE(火电空间!$B$2:$CS$32),_xlfn.TRIMRANGE(火电空间!$A$2:$A$32)=A13)/_xlfn._xlws.FILTER(_xlfn.TRIMRANGE(日前开机!$B$2:$CS$32),_xlfn.TRIMRANGE(日前开机!$A$2:$A$32)=A13)</f>
        <v>0.544074424607442</v>
      </c>
      <c r="C13">
        <v>0.55779350397935</v>
      </c>
      <c r="D13">
        <v>0.564230133502861</v>
      </c>
      <c r="E13">
        <v>0.57046238609875</v>
      </c>
      <c r="F13">
        <v>0.578715829624921</v>
      </c>
      <c r="G13">
        <v>0.58573384191566</v>
      </c>
      <c r="H13">
        <v>0.594308963763509</v>
      </c>
      <c r="I13">
        <v>0.598320830684467</v>
      </c>
      <c r="J13">
        <v>0.607882602246239</v>
      </c>
      <c r="K13">
        <v>0.606317440135622</v>
      </c>
      <c r="L13">
        <v>0.605630006357279</v>
      </c>
      <c r="M13">
        <v>0.600161898707353</v>
      </c>
      <c r="N13">
        <v>0.601693579148125</v>
      </c>
      <c r="O13">
        <v>0.600017800381437</v>
      </c>
      <c r="P13">
        <v>0.600490781945327</v>
      </c>
      <c r="Q13">
        <v>0.602361517270608</v>
      </c>
      <c r="R13">
        <v>0.610689129052765</v>
      </c>
      <c r="S13">
        <v>0.601713510127375</v>
      </c>
      <c r="T13">
        <v>0.605015243265817</v>
      </c>
      <c r="U13">
        <v>0.616807684276467</v>
      </c>
      <c r="V13">
        <v>0.631237419085404</v>
      </c>
      <c r="W13">
        <v>0.641001879306745</v>
      </c>
      <c r="X13">
        <v>0.657761954479014</v>
      </c>
      <c r="Y13">
        <v>0.667294633535185</v>
      </c>
      <c r="Z13">
        <v>0.690430570056379</v>
      </c>
      <c r="AA13">
        <v>0.681807057840885</v>
      </c>
      <c r="AB13">
        <v>0.670435999164753</v>
      </c>
      <c r="AC13">
        <v>0.654522447275005</v>
      </c>
      <c r="AD13">
        <v>0.64322134551495</v>
      </c>
      <c r="AE13">
        <v>0.629226328903654</v>
      </c>
      <c r="AF13">
        <v>0.623015365448505</v>
      </c>
      <c r="AG13">
        <v>0.623101328903655</v>
      </c>
      <c r="AH13">
        <v>0.646109219269103</v>
      </c>
      <c r="AI13">
        <v>0.643997093023256</v>
      </c>
      <c r="AJ13">
        <v>0.641850913621262</v>
      </c>
      <c r="AK13">
        <v>0.62686877076412</v>
      </c>
      <c r="AL13">
        <v>0.610217607973422</v>
      </c>
      <c r="AM13">
        <v>0.614814784053156</v>
      </c>
      <c r="AN13">
        <v>0.615733388704319</v>
      </c>
      <c r="AO13">
        <v>0.617</v>
      </c>
      <c r="AP13">
        <v>0.605754568106312</v>
      </c>
      <c r="AQ13">
        <v>0.613909468438538</v>
      </c>
      <c r="AR13">
        <v>0.61828488372093</v>
      </c>
      <c r="AS13">
        <v>0.616387458471761</v>
      </c>
      <c r="AT13">
        <v>0.615644933554817</v>
      </c>
      <c r="AU13">
        <v>0.604114202657807</v>
      </c>
      <c r="AV13">
        <v>0.614052325581395</v>
      </c>
      <c r="AW13">
        <v>0.622708887043189</v>
      </c>
      <c r="AX13">
        <v>0.634647685374846</v>
      </c>
      <c r="AY13">
        <v>0.633863599348534</v>
      </c>
      <c r="AZ13">
        <v>0.647512622149837</v>
      </c>
      <c r="BA13">
        <v>0.643771176234444</v>
      </c>
      <c r="BB13">
        <v>0.655334002408671</v>
      </c>
      <c r="BC13">
        <v>0.649755737067289</v>
      </c>
      <c r="BD13">
        <v>0.658220684352172</v>
      </c>
      <c r="BE13">
        <v>0.663232218377547</v>
      </c>
      <c r="BF13">
        <v>0.66953781832003</v>
      </c>
      <c r="BG13">
        <v>0.673939497069389</v>
      </c>
      <c r="BH13">
        <v>0.675674796747967</v>
      </c>
      <c r="BI13">
        <v>0.674410285498204</v>
      </c>
      <c r="BJ13">
        <v>0.693180185290225</v>
      </c>
      <c r="BK13">
        <v>0.686182464011965</v>
      </c>
      <c r="BL13">
        <v>0.680633763320247</v>
      </c>
      <c r="BM13">
        <v>0.685155730042999</v>
      </c>
      <c r="BN13">
        <v>0.714399700878669</v>
      </c>
      <c r="BO13">
        <v>0.721427182650963</v>
      </c>
      <c r="BP13">
        <v>0.73113067863152</v>
      </c>
      <c r="BQ13">
        <v>0.717268274443821</v>
      </c>
      <c r="BR13">
        <v>0.721570386988222</v>
      </c>
      <c r="BS13">
        <v>0.727074967283604</v>
      </c>
      <c r="BT13">
        <v>0.728019068984857</v>
      </c>
      <c r="BU13">
        <v>0.72972705178538</v>
      </c>
      <c r="BV13">
        <v>0.726970648719387</v>
      </c>
      <c r="BW13">
        <v>0.732712328767123</v>
      </c>
      <c r="BX13">
        <v>0.733471570651154</v>
      </c>
      <c r="BY13">
        <v>0.729112028523175</v>
      </c>
      <c r="BZ13">
        <v>0.740216550947645</v>
      </c>
      <c r="CA13">
        <v>0.736437605554513</v>
      </c>
      <c r="CB13">
        <v>0.738324638769</v>
      </c>
      <c r="CC13">
        <v>0.719536092039339</v>
      </c>
      <c r="CD13">
        <v>0.702311746149564</v>
      </c>
      <c r="CE13">
        <v>0.703141955835962</v>
      </c>
      <c r="CF13">
        <v>0.692089070328447</v>
      </c>
      <c r="CG13">
        <v>0.677040638337354</v>
      </c>
      <c r="CH13">
        <v>0.668807199851549</v>
      </c>
      <c r="CI13">
        <v>0.647656336982743</v>
      </c>
      <c r="CJ13">
        <v>0.629868250139172</v>
      </c>
      <c r="CK13">
        <v>0.61344776396363</v>
      </c>
      <c r="CL13">
        <v>0.630537019855261</v>
      </c>
      <c r="CM13">
        <v>0.635542030061236</v>
      </c>
      <c r="CN13">
        <v>0.639640007422527</v>
      </c>
      <c r="CO13">
        <v>0.646563369827426</v>
      </c>
      <c r="CP13">
        <v>0.644893301169048</v>
      </c>
      <c r="CQ13">
        <v>0.628082761180182</v>
      </c>
      <c r="CR13">
        <v>0.607293004267953</v>
      </c>
      <c r="CS13">
        <v>0.583249211356467</v>
      </c>
    </row>
    <row r="14" spans="1:97">
      <c r="A14" s="8">
        <v>46247</v>
      </c>
      <c r="B14" cm="1">
        <f t="array" ref="B14:CS14">_xlfn._xlws.FILTER(_xlfn.TRIMRANGE(火电空间!$B$2:$CS$32),_xlfn.TRIMRANGE(火电空间!$A$2:$A$32)=A14)/_xlfn._xlws.FILTER(_xlfn.TRIMRANGE(日前开机!$B$2:$CS$32),_xlfn.TRIMRANGE(日前开机!$A$2:$A$32)=A14)</f>
        <v>0.570259046205233</v>
      </c>
      <c r="C14">
        <v>0.569663759510113</v>
      </c>
      <c r="D14">
        <v>0.574507700872147</v>
      </c>
      <c r="E14">
        <v>0.577974392280572</v>
      </c>
      <c r="F14">
        <v>0.584456856559659</v>
      </c>
      <c r="G14">
        <v>0.592191872332529</v>
      </c>
      <c r="H14">
        <v>0.594757468918167</v>
      </c>
      <c r="I14">
        <v>0.586398218593431</v>
      </c>
      <c r="J14">
        <v>0.583584709593617</v>
      </c>
      <c r="K14">
        <v>0.574546669140842</v>
      </c>
      <c r="L14">
        <v>0.573220263499722</v>
      </c>
      <c r="M14">
        <v>0.568216737799221</v>
      </c>
      <c r="N14">
        <v>0.563522360363704</v>
      </c>
      <c r="O14">
        <v>0.559152347374281</v>
      </c>
      <c r="P14">
        <v>0.560274633512711</v>
      </c>
      <c r="Q14">
        <v>0.557232881796252</v>
      </c>
      <c r="R14">
        <v>0.569499721655224</v>
      </c>
      <c r="S14">
        <v>0.566438300241232</v>
      </c>
      <c r="T14">
        <v>0.569466691408425</v>
      </c>
      <c r="U14">
        <v>0.578709222490258</v>
      </c>
      <c r="V14">
        <v>0.591678604564854</v>
      </c>
      <c r="W14">
        <v>0.595827797365003</v>
      </c>
      <c r="X14">
        <v>0.606679903507144</v>
      </c>
      <c r="Y14">
        <v>0.611475598441269</v>
      </c>
      <c r="Z14">
        <v>0.632918537762108</v>
      </c>
      <c r="AA14">
        <v>0.636129894228985</v>
      </c>
      <c r="AB14">
        <v>0.629263685284839</v>
      </c>
      <c r="AC14">
        <v>0.612942289849694</v>
      </c>
      <c r="AD14">
        <v>0.607976990165151</v>
      </c>
      <c r="AE14">
        <v>0.59923325292262</v>
      </c>
      <c r="AF14">
        <v>0.591827055112266</v>
      </c>
      <c r="AG14">
        <v>0.594233809612173</v>
      </c>
      <c r="AH14">
        <v>0.605459268881054</v>
      </c>
      <c r="AI14">
        <v>0.608648357765819</v>
      </c>
      <c r="AJ14">
        <v>0.603976619038783</v>
      </c>
      <c r="AK14">
        <v>0.595226943774355</v>
      </c>
      <c r="AL14">
        <v>0.580515123399517</v>
      </c>
      <c r="AM14">
        <v>0.581762479124142</v>
      </c>
      <c r="AN14">
        <v>0.578603822601596</v>
      </c>
      <c r="AO14">
        <v>0.579871219150121</v>
      </c>
      <c r="AP14">
        <v>0.574920764520319</v>
      </c>
      <c r="AQ14">
        <v>0.587701985526072</v>
      </c>
      <c r="AR14">
        <v>0.595203562813138</v>
      </c>
      <c r="AS14">
        <v>0.602727036555947</v>
      </c>
      <c r="AT14">
        <v>0.583894971237706</v>
      </c>
      <c r="AU14">
        <v>0.57690295045463</v>
      </c>
      <c r="AV14">
        <v>0.561933939506402</v>
      </c>
      <c r="AW14">
        <v>0.554706624605678</v>
      </c>
      <c r="AX14">
        <v>0.550597884579699</v>
      </c>
      <c r="AY14">
        <v>0.544832807570978</v>
      </c>
      <c r="AZ14">
        <v>0.532505845240304</v>
      </c>
      <c r="BA14">
        <v>0.537595843384672</v>
      </c>
      <c r="BB14">
        <v>0.554605678233439</v>
      </c>
      <c r="BC14">
        <v>0.543138244572277</v>
      </c>
      <c r="BD14">
        <v>0.531021710892559</v>
      </c>
      <c r="BE14">
        <v>0.523723139729078</v>
      </c>
      <c r="BF14">
        <v>0.530419001670069</v>
      </c>
      <c r="BG14">
        <v>0.516605678233439</v>
      </c>
      <c r="BH14">
        <v>0.502578214882167</v>
      </c>
      <c r="BI14">
        <v>0.495068843941362</v>
      </c>
      <c r="BJ14">
        <v>0.508385600296901</v>
      </c>
      <c r="BK14">
        <v>0.507225459268881</v>
      </c>
      <c r="BL14">
        <v>0.53147300055669</v>
      </c>
      <c r="BM14">
        <v>0.527330488031175</v>
      </c>
      <c r="BN14">
        <v>0.536353683429208</v>
      </c>
      <c r="BO14">
        <v>0.54346038226016</v>
      </c>
      <c r="BP14">
        <v>0.53534421970681</v>
      </c>
      <c r="BQ14">
        <v>0.519910558545185</v>
      </c>
      <c r="BR14">
        <v>0.506435331230284</v>
      </c>
      <c r="BS14">
        <v>0.525767674893301</v>
      </c>
      <c r="BT14">
        <v>0.522816849137131</v>
      </c>
      <c r="BU14">
        <v>0.530895527927259</v>
      </c>
      <c r="BV14">
        <v>0.534805344219707</v>
      </c>
      <c r="BW14">
        <v>0.541816292447578</v>
      </c>
      <c r="BX14">
        <v>0.544149563926517</v>
      </c>
      <c r="BY14">
        <v>0.538652811282242</v>
      </c>
      <c r="BZ14">
        <v>0.549758025607719</v>
      </c>
      <c r="CA14">
        <v>0.554197439228057</v>
      </c>
      <c r="CB14">
        <v>0.564090183707552</v>
      </c>
      <c r="CC14">
        <v>0.555836704397847</v>
      </c>
      <c r="CD14">
        <v>0.543043236221934</v>
      </c>
      <c r="CE14">
        <v>0.543300797921692</v>
      </c>
      <c r="CF14">
        <v>0.541745407311189</v>
      </c>
      <c r="CG14">
        <v>0.534172944887734</v>
      </c>
      <c r="CH14">
        <v>0.526991649656708</v>
      </c>
      <c r="CI14">
        <v>0.510483948784561</v>
      </c>
      <c r="CJ14">
        <v>0.510075338652811</v>
      </c>
      <c r="CK14">
        <v>0.523593875598086</v>
      </c>
      <c r="CL14">
        <v>0.546104880382775</v>
      </c>
      <c r="CM14">
        <v>0.557031578947368</v>
      </c>
      <c r="CN14">
        <v>0.564631578947368</v>
      </c>
      <c r="CO14">
        <v>0.571158907272028</v>
      </c>
      <c r="CP14">
        <v>0.57091784591195</v>
      </c>
      <c r="CQ14">
        <v>0.548959667852906</v>
      </c>
      <c r="CR14">
        <v>0.537145258103241</v>
      </c>
      <c r="CS14">
        <v>0.513947979191677</v>
      </c>
    </row>
    <row r="15" spans="1:97">
      <c r="A15" s="8">
        <v>46248</v>
      </c>
      <c r="B15" cm="1">
        <f t="array" ref="B15:CS15">_xlfn._xlws.FILTER(_xlfn.TRIMRANGE(火电空间!$B$2:$CS$32),_xlfn.TRIMRANGE(火电空间!$A$2:$A$32)=A15)/_xlfn._xlws.FILTER(_xlfn.TRIMRANGE(日前开机!$B$2:$CS$32),_xlfn.TRIMRANGE(日前开机!$A$2:$A$32)=A15)</f>
        <v>0.492921168467387</v>
      </c>
      <c r="C15">
        <v>0.492158363710004</v>
      </c>
      <c r="D15">
        <v>0.485079293344289</v>
      </c>
      <c r="E15">
        <v>0.500554560954817</v>
      </c>
      <c r="F15">
        <v>0.493260869565217</v>
      </c>
      <c r="G15">
        <v>0.488373401534527</v>
      </c>
      <c r="H15">
        <v>0.476681585677749</v>
      </c>
      <c r="I15">
        <v>0.463783461210571</v>
      </c>
      <c r="J15">
        <v>0.483329070758738</v>
      </c>
      <c r="K15">
        <v>0.468256180733163</v>
      </c>
      <c r="L15">
        <v>0.460106564364876</v>
      </c>
      <c r="M15">
        <v>0.45759505541347</v>
      </c>
      <c r="N15">
        <v>0.490203751065644</v>
      </c>
      <c r="O15">
        <v>0.489670929241262</v>
      </c>
      <c r="P15">
        <v>0.497566922421142</v>
      </c>
      <c r="Q15">
        <v>0.491454390451833</v>
      </c>
      <c r="R15">
        <v>0.492135976129582</v>
      </c>
      <c r="S15">
        <v>0.497800937766411</v>
      </c>
      <c r="T15">
        <v>0.503942028985507</v>
      </c>
      <c r="U15">
        <v>0.521391304347826</v>
      </c>
      <c r="V15">
        <v>0.504063938618926</v>
      </c>
      <c r="W15">
        <v>0.514512787723785</v>
      </c>
      <c r="X15">
        <v>0.517979965899403</v>
      </c>
      <c r="Y15">
        <v>0.520755328218244</v>
      </c>
      <c r="Z15">
        <v>0.527295396419437</v>
      </c>
      <c r="AA15">
        <v>0.527018329070759</v>
      </c>
      <c r="AB15">
        <v>0.518934356351236</v>
      </c>
      <c r="AC15">
        <v>0.511945439045183</v>
      </c>
      <c r="AD15">
        <v>0.515045183290708</v>
      </c>
      <c r="AE15">
        <v>0.497167519181586</v>
      </c>
      <c r="AF15">
        <v>0.494652173913044</v>
      </c>
      <c r="AG15">
        <v>0.485623188405797</v>
      </c>
      <c r="AH15">
        <v>0.462713554987212</v>
      </c>
      <c r="AI15">
        <v>0.457643648763853</v>
      </c>
      <c r="AJ15">
        <v>0.45980179028133</v>
      </c>
      <c r="AK15">
        <v>0.436576726342711</v>
      </c>
      <c r="AL15">
        <v>0.42292242114237</v>
      </c>
      <c r="AM15">
        <v>0.421360187553282</v>
      </c>
      <c r="AN15">
        <v>0.417436061381074</v>
      </c>
      <c r="AO15">
        <v>0.445131287297528</v>
      </c>
      <c r="AP15">
        <v>0.436291986359761</v>
      </c>
      <c r="AQ15">
        <v>0.398360613810742</v>
      </c>
      <c r="AR15">
        <v>0.381935635123615</v>
      </c>
      <c r="AS15">
        <v>0.386090366581415</v>
      </c>
      <c r="AT15">
        <v>0.391934782608696</v>
      </c>
      <c r="AU15">
        <v>0.375606564364876</v>
      </c>
      <c r="AV15">
        <v>0.378471014492754</v>
      </c>
      <c r="AW15">
        <v>0.365544330775789</v>
      </c>
      <c r="AX15">
        <v>0.375209718670076</v>
      </c>
      <c r="AY15">
        <v>0.366688405797102</v>
      </c>
      <c r="AZ15">
        <v>0.369593350383631</v>
      </c>
      <c r="BA15">
        <v>0.388409633418585</v>
      </c>
      <c r="BB15">
        <v>0.389113810741688</v>
      </c>
      <c r="BC15">
        <v>0.408997016197783</v>
      </c>
      <c r="BD15">
        <v>0.416780477408355</v>
      </c>
      <c r="BE15">
        <v>0.419654731457801</v>
      </c>
      <c r="BF15">
        <v>0.430836743393009</v>
      </c>
      <c r="BG15">
        <v>0.449109548167093</v>
      </c>
      <c r="BH15">
        <v>0.444357203751066</v>
      </c>
      <c r="BI15">
        <v>0.441007672634271</v>
      </c>
      <c r="BJ15">
        <v>0.45531884057971</v>
      </c>
      <c r="BK15">
        <v>0.47729283887468</v>
      </c>
      <c r="BL15">
        <v>0.48107800511509</v>
      </c>
      <c r="BM15">
        <v>0.484901960784314</v>
      </c>
      <c r="BN15">
        <v>0.509677749360614</v>
      </c>
      <c r="BO15">
        <v>0.530479965899403</v>
      </c>
      <c r="BP15">
        <v>0.551279624893436</v>
      </c>
      <c r="BQ15">
        <v>0.536237425404945</v>
      </c>
      <c r="BR15">
        <v>0.539945439045183</v>
      </c>
      <c r="BS15">
        <v>0.545826086956522</v>
      </c>
      <c r="BT15">
        <v>0.543040494458653</v>
      </c>
      <c r="BU15">
        <v>0.559260017050298</v>
      </c>
      <c r="BV15">
        <v>0.546200767263427</v>
      </c>
      <c r="BW15">
        <v>0.557398976982097</v>
      </c>
      <c r="BX15">
        <v>0.572093350383632</v>
      </c>
      <c r="BY15">
        <v>0.560437766410912</v>
      </c>
      <c r="BZ15">
        <v>0.584358482523444</v>
      </c>
      <c r="CA15">
        <v>0.587634271099744</v>
      </c>
      <c r="CB15">
        <v>0.593529838022165</v>
      </c>
      <c r="CC15">
        <v>0.587330349531117</v>
      </c>
      <c r="CD15">
        <v>0.588683290707587</v>
      </c>
      <c r="CE15">
        <v>0.593110400682012</v>
      </c>
      <c r="CF15">
        <v>0.595319693094629</v>
      </c>
      <c r="CG15">
        <v>0.584493606138107</v>
      </c>
      <c r="CH15">
        <v>0.58181884057971</v>
      </c>
      <c r="CI15">
        <v>0.560662404092072</v>
      </c>
      <c r="CJ15">
        <v>0.55492242114237</v>
      </c>
      <c r="CK15">
        <v>0.537213554987212</v>
      </c>
      <c r="CL15">
        <v>0.563570332480818</v>
      </c>
      <c r="CM15">
        <v>0.558196930946292</v>
      </c>
      <c r="CN15">
        <v>0.557126598465473</v>
      </c>
      <c r="CO15">
        <v>0.573796675191816</v>
      </c>
      <c r="CP15">
        <v>0.576753654342218</v>
      </c>
      <c r="CQ15">
        <v>0.569616938950989</v>
      </c>
      <c r="CR15">
        <v>0.561255803955288</v>
      </c>
      <c r="CS15">
        <v>0.547994840928633</v>
      </c>
    </row>
    <row r="16" spans="1:97">
      <c r="A16" s="8">
        <v>46249</v>
      </c>
      <c r="B16" cm="1">
        <f t="array" ref="B16:CS16">_xlfn._xlws.FILTER(_xlfn.TRIMRANGE(火电空间!$B$2:$CS$32),_xlfn.TRIMRANGE(火电空间!$A$2:$A$32)=A16)/_xlfn._xlws.FILTER(_xlfn.TRIMRANGE(日前开机!$B$2:$CS$32),_xlfn.TRIMRANGE(日前开机!$A$2:$A$32)=A16)</f>
        <v>0.550768271711092</v>
      </c>
      <c r="C16">
        <v>0.546019346517627</v>
      </c>
      <c r="D16">
        <v>0.536836629406707</v>
      </c>
      <c r="E16">
        <v>0.532438091143594</v>
      </c>
      <c r="F16">
        <v>0.532402837489252</v>
      </c>
      <c r="G16">
        <v>0.522567927773001</v>
      </c>
      <c r="H16">
        <v>0.517595872742906</v>
      </c>
      <c r="I16">
        <v>0.517522785898538</v>
      </c>
      <c r="J16">
        <v>0.515039552880482</v>
      </c>
      <c r="K16">
        <v>0.51045184866724</v>
      </c>
      <c r="L16">
        <v>0.51043981083405</v>
      </c>
      <c r="M16">
        <v>0.508468615649183</v>
      </c>
      <c r="N16">
        <v>0.508004729148753</v>
      </c>
      <c r="O16">
        <v>0.507470335339639</v>
      </c>
      <c r="P16">
        <v>0.509435941530525</v>
      </c>
      <c r="Q16">
        <v>0.509278589853826</v>
      </c>
      <c r="R16">
        <v>0.509644883920894</v>
      </c>
      <c r="S16">
        <v>0.512064918314703</v>
      </c>
      <c r="T16">
        <v>0.515447549441101</v>
      </c>
      <c r="U16">
        <v>0.526400257953568</v>
      </c>
      <c r="V16">
        <v>0.543751074806535</v>
      </c>
      <c r="W16">
        <v>0.545318572656922</v>
      </c>
      <c r="X16">
        <v>0.551531814273431</v>
      </c>
      <c r="Y16">
        <v>0.553671109200344</v>
      </c>
      <c r="Z16">
        <v>0.579359845227859</v>
      </c>
      <c r="AA16">
        <v>0.569284178847807</v>
      </c>
      <c r="AB16">
        <v>0.559121238177128</v>
      </c>
      <c r="AC16">
        <v>0.550833619948409</v>
      </c>
      <c r="AD16">
        <v>0.542810834049871</v>
      </c>
      <c r="AE16">
        <v>0.529284608770421</v>
      </c>
      <c r="AF16">
        <v>0.527638005159071</v>
      </c>
      <c r="AG16">
        <v>0.534787188306105</v>
      </c>
      <c r="AH16">
        <v>0.585674548581255</v>
      </c>
      <c r="AI16">
        <v>0.575097162510748</v>
      </c>
      <c r="AJ16">
        <v>0.575498280309544</v>
      </c>
      <c r="AK16">
        <v>0.573184436801376</v>
      </c>
      <c r="AL16">
        <v>0.573536543422184</v>
      </c>
      <c r="AM16">
        <v>0.582510748065348</v>
      </c>
      <c r="AN16">
        <v>0.58294196044712</v>
      </c>
      <c r="AO16">
        <v>0.582470765262253</v>
      </c>
      <c r="AP16">
        <v>0.584859845227859</v>
      </c>
      <c r="AQ16">
        <v>0.582059329320722</v>
      </c>
      <c r="AR16">
        <v>0.576698624247635</v>
      </c>
      <c r="AS16">
        <v>0.574328030954428</v>
      </c>
      <c r="AT16">
        <v>0.56906018916595</v>
      </c>
      <c r="AU16">
        <v>0.568344797936371</v>
      </c>
      <c r="AV16">
        <v>0.571203783319003</v>
      </c>
      <c r="AW16">
        <v>0.570433791917455</v>
      </c>
      <c r="AX16">
        <v>0.569078245915735</v>
      </c>
      <c r="AY16">
        <v>0.565075236457438</v>
      </c>
      <c r="AZ16">
        <v>0.581550730868444</v>
      </c>
      <c r="BA16">
        <v>0.575572656921754</v>
      </c>
      <c r="BB16">
        <v>0.59664445399828</v>
      </c>
      <c r="BC16">
        <v>0.594368443680138</v>
      </c>
      <c r="BD16">
        <v>0.611210232158212</v>
      </c>
      <c r="BE16">
        <v>0.59992992261393</v>
      </c>
      <c r="BF16">
        <v>0.577459587274291</v>
      </c>
      <c r="BG16">
        <v>0.576764402407567</v>
      </c>
      <c r="BH16">
        <v>0.577256233877902</v>
      </c>
      <c r="BI16">
        <v>0.576199914015477</v>
      </c>
      <c r="BJ16">
        <v>0.611677987962167</v>
      </c>
      <c r="BK16">
        <v>0.607282029234738</v>
      </c>
      <c r="BL16">
        <v>0.628316852966466</v>
      </c>
      <c r="BM16">
        <v>0.647970335339639</v>
      </c>
      <c r="BN16">
        <v>0.68051203783319</v>
      </c>
      <c r="BO16">
        <v>0.688971195184867</v>
      </c>
      <c r="BP16">
        <v>0.697947979363715</v>
      </c>
      <c r="BQ16">
        <v>0.684914445399828</v>
      </c>
      <c r="BR16">
        <v>0.687015907136715</v>
      </c>
      <c r="BS16">
        <v>0.688491831470335</v>
      </c>
      <c r="BT16">
        <v>0.694050730868444</v>
      </c>
      <c r="BU16">
        <v>0.712514617368874</v>
      </c>
      <c r="BV16">
        <v>0.708512467755804</v>
      </c>
      <c r="BW16">
        <v>0.712995270851247</v>
      </c>
      <c r="BX16">
        <v>0.723600171969045</v>
      </c>
      <c r="BY16">
        <v>0.723336199484093</v>
      </c>
      <c r="BZ16">
        <v>0.707864144453998</v>
      </c>
      <c r="CA16">
        <v>0.695495976281237</v>
      </c>
      <c r="CB16">
        <v>0.706012282930962</v>
      </c>
      <c r="CC16">
        <v>0.696057602710716</v>
      </c>
      <c r="CD16">
        <v>0.721728504870817</v>
      </c>
      <c r="CE16">
        <v>0.71934985175773</v>
      </c>
      <c r="CF16">
        <v>0.71233290978399</v>
      </c>
      <c r="CG16">
        <v>0.697134265141889</v>
      </c>
      <c r="CH16">
        <v>0.69206056755612</v>
      </c>
      <c r="CI16">
        <v>0.671514612452351</v>
      </c>
      <c r="CJ16">
        <v>0.658913172384583</v>
      </c>
      <c r="CK16">
        <v>0.640651842439644</v>
      </c>
      <c r="CL16">
        <v>0.610835239305379</v>
      </c>
      <c r="CM16">
        <v>0.61729055484964</v>
      </c>
      <c r="CN16">
        <v>0.632057602710716</v>
      </c>
      <c r="CO16">
        <v>0.64687039390089</v>
      </c>
      <c r="CP16">
        <v>0.655560355781449</v>
      </c>
      <c r="CQ16">
        <v>0.647370605675561</v>
      </c>
      <c r="CR16">
        <v>0.645270224481152</v>
      </c>
      <c r="CS16">
        <v>0.631650995340957</v>
      </c>
    </row>
    <row r="17" spans="1:97">
      <c r="A17" s="8">
        <v>46250</v>
      </c>
      <c r="B17" cm="1">
        <f t="array" ref="B17:CS17">_xlfn._xlws.FILTER(_xlfn.TRIMRANGE(火电空间!$B$2:$CS$32),_xlfn.TRIMRANGE(火电空间!$A$2:$A$32)=A17)/_xlfn._xlws.FILTER(_xlfn.TRIMRANGE(日前开机!$B$2:$CS$32),_xlfn.TRIMRANGE(日前开机!$A$2:$A$32)=A17)</f>
        <v>0.580064924458963</v>
      </c>
      <c r="C17">
        <v>0.581975500204165</v>
      </c>
      <c r="D17">
        <v>0.585035933033891</v>
      </c>
      <c r="E17">
        <v>0.589061657819518</v>
      </c>
      <c r="F17">
        <v>0.59528664761127</v>
      </c>
      <c r="G17">
        <v>0.589328297264189</v>
      </c>
      <c r="H17">
        <v>0.584236831359739</v>
      </c>
      <c r="I17">
        <v>0.577385055124541</v>
      </c>
      <c r="J17">
        <v>0.578246222948142</v>
      </c>
      <c r="K17">
        <v>0.575144548795427</v>
      </c>
      <c r="L17">
        <v>0.570003674969375</v>
      </c>
      <c r="M17">
        <v>0.564176806859943</v>
      </c>
      <c r="N17">
        <v>0.570516945692119</v>
      </c>
      <c r="O17">
        <v>0.564906492445896</v>
      </c>
      <c r="P17">
        <v>0.564608003266639</v>
      </c>
      <c r="Q17">
        <v>0.564451204573295</v>
      </c>
      <c r="R17">
        <v>0.565614128215598</v>
      </c>
      <c r="S17">
        <v>0.564947733768885</v>
      </c>
      <c r="T17">
        <v>0.563207839934667</v>
      </c>
      <c r="U17">
        <v>0.553642711310739</v>
      </c>
      <c r="V17">
        <v>0.559111065741119</v>
      </c>
      <c r="W17">
        <v>0.533612494895876</v>
      </c>
      <c r="X17">
        <v>0.525309922417313</v>
      </c>
      <c r="Y17">
        <v>0.512318089015925</v>
      </c>
      <c r="Z17">
        <v>0.555601878317681</v>
      </c>
      <c r="AA17">
        <v>0.546737035524704</v>
      </c>
      <c r="AB17">
        <v>0.533863209473254</v>
      </c>
      <c r="AC17">
        <v>0.519120457329522</v>
      </c>
      <c r="AD17">
        <v>0.507376888525929</v>
      </c>
      <c r="AE17">
        <v>0.491309922417313</v>
      </c>
      <c r="AF17">
        <v>0.483075541037158</v>
      </c>
      <c r="AG17">
        <v>0.476738260514496</v>
      </c>
      <c r="AH17">
        <v>0.484132298897509</v>
      </c>
      <c r="AI17">
        <v>0.477464679461005</v>
      </c>
      <c r="AJ17">
        <v>0.472616986525112</v>
      </c>
      <c r="AK17">
        <v>0.463520620661495</v>
      </c>
      <c r="AL17">
        <v>0.460271947733769</v>
      </c>
      <c r="AM17">
        <v>0.463466312780727</v>
      </c>
      <c r="AN17">
        <v>0.473989383421805</v>
      </c>
      <c r="AO17">
        <v>0.4855247039608</v>
      </c>
      <c r="AP17">
        <v>0.49871335238873</v>
      </c>
      <c r="AQ17">
        <v>0.517228256431196</v>
      </c>
      <c r="AR17">
        <v>0.52852429563087</v>
      </c>
      <c r="AS17">
        <v>0.525879951000408</v>
      </c>
      <c r="AT17">
        <v>0.544508370763577</v>
      </c>
      <c r="AU17">
        <v>0.537229481420988</v>
      </c>
      <c r="AV17">
        <v>0.54297223356472</v>
      </c>
      <c r="AW17">
        <v>0.54812576561862</v>
      </c>
      <c r="AX17">
        <v>0.553214781543487</v>
      </c>
      <c r="AY17">
        <v>0.55723805634953</v>
      </c>
      <c r="AZ17">
        <v>0.562642711310739</v>
      </c>
      <c r="BA17">
        <v>0.554711310739077</v>
      </c>
      <c r="BB17">
        <v>0.577553287055941</v>
      </c>
      <c r="BC17">
        <v>0.576604328297264</v>
      </c>
      <c r="BD17">
        <v>0.594452429563087</v>
      </c>
      <c r="BE17">
        <v>0.585044507962434</v>
      </c>
      <c r="BF17">
        <v>0.589443037974684</v>
      </c>
      <c r="BG17">
        <v>0.598184973458554</v>
      </c>
      <c r="BH17">
        <v>0.60149652919559</v>
      </c>
      <c r="BI17">
        <v>0.601215189873418</v>
      </c>
      <c r="BJ17">
        <v>0.64150347080441</v>
      </c>
      <c r="BK17">
        <v>0.644721927317272</v>
      </c>
      <c r="BL17">
        <v>0.653271539403838</v>
      </c>
      <c r="BM17">
        <v>0.661551653736219</v>
      </c>
      <c r="BN17">
        <v>0.692534095549204</v>
      </c>
      <c r="BO17">
        <v>0.699967741935484</v>
      </c>
      <c r="BP17">
        <v>0.707160065332789</v>
      </c>
      <c r="BQ17">
        <v>0.691086974275214</v>
      </c>
      <c r="BR17">
        <v>0.674198448346264</v>
      </c>
      <c r="BS17">
        <v>0.680943242139649</v>
      </c>
      <c r="BT17">
        <v>0.692845651286239</v>
      </c>
      <c r="BU17">
        <v>0.700989383421805</v>
      </c>
      <c r="BV17">
        <v>0.68287423438138</v>
      </c>
      <c r="BW17">
        <v>0.69139893834218</v>
      </c>
      <c r="BX17">
        <v>0.710348305430788</v>
      </c>
      <c r="BY17">
        <v>0.7204405879951</v>
      </c>
      <c r="BZ17">
        <v>0.714031441404655</v>
      </c>
      <c r="CA17">
        <v>0.721418946508779</v>
      </c>
      <c r="CB17">
        <v>0.727095957533687</v>
      </c>
      <c r="CC17">
        <v>0.719750102082483</v>
      </c>
      <c r="CD17">
        <v>0.700460187831768</v>
      </c>
      <c r="CE17">
        <v>0.700575336872193</v>
      </c>
      <c r="CF17">
        <v>0.693362188648428</v>
      </c>
      <c r="CG17">
        <v>0.683207839934667</v>
      </c>
      <c r="CH17">
        <v>0.682484279297673</v>
      </c>
      <c r="CI17">
        <v>0.653885667619436</v>
      </c>
      <c r="CJ17">
        <v>0.629099224173132</v>
      </c>
      <c r="CK17">
        <v>0.601476929358922</v>
      </c>
      <c r="CL17">
        <v>0.59692323397305</v>
      </c>
      <c r="CM17">
        <v>0.604387913434055</v>
      </c>
      <c r="CN17">
        <v>0.613650877909351</v>
      </c>
      <c r="CO17">
        <v>0.631664761126991</v>
      </c>
      <c r="CP17">
        <v>0.62879052674561</v>
      </c>
      <c r="CQ17">
        <v>0.619402613311556</v>
      </c>
      <c r="CR17">
        <v>0.617331972233565</v>
      </c>
      <c r="CS17">
        <v>0.605458554512046</v>
      </c>
    </row>
    <row r="18" spans="1:97">
      <c r="A18" s="8">
        <v>46251</v>
      </c>
      <c r="B18" cm="1">
        <f t="array" ref="B18:CS18">_xlfn._xlws.FILTER(_xlfn.TRIMRANGE(火电空间!$B$2:$CS$32),_xlfn.TRIMRANGE(火电空间!$A$2:$A$32)=A18)/_xlfn._xlws.FILTER(_xlfn.TRIMRANGE(日前开机!$B$2:$CS$32),_xlfn.TRIMRANGE(日前开机!$A$2:$A$32)=A18)</f>
        <v>0.550807676602695</v>
      </c>
      <c r="C18">
        <v>0.553779093507554</v>
      </c>
      <c r="D18">
        <v>0.553535728868926</v>
      </c>
      <c r="E18">
        <v>0.557591670069416</v>
      </c>
      <c r="F18">
        <v>0.559871376071866</v>
      </c>
      <c r="G18">
        <v>0.552764393630053</v>
      </c>
      <c r="H18">
        <v>0.545672111065741</v>
      </c>
      <c r="I18">
        <v>0.536168231931401</v>
      </c>
      <c r="J18">
        <v>0.532955083707636</v>
      </c>
      <c r="K18">
        <v>0.529609228256431</v>
      </c>
      <c r="L18">
        <v>0.524701510820743</v>
      </c>
      <c r="M18">
        <v>0.517798285014291</v>
      </c>
      <c r="N18">
        <v>0.521122498979175</v>
      </c>
      <c r="O18">
        <v>0.513184565128624</v>
      </c>
      <c r="P18">
        <v>0.512525112290731</v>
      </c>
      <c r="Q18">
        <v>0.51123111474071</v>
      </c>
      <c r="R18">
        <v>0.515325847284606</v>
      </c>
      <c r="S18">
        <v>0.512757860351164</v>
      </c>
      <c r="T18">
        <v>0.50805594120049</v>
      </c>
      <c r="U18">
        <v>0.502817068191098</v>
      </c>
      <c r="V18">
        <v>0.510298489179257</v>
      </c>
      <c r="W18">
        <v>0.49095794201715</v>
      </c>
      <c r="X18">
        <v>0.492647611269906</v>
      </c>
      <c r="Y18">
        <v>0.487995916700694</v>
      </c>
      <c r="Z18">
        <v>0.525766026949775</v>
      </c>
      <c r="AA18">
        <v>0.526348305430788</v>
      </c>
      <c r="AB18">
        <v>0.528082074316047</v>
      </c>
      <c r="AC18">
        <v>0.52824499795835</v>
      </c>
      <c r="AD18">
        <v>0.512471212739894</v>
      </c>
      <c r="AE18">
        <v>0.51392976725194</v>
      </c>
      <c r="AF18">
        <v>0.5207970600245</v>
      </c>
      <c r="AG18">
        <v>0.533597795018375</v>
      </c>
      <c r="AH18">
        <v>0.58574806043283</v>
      </c>
      <c r="AI18">
        <v>0.597798693344222</v>
      </c>
      <c r="AJ18">
        <v>0.606680685994283</v>
      </c>
      <c r="AK18">
        <v>0.610959983666803</v>
      </c>
      <c r="AL18">
        <v>0.63262229481421</v>
      </c>
      <c r="AM18">
        <v>0.644239689669253</v>
      </c>
      <c r="AN18">
        <v>0.654547162106982</v>
      </c>
      <c r="AO18">
        <v>0.663090240914659</v>
      </c>
      <c r="AP18">
        <v>0.656625153123724</v>
      </c>
      <c r="AQ18">
        <v>0.671435279706002</v>
      </c>
      <c r="AR18">
        <v>0.67781788485096</v>
      </c>
      <c r="AS18">
        <v>0.670100857492854</v>
      </c>
      <c r="AT18">
        <v>0.66495100040833</v>
      </c>
      <c r="AU18">
        <v>0.648021641486321</v>
      </c>
      <c r="AV18">
        <v>0.64577623519804</v>
      </c>
      <c r="AW18">
        <v>0.645677419354839</v>
      </c>
      <c r="AX18">
        <v>0.657554512045733</v>
      </c>
      <c r="AY18">
        <v>0.646066149448755</v>
      </c>
      <c r="AZ18">
        <v>0.644312372396897</v>
      </c>
      <c r="BA18">
        <v>0.634616578195182</v>
      </c>
      <c r="BB18">
        <v>0.651816251531237</v>
      </c>
      <c r="BC18">
        <v>0.645983666802777</v>
      </c>
      <c r="BD18">
        <v>0.649021641486321</v>
      </c>
      <c r="BE18">
        <v>0.635686810943242</v>
      </c>
      <c r="BF18">
        <v>0.637000816659861</v>
      </c>
      <c r="BG18">
        <v>0.633597386688444</v>
      </c>
      <c r="BH18">
        <v>0.632900775826868</v>
      </c>
      <c r="BI18">
        <v>0.627252756227031</v>
      </c>
      <c r="BJ18">
        <v>0.638761126990608</v>
      </c>
      <c r="BK18">
        <v>0.6313564720294</v>
      </c>
      <c r="BL18">
        <v>0.64598570845243</v>
      </c>
      <c r="BM18">
        <v>0.658758268681094</v>
      </c>
      <c r="BN18">
        <v>0.678147815434871</v>
      </c>
      <c r="BO18">
        <v>0.681273989383422</v>
      </c>
      <c r="BP18">
        <v>0.68670600244998</v>
      </c>
      <c r="BQ18">
        <v>0.666232339730502</v>
      </c>
      <c r="BR18">
        <v>0.663681502654144</v>
      </c>
      <c r="BS18">
        <v>0.676708860759494</v>
      </c>
      <c r="BT18">
        <v>0.68484850926672</v>
      </c>
      <c r="BU18">
        <v>0.698503626107977</v>
      </c>
      <c r="BV18">
        <v>0.699726512738854</v>
      </c>
      <c r="BW18">
        <v>0.710807281361298</v>
      </c>
      <c r="BX18">
        <v>0.720594067135051</v>
      </c>
      <c r="BY18">
        <v>0.732983996877439</v>
      </c>
      <c r="BZ18">
        <v>0.756250585480094</v>
      </c>
      <c r="CA18">
        <v>0.761933645589383</v>
      </c>
      <c r="CB18">
        <v>0.762330991412959</v>
      </c>
      <c r="CC18">
        <v>0.74171450617284</v>
      </c>
      <c r="CD18">
        <v>0.723930555555556</v>
      </c>
      <c r="CE18">
        <v>0.723827160493827</v>
      </c>
      <c r="CF18">
        <v>0.711666280864197</v>
      </c>
      <c r="CG18">
        <v>0.698720903522205</v>
      </c>
      <c r="CH18">
        <v>0.685415773353752</v>
      </c>
      <c r="CI18">
        <v>0.656708269525268</v>
      </c>
      <c r="CJ18">
        <v>0.63495290964778</v>
      </c>
      <c r="CK18">
        <v>0.616061264055836</v>
      </c>
      <c r="CL18">
        <v>0.607160139588988</v>
      </c>
      <c r="CM18">
        <v>0.605511050794882</v>
      </c>
      <c r="CN18">
        <v>0.611179555895865</v>
      </c>
      <c r="CO18">
        <v>0.615757656967841</v>
      </c>
      <c r="CP18">
        <v>0.599459418070444</v>
      </c>
      <c r="CQ18">
        <v>0.590396248085758</v>
      </c>
      <c r="CR18">
        <v>0.58837404287902</v>
      </c>
      <c r="CS18">
        <v>0.568196401225115</v>
      </c>
    </row>
    <row r="19" spans="1:97">
      <c r="A19" s="8">
        <v>46252</v>
      </c>
      <c r="B19" cm="1">
        <f t="array" ref="B19:CS19">_xlfn._xlws.FILTER(_xlfn.TRIMRANGE(火电空间!$B$2:$CS$32),_xlfn.TRIMRANGE(火电空间!$A$2:$A$32)=A19)/_xlfn._xlws.FILTER(_xlfn.TRIMRANGE(日前开机!$B$2:$CS$32),_xlfn.TRIMRANGE(日前开机!$A$2:$A$32)=A19)</f>
        <v>0.568537901990812</v>
      </c>
      <c r="C19">
        <v>0.57722549770291</v>
      </c>
      <c r="D19">
        <v>0.585294027565084</v>
      </c>
      <c r="E19">
        <v>0.59716539050536</v>
      </c>
      <c r="F19">
        <v>0.607680321592649</v>
      </c>
      <c r="G19">
        <v>0.61407886676876</v>
      </c>
      <c r="H19">
        <v>0.608649693721286</v>
      </c>
      <c r="I19">
        <v>0.599925344563553</v>
      </c>
      <c r="J19">
        <v>0.596604134762634</v>
      </c>
      <c r="K19">
        <v>0.591803598774885</v>
      </c>
      <c r="L19">
        <v>0.585458269525268</v>
      </c>
      <c r="M19">
        <v>0.582844180704441</v>
      </c>
      <c r="N19">
        <v>0.583305130168453</v>
      </c>
      <c r="O19">
        <v>0.581210949464012</v>
      </c>
      <c r="P19">
        <v>0.581096094946401</v>
      </c>
      <c r="Q19">
        <v>0.578654287901991</v>
      </c>
      <c r="R19">
        <v>0.586762633996937</v>
      </c>
      <c r="S19">
        <v>0.586552450229709</v>
      </c>
      <c r="T19">
        <v>0.588209800918836</v>
      </c>
      <c r="U19">
        <v>0.59702258805513</v>
      </c>
      <c r="V19">
        <v>0.613535604900459</v>
      </c>
      <c r="W19">
        <v>0.623366003062787</v>
      </c>
      <c r="X19">
        <v>0.635573506891271</v>
      </c>
      <c r="Y19">
        <v>0.642574272588055</v>
      </c>
      <c r="Z19">
        <v>0.67246056661562</v>
      </c>
      <c r="AA19">
        <v>0.675067381316998</v>
      </c>
      <c r="AB19">
        <v>0.677447166921899</v>
      </c>
      <c r="AC19">
        <v>0.67353943338438</v>
      </c>
      <c r="AD19">
        <v>0.673717457886677</v>
      </c>
      <c r="AE19">
        <v>0.671092266462481</v>
      </c>
      <c r="AF19">
        <v>0.662814318529862</v>
      </c>
      <c r="AG19">
        <v>0.652022970903522</v>
      </c>
      <c r="AH19">
        <v>0.645335758039816</v>
      </c>
      <c r="AI19">
        <v>0.625246554364472</v>
      </c>
      <c r="AJ19">
        <v>0.59728751914242</v>
      </c>
      <c r="AK19">
        <v>0.591035604900459</v>
      </c>
      <c r="AL19">
        <v>0.562707503828484</v>
      </c>
      <c r="AM19">
        <v>0.563140888208269</v>
      </c>
      <c r="AN19">
        <v>0.562661562021439</v>
      </c>
      <c r="AO19">
        <v>0.553525267993874</v>
      </c>
      <c r="AP19">
        <v>0.535160030627871</v>
      </c>
      <c r="AQ19">
        <v>0.533978177641654</v>
      </c>
      <c r="AR19">
        <v>0.53330819295559</v>
      </c>
      <c r="AS19">
        <v>0.522993491577335</v>
      </c>
      <c r="AT19">
        <v>0.510124808575804</v>
      </c>
      <c r="AU19">
        <v>0.500223200612557</v>
      </c>
      <c r="AV19">
        <v>0.494293644716692</v>
      </c>
      <c r="AW19">
        <v>0.490501531393568</v>
      </c>
      <c r="AX19">
        <v>0.507230857580398</v>
      </c>
      <c r="AY19">
        <v>0.503602986217458</v>
      </c>
      <c r="AZ19">
        <v>0.507887059724349</v>
      </c>
      <c r="BA19">
        <v>0.503768376722818</v>
      </c>
      <c r="BB19">
        <v>0.518426493108729</v>
      </c>
      <c r="BC19">
        <v>0.526897013782542</v>
      </c>
      <c r="BD19">
        <v>0.539220520673813</v>
      </c>
      <c r="BE19">
        <v>0.542816615620214</v>
      </c>
      <c r="BF19">
        <v>0.533375191424196</v>
      </c>
      <c r="BG19">
        <v>0.526558575803982</v>
      </c>
      <c r="BH19">
        <v>0.519552833078101</v>
      </c>
      <c r="BI19">
        <v>0.514921898928025</v>
      </c>
      <c r="BJ19">
        <v>0.541198315467075</v>
      </c>
      <c r="BK19">
        <v>0.552755742725881</v>
      </c>
      <c r="BL19">
        <v>0.563583460949464</v>
      </c>
      <c r="BM19">
        <v>0.577240428790199</v>
      </c>
      <c r="BN19">
        <v>0.605506891271057</v>
      </c>
      <c r="BO19">
        <v>0.615063552833078</v>
      </c>
      <c r="BP19">
        <v>0.624452526799387</v>
      </c>
      <c r="BQ19">
        <v>0.613779862174579</v>
      </c>
      <c r="BR19">
        <v>0.620841117917305</v>
      </c>
      <c r="BS19">
        <v>0.638643950995406</v>
      </c>
      <c r="BT19">
        <v>0.650832312404288</v>
      </c>
      <c r="BU19">
        <v>0.659371745788668</v>
      </c>
      <c r="BV19">
        <v>0.66496248085758</v>
      </c>
      <c r="BW19">
        <v>0.675715926493109</v>
      </c>
      <c r="BX19">
        <v>0.688517993874426</v>
      </c>
      <c r="BY19">
        <v>0.700765313935682</v>
      </c>
      <c r="BZ19">
        <v>0.720211715160796</v>
      </c>
      <c r="CA19">
        <v>0.725310490045942</v>
      </c>
      <c r="CB19">
        <v>0.725278713629403</v>
      </c>
      <c r="CC19">
        <v>0.715089586523737</v>
      </c>
      <c r="CD19">
        <v>0.706205972434916</v>
      </c>
      <c r="CE19">
        <v>0.704894333843798</v>
      </c>
      <c r="CF19">
        <v>0.715207503828484</v>
      </c>
      <c r="CG19">
        <v>0.723794793261868</v>
      </c>
      <c r="CH19">
        <v>0.741141653905054</v>
      </c>
      <c r="CI19">
        <v>0.731163859111792</v>
      </c>
      <c r="CJ19">
        <v>0.707185681470138</v>
      </c>
      <c r="CK19">
        <v>0.682637442572741</v>
      </c>
      <c r="CL19">
        <v>0.674678407350689</v>
      </c>
      <c r="CM19">
        <v>0.671399693721286</v>
      </c>
      <c r="CN19">
        <v>0.672632082695253</v>
      </c>
      <c r="CO19">
        <v>0.672158116385911</v>
      </c>
      <c r="CP19">
        <v>0.663833719135802</v>
      </c>
      <c r="CQ19">
        <v>0.645275462962963</v>
      </c>
      <c r="CR19">
        <v>0.627804012345679</v>
      </c>
      <c r="CS19">
        <v>0.605788580246914</v>
      </c>
    </row>
    <row r="20" spans="1:97">
      <c r="A20" s="8">
        <v>46253</v>
      </c>
      <c r="B20" cm="1">
        <f t="array" ref="B20:CS20">_xlfn._xlws.FILTER(_xlfn.TRIMRANGE(火电空间!$B$2:$CS$32),_xlfn.TRIMRANGE(火电空间!$A$2:$A$32)=A20)/_xlfn._xlws.FILTER(_xlfn.TRIMRANGE(日前开机!$B$2:$CS$32),_xlfn.TRIMRANGE(日前开机!$A$2:$A$32)=A20)</f>
        <v>0.588643904320988</v>
      </c>
      <c r="C20">
        <v>0.578727237654321</v>
      </c>
      <c r="D20">
        <v>0.590447284345048</v>
      </c>
      <c r="E20">
        <v>0.582390575079872</v>
      </c>
      <c r="F20">
        <v>0.579565095846645</v>
      </c>
      <c r="G20">
        <v>0.586918530351438</v>
      </c>
      <c r="H20">
        <v>0.591128594249201</v>
      </c>
      <c r="I20">
        <v>0.597220047923323</v>
      </c>
      <c r="J20">
        <v>0.607432907348243</v>
      </c>
      <c r="K20">
        <v>0.602961261980831</v>
      </c>
      <c r="L20">
        <v>0.595849041533546</v>
      </c>
      <c r="M20">
        <v>0.59001517571885</v>
      </c>
      <c r="N20">
        <v>0.597512380191693</v>
      </c>
      <c r="O20">
        <v>0.5929053514377</v>
      </c>
      <c r="P20">
        <v>0.596870207667732</v>
      </c>
      <c r="Q20">
        <v>0.595186900958466</v>
      </c>
      <c r="R20">
        <v>0.597725638977636</v>
      </c>
      <c r="S20">
        <v>0.599247603833866</v>
      </c>
      <c r="T20">
        <v>0.601762779552716</v>
      </c>
      <c r="U20">
        <v>0.612309904153355</v>
      </c>
      <c r="V20">
        <v>0.625144568690096</v>
      </c>
      <c r="W20">
        <v>0.625732827476038</v>
      </c>
      <c r="X20">
        <v>0.61880231629393</v>
      </c>
      <c r="Y20">
        <v>0.609445287539936</v>
      </c>
      <c r="Z20">
        <v>0.630223642172524</v>
      </c>
      <c r="AA20">
        <v>0.621789137380192</v>
      </c>
      <c r="AB20">
        <v>0.615282747603834</v>
      </c>
      <c r="AC20">
        <v>0.608587460063898</v>
      </c>
      <c r="AD20">
        <v>0.595891373801917</v>
      </c>
      <c r="AE20">
        <v>0.582817891373802</v>
      </c>
      <c r="AF20">
        <v>0.577473242811502</v>
      </c>
      <c r="AG20">
        <v>0.572058706070288</v>
      </c>
      <c r="AH20">
        <v>0.587988817891374</v>
      </c>
      <c r="AI20">
        <v>0.581815495207668</v>
      </c>
      <c r="AJ20">
        <v>0.562776357827476</v>
      </c>
      <c r="AK20">
        <v>0.54794928115016</v>
      </c>
      <c r="AL20">
        <v>0.517245607028754</v>
      </c>
      <c r="AM20">
        <v>0.520509984025559</v>
      </c>
      <c r="AN20">
        <v>0.52904392971246</v>
      </c>
      <c r="AO20">
        <v>0.532754792332268</v>
      </c>
      <c r="AP20">
        <v>0.53952356230032</v>
      </c>
      <c r="AQ20">
        <v>0.547872603833866</v>
      </c>
      <c r="AR20">
        <v>0.560981629392971</v>
      </c>
      <c r="AS20">
        <v>0.563982827476038</v>
      </c>
      <c r="AT20">
        <v>0.572949680511182</v>
      </c>
      <c r="AU20">
        <v>0.566046325878594</v>
      </c>
      <c r="AV20">
        <v>0.559048722044728</v>
      </c>
      <c r="AW20">
        <v>0.565014376996805</v>
      </c>
      <c r="AX20">
        <v>0.582071485623003</v>
      </c>
      <c r="AY20">
        <v>0.576009185303514</v>
      </c>
      <c r="AZ20">
        <v>0.584122204472843</v>
      </c>
      <c r="BA20">
        <v>0.590181709265176</v>
      </c>
      <c r="BB20">
        <v>0.609210463258786</v>
      </c>
      <c r="BC20">
        <v>0.62380231629393</v>
      </c>
      <c r="BD20">
        <v>0.630832268370607</v>
      </c>
      <c r="BE20">
        <v>0.639059904153355</v>
      </c>
      <c r="BF20">
        <v>0.641491214057508</v>
      </c>
      <c r="BG20">
        <v>0.640880191693291</v>
      </c>
      <c r="BH20">
        <v>0.642955670926518</v>
      </c>
      <c r="BI20">
        <v>0.639386581469649</v>
      </c>
      <c r="BJ20">
        <v>0.662350239616613</v>
      </c>
      <c r="BK20">
        <v>0.673430910543131</v>
      </c>
      <c r="BL20">
        <v>0.674037939297125</v>
      </c>
      <c r="BM20">
        <v>0.678322284345048</v>
      </c>
      <c r="BN20">
        <v>0.69661661341853</v>
      </c>
      <c r="BO20">
        <v>0.691373801916933</v>
      </c>
      <c r="BP20">
        <v>0.685893769968051</v>
      </c>
      <c r="BQ20">
        <v>0.663951677316294</v>
      </c>
      <c r="BR20">
        <v>0.65879392971246</v>
      </c>
      <c r="BS20">
        <v>0.66374161341853</v>
      </c>
      <c r="BT20">
        <v>0.669628993610224</v>
      </c>
      <c r="BU20">
        <v>0.68242571884984</v>
      </c>
      <c r="BV20">
        <v>0.680847444089457</v>
      </c>
      <c r="BW20">
        <v>0.692117811501597</v>
      </c>
      <c r="BX20">
        <v>0.703896565495208</v>
      </c>
      <c r="BY20">
        <v>0.707453674121406</v>
      </c>
      <c r="BZ20">
        <v>0.726298322683706</v>
      </c>
      <c r="CA20">
        <v>0.727970047923323</v>
      </c>
      <c r="CB20">
        <v>0.730102635782748</v>
      </c>
      <c r="CC20">
        <v>0.718164137380192</v>
      </c>
      <c r="CD20">
        <v>0.711683306709265</v>
      </c>
      <c r="CE20">
        <v>0.715307108626198</v>
      </c>
      <c r="CF20">
        <v>0.70543250798722</v>
      </c>
      <c r="CG20">
        <v>0.693680910543131</v>
      </c>
      <c r="CH20">
        <v>0.668321884984026</v>
      </c>
      <c r="CI20">
        <v>0.638123402555911</v>
      </c>
      <c r="CJ20">
        <v>0.61311661341853</v>
      </c>
      <c r="CK20">
        <v>0.585529952076677</v>
      </c>
      <c r="CL20">
        <v>0.581892571884984</v>
      </c>
      <c r="CM20">
        <v>0.577663338658147</v>
      </c>
      <c r="CN20">
        <v>0.582038338658147</v>
      </c>
      <c r="CO20">
        <v>0.598203274760383</v>
      </c>
      <c r="CP20">
        <v>0.59695607028754</v>
      </c>
      <c r="CQ20">
        <v>0.592522763578275</v>
      </c>
      <c r="CR20">
        <v>0.601230800323363</v>
      </c>
      <c r="CS20">
        <v>0.600544866612773</v>
      </c>
    </row>
    <row r="21" spans="1:97">
      <c r="A21" s="8">
        <v>46254</v>
      </c>
      <c r="B21" cm="1">
        <f t="array" ref="B21:CS21">_xlfn._xlws.FILTER(_xlfn.TRIMRANGE(火电空间!$B$2:$CS$32),_xlfn.TRIMRANGE(火电空间!$A$2:$A$32)=A21)/_xlfn._xlws.FILTER(_xlfn.TRIMRANGE(日前开机!$B$2:$CS$32),_xlfn.TRIMRANGE(日前开机!$A$2:$A$32)=A21)</f>
        <v>0.577702910266774</v>
      </c>
      <c r="C21">
        <v>0.568675020210186</v>
      </c>
      <c r="D21">
        <v>0.561478981406629</v>
      </c>
      <c r="E21">
        <v>0.556602263540824</v>
      </c>
      <c r="F21">
        <v>0.548978981406629</v>
      </c>
      <c r="G21">
        <v>0.53929587712207</v>
      </c>
      <c r="H21">
        <v>0.538548100242522</v>
      </c>
      <c r="I21">
        <v>0.536053354890865</v>
      </c>
      <c r="J21">
        <v>0.535128536782538</v>
      </c>
      <c r="K21">
        <v>0.532486661277284</v>
      </c>
      <c r="L21">
        <v>0.52918593371059</v>
      </c>
      <c r="M21">
        <v>0.526353274050121</v>
      </c>
      <c r="N21">
        <v>0.537826596604689</v>
      </c>
      <c r="O21">
        <v>0.531787793047696</v>
      </c>
      <c r="P21">
        <v>0.532210590137429</v>
      </c>
      <c r="Q21">
        <v>0.532721907841552</v>
      </c>
      <c r="R21">
        <v>0.545342764753436</v>
      </c>
      <c r="S21">
        <v>0.550175020210186</v>
      </c>
      <c r="T21">
        <v>0.555872271624899</v>
      </c>
      <c r="U21">
        <v>0.554779304769604</v>
      </c>
      <c r="V21">
        <v>0.541138237671787</v>
      </c>
      <c r="W21">
        <v>0.537173699303564</v>
      </c>
      <c r="X21">
        <v>0.546981974600573</v>
      </c>
      <c r="Y21">
        <v>0.550990987300287</v>
      </c>
      <c r="Z21">
        <v>0.578142564522737</v>
      </c>
      <c r="AA21">
        <v>0.56978451454322</v>
      </c>
      <c r="AB21">
        <v>0.568140516181893</v>
      </c>
      <c r="AC21">
        <v>0.559961491192135</v>
      </c>
      <c r="AD21">
        <v>0.548167963949201</v>
      </c>
      <c r="AE21">
        <v>0.548191724702991</v>
      </c>
      <c r="AF21">
        <v>0.562483818107333</v>
      </c>
      <c r="AG21">
        <v>0.576959852519459</v>
      </c>
      <c r="AH21">
        <v>0.606678820155674</v>
      </c>
      <c r="AI21">
        <v>0.603923392052438</v>
      </c>
      <c r="AJ21">
        <v>0.595524375256043</v>
      </c>
      <c r="AK21">
        <v>0.590611634575993</v>
      </c>
      <c r="AL21">
        <v>0.586065137238837</v>
      </c>
      <c r="AM21">
        <v>0.591985661614093</v>
      </c>
      <c r="AN21">
        <v>0.586469479721425</v>
      </c>
      <c r="AO21">
        <v>0.589831216714461</v>
      </c>
      <c r="AP21">
        <v>0.558590741499385</v>
      </c>
      <c r="AQ21">
        <v>0.552086439983613</v>
      </c>
      <c r="AR21">
        <v>0.544190262782644</v>
      </c>
      <c r="AS21">
        <v>0.533124057852923</v>
      </c>
      <c r="AT21">
        <v>0.517658586270116</v>
      </c>
      <c r="AU21">
        <v>0.508350784273783</v>
      </c>
      <c r="AV21">
        <v>0.499919331839479</v>
      </c>
      <c r="AW21">
        <v>0.503454878794052</v>
      </c>
      <c r="AX21">
        <v>0.511344876756977</v>
      </c>
      <c r="AY21">
        <v>0.506422489305358</v>
      </c>
      <c r="AZ21">
        <v>0.503547361988185</v>
      </c>
      <c r="BA21">
        <v>0.508298635159911</v>
      </c>
      <c r="BB21">
        <v>0.529096353636178</v>
      </c>
      <c r="BC21">
        <v>0.526973721735588</v>
      </c>
      <c r="BD21">
        <v>0.539617437359951</v>
      </c>
      <c r="BE21">
        <v>0.537235282134854</v>
      </c>
      <c r="BF21">
        <v>0.557888775718069</v>
      </c>
      <c r="BG21">
        <v>0.569920988654781</v>
      </c>
      <c r="BH21">
        <v>0.580659643435981</v>
      </c>
      <c r="BI21">
        <v>0.595083468395462</v>
      </c>
      <c r="BJ21">
        <v>0.630986628849271</v>
      </c>
      <c r="BK21">
        <v>0.647999594813614</v>
      </c>
      <c r="BL21">
        <v>0.649055007052186</v>
      </c>
      <c r="BM21">
        <v>0.658693935119887</v>
      </c>
      <c r="BN21">
        <v>0.679108200685069</v>
      </c>
      <c r="BO21">
        <v>0.686467056215998</v>
      </c>
      <c r="BP21">
        <v>0.690128954261535</v>
      </c>
      <c r="BQ21">
        <v>0.675977030022164</v>
      </c>
      <c r="BR21">
        <v>0.666786727963222</v>
      </c>
      <c r="BS21">
        <v>0.672731161303218</v>
      </c>
      <c r="BT21">
        <v>0.675561063361983</v>
      </c>
      <c r="BU21">
        <v>0.669809714171497</v>
      </c>
      <c r="BV21">
        <v>0.657424548879635</v>
      </c>
      <c r="BW21">
        <v>0.662943089430894</v>
      </c>
      <c r="BX21">
        <v>0.673176283957961</v>
      </c>
      <c r="BY21">
        <v>0.676093991671624</v>
      </c>
      <c r="BZ21">
        <v>0.69091493158834</v>
      </c>
      <c r="CA21">
        <v>0.692583382907</v>
      </c>
      <c r="CB21">
        <v>0.71317826690462</v>
      </c>
      <c r="CC21">
        <v>0.711984533016062</v>
      </c>
      <c r="CD21">
        <v>0.702823319452707</v>
      </c>
      <c r="CE21">
        <v>0.708916914534999</v>
      </c>
      <c r="CF21">
        <v>0.695801705334126</v>
      </c>
      <c r="CG21">
        <v>0.694717826690462</v>
      </c>
      <c r="CH21">
        <v>0.689533214356534</v>
      </c>
      <c r="CI21">
        <v>0.671625619670831</v>
      </c>
      <c r="CJ21">
        <v>0.659449137418203</v>
      </c>
      <c r="CK21">
        <v>0.64236089629189</v>
      </c>
      <c r="CL21">
        <v>0.650532222883204</v>
      </c>
      <c r="CM21">
        <v>0.646067023597065</v>
      </c>
      <c r="CN21">
        <v>0.648293476105493</v>
      </c>
      <c r="CO21">
        <v>0.626595280586952</v>
      </c>
      <c r="CP21">
        <v>0.598189173111243</v>
      </c>
      <c r="CQ21">
        <v>0.567805671227444</v>
      </c>
      <c r="CR21">
        <v>0.540411659726353</v>
      </c>
      <c r="CS21">
        <v>0.501860400555225</v>
      </c>
    </row>
    <row r="22" spans="1:97">
      <c r="A22" s="8">
        <v>46255</v>
      </c>
      <c r="B22" cm="1">
        <f t="array" ref="B22:CS22">_xlfn._xlws.FILTER(_xlfn.TRIMRANGE(火电空间!$B$2:$CS$32),_xlfn.TRIMRANGE(火电空间!$A$2:$A$32)=A22)/_xlfn._xlws.FILTER(_xlfn.TRIMRANGE(日前开机!$B$2:$CS$32),_xlfn.TRIMRANGE(日前开机!$A$2:$A$32)=A22)</f>
        <v>0.424046797541146</v>
      </c>
      <c r="C22">
        <v>0.434233194527067</v>
      </c>
      <c r="D22">
        <v>0.437503470156653</v>
      </c>
      <c r="E22">
        <v>0.445141384096768</v>
      </c>
      <c r="F22">
        <v>0.445980963712076</v>
      </c>
      <c r="G22">
        <v>0.454805076343446</v>
      </c>
      <c r="H22">
        <v>0.464772159428911</v>
      </c>
      <c r="I22">
        <v>0.471519730319254</v>
      </c>
      <c r="J22">
        <v>0.47703073567321</v>
      </c>
      <c r="K22">
        <v>0.47173428514773</v>
      </c>
      <c r="L22">
        <v>0.458954590521515</v>
      </c>
      <c r="M22">
        <v>0.439378147927821</v>
      </c>
      <c r="N22">
        <v>0.439126313702161</v>
      </c>
      <c r="O22">
        <v>0.437874677771168</v>
      </c>
      <c r="P22">
        <v>0.423762442990284</v>
      </c>
      <c r="Q22">
        <v>0.415823914336704</v>
      </c>
      <c r="R22">
        <v>0.415654570692048</v>
      </c>
      <c r="S22">
        <v>0.401115605790204</v>
      </c>
      <c r="T22">
        <v>0.399010906206623</v>
      </c>
      <c r="U22">
        <v>0.417230220107079</v>
      </c>
      <c r="V22">
        <v>0.430678167757287</v>
      </c>
      <c r="W22">
        <v>0.438993456276026</v>
      </c>
      <c r="X22">
        <v>0.448</v>
      </c>
      <c r="Y22">
        <v>0.458448542534206</v>
      </c>
      <c r="Z22">
        <v>0.489635930993456</v>
      </c>
      <c r="AA22">
        <v>0.492260559190958</v>
      </c>
      <c r="AB22">
        <v>0.492533016061868</v>
      </c>
      <c r="AC22">
        <v>0.487800118976799</v>
      </c>
      <c r="AD22">
        <v>0.487164386278009</v>
      </c>
      <c r="AE22">
        <v>0.481894110648424</v>
      </c>
      <c r="AF22">
        <v>0.478646044021416</v>
      </c>
      <c r="AG22">
        <v>0.485667658139996</v>
      </c>
      <c r="AH22">
        <v>0.501442791988896</v>
      </c>
      <c r="AI22">
        <v>0.503620067420186</v>
      </c>
      <c r="AJ22">
        <v>0.495336109458656</v>
      </c>
      <c r="AK22">
        <v>0.484479873091414</v>
      </c>
      <c r="AL22">
        <v>0.469897679952409</v>
      </c>
      <c r="AM22">
        <v>0.470511600237954</v>
      </c>
      <c r="AN22">
        <v>0.466341066825302</v>
      </c>
      <c r="AO22">
        <v>0.463190957763236</v>
      </c>
      <c r="AP22">
        <v>0.442157842554035</v>
      </c>
      <c r="AQ22">
        <v>0.441476502082094</v>
      </c>
      <c r="AR22">
        <v>0.432929208804283</v>
      </c>
      <c r="AS22">
        <v>0.425315883402736</v>
      </c>
      <c r="AT22">
        <v>0.410000793178664</v>
      </c>
      <c r="AU22">
        <v>0.405382113821138</v>
      </c>
      <c r="AV22">
        <v>0.396510013880627</v>
      </c>
      <c r="AW22">
        <v>0.423881419789808</v>
      </c>
      <c r="AX22">
        <v>0.434560380725758</v>
      </c>
      <c r="AY22">
        <v>0.444532222883204</v>
      </c>
      <c r="AZ22">
        <v>0.435631568510807</v>
      </c>
      <c r="BA22">
        <v>0.444881221495142</v>
      </c>
      <c r="BB22">
        <v>0.456089232599643</v>
      </c>
      <c r="BC22">
        <v>0.465246480269681</v>
      </c>
      <c r="BD22">
        <v>0.495887794088076</v>
      </c>
      <c r="BE22">
        <v>0.499495274482204</v>
      </c>
      <c r="BF22">
        <v>0.522670420269455</v>
      </c>
      <c r="BG22">
        <v>0.558127488437563</v>
      </c>
      <c r="BH22">
        <v>0.562300422280314</v>
      </c>
      <c r="BI22">
        <v>0.583718479790871</v>
      </c>
      <c r="BJ22">
        <v>0.59114216770561</v>
      </c>
      <c r="BK22">
        <v>0.591661773577318</v>
      </c>
      <c r="BL22">
        <v>0.605270862658355</v>
      </c>
      <c r="BM22">
        <v>0.623001407601046</v>
      </c>
      <c r="BN22">
        <v>0.639303036396541</v>
      </c>
      <c r="BO22">
        <v>0.64058837723708</v>
      </c>
      <c r="BP22">
        <v>0.639781620752061</v>
      </c>
      <c r="BQ22">
        <v>0.630844158455661</v>
      </c>
      <c r="BR22">
        <v>0.6310669615926</v>
      </c>
      <c r="BS22">
        <v>0.647210939070983</v>
      </c>
      <c r="BT22">
        <v>0.658768147999196</v>
      </c>
      <c r="BU22">
        <v>0.67118881962598</v>
      </c>
      <c r="BV22">
        <v>0.674363563241504</v>
      </c>
      <c r="BW22">
        <v>0.681379851196461</v>
      </c>
      <c r="BX22">
        <v>0.690580333802534</v>
      </c>
      <c r="BY22">
        <v>0.683627588980495</v>
      </c>
      <c r="BZ22">
        <v>0.715606324751672</v>
      </c>
      <c r="CA22">
        <v>0.73780012162984</v>
      </c>
      <c r="CB22">
        <v>0.744424082708291</v>
      </c>
      <c r="CC22">
        <v>0.745535779444557</v>
      </c>
      <c r="CD22">
        <v>0.732122846138253</v>
      </c>
      <c r="CE22">
        <v>0.726878167443746</v>
      </c>
      <c r="CF22">
        <v>0.713887289681735</v>
      </c>
      <c r="CG22">
        <v>0.699953402820356</v>
      </c>
      <c r="CH22">
        <v>0.694505690047589</v>
      </c>
      <c r="CI22">
        <v>0.665936685288641</v>
      </c>
      <c r="CJ22">
        <v>0.645355265880406</v>
      </c>
      <c r="CK22">
        <v>0.603442996068694</v>
      </c>
      <c r="CL22">
        <v>0.606123732671219</v>
      </c>
      <c r="CM22">
        <v>0.611563004345127</v>
      </c>
      <c r="CN22">
        <v>0.620907924684461</v>
      </c>
      <c r="CO22">
        <v>0.643624525916561</v>
      </c>
      <c r="CP22">
        <v>0.636733670459334</v>
      </c>
      <c r="CQ22">
        <v>0.628183312262958</v>
      </c>
      <c r="CR22">
        <v>0.617027491408935</v>
      </c>
      <c r="CS22">
        <v>0.596015463917526</v>
      </c>
    </row>
    <row r="23" spans="1:97">
      <c r="A23" s="8">
        <v>46256</v>
      </c>
      <c r="B23" cm="1">
        <f t="array" ref="B23:CS23">_xlfn._xlws.FILTER(_xlfn.TRIMRANGE(火电空间!$B$2:$CS$32),_xlfn.TRIMRANGE(火电空间!$A$2:$A$32)=A23)/_xlfn._xlws.FILTER(_xlfn.TRIMRANGE(日前开机!$B$2:$CS$32),_xlfn.TRIMRANGE(日前开机!$A$2:$A$32)=A23)</f>
        <v>0.605286082474227</v>
      </c>
      <c r="C23">
        <v>0.615351804123711</v>
      </c>
      <c r="D23">
        <v>0.618866838487973</v>
      </c>
      <c r="E23">
        <v>0.627351804123711</v>
      </c>
      <c r="F23">
        <v>0.633421821305842</v>
      </c>
      <c r="G23">
        <v>0.642127147766323</v>
      </c>
      <c r="H23">
        <v>0.649286082474227</v>
      </c>
      <c r="I23">
        <v>0.656842783505155</v>
      </c>
      <c r="J23">
        <v>0.655324312714777</v>
      </c>
      <c r="K23">
        <v>0.652381013745704</v>
      </c>
      <c r="L23">
        <v>0.66230004361099</v>
      </c>
      <c r="M23">
        <v>0.659860008722198</v>
      </c>
      <c r="N23">
        <v>0.663597906672481</v>
      </c>
      <c r="O23">
        <v>0.659447884866986</v>
      </c>
      <c r="P23">
        <v>0.662490187527257</v>
      </c>
      <c r="Q23">
        <v>0.660326210204972</v>
      </c>
      <c r="R23">
        <v>0.65960008722198</v>
      </c>
      <c r="S23">
        <v>0.661311818578282</v>
      </c>
      <c r="T23">
        <v>0.664139555167902</v>
      </c>
      <c r="U23">
        <v>0.659511556912342</v>
      </c>
      <c r="V23">
        <v>0.657945486262538</v>
      </c>
      <c r="W23">
        <v>0.648240732664631</v>
      </c>
      <c r="X23">
        <v>0.642678150894025</v>
      </c>
      <c r="Y23">
        <v>0.631051460968164</v>
      </c>
      <c r="Z23">
        <v>0.668423026602704</v>
      </c>
      <c r="AA23">
        <v>0.66038508504143</v>
      </c>
      <c r="AB23">
        <v>0.652608373310074</v>
      </c>
      <c r="AC23">
        <v>0.639722197993894</v>
      </c>
      <c r="AD23">
        <v>0.638694286960314</v>
      </c>
      <c r="AE23">
        <v>0.631879197557785</v>
      </c>
      <c r="AF23">
        <v>0.623240296554732</v>
      </c>
      <c r="AG23">
        <v>0.621697339729612</v>
      </c>
      <c r="AH23">
        <v>0.645023113824684</v>
      </c>
      <c r="AI23">
        <v>0.625984736153511</v>
      </c>
      <c r="AJ23">
        <v>0.606795028347143</v>
      </c>
      <c r="AK23">
        <v>0.589241168774531</v>
      </c>
      <c r="AL23">
        <v>0.566922808547754</v>
      </c>
      <c r="AM23">
        <v>0.562204971652857</v>
      </c>
      <c r="AN23">
        <v>0.551411251635412</v>
      </c>
      <c r="AO23">
        <v>0.544073266463149</v>
      </c>
      <c r="AP23">
        <v>0.502813344962931</v>
      </c>
      <c r="AQ23">
        <v>0.488940689053642</v>
      </c>
      <c r="AR23">
        <v>0.472918447448757</v>
      </c>
      <c r="AS23">
        <v>0.454976013955517</v>
      </c>
      <c r="AT23">
        <v>0.446599215002181</v>
      </c>
      <c r="AU23">
        <v>0.42845704317488</v>
      </c>
      <c r="AV23">
        <v>0.428403401657218</v>
      </c>
      <c r="AW23">
        <v>0.427813344962931</v>
      </c>
      <c r="AX23">
        <v>0.447816397732229</v>
      </c>
      <c r="AY23">
        <v>0.443315743567379</v>
      </c>
      <c r="AZ23">
        <v>0.445674662014828</v>
      </c>
      <c r="BA23">
        <v>0.429932839075447</v>
      </c>
      <c r="BB23">
        <v>0.442827736589621</v>
      </c>
      <c r="BC23">
        <v>0.445303096380288</v>
      </c>
      <c r="BD23">
        <v>0.449093763628434</v>
      </c>
      <c r="BE23">
        <v>0.432391190580026</v>
      </c>
      <c r="BF23">
        <v>0.433235063235936</v>
      </c>
      <c r="BG23">
        <v>0.430950719581335</v>
      </c>
      <c r="BH23">
        <v>0.428143480157</v>
      </c>
      <c r="BI23">
        <v>0.426686436982119</v>
      </c>
      <c r="BJ23">
        <v>0.444490187527257</v>
      </c>
      <c r="BK23">
        <v>0.462273877017008</v>
      </c>
      <c r="BL23">
        <v>0.473259485390318</v>
      </c>
      <c r="BM23">
        <v>0.489746620148277</v>
      </c>
      <c r="BN23">
        <v>0.533088094199738</v>
      </c>
      <c r="BO23">
        <v>0.55705713039686</v>
      </c>
      <c r="BP23">
        <v>0.570252507631923</v>
      </c>
      <c r="BQ23">
        <v>0.563180985608373</v>
      </c>
      <c r="BR23">
        <v>0.604493240296555</v>
      </c>
      <c r="BS23">
        <v>0.618078935891845</v>
      </c>
      <c r="BT23">
        <v>0.628936764064544</v>
      </c>
      <c r="BU23">
        <v>0.636453990405582</v>
      </c>
      <c r="BV23">
        <v>0.637762756214566</v>
      </c>
      <c r="BW23">
        <v>0.645006541648495</v>
      </c>
      <c r="BX23">
        <v>0.65964238988225</v>
      </c>
      <c r="BY23">
        <v>0.677839511556912</v>
      </c>
      <c r="BZ23">
        <v>0.671907108591365</v>
      </c>
      <c r="CA23">
        <v>0.666687745311819</v>
      </c>
      <c r="CB23">
        <v>0.6610004361099</v>
      </c>
      <c r="CC23">
        <v>0.643888791975578</v>
      </c>
      <c r="CD23">
        <v>0.605746184038378</v>
      </c>
      <c r="CE23">
        <v>0.603264718709115</v>
      </c>
      <c r="CF23">
        <v>0.589715656345399</v>
      </c>
      <c r="CG23">
        <v>0.588330571303969</v>
      </c>
      <c r="CH23">
        <v>0.597829917139119</v>
      </c>
      <c r="CI23">
        <v>0.578277802006106</v>
      </c>
      <c r="CJ23">
        <v>0.564023689405571</v>
      </c>
      <c r="CK23">
        <v>0.543746874314543</v>
      </c>
      <c r="CL23">
        <v>0.548558455801711</v>
      </c>
      <c r="CM23">
        <v>0.555388462382101</v>
      </c>
      <c r="CN23">
        <v>0.566397016889669</v>
      </c>
      <c r="CO23">
        <v>0.572497038824304</v>
      </c>
      <c r="CP23">
        <v>0.571475323535863</v>
      </c>
      <c r="CQ23">
        <v>0.548756306207502</v>
      </c>
      <c r="CR23">
        <v>0.526090809388024</v>
      </c>
      <c r="CS23">
        <v>0.510390875191928</v>
      </c>
    </row>
    <row r="24" spans="1:97">
      <c r="A24" s="8">
        <v>46257</v>
      </c>
      <c r="B24" cm="1">
        <f t="array" ref="B24:CS24">_xlfn._xlws.FILTER(_xlfn.TRIMRANGE(火电空间!$B$2:$CS$32),_xlfn.TRIMRANGE(火电空间!$A$2:$A$32)=A24)/_xlfn._xlws.FILTER(_xlfn.TRIMRANGE(日前开机!$B$2:$CS$32),_xlfn.TRIMRANGE(日前开机!$A$2:$A$32)=A24)</f>
        <v>0.501822329458215</v>
      </c>
      <c r="C24">
        <v>0.503286685676683</v>
      </c>
      <c r="D24">
        <v>0.502198727791182</v>
      </c>
      <c r="E24">
        <v>0.505166045185348</v>
      </c>
      <c r="F24">
        <v>0.494318052204431</v>
      </c>
      <c r="G24">
        <v>0.484802807633253</v>
      </c>
      <c r="H24">
        <v>0.478351392849309</v>
      </c>
      <c r="I24">
        <v>0.467639833296776</v>
      </c>
      <c r="J24">
        <v>0.451802149594209</v>
      </c>
      <c r="K24">
        <v>0.448316297433648</v>
      </c>
      <c r="L24">
        <v>0.445865760035095</v>
      </c>
      <c r="M24">
        <v>0.441978504057907</v>
      </c>
      <c r="N24">
        <v>0.456175915771002</v>
      </c>
      <c r="O24">
        <v>0.453531476200921</v>
      </c>
      <c r="P24">
        <v>0.4569326606712</v>
      </c>
      <c r="Q24">
        <v>0.457957008115815</v>
      </c>
      <c r="R24">
        <v>0.458902390875192</v>
      </c>
      <c r="S24">
        <v>0.448082474226804</v>
      </c>
      <c r="T24">
        <v>0.441603860495723</v>
      </c>
      <c r="U24">
        <v>0.437336257951305</v>
      </c>
      <c r="V24">
        <v>0.432293924106164</v>
      </c>
      <c r="W24">
        <v>0.426647510418952</v>
      </c>
      <c r="X24">
        <v>0.426592235139285</v>
      </c>
      <c r="Y24">
        <v>0.419446808510638</v>
      </c>
      <c r="Z24">
        <v>0.40887255977188</v>
      </c>
      <c r="AA24">
        <v>0.398110550559333</v>
      </c>
      <c r="AB24">
        <v>0.3934819039263</v>
      </c>
      <c r="AC24">
        <v>0.382393507348103</v>
      </c>
      <c r="AD24">
        <v>0.377682825180961</v>
      </c>
      <c r="AE24">
        <v>0.371617459969292</v>
      </c>
      <c r="AF24">
        <v>0.366054397894275</v>
      </c>
      <c r="AG24">
        <v>0.36317613511735</v>
      </c>
      <c r="AH24">
        <v>0.390879578855012</v>
      </c>
      <c r="AI24">
        <v>0.37107874533889</v>
      </c>
      <c r="AJ24">
        <v>0.345887694669884</v>
      </c>
      <c r="AK24">
        <v>0.317152884404475</v>
      </c>
      <c r="AL24">
        <v>0.286851502522483</v>
      </c>
      <c r="AM24">
        <v>0.273191050669006</v>
      </c>
      <c r="AN24">
        <v>0.267111647291073</v>
      </c>
      <c r="AO24">
        <v>0.271241939021715</v>
      </c>
      <c r="AP24">
        <v>0.277026540908094</v>
      </c>
      <c r="AQ24">
        <v>0.28287255977188</v>
      </c>
      <c r="AR24">
        <v>0.303374862908532</v>
      </c>
      <c r="AS24">
        <v>0.30513884623821</v>
      </c>
      <c r="AT24">
        <v>0.332671199824523</v>
      </c>
      <c r="AU24">
        <v>0.333652555384953</v>
      </c>
      <c r="AV24">
        <v>0.354512831761351</v>
      </c>
      <c r="AW24">
        <v>0.360916867734152</v>
      </c>
      <c r="AX24">
        <v>0.39697302039921</v>
      </c>
      <c r="AY24">
        <v>0.412148278131169</v>
      </c>
      <c r="AZ24">
        <v>0.417032243913139</v>
      </c>
      <c r="BA24">
        <v>0.413817065145865</v>
      </c>
      <c r="BB24">
        <v>0.422659355121737</v>
      </c>
      <c r="BC24">
        <v>0.427435402500548</v>
      </c>
      <c r="BD24">
        <v>0.445182715507787</v>
      </c>
      <c r="BE24">
        <v>0.44830357534547</v>
      </c>
      <c r="BF24">
        <v>0.455335380565914</v>
      </c>
      <c r="BG24">
        <v>0.460494406668129</v>
      </c>
      <c r="BH24">
        <v>0.465407764860715</v>
      </c>
      <c r="BI24">
        <v>0.470601447685896</v>
      </c>
      <c r="BJ24">
        <v>0.548238210133801</v>
      </c>
      <c r="BK24">
        <v>0.575719675367405</v>
      </c>
      <c r="BL24">
        <v>0.574523799078745</v>
      </c>
      <c r="BM24">
        <v>0.573377056372011</v>
      </c>
      <c r="BN24">
        <v>0.600015354244352</v>
      </c>
      <c r="BO24">
        <v>0.614705417854793</v>
      </c>
      <c r="BP24">
        <v>0.621538495284053</v>
      </c>
      <c r="BQ24">
        <v>0.608915990348761</v>
      </c>
      <c r="BR24">
        <v>0.610833954814652</v>
      </c>
      <c r="BS24">
        <v>0.631384179559817</v>
      </c>
      <c r="BT24">
        <v>0.646378295925038</v>
      </c>
      <c r="BU24">
        <v>0.657348006101547</v>
      </c>
      <c r="BV24">
        <v>0.63521789632179</v>
      </c>
      <c r="BW24">
        <v>0.649771133577113</v>
      </c>
      <c r="BX24">
        <v>0.666368251236825</v>
      </c>
      <c r="BY24">
        <v>0.684349752634975</v>
      </c>
      <c r="BZ24">
        <v>0.656568294256829</v>
      </c>
      <c r="CA24">
        <v>0.658962787696279</v>
      </c>
      <c r="CB24">
        <v>0.657192084319208</v>
      </c>
      <c r="CC24">
        <v>0.643110346311035</v>
      </c>
      <c r="CD24">
        <v>0.657668745966875</v>
      </c>
      <c r="CE24">
        <v>0.657711765971177</v>
      </c>
      <c r="CF24">
        <v>0.647211873521187</v>
      </c>
      <c r="CG24">
        <v>0.634911593891159</v>
      </c>
      <c r="CH24">
        <v>0.646199182619918</v>
      </c>
      <c r="CI24">
        <v>0.63308969670897</v>
      </c>
      <c r="CJ24">
        <v>0.601714777371478</v>
      </c>
      <c r="CK24">
        <v>0.571593891159389</v>
      </c>
      <c r="CL24">
        <v>0.558147128414713</v>
      </c>
      <c r="CM24">
        <v>0.551633039363304</v>
      </c>
      <c r="CN24">
        <v>0.55184039578404</v>
      </c>
      <c r="CO24">
        <v>0.568921731712519</v>
      </c>
      <c r="CP24">
        <v>0.573935593943272</v>
      </c>
      <c r="CQ24">
        <v>0.568428241227149</v>
      </c>
      <c r="CR24">
        <v>0.564163059466274</v>
      </c>
      <c r="CS24">
        <v>0.573706833369261</v>
      </c>
    </row>
    <row r="25" spans="1:97">
      <c r="A25" s="8">
        <v>46258</v>
      </c>
      <c r="B25" cm="1">
        <f t="array" ref="B25:CS25">_xlfn._xlws.FILTER(_xlfn.TRIMRANGE(火电空间!$B$2:$CS$32),_xlfn.TRIMRANGE(火电空间!$A$2:$A$32)=A25)/_xlfn._xlws.FILTER(_xlfn.TRIMRANGE(日前开机!$B$2:$CS$32),_xlfn.TRIMRANGE(日前开机!$A$2:$A$32)=A25)</f>
        <v>0.591034274628153</v>
      </c>
      <c r="C25">
        <v>0.594821688812688</v>
      </c>
      <c r="D25">
        <v>0.599911273039006</v>
      </c>
      <c r="E25">
        <v>0.607538791255894</v>
      </c>
      <c r="F25">
        <v>0.619379768538363</v>
      </c>
      <c r="G25">
        <v>0.631394342048864</v>
      </c>
      <c r="H25">
        <v>0.641128589798543</v>
      </c>
      <c r="I25">
        <v>0.647335190741534</v>
      </c>
      <c r="J25">
        <v>0.65347878268324</v>
      </c>
      <c r="K25">
        <v>0.651903986283755</v>
      </c>
      <c r="L25">
        <v>0.652837548221174</v>
      </c>
      <c r="M25">
        <v>0.649368624089156</v>
      </c>
      <c r="N25">
        <v>0.664278182597514</v>
      </c>
      <c r="O25">
        <v>0.660481783111873</v>
      </c>
      <c r="P25">
        <v>0.663751821688813</v>
      </c>
      <c r="Q25">
        <v>0.664357051007287</v>
      </c>
      <c r="R25">
        <v>0.664296613801972</v>
      </c>
      <c r="S25">
        <v>0.653297042434633</v>
      </c>
      <c r="T25">
        <v>0.645028718388341</v>
      </c>
      <c r="U25">
        <v>0.643752250321475</v>
      </c>
      <c r="V25">
        <v>0.642020574367767</v>
      </c>
      <c r="W25">
        <v>0.636718816973853</v>
      </c>
      <c r="X25">
        <v>0.641012430347192</v>
      </c>
      <c r="Y25">
        <v>0.63849292756108</v>
      </c>
      <c r="Z25">
        <v>0.658271324474925</v>
      </c>
      <c r="AA25">
        <v>0.658525075010716</v>
      </c>
      <c r="AB25">
        <v>0.665242177453922</v>
      </c>
      <c r="AC25">
        <v>0.668702528932705</v>
      </c>
      <c r="AD25">
        <v>0.682295327903986</v>
      </c>
      <c r="AE25">
        <v>0.690760822974711</v>
      </c>
      <c r="AF25">
        <v>0.700223746249464</v>
      </c>
      <c r="AG25">
        <v>0.712958422631805</v>
      </c>
      <c r="AH25">
        <v>0.736738105443635</v>
      </c>
      <c r="AI25">
        <v>0.741852608695652</v>
      </c>
      <c r="AJ25">
        <v>0.722010869565217</v>
      </c>
      <c r="AK25">
        <v>0.703501739130435</v>
      </c>
      <c r="AL25">
        <v>0.673360434782609</v>
      </c>
      <c r="AM25">
        <v>0.658599565217391</v>
      </c>
      <c r="AN25">
        <v>0.657832173913043</v>
      </c>
      <c r="AO25">
        <v>0.65687</v>
      </c>
      <c r="AP25">
        <v>0.636551739130435</v>
      </c>
      <c r="AQ25">
        <v>0.65380652173913</v>
      </c>
      <c r="AR25">
        <v>0.665012608695652</v>
      </c>
      <c r="AS25">
        <v>0.663582608695652</v>
      </c>
      <c r="AT25">
        <v>0.671601739130435</v>
      </c>
      <c r="AU25">
        <v>0.672642608695652</v>
      </c>
      <c r="AV25">
        <v>0.681750434782609</v>
      </c>
      <c r="AW25">
        <v>0.67987652173913</v>
      </c>
      <c r="AX25">
        <v>0.702304782608696</v>
      </c>
      <c r="AY25">
        <v>0.718051739130435</v>
      </c>
      <c r="AZ25">
        <v>0.713710434782609</v>
      </c>
      <c r="BA25">
        <v>0.705204347826087</v>
      </c>
      <c r="BB25">
        <v>0.696548576214405</v>
      </c>
      <c r="BC25">
        <v>0.694224036850921</v>
      </c>
      <c r="BD25">
        <v>0.688587102177554</v>
      </c>
      <c r="BE25">
        <v>0.688618927973199</v>
      </c>
      <c r="BF25">
        <v>0.679307788944724</v>
      </c>
      <c r="BG25">
        <v>0.672061976549414</v>
      </c>
      <c r="BH25">
        <v>0.66035594639866</v>
      </c>
      <c r="BI25">
        <v>0.650850502512563</v>
      </c>
      <c r="BJ25">
        <v>0.642559882747069</v>
      </c>
      <c r="BK25">
        <v>0.658341266468338</v>
      </c>
      <c r="BL25">
        <v>0.636206969825754</v>
      </c>
      <c r="BM25">
        <v>0.627242243943901</v>
      </c>
      <c r="BN25">
        <v>0.635220144496388</v>
      </c>
      <c r="BO25">
        <v>0.632935826604335</v>
      </c>
      <c r="BP25">
        <v>0.62934381640459</v>
      </c>
      <c r="BQ25">
        <v>0.607074373140671</v>
      </c>
      <c r="BR25">
        <v>0.597788355291118</v>
      </c>
      <c r="BS25">
        <v>0.613832554186145</v>
      </c>
      <c r="BT25">
        <v>0.621688057798555</v>
      </c>
      <c r="BU25">
        <v>0.627469613259669</v>
      </c>
      <c r="BV25">
        <v>0.626803229919252</v>
      </c>
      <c r="BW25">
        <v>0.635645983850404</v>
      </c>
      <c r="BX25">
        <v>0.654165745856354</v>
      </c>
      <c r="BY25">
        <v>0.664249893752656</v>
      </c>
      <c r="BZ25">
        <v>0.67846408839779</v>
      </c>
      <c r="CA25">
        <v>0.674098597535062</v>
      </c>
      <c r="CB25">
        <v>0.666267743306417</v>
      </c>
      <c r="CC25">
        <v>0.644019974500638</v>
      </c>
      <c r="CD25">
        <v>0.629739481512962</v>
      </c>
      <c r="CE25">
        <v>0.637241393965151</v>
      </c>
      <c r="CF25">
        <v>0.642786913473956</v>
      </c>
      <c r="CG25">
        <v>0.645118811881188</v>
      </c>
      <c r="CH25">
        <v>0.66180241067585</v>
      </c>
      <c r="CI25">
        <v>0.64716444253121</v>
      </c>
      <c r="CJ25">
        <v>0.628779164873009</v>
      </c>
      <c r="CK25">
        <v>0.599624192854068</v>
      </c>
      <c r="CL25">
        <v>0.599141627206199</v>
      </c>
      <c r="CM25">
        <v>0.596569952647439</v>
      </c>
      <c r="CN25">
        <v>0.600628497632372</v>
      </c>
      <c r="CO25">
        <v>0.60886784330607</v>
      </c>
      <c r="CP25">
        <v>0.611969067609368</v>
      </c>
      <c r="CQ25">
        <v>0.605389748121962</v>
      </c>
      <c r="CR25">
        <v>0.590348652231551</v>
      </c>
      <c r="CS25">
        <v>0.569075563411401</v>
      </c>
    </row>
    <row r="26" spans="1:97">
      <c r="A26" s="8">
        <v>46259</v>
      </c>
      <c r="B26" cm="1">
        <f t="array" ref="B26:CS26">_xlfn._xlws.FILTER(_xlfn.TRIMRANGE(火电空间!$B$2:$CS$32),_xlfn.TRIMRANGE(火电空间!$A$2:$A$32)=A26)/_xlfn._xlws.FILTER(_xlfn.TRIMRANGE(日前开机!$B$2:$CS$32),_xlfn.TRIMRANGE(日前开机!$A$2:$A$32)=A26)</f>
        <v>0.5814706142289</v>
      </c>
      <c r="C26">
        <v>0.572381794078657</v>
      </c>
      <c r="D26">
        <v>0.565673442333186</v>
      </c>
      <c r="E26">
        <v>0.558781263809103</v>
      </c>
      <c r="F26">
        <v>0.556840035351304</v>
      </c>
      <c r="G26">
        <v>0.5565377817057</v>
      </c>
      <c r="H26">
        <v>0.570987627043747</v>
      </c>
      <c r="I26">
        <v>0.576292532037119</v>
      </c>
      <c r="J26">
        <v>0.573755192222713</v>
      </c>
      <c r="K26">
        <v>0.587278391515687</v>
      </c>
      <c r="L26">
        <v>0.604292090145824</v>
      </c>
      <c r="M26">
        <v>0.600502872293416</v>
      </c>
      <c r="N26">
        <v>0.606118426866991</v>
      </c>
      <c r="O26">
        <v>0.602680512593902</v>
      </c>
      <c r="P26">
        <v>0.606646928855502</v>
      </c>
      <c r="Q26">
        <v>0.592854175872735</v>
      </c>
      <c r="R26">
        <v>0.592326557666814</v>
      </c>
      <c r="S26">
        <v>0.580083959346001</v>
      </c>
      <c r="T26">
        <v>0.573642068051259</v>
      </c>
      <c r="U26">
        <v>0.566677419354839</v>
      </c>
      <c r="V26">
        <v>0.581319929297393</v>
      </c>
      <c r="W26">
        <v>0.585676977463544</v>
      </c>
      <c r="X26">
        <v>0.579198409191339</v>
      </c>
      <c r="Y26">
        <v>0.577031374281927</v>
      </c>
      <c r="Z26">
        <v>0.585288113124171</v>
      </c>
      <c r="AA26">
        <v>0.584983650022095</v>
      </c>
      <c r="AB26">
        <v>0.58341007512152</v>
      </c>
      <c r="AC26">
        <v>0.574882456915599</v>
      </c>
      <c r="AD26">
        <v>0.574850198851083</v>
      </c>
      <c r="AE26">
        <v>0.571582854617764</v>
      </c>
      <c r="AF26">
        <v>0.566708793636765</v>
      </c>
      <c r="AG26">
        <v>0.584694653115334</v>
      </c>
      <c r="AH26">
        <v>0.639935925762262</v>
      </c>
      <c r="AI26">
        <v>0.645624834290764</v>
      </c>
      <c r="AJ26">
        <v>0.626376742160279</v>
      </c>
      <c r="AK26">
        <v>0.621918554006969</v>
      </c>
      <c r="AL26">
        <v>0.619516114982578</v>
      </c>
      <c r="AM26">
        <v>0.637259581881533</v>
      </c>
      <c r="AN26">
        <v>0.63414938298333</v>
      </c>
      <c r="AO26">
        <v>0.648948257198528</v>
      </c>
      <c r="AP26">
        <v>0.636358086165837</v>
      </c>
      <c r="AQ26">
        <v>0.650419138341632</v>
      </c>
      <c r="AR26">
        <v>0.670438190084434</v>
      </c>
      <c r="AS26">
        <v>0.655127083784369</v>
      </c>
      <c r="AT26">
        <v>0.644646893266941</v>
      </c>
      <c r="AU26">
        <v>0.636761636717904</v>
      </c>
      <c r="AV26">
        <v>0.633370859493397</v>
      </c>
      <c r="AW26">
        <v>0.646720069279065</v>
      </c>
      <c r="AX26">
        <v>0.656798441221043</v>
      </c>
      <c r="AY26">
        <v>0.656272786317385</v>
      </c>
      <c r="AZ26">
        <v>0.66057588222559</v>
      </c>
      <c r="BA26">
        <v>0.660256332539511</v>
      </c>
      <c r="BB26">
        <v>0.676785451396406</v>
      </c>
      <c r="BC26">
        <v>0.692814462004763</v>
      </c>
      <c r="BD26">
        <v>0.683886988525655</v>
      </c>
      <c r="BE26">
        <v>0.691114526953886</v>
      </c>
      <c r="BF26">
        <v>0.695947607707296</v>
      </c>
      <c r="BG26">
        <v>0.68150638666378</v>
      </c>
      <c r="BH26">
        <v>0.68446276024898</v>
      </c>
      <c r="BI26">
        <v>0.690803176647349</v>
      </c>
      <c r="BJ26">
        <v>0.699818566293085</v>
      </c>
      <c r="BK26">
        <v>0.704691055191372</v>
      </c>
      <c r="BL26">
        <v>0.695650243180376</v>
      </c>
      <c r="BM26">
        <v>0.682860647071262</v>
      </c>
      <c r="BN26">
        <v>0.680636921124974</v>
      </c>
      <c r="BO26">
        <v>0.677517445548742</v>
      </c>
      <c r="BP26">
        <v>0.674825544512582</v>
      </c>
      <c r="BQ26">
        <v>0.665264960879679</v>
      </c>
      <c r="BR26">
        <v>0.658969338126454</v>
      </c>
      <c r="BS26">
        <v>0.672336646225418</v>
      </c>
      <c r="BT26">
        <v>0.676032142101924</v>
      </c>
      <c r="BU26">
        <v>0.685539437513216</v>
      </c>
      <c r="BV26">
        <v>0.68927637978431</v>
      </c>
      <c r="BW26">
        <v>0.699338126453796</v>
      </c>
      <c r="BX26">
        <v>0.71652569253542</v>
      </c>
      <c r="BY26">
        <v>0.731278917318672</v>
      </c>
      <c r="BZ26">
        <v>0.750857263692112</v>
      </c>
      <c r="CA26">
        <v>0.752419116092197</v>
      </c>
      <c r="CB26">
        <v>0.75165404948192</v>
      </c>
      <c r="CC26">
        <v>0.737121167265807</v>
      </c>
      <c r="CD26">
        <v>0.721423556777331</v>
      </c>
      <c r="CE26">
        <v>0.723862127299641</v>
      </c>
      <c r="CF26">
        <v>0.712881793190949</v>
      </c>
      <c r="CG26">
        <v>0.703468809473462</v>
      </c>
      <c r="CH26">
        <v>0.70947430746458</v>
      </c>
      <c r="CI26">
        <v>0.686945231550011</v>
      </c>
      <c r="CJ26">
        <v>0.664085007401142</v>
      </c>
      <c r="CK26">
        <v>0.637698879255657</v>
      </c>
      <c r="CL26">
        <v>0.618634806513005</v>
      </c>
      <c r="CM26">
        <v>0.618527384224995</v>
      </c>
      <c r="CN26">
        <v>0.618181433706915</v>
      </c>
      <c r="CO26">
        <v>0.623068724888983</v>
      </c>
      <c r="CP26">
        <v>0.629152886445337</v>
      </c>
      <c r="CQ26">
        <v>0.625688306195813</v>
      </c>
      <c r="CR26">
        <v>0.626997251004441</v>
      </c>
      <c r="CS26">
        <v>0.621163882427575</v>
      </c>
    </row>
    <row r="27" spans="1:97">
      <c r="A27" s="8">
        <v>46260</v>
      </c>
      <c r="B27" cm="1">
        <f t="array" ref="B27:CS27">_xlfn._xlws.FILTER(_xlfn.TRIMRANGE(火电空间!$B$2:$CS$32),_xlfn.TRIMRANGE(火电空间!$A$2:$A$32)=A27)/_xlfn._xlws.FILTER(_xlfn.TRIMRANGE(日前开机!$B$2:$CS$32),_xlfn.TRIMRANGE(日前开机!$A$2:$A$32)=A27)</f>
        <v>0.621870585747515</v>
      </c>
      <c r="C27">
        <v>0.631873546204271</v>
      </c>
      <c r="D27">
        <v>0.637023049270459</v>
      </c>
      <c r="E27">
        <v>0.643159653203637</v>
      </c>
      <c r="F27">
        <v>0.651078029181645</v>
      </c>
      <c r="G27">
        <v>0.656026644110806</v>
      </c>
      <c r="H27">
        <v>0.661602875872278</v>
      </c>
      <c r="I27">
        <v>0.649676887291182</v>
      </c>
      <c r="J27">
        <v>0.649921759357158</v>
      </c>
      <c r="K27">
        <v>0.643832099809685</v>
      </c>
      <c r="L27">
        <v>0.64446690632269</v>
      </c>
      <c r="M27">
        <v>0.635665468386551</v>
      </c>
      <c r="N27">
        <v>0.63518037640093</v>
      </c>
      <c r="O27">
        <v>0.630389934447029</v>
      </c>
      <c r="P27">
        <v>0.622026221188412</v>
      </c>
      <c r="Q27">
        <v>0.619911186297314</v>
      </c>
      <c r="R27">
        <v>0.627390145908226</v>
      </c>
      <c r="S27">
        <v>0.617939522097695</v>
      </c>
      <c r="T27">
        <v>0.609281877775428</v>
      </c>
      <c r="U27">
        <v>0.598127299640516</v>
      </c>
      <c r="V27">
        <v>0.595110171283569</v>
      </c>
      <c r="W27">
        <v>0.588278705857475</v>
      </c>
      <c r="X27">
        <v>0.583075068724889</v>
      </c>
      <c r="Y27">
        <v>0.579357580883908</v>
      </c>
      <c r="Z27">
        <v>0.606485091985621</v>
      </c>
      <c r="AA27">
        <v>0.604014802283781</v>
      </c>
      <c r="AB27">
        <v>0.603555931486572</v>
      </c>
      <c r="AC27">
        <v>0.587683654049482</v>
      </c>
      <c r="AD27">
        <v>0.587496722351449</v>
      </c>
      <c r="AE27">
        <v>0.582095157538592</v>
      </c>
      <c r="AF27">
        <v>0.574566293085219</v>
      </c>
      <c r="AG27">
        <v>0.575770353140199</v>
      </c>
      <c r="AH27">
        <v>0.590539648974413</v>
      </c>
      <c r="AI27">
        <v>0.579162190738</v>
      </c>
      <c r="AJ27">
        <v>0.574103615986467</v>
      </c>
      <c r="AK27">
        <v>0.568378515542398</v>
      </c>
      <c r="AL27">
        <v>0.562535419750476</v>
      </c>
      <c r="AM27">
        <v>0.566741382956228</v>
      </c>
      <c r="AN27">
        <v>0.568172129414253</v>
      </c>
      <c r="AO27">
        <v>0.57444322266864</v>
      </c>
      <c r="AP27">
        <v>0.570105730598435</v>
      </c>
      <c r="AQ27">
        <v>0.576551490801438</v>
      </c>
      <c r="AR27">
        <v>0.587983506026644</v>
      </c>
      <c r="AS27">
        <v>0.575914146754071</v>
      </c>
      <c r="AT27">
        <v>0.56029393106365</v>
      </c>
      <c r="AU27">
        <v>0.552531190526538</v>
      </c>
      <c r="AV27">
        <v>0.54552294353986</v>
      </c>
      <c r="AW27">
        <v>0.537484880524424</v>
      </c>
      <c r="AX27">
        <v>0.553638401353352</v>
      </c>
      <c r="AY27">
        <v>0.551879890040178</v>
      </c>
      <c r="AZ27">
        <v>0.55218650877564</v>
      </c>
      <c r="BA27">
        <v>0.554193698456333</v>
      </c>
      <c r="BB27">
        <v>0.562194121378727</v>
      </c>
      <c r="BC27">
        <v>0.565338126453796</v>
      </c>
      <c r="BD27">
        <v>0.570917318672024</v>
      </c>
      <c r="BE27">
        <v>0.575394375132163</v>
      </c>
      <c r="BF27">
        <v>0.592959610911398</v>
      </c>
      <c r="BG27">
        <v>0.588226263480651</v>
      </c>
      <c r="BH27">
        <v>0.587392683442588</v>
      </c>
      <c r="BI27">
        <v>0.583030238951152</v>
      </c>
      <c r="BJ27">
        <v>0.598121801649397</v>
      </c>
      <c r="BK27">
        <v>0.610652992175936</v>
      </c>
      <c r="BL27">
        <v>0.61044322266864</v>
      </c>
      <c r="BM27">
        <v>0.611109748361176</v>
      </c>
      <c r="BN27">
        <v>0.637816451681117</v>
      </c>
      <c r="BO27">
        <v>0.630461831253965</v>
      </c>
      <c r="BP27">
        <v>0.629928526115458</v>
      </c>
      <c r="BQ27">
        <v>0.616102347219285</v>
      </c>
      <c r="BR27">
        <v>0.617378727003595</v>
      </c>
      <c r="BS27">
        <v>0.624732501585959</v>
      </c>
      <c r="BT27">
        <v>0.631258194121379</v>
      </c>
      <c r="BU27">
        <v>0.630861915838444</v>
      </c>
      <c r="BV27">
        <v>0.643187989004018</v>
      </c>
      <c r="BW27">
        <v>0.657950941002326</v>
      </c>
      <c r="BX27">
        <v>0.680433072531191</v>
      </c>
      <c r="BY27">
        <v>0.699737983836665</v>
      </c>
      <c r="BZ27">
        <v>0.727204593789877</v>
      </c>
      <c r="CA27">
        <v>0.73088387920034</v>
      </c>
      <c r="CB27">
        <v>0.727783496384517</v>
      </c>
      <c r="CC27">
        <v>0.714317636986301</v>
      </c>
      <c r="CD27">
        <v>0.708248272884283</v>
      </c>
      <c r="CE27">
        <v>0.705035837651123</v>
      </c>
      <c r="CF27">
        <v>0.701419257340242</v>
      </c>
      <c r="CG27">
        <v>0.689830310880829</v>
      </c>
      <c r="CH27">
        <v>0.692019861830743</v>
      </c>
      <c r="CI27">
        <v>0.679863989637306</v>
      </c>
      <c r="CJ27">
        <v>0.671990500863558</v>
      </c>
      <c r="CK27">
        <v>0.662004317789292</v>
      </c>
      <c r="CL27">
        <v>0.652406735751295</v>
      </c>
      <c r="CM27">
        <v>0.669671416234888</v>
      </c>
      <c r="CN27">
        <v>0.684229274611399</v>
      </c>
      <c r="CO27">
        <v>0.691601899827288</v>
      </c>
      <c r="CP27">
        <v>0.677649827288428</v>
      </c>
      <c r="CQ27">
        <v>0.659234887737478</v>
      </c>
      <c r="CR27">
        <v>0.649674438687392</v>
      </c>
      <c r="CS27">
        <v>0.629525043177893</v>
      </c>
    </row>
    <row r="28" spans="1:97">
      <c r="A28" s="8">
        <v>46261</v>
      </c>
      <c r="B28" cm="1">
        <f t="array" ref="B28:CS28">_xlfn._xlws.FILTER(_xlfn.TRIMRANGE(火电空间!$B$2:$CS$32),_xlfn.TRIMRANGE(火电空间!$A$2:$A$32)=A28)/_xlfn._xlws.FILTER(_xlfn.TRIMRANGE(日前开机!$B$2:$CS$32),_xlfn.TRIMRANGE(日前开机!$A$2:$A$32)=A28)</f>
        <v>0.61150518134715</v>
      </c>
      <c r="C28">
        <v>0.602236614853195</v>
      </c>
      <c r="D28">
        <v>0.590504749568221</v>
      </c>
      <c r="E28">
        <v>0.589980138169257</v>
      </c>
      <c r="F28">
        <v>0.599851899827288</v>
      </c>
      <c r="G28">
        <v>0.606926348092942</v>
      </c>
      <c r="H28">
        <v>0.602814555019728</v>
      </c>
      <c r="I28">
        <v>0.589603244191144</v>
      </c>
      <c r="J28">
        <v>0.588339324857519</v>
      </c>
      <c r="K28">
        <v>0.579131082858395</v>
      </c>
      <c r="L28">
        <v>0.578111354669005</v>
      </c>
      <c r="M28">
        <v>0.569582639193336</v>
      </c>
      <c r="N28">
        <v>0.572496711968435</v>
      </c>
      <c r="O28">
        <v>0.570110916264796</v>
      </c>
      <c r="P28">
        <v>0.564845681718544</v>
      </c>
      <c r="Q28">
        <v>0.562296361245068</v>
      </c>
      <c r="R28">
        <v>0.581077159140728</v>
      </c>
      <c r="S28">
        <v>0.577965804471723</v>
      </c>
      <c r="T28">
        <v>0.577138974134152</v>
      </c>
      <c r="U28">
        <v>0.58388031565103</v>
      </c>
      <c r="V28">
        <v>0.603781236299868</v>
      </c>
      <c r="W28">
        <v>0.608875054800526</v>
      </c>
      <c r="X28">
        <v>0.61639850942569</v>
      </c>
      <c r="Y28">
        <v>0.617683472161333</v>
      </c>
      <c r="Z28">
        <v>0.632758000876808</v>
      </c>
      <c r="AA28">
        <v>0.624209995615958</v>
      </c>
      <c r="AB28">
        <v>0.610119245944761</v>
      </c>
      <c r="AC28">
        <v>0.582039456378781</v>
      </c>
      <c r="AD28">
        <v>0.589640508548882</v>
      </c>
      <c r="AE28">
        <v>0.571080227970189</v>
      </c>
      <c r="AF28">
        <v>0.551569487067076</v>
      </c>
      <c r="AG28">
        <v>0.540442349846558</v>
      </c>
      <c r="AH28">
        <v>0.55130907496712</v>
      </c>
      <c r="AI28">
        <v>0.528704515563349</v>
      </c>
      <c r="AJ28">
        <v>0.50856817185445</v>
      </c>
      <c r="AK28">
        <v>0.484301183691363</v>
      </c>
      <c r="AL28">
        <v>0.48149202006384</v>
      </c>
      <c r="AM28">
        <v>0.47540674874601</v>
      </c>
      <c r="AN28">
        <v>0.46537756497948</v>
      </c>
      <c r="AO28">
        <v>0.449541723666211</v>
      </c>
      <c r="AP28">
        <v>0.433864569083447</v>
      </c>
      <c r="AQ28">
        <v>0.435224350205198</v>
      </c>
      <c r="AR28">
        <v>0.451336069311445</v>
      </c>
      <c r="AS28">
        <v>0.453638394892841</v>
      </c>
      <c r="AT28">
        <v>0.466061559507524</v>
      </c>
      <c r="AU28">
        <v>0.468518467852257</v>
      </c>
      <c r="AV28">
        <v>0.478531235750114</v>
      </c>
      <c r="AW28">
        <v>0.496285909712722</v>
      </c>
      <c r="AX28">
        <v>0.519075239398085</v>
      </c>
      <c r="AY28">
        <v>0.519644322845417</v>
      </c>
      <c r="AZ28">
        <v>0.521708618331053</v>
      </c>
      <c r="BA28">
        <v>0.499926128590971</v>
      </c>
      <c r="BB28">
        <v>0.50031919744642</v>
      </c>
      <c r="BC28">
        <v>0.490508435932513</v>
      </c>
      <c r="BD28">
        <v>0.485156406748746</v>
      </c>
      <c r="BE28">
        <v>0.478349749202006</v>
      </c>
      <c r="BF28">
        <v>0.481961240310078</v>
      </c>
      <c r="BG28">
        <v>0.476134974920201</v>
      </c>
      <c r="BH28">
        <v>0.486558595531236</v>
      </c>
      <c r="BI28">
        <v>0.496803465572275</v>
      </c>
      <c r="BJ28">
        <v>0.537098495212038</v>
      </c>
      <c r="BK28">
        <v>0.563789329685363</v>
      </c>
      <c r="BL28">
        <v>0.576971272229822</v>
      </c>
      <c r="BM28">
        <v>0.575049247606019</v>
      </c>
      <c r="BN28">
        <v>0.603095303237574</v>
      </c>
      <c r="BO28">
        <v>0.628672138622891</v>
      </c>
      <c r="BP28">
        <v>0.643604651162791</v>
      </c>
      <c r="BQ28">
        <v>0.633740538075695</v>
      </c>
      <c r="BR28">
        <v>0.626674874601003</v>
      </c>
      <c r="BS28">
        <v>0.62697081623347</v>
      </c>
      <c r="BT28">
        <v>0.620607843137255</v>
      </c>
      <c r="BU28">
        <v>0.612801641586867</v>
      </c>
      <c r="BV28">
        <v>0.604527131782946</v>
      </c>
      <c r="BW28">
        <v>0.598833561331509</v>
      </c>
      <c r="BX28">
        <v>0.610279069767442</v>
      </c>
      <c r="BY28">
        <v>0.616093935248518</v>
      </c>
      <c r="BZ28">
        <v>0.640576835385317</v>
      </c>
      <c r="CA28">
        <v>0.634052895576835</v>
      </c>
      <c r="CB28">
        <v>0.624875512995896</v>
      </c>
      <c r="CC28">
        <v>0.606337437300502</v>
      </c>
      <c r="CD28">
        <v>0.587206566347469</v>
      </c>
      <c r="CE28">
        <v>0.583386228910169</v>
      </c>
      <c r="CF28">
        <v>0.57797309621523</v>
      </c>
      <c r="CG28">
        <v>0.564024167806658</v>
      </c>
      <c r="CH28">
        <v>0.566839489284086</v>
      </c>
      <c r="CI28">
        <v>0.54115047879617</v>
      </c>
      <c r="CJ28">
        <v>0.525084359325125</v>
      </c>
      <c r="CK28">
        <v>0.497741450068399</v>
      </c>
      <c r="CL28">
        <v>0.491573187414501</v>
      </c>
      <c r="CM28">
        <v>0.497928864569083</v>
      </c>
      <c r="CN28">
        <v>0.51808755129959</v>
      </c>
      <c r="CO28">
        <v>0.532505243958048</v>
      </c>
      <c r="CP28">
        <v>0.520420428636571</v>
      </c>
      <c r="CQ28">
        <v>0.51859325125399</v>
      </c>
      <c r="CR28">
        <v>0.529978568171455</v>
      </c>
      <c r="CS28">
        <v>0.525508891928865</v>
      </c>
    </row>
    <row r="29" spans="1:97">
      <c r="A29" s="8">
        <v>46262</v>
      </c>
      <c r="B29" cm="1">
        <f t="array" ref="B29:CS29">_xlfn._xlws.FILTER(_xlfn.TRIMRANGE(火电空间!$B$2:$CS$32),_xlfn.TRIMRANGE(火电空间!$A$2:$A$32)=A29)/_xlfn._xlws.FILTER(_xlfn.TRIMRANGE(日前开机!$B$2:$CS$32),_xlfn.TRIMRANGE(日前开机!$A$2:$A$32)=A29)</f>
        <v>0.537412676698586</v>
      </c>
      <c r="C29">
        <v>0.537998632010944</v>
      </c>
      <c r="D29">
        <v>0.523761513907889</v>
      </c>
      <c r="E29">
        <v>0.518415412676699</v>
      </c>
      <c r="F29">
        <v>0.520675330597355</v>
      </c>
      <c r="G29">
        <v>0.514426356589147</v>
      </c>
      <c r="H29">
        <v>0.514373917008664</v>
      </c>
      <c r="I29">
        <v>0.509812585499316</v>
      </c>
      <c r="J29">
        <v>0.504839945280438</v>
      </c>
      <c r="K29">
        <v>0.498093479252166</v>
      </c>
      <c r="L29">
        <v>0.493607843137255</v>
      </c>
      <c r="M29">
        <v>0.49381805745554</v>
      </c>
      <c r="N29">
        <v>0.496437756497948</v>
      </c>
      <c r="O29">
        <v>0.50140218878249</v>
      </c>
      <c r="P29">
        <v>0.496606475148199</v>
      </c>
      <c r="Q29">
        <v>0.495052895576835</v>
      </c>
      <c r="R29">
        <v>0.508016871865025</v>
      </c>
      <c r="S29">
        <v>0.505827177382581</v>
      </c>
      <c r="T29">
        <v>0.504968080255358</v>
      </c>
      <c r="U29">
        <v>0.510797537619699</v>
      </c>
      <c r="V29">
        <v>0.524134062927497</v>
      </c>
      <c r="W29">
        <v>0.534642954856361</v>
      </c>
      <c r="X29">
        <v>0.554323301413589</v>
      </c>
      <c r="Y29">
        <v>0.55966073871409</v>
      </c>
      <c r="Z29">
        <v>0.589412676698586</v>
      </c>
      <c r="AA29">
        <v>0.594131782945736</v>
      </c>
      <c r="AB29">
        <v>0.588870953032376</v>
      </c>
      <c r="AC29">
        <v>0.573080255357957</v>
      </c>
      <c r="AD29">
        <v>0.56296169630643</v>
      </c>
      <c r="AE29">
        <v>0.553223894208846</v>
      </c>
      <c r="AF29">
        <v>0.567937528499772</v>
      </c>
      <c r="AG29">
        <v>0.574668946648427</v>
      </c>
      <c r="AH29">
        <v>0.613870497036024</v>
      </c>
      <c r="AI29">
        <v>0.604878248974008</v>
      </c>
      <c r="AJ29">
        <v>0.595835385316917</v>
      </c>
      <c r="AK29">
        <v>0.605764249886001</v>
      </c>
      <c r="AL29">
        <v>0.582042407660739</v>
      </c>
      <c r="AM29">
        <v>0.597777017783858</v>
      </c>
      <c r="AN29">
        <v>0.604770177838577</v>
      </c>
      <c r="AO29">
        <v>0.613408116735066</v>
      </c>
      <c r="AP29">
        <v>0.614291837665299</v>
      </c>
      <c r="AQ29">
        <v>0.61608983128135</v>
      </c>
      <c r="AR29">
        <v>0.625257181942544</v>
      </c>
      <c r="AS29">
        <v>0.62921112631099</v>
      </c>
      <c r="AT29">
        <v>0.630202918376653</v>
      </c>
      <c r="AU29">
        <v>0.616099863201094</v>
      </c>
      <c r="AV29">
        <v>0.626317829457364</v>
      </c>
      <c r="AW29">
        <v>0.64033926128591</v>
      </c>
      <c r="AX29">
        <v>0.645342909256726</v>
      </c>
      <c r="AY29">
        <v>0.640269949840401</v>
      </c>
      <c r="AZ29">
        <v>0.645042863657091</v>
      </c>
      <c r="BA29">
        <v>0.635821705426357</v>
      </c>
      <c r="BB29">
        <v>0.66774829001368</v>
      </c>
      <c r="BC29">
        <v>0.670992248062016</v>
      </c>
      <c r="BD29">
        <v>0.69266024317504</v>
      </c>
      <c r="BE29">
        <v>0.69827575131911</v>
      </c>
      <c r="BF29">
        <v>0.696759807295251</v>
      </c>
      <c r="BG29">
        <v>0.685368203716449</v>
      </c>
      <c r="BH29">
        <v>0.687008488185364</v>
      </c>
      <c r="BI29">
        <v>0.687420050470291</v>
      </c>
      <c r="BJ29">
        <v>0.695856847900895</v>
      </c>
      <c r="BK29">
        <v>0.696880477173664</v>
      </c>
      <c r="BL29">
        <v>0.683621931635696</v>
      </c>
      <c r="BM29">
        <v>0.672133975682496</v>
      </c>
      <c r="BN29">
        <v>0.678870383115393</v>
      </c>
      <c r="BO29">
        <v>0.679105299380592</v>
      </c>
      <c r="BP29">
        <v>0.674577196604726</v>
      </c>
      <c r="BQ29">
        <v>0.648856618490479</v>
      </c>
      <c r="BR29">
        <v>0.640514796971782</v>
      </c>
      <c r="BS29">
        <v>0.640634090387704</v>
      </c>
      <c r="BT29">
        <v>0.637216334021565</v>
      </c>
      <c r="BU29">
        <v>0.643123652213811</v>
      </c>
      <c r="BV29">
        <v>0.642410185822436</v>
      </c>
      <c r="BW29">
        <v>0.658317504014682</v>
      </c>
      <c r="BX29">
        <v>0.677352144987382</v>
      </c>
      <c r="BY29">
        <v>0.690762560220234</v>
      </c>
      <c r="BZ29">
        <v>0.69858086717137</v>
      </c>
      <c r="CA29">
        <v>0.694608855242028</v>
      </c>
      <c r="CB29">
        <v>0.687145216792842</v>
      </c>
      <c r="CC29">
        <v>0.670951135581555</v>
      </c>
      <c r="CD29">
        <v>0.651603119981647</v>
      </c>
      <c r="CE29">
        <v>0.651395274145446</v>
      </c>
      <c r="CF29">
        <v>0.641945400321175</v>
      </c>
      <c r="CG29">
        <v>0.630602431750401</v>
      </c>
      <c r="CH29">
        <v>0.635276898371186</v>
      </c>
      <c r="CI29">
        <v>0.613150722642808</v>
      </c>
      <c r="CJ29">
        <v>0.58119247533838</v>
      </c>
      <c r="CK29">
        <v>0.565951823812801</v>
      </c>
      <c r="CL29">
        <v>0.575255792612985</v>
      </c>
      <c r="CM29">
        <v>0.591587978894242</v>
      </c>
      <c r="CN29">
        <v>0.620207883622712</v>
      </c>
      <c r="CO29">
        <v>0.646024308865586</v>
      </c>
      <c r="CP29">
        <v>0.644719052224371</v>
      </c>
      <c r="CQ29">
        <v>0.628616054158607</v>
      </c>
      <c r="CR29">
        <v>0.620555125725338</v>
      </c>
      <c r="CS29">
        <v>0.603735493230174</v>
      </c>
    </row>
    <row r="30" spans="1:97">
      <c r="A30" s="8">
        <v>46263</v>
      </c>
      <c r="B30" cm="1">
        <f t="array" ref="B30:CS30">_xlfn._xlws.FILTER(_xlfn.TRIMRANGE(火电空间!$B$2:$CS$32),_xlfn.TRIMRANGE(火电空间!$A$2:$A$32)=A30)/_xlfn._xlws.FILTER(_xlfn.TRIMRANGE(日前开机!$B$2:$CS$32),_xlfn.TRIMRANGE(日前开机!$A$2:$A$32)=A30)</f>
        <v>0.628000483558994</v>
      </c>
      <c r="C30">
        <v>0.611713733075435</v>
      </c>
      <c r="D30">
        <v>0.60504835589942</v>
      </c>
      <c r="E30">
        <v>0.603424564796905</v>
      </c>
      <c r="F30">
        <v>0.612667311411992</v>
      </c>
      <c r="G30">
        <v>0.618625725338491</v>
      </c>
      <c r="H30">
        <v>0.643699701195219</v>
      </c>
      <c r="I30">
        <v>0.639979083665339</v>
      </c>
      <c r="J30">
        <v>0.64078735059761</v>
      </c>
      <c r="K30">
        <v>0.642753674607197</v>
      </c>
      <c r="L30">
        <v>0.639293461733401</v>
      </c>
      <c r="M30">
        <v>0.632219462747086</v>
      </c>
      <c r="N30">
        <v>0.63776938672073</v>
      </c>
      <c r="O30">
        <v>0.6345489102889</v>
      </c>
      <c r="P30">
        <v>0.659963817514421</v>
      </c>
      <c r="Q30">
        <v>0.639972207656004</v>
      </c>
      <c r="R30">
        <v>0.613880964866282</v>
      </c>
      <c r="S30">
        <v>0.594238070267436</v>
      </c>
      <c r="T30">
        <v>0.568178290508652</v>
      </c>
      <c r="U30">
        <v>0.55313319349764</v>
      </c>
      <c r="V30">
        <v>0.537535395909806</v>
      </c>
      <c r="W30">
        <v>0.530012060828526</v>
      </c>
      <c r="X30">
        <v>0.525454116413214</v>
      </c>
      <c r="Y30">
        <v>0.49886680650236</v>
      </c>
      <c r="Z30">
        <v>0.535998426848453</v>
      </c>
      <c r="AA30">
        <v>0.525896171997903</v>
      </c>
      <c r="AB30">
        <v>0.514187729417934</v>
      </c>
      <c r="AC30">
        <v>0.513577871001573</v>
      </c>
      <c r="AD30">
        <v>0.525514944939696</v>
      </c>
      <c r="AE30">
        <v>0.530587834294704</v>
      </c>
      <c r="AF30">
        <v>0.542593602517042</v>
      </c>
      <c r="AG30">
        <v>0.556134766649187</v>
      </c>
      <c r="AH30">
        <v>0.584330361824856</v>
      </c>
      <c r="AI30">
        <v>0.559997378080755</v>
      </c>
      <c r="AJ30">
        <v>0.528412690089145</v>
      </c>
      <c r="AK30">
        <v>0.488473518615627</v>
      </c>
      <c r="AL30">
        <v>0.434573151546932</v>
      </c>
      <c r="AM30">
        <v>0.42014368117462</v>
      </c>
      <c r="AN30">
        <v>0.404752490823283</v>
      </c>
      <c r="AO30">
        <v>0.397361300471945</v>
      </c>
      <c r="AP30">
        <v>0.383140534871526</v>
      </c>
      <c r="AQ30">
        <v>0.395317252228631</v>
      </c>
      <c r="AR30">
        <v>0.395579968536969</v>
      </c>
      <c r="AS30">
        <v>0.378373885684321</v>
      </c>
      <c r="AT30">
        <v>0.390884635553226</v>
      </c>
      <c r="AU30">
        <v>0.384392763502884</v>
      </c>
      <c r="AV30">
        <v>0.397689040377556</v>
      </c>
      <c r="AW30">
        <v>0.379550078657577</v>
      </c>
      <c r="AX30">
        <v>0.377285264813844</v>
      </c>
      <c r="AY30">
        <v>0.374119035133718</v>
      </c>
      <c r="AZ30">
        <v>0.385321971683272</v>
      </c>
      <c r="BA30">
        <v>0.369648662821185</v>
      </c>
      <c r="BB30">
        <v>0.391892501310959</v>
      </c>
      <c r="BC30">
        <v>0.393456738332459</v>
      </c>
      <c r="BD30">
        <v>0.386037231253277</v>
      </c>
      <c r="BE30">
        <v>0.379210277923439</v>
      </c>
      <c r="BF30">
        <v>0.3810256948086</v>
      </c>
      <c r="BG30">
        <v>0.3825128474043</v>
      </c>
      <c r="BH30">
        <v>0.373210802307289</v>
      </c>
      <c r="BI30">
        <v>0.379016255899318</v>
      </c>
      <c r="BJ30">
        <v>0.376003670686943</v>
      </c>
      <c r="BK30">
        <v>0.373652857891977</v>
      </c>
      <c r="BL30">
        <v>0.36555899318301</v>
      </c>
      <c r="BM30">
        <v>0.355575249082328</v>
      </c>
      <c r="BN30">
        <v>0.384533822758259</v>
      </c>
      <c r="BO30">
        <v>0.397482433141059</v>
      </c>
      <c r="BP30">
        <v>0.398902988987939</v>
      </c>
      <c r="BQ30">
        <v>0.391410592553749</v>
      </c>
      <c r="BR30">
        <v>0.390549029889879</v>
      </c>
      <c r="BS30">
        <v>0.423480335605663</v>
      </c>
      <c r="BT30">
        <v>0.451148400629261</v>
      </c>
      <c r="BU30">
        <v>0.468415836392239</v>
      </c>
      <c r="BV30">
        <v>0.478551127425275</v>
      </c>
      <c r="BW30">
        <v>0.497182485579444</v>
      </c>
      <c r="BX30">
        <v>0.517700576822234</v>
      </c>
      <c r="BY30">
        <v>0.543865757734662</v>
      </c>
      <c r="BZ30">
        <v>0.549255899318301</v>
      </c>
      <c r="CA30">
        <v>0.5529743051914</v>
      </c>
      <c r="CB30">
        <v>0.553627163083377</v>
      </c>
      <c r="CC30">
        <v>0.544201363398007</v>
      </c>
      <c r="CD30">
        <v>0.565330361824856</v>
      </c>
      <c r="CE30">
        <v>0.583033560566335</v>
      </c>
      <c r="CF30">
        <v>0.604571054011536</v>
      </c>
      <c r="CG30">
        <v>0.619956476140535</v>
      </c>
      <c r="CH30">
        <v>0.645463030938647</v>
      </c>
      <c r="CI30">
        <v>0.651143156790771</v>
      </c>
      <c r="CJ30">
        <v>0.648819611955952</v>
      </c>
      <c r="CK30">
        <v>0.621325642370215</v>
      </c>
      <c r="CL30">
        <v>0.626307288935501</v>
      </c>
      <c r="CM30">
        <v>0.64985868976719</v>
      </c>
      <c r="CN30">
        <v>0.661205739036275</v>
      </c>
      <c r="CO30">
        <v>0.665770438548998</v>
      </c>
      <c r="CP30">
        <v>0.674440173253925</v>
      </c>
      <c r="CQ30">
        <v>0.652573903627504</v>
      </c>
      <c r="CR30">
        <v>0.633458581483487</v>
      </c>
      <c r="CS30">
        <v>0.612746074715755</v>
      </c>
    </row>
    <row r="31" spans="1:97">
      <c r="A31" s="8">
        <v>46264</v>
      </c>
      <c r="B31" cm="1">
        <f t="array" ref="B31:CS31">_xlfn._xlws.FILTER(_xlfn.TRIMRANGE(火电空间!$B$2:$CS$32),_xlfn.TRIMRANGE(火电空间!$A$2:$A$32)=A31)/_xlfn._xlws.FILTER(_xlfn.TRIMRANGE(日前开机!$B$2:$CS$32),_xlfn.TRIMRANGE(日前开机!$A$2:$A$32)=A31)</f>
        <v>0.603049269085003</v>
      </c>
      <c r="C31">
        <v>0.610262046561992</v>
      </c>
      <c r="D31">
        <v>0.620785598267461</v>
      </c>
      <c r="E31">
        <v>0.62725933946941</v>
      </c>
      <c r="F31">
        <v>0.653259880887926</v>
      </c>
      <c r="G31">
        <v>0.663817541959935</v>
      </c>
      <c r="H31">
        <v>0.660283703302653</v>
      </c>
      <c r="I31">
        <v>0.650924742826205</v>
      </c>
      <c r="J31">
        <v>0.647854358419058</v>
      </c>
      <c r="K31">
        <v>0.647771521386031</v>
      </c>
      <c r="L31">
        <v>0.647977801840823</v>
      </c>
      <c r="M31">
        <v>0.646806172171088</v>
      </c>
      <c r="N31">
        <v>0.65545966432052</v>
      </c>
      <c r="O31">
        <v>0.655014076881429</v>
      </c>
      <c r="P31">
        <v>0.658710341093665</v>
      </c>
      <c r="Q31">
        <v>0.659612885760693</v>
      </c>
      <c r="R31">
        <v>0.662870059556037</v>
      </c>
      <c r="S31">
        <v>0.669721710882512</v>
      </c>
      <c r="T31">
        <v>0.677338386572821</v>
      </c>
      <c r="U31">
        <v>0.686824038982133</v>
      </c>
      <c r="V31">
        <v>0.703658906334597</v>
      </c>
      <c r="W31">
        <v>0.717531131564699</v>
      </c>
      <c r="X31">
        <v>0.731332430969139</v>
      </c>
      <c r="Y31">
        <v>0.703053059014618</v>
      </c>
      <c r="Z31">
        <v>0.686423389279913</v>
      </c>
      <c r="AA31">
        <v>0.656560909583108</v>
      </c>
      <c r="AB31">
        <v>0.606597726042231</v>
      </c>
      <c r="AC31">
        <v>0.556264212236058</v>
      </c>
      <c r="AD31">
        <v>0.556075798592312</v>
      </c>
      <c r="AE31">
        <v>0.530335138061722</v>
      </c>
      <c r="AF31">
        <v>0.519817000541419</v>
      </c>
      <c r="AG31">
        <v>0.493283161884136</v>
      </c>
      <c r="AH31">
        <v>0.499600433134813</v>
      </c>
      <c r="AI31">
        <v>0.472552246886844</v>
      </c>
      <c r="AJ31">
        <v>0.436978343259339</v>
      </c>
      <c r="AK31">
        <v>0.418282079047103</v>
      </c>
      <c r="AL31">
        <v>0.403258798050894</v>
      </c>
      <c r="AM31">
        <v>0.419004331348132</v>
      </c>
      <c r="AN31">
        <v>0.415048727666486</v>
      </c>
      <c r="AO31">
        <v>0.438358960476448</v>
      </c>
      <c r="AP31">
        <v>0.428554953979427</v>
      </c>
      <c r="AQ31">
        <v>0.439536545749865</v>
      </c>
      <c r="AR31">
        <v>0.447119653492149</v>
      </c>
      <c r="AS31">
        <v>0.435564699512723</v>
      </c>
      <c r="AT31">
        <v>0.440557119653492</v>
      </c>
      <c r="AU31">
        <v>0.418368706009746</v>
      </c>
      <c r="AV31">
        <v>0.410637249593936</v>
      </c>
      <c r="AW31">
        <v>0.405061721710883</v>
      </c>
      <c r="AX31">
        <v>0.413308067135896</v>
      </c>
      <c r="AY31">
        <v>0.408453708716838</v>
      </c>
      <c r="AZ31">
        <v>0.422689225771521</v>
      </c>
      <c r="BA31">
        <v>0.420711965349215</v>
      </c>
      <c r="BB31">
        <v>0.426374120194911</v>
      </c>
      <c r="BC31">
        <v>0.432438007579859</v>
      </c>
      <c r="BD31">
        <v>0.44149702219816</v>
      </c>
      <c r="BE31">
        <v>0.446920952896589</v>
      </c>
      <c r="BF31">
        <v>0.45721115322144</v>
      </c>
      <c r="BG31">
        <v>0.46586031402274</v>
      </c>
      <c r="BH31">
        <v>0.45748294531673</v>
      </c>
      <c r="BI31">
        <v>0.449702761234434</v>
      </c>
      <c r="BJ31">
        <v>0.472265836491608</v>
      </c>
      <c r="BK31">
        <v>0.487749864645371</v>
      </c>
      <c r="BL31">
        <v>0.508343259339469</v>
      </c>
      <c r="BM31">
        <v>0.505019491066594</v>
      </c>
      <c r="BN31">
        <v>0.525485652409312</v>
      </c>
      <c r="BO31">
        <v>0.552024363833243</v>
      </c>
      <c r="BP31">
        <v>0.571188955062263</v>
      </c>
      <c r="BQ31">
        <v>0.560637249593936</v>
      </c>
      <c r="BR31">
        <v>0.571374120194911</v>
      </c>
      <c r="BS31">
        <v>0.575962642122361</v>
      </c>
      <c r="BT31">
        <v>0.579713048186248</v>
      </c>
      <c r="BU31">
        <v>0.59354033567948</v>
      </c>
      <c r="BV31">
        <v>0.594256632376827</v>
      </c>
      <c r="BW31">
        <v>0.612781808337845</v>
      </c>
      <c r="BX31">
        <v>0.637654574986464</v>
      </c>
      <c r="BY31">
        <v>0.65239902544667</v>
      </c>
      <c r="BZ31">
        <v>0.684503519220357</v>
      </c>
      <c r="CA31">
        <v>0.673936654033568</v>
      </c>
      <c r="CB31">
        <v>0.678192203573362</v>
      </c>
      <c r="CC31">
        <v>0.671756903086086</v>
      </c>
      <c r="CD31">
        <v>0.664513806172171</v>
      </c>
      <c r="CE31">
        <v>0.679731997834326</v>
      </c>
      <c r="CF31">
        <v>0.687396859772604</v>
      </c>
      <c r="CG31">
        <v>0.690701678397401</v>
      </c>
      <c r="CH31">
        <v>0.706596101786681</v>
      </c>
      <c r="CI31">
        <v>0.67355441256091</v>
      </c>
      <c r="CJ31">
        <v>0.639693557119653</v>
      </c>
      <c r="CK31">
        <v>0.602310774228479</v>
      </c>
      <c r="CL31">
        <v>0.592768814293449</v>
      </c>
      <c r="CM31">
        <v>0.591684353004873</v>
      </c>
      <c r="CN31">
        <v>0.593161884136438</v>
      </c>
      <c r="CO31">
        <v>0.613268973214286</v>
      </c>
      <c r="CP31">
        <v>0.610814174107143</v>
      </c>
      <c r="CQ31">
        <v>0.585450334821429</v>
      </c>
      <c r="CR31">
        <v>0.560683035714286</v>
      </c>
      <c r="CS31">
        <v>0.534930803571429</v>
      </c>
    </row>
    <row r="32" spans="1:97">
      <c r="A32" s="8">
        <v>46265</v>
      </c>
      <c r="B32" cm="1">
        <f t="array" ref="B32:CS32">_xlfn._xlws.FILTER(_xlfn.TRIMRANGE(火电空间!$B$2:$CS$32),_xlfn.TRIMRANGE(火电空间!$A$2:$A$32)=A32)/_xlfn._xlws.FILTER(_xlfn.TRIMRANGE(日前开机!$B$2:$CS$32),_xlfn.TRIMRANGE(日前开机!$A$2:$A$32)=A32)</f>
        <v>0.561089632829374</v>
      </c>
      <c r="C32">
        <v>0.568745680345572</v>
      </c>
      <c r="D32">
        <v>0.568123110151188</v>
      </c>
      <c r="E32">
        <v>0.593617745535714</v>
      </c>
      <c r="F32">
        <v>0.565073974082073</v>
      </c>
      <c r="G32">
        <v>0.549335853131749</v>
      </c>
      <c r="H32">
        <v>0.539562095032397</v>
      </c>
      <c r="I32">
        <v>0.523076673866091</v>
      </c>
      <c r="J32">
        <v>0.505350431965443</v>
      </c>
      <c r="K32">
        <v>0.489139848812095</v>
      </c>
      <c r="L32">
        <v>0.483029157667387</v>
      </c>
      <c r="M32">
        <v>0.471725701943844</v>
      </c>
      <c r="N32">
        <v>0.462197624190065</v>
      </c>
      <c r="O32">
        <v>0.454041576673866</v>
      </c>
      <c r="P32">
        <v>0.446656587473002</v>
      </c>
      <c r="Q32">
        <v>0.435933585313175</v>
      </c>
      <c r="R32">
        <v>0.440798056155508</v>
      </c>
      <c r="S32">
        <v>0.435310475161987</v>
      </c>
      <c r="T32">
        <v>0.435620410367171</v>
      </c>
      <c r="U32">
        <v>0.438670086393089</v>
      </c>
      <c r="V32">
        <v>0.46457505399568</v>
      </c>
      <c r="W32">
        <v>0.474298056155508</v>
      </c>
      <c r="X32">
        <v>0.489875269978402</v>
      </c>
      <c r="Y32">
        <v>0.485916846652268</v>
      </c>
      <c r="Z32">
        <v>0.507834233261339</v>
      </c>
      <c r="AA32">
        <v>0.479703023758099</v>
      </c>
      <c r="AB32">
        <v>0.438860151187905</v>
      </c>
      <c r="AC32">
        <v>0.394315334773218</v>
      </c>
      <c r="AD32">
        <v>0.380857451403888</v>
      </c>
      <c r="AE32">
        <v>0.360879049676026</v>
      </c>
      <c r="AF32">
        <v>0.353328293736501</v>
      </c>
      <c r="AG32">
        <v>0.331959503239741</v>
      </c>
      <c r="AH32">
        <v>0.339000539956803</v>
      </c>
      <c r="AI32">
        <v>0.322731101511879</v>
      </c>
      <c r="AJ32">
        <v>0.290406587473002</v>
      </c>
      <c r="AK32">
        <v>0.26777969762419</v>
      </c>
      <c r="AL32">
        <v>0.221016198704103</v>
      </c>
      <c r="AM32">
        <v>0.221123110151188</v>
      </c>
      <c r="AN32">
        <v>0.20658747300216</v>
      </c>
      <c r="AO32">
        <v>0.201784017278618</v>
      </c>
      <c r="AP32">
        <v>0.183172246220302</v>
      </c>
      <c r="AQ32">
        <v>0.182419006479482</v>
      </c>
      <c r="AR32">
        <v>0.172633369330454</v>
      </c>
      <c r="AS32">
        <v>0.162078833693305</v>
      </c>
      <c r="AT32">
        <v>0.165400647948164</v>
      </c>
      <c r="AU32">
        <v>0.146814794816415</v>
      </c>
      <c r="AV32">
        <v>0.14342656587473</v>
      </c>
      <c r="AW32">
        <v>0.146279157667387</v>
      </c>
      <c r="AX32">
        <v>0.160881749460043</v>
      </c>
      <c r="AY32">
        <v>0.163942764578834</v>
      </c>
      <c r="AZ32">
        <v>0.182933045356372</v>
      </c>
      <c r="BA32">
        <v>0.188616630669546</v>
      </c>
      <c r="BB32">
        <v>0.205673326133909</v>
      </c>
      <c r="BC32">
        <v>0.218064254859611</v>
      </c>
      <c r="BD32">
        <v>0.236675485961123</v>
      </c>
      <c r="BE32">
        <v>0.251161987041037</v>
      </c>
      <c r="BF32">
        <v>0.257149568034557</v>
      </c>
      <c r="BG32">
        <v>0.275943844492441</v>
      </c>
      <c r="BH32">
        <v>0.282065334773218</v>
      </c>
      <c r="BI32">
        <v>0.285950323974082</v>
      </c>
      <c r="BJ32">
        <v>0.329223542116631</v>
      </c>
      <c r="BK32">
        <v>0.353627429805616</v>
      </c>
      <c r="BL32">
        <v>0.380835313174946</v>
      </c>
      <c r="BM32">
        <v>0.398345032397408</v>
      </c>
      <c r="BN32">
        <v>0.465667386609071</v>
      </c>
      <c r="BO32">
        <v>0.496306155507559</v>
      </c>
      <c r="BP32">
        <v>0.503684125269978</v>
      </c>
      <c r="BQ32">
        <v>0.489632289416847</v>
      </c>
      <c r="BR32">
        <v>0.50213120950324</v>
      </c>
      <c r="BS32">
        <v>0.50772192224622</v>
      </c>
      <c r="BT32">
        <v>0.531877429805616</v>
      </c>
      <c r="BU32">
        <v>0.554913066954644</v>
      </c>
      <c r="BV32">
        <v>0.535397408207343</v>
      </c>
      <c r="BW32">
        <v>0.552123650107991</v>
      </c>
      <c r="BX32">
        <v>0.579107991360691</v>
      </c>
      <c r="BY32">
        <v>0.58935475161987</v>
      </c>
      <c r="BZ32">
        <v>0.589184665226782</v>
      </c>
      <c r="CA32">
        <v>0.584908207343413</v>
      </c>
      <c r="CB32">
        <v>0.585703563714903</v>
      </c>
      <c r="CC32">
        <v>0.575977321814255</v>
      </c>
      <c r="CD32">
        <v>0.582065874730022</v>
      </c>
      <c r="CE32">
        <v>0.606422246220302</v>
      </c>
      <c r="CF32">
        <v>0.617935745140389</v>
      </c>
      <c r="CG32">
        <v>0.624215982721382</v>
      </c>
      <c r="CH32">
        <v>0.636393628509719</v>
      </c>
      <c r="CI32">
        <v>0.609535637149028</v>
      </c>
      <c r="CJ32">
        <v>0.587404427645788</v>
      </c>
      <c r="CK32">
        <v>0.566919006479482</v>
      </c>
      <c r="CL32">
        <v>0.589569654427646</v>
      </c>
      <c r="CM32">
        <v>0.602519978401728</v>
      </c>
      <c r="CN32">
        <v>0.61502807775378</v>
      </c>
      <c r="CO32">
        <v>0.625348812095032</v>
      </c>
      <c r="CP32">
        <v>0.609480021598272</v>
      </c>
      <c r="CQ32">
        <v>0.594257559395248</v>
      </c>
      <c r="CR32">
        <v>0.578175485961123</v>
      </c>
      <c r="CS32">
        <v>0.560311555075594</v>
      </c>
    </row>
    <row r="63" spans="7:7">
      <c r="G63" s="8"/>
    </row>
    <row r="64" spans="7:7">
      <c r="G64" s="8"/>
    </row>
    <row r="65" spans="7:7">
      <c r="G65" s="8"/>
    </row>
    <row r="66" spans="7:7">
      <c r="G66" s="8"/>
    </row>
    <row r="67" spans="7:7">
      <c r="G67" s="8"/>
    </row>
    <row r="68" spans="7:7">
      <c r="G68" s="8"/>
    </row>
    <row r="69" spans="7:7">
      <c r="G69" s="8"/>
    </row>
    <row r="70" spans="7:7">
      <c r="G70" s="8"/>
    </row>
    <row r="71" spans="7:7">
      <c r="G71" s="8"/>
    </row>
    <row r="72" spans="7:7">
      <c r="G72" s="8"/>
    </row>
    <row r="73" spans="7:7">
      <c r="G73" s="8"/>
    </row>
    <row r="74" spans="7:7">
      <c r="G74" s="8"/>
    </row>
    <row r="75" spans="7:7">
      <c r="G75" s="8"/>
    </row>
    <row r="76" spans="7:7">
      <c r="G76" s="8"/>
    </row>
    <row r="77" spans="7:7">
      <c r="G77" s="8"/>
    </row>
    <row r="78" spans="7:7">
      <c r="G78" s="8"/>
    </row>
    <row r="79" spans="7:7">
      <c r="G79" s="8"/>
    </row>
    <row r="80" spans="7:7">
      <c r="G80" s="8"/>
    </row>
    <row r="81" spans="7:7">
      <c r="G81" s="8"/>
    </row>
    <row r="82" spans="7:7">
      <c r="G82" s="8"/>
    </row>
    <row r="83" spans="7:7">
      <c r="G83" s="8"/>
    </row>
    <row r="84" spans="7:7">
      <c r="G84" s="8"/>
    </row>
    <row r="85" spans="7:7">
      <c r="G85" s="8"/>
    </row>
    <row r="86" spans="7:7">
      <c r="G86" s="8"/>
    </row>
    <row r="87" spans="7:7">
      <c r="G87" s="8"/>
    </row>
    <row r="88" spans="7:7">
      <c r="G88" s="8"/>
    </row>
    <row r="89" spans="7:7">
      <c r="G89" s="8"/>
    </row>
    <row r="90" spans="7:7">
      <c r="G90" s="8"/>
    </row>
    <row r="91" spans="7:7">
      <c r="G91" s="8"/>
    </row>
    <row r="92" spans="7:7">
      <c r="G92" s="8"/>
    </row>
    <row r="93" spans="7:7">
      <c r="G93" s="8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Y32"/>
  <sheetViews>
    <sheetView workbookViewId="0">
      <selection activeCell="O63" sqref="O63"/>
    </sheetView>
  </sheetViews>
  <sheetFormatPr defaultColWidth="9" defaultRowHeight="13.5"/>
  <cols>
    <col min="2" max="25" width="12.625"/>
  </cols>
  <sheetData>
    <row r="1" spans="1:25">
      <c r="A1" t="s">
        <v>0</v>
      </c>
      <c r="B1" s="10">
        <v>0</v>
      </c>
      <c r="C1" s="10">
        <v>0.0416666666666667</v>
      </c>
      <c r="D1" s="10">
        <v>0.0833333333333333</v>
      </c>
      <c r="E1" s="10">
        <v>0.125</v>
      </c>
      <c r="F1" s="10">
        <v>0.166666666666667</v>
      </c>
      <c r="G1" s="10">
        <v>0.208333333333333</v>
      </c>
      <c r="H1" s="10">
        <v>0.25</v>
      </c>
      <c r="I1" s="10">
        <v>0.291666666666667</v>
      </c>
      <c r="J1" s="10">
        <v>0.333333333333333</v>
      </c>
      <c r="K1" s="10">
        <v>0.375</v>
      </c>
      <c r="L1" s="10">
        <v>0.416666666666667</v>
      </c>
      <c r="M1" s="10">
        <v>0.458333333333333</v>
      </c>
      <c r="N1" s="10">
        <v>0.5</v>
      </c>
      <c r="O1" s="10">
        <v>0.541666666666667</v>
      </c>
      <c r="P1" s="10">
        <v>0.583333333333333</v>
      </c>
      <c r="Q1" s="10">
        <v>0.625</v>
      </c>
      <c r="R1" s="10">
        <v>0.666666666666667</v>
      </c>
      <c r="S1" s="10">
        <v>0.708333333333333</v>
      </c>
      <c r="T1" s="10">
        <v>0.75</v>
      </c>
      <c r="U1" s="10">
        <v>0.791666666666667</v>
      </c>
      <c r="V1" s="10">
        <v>0.833333333333333</v>
      </c>
      <c r="W1" s="10">
        <v>0.875</v>
      </c>
      <c r="X1" s="10">
        <v>0.916666666666667</v>
      </c>
      <c r="Y1" s="10">
        <v>0.958333333333333</v>
      </c>
    </row>
    <row r="2" spans="1:25">
      <c r="A2" s="8">
        <v>46235</v>
      </c>
      <c r="B2">
        <f ca="1">AVERAGE(OFFSET(日前负荷率!$B2,,(COLUMN(T7)-20)*4,,4))</f>
        <v>0.32493318113207</v>
      </c>
      <c r="C2">
        <f ca="1">AVERAGE(OFFSET(日前负荷率!$B2,,(COLUMN(U7)-20)*4,,4))</f>
        <v>0.321204545454545</v>
      </c>
      <c r="D2">
        <f ca="1">AVERAGE(OFFSET(日前负荷率!$B2,,(COLUMN(V7)-20)*4,,4))</f>
        <v>0.301305797495917</v>
      </c>
      <c r="E2">
        <f ca="1">AVERAGE(OFFSET(日前负荷率!$B2,,(COLUMN(W7)-20)*4,,4))</f>
        <v>0.289340500816549</v>
      </c>
      <c r="F2">
        <f ca="1">AVERAGE(OFFSET(日前负荷率!$B2,,(COLUMN(X7)-20)*4,,4))</f>
        <v>0.309377109417529</v>
      </c>
      <c r="G2">
        <f ca="1">AVERAGE(OFFSET(日前负荷率!$B2,,(COLUMN(Y7)-20)*4,,4))</f>
        <v>0.370197740881873</v>
      </c>
      <c r="H2">
        <f ca="1">AVERAGE(OFFSET(日前负荷率!$B2,,(COLUMN(Z7)-20)*4,,4))</f>
        <v>0.346679672525941</v>
      </c>
      <c r="I2">
        <f ca="1">AVERAGE(OFFSET(日前负荷率!$B2,,(COLUMN(AA7)-20)*4,,4))</f>
        <v>0.315385571467171</v>
      </c>
      <c r="J2">
        <f ca="1">AVERAGE(OFFSET(日前负荷率!$B2,,(COLUMN(AB7)-20)*4,,4))</f>
        <v>0.345682249977809</v>
      </c>
      <c r="K2">
        <f ca="1">AVERAGE(OFFSET(日前负荷率!$B2,,(COLUMN(AC7)-20)*4,,4))</f>
        <v>0.331163376360415</v>
      </c>
      <c r="L2">
        <f ca="1">AVERAGE(OFFSET(日前负荷率!$B2,,(COLUMN(AD7)-20)*4,,4))</f>
        <v>0.358709043183877</v>
      </c>
      <c r="M2">
        <f ca="1">AVERAGE(OFFSET(日前负荷率!$B2,,(COLUMN(AE7)-20)*4,,4))</f>
        <v>0.381188137279284</v>
      </c>
      <c r="N2">
        <f ca="1">AVERAGE(OFFSET(日前负荷率!$B2,,(COLUMN(AF7)-20)*4,,4))</f>
        <v>0.426613183345471</v>
      </c>
      <c r="O2">
        <f ca="1">AVERAGE(OFFSET(日前负荷率!$B2,,(COLUMN(AG7)-20)*4,,4))</f>
        <v>0.441934240739802</v>
      </c>
      <c r="P2">
        <f ca="1">AVERAGE(OFFSET(日前负荷率!$B2,,(COLUMN(AH7)-20)*4,,4))</f>
        <v>0.490831642631053</v>
      </c>
      <c r="Q2">
        <f ca="1">AVERAGE(OFFSET(日前负荷率!$B2,,(COLUMN(AI7)-20)*4,,4))</f>
        <v>0.564875302264353</v>
      </c>
      <c r="R2">
        <f ca="1">AVERAGE(OFFSET(日前负荷率!$B2,,(COLUMN(AJ7)-20)*4,,4))</f>
        <v>0.639426467775865</v>
      </c>
      <c r="S2">
        <f ca="1">AVERAGE(OFFSET(日前负荷率!$B2,,(COLUMN(AK7)-20)*4,,4))</f>
        <v>0.662638319095036</v>
      </c>
      <c r="T2">
        <f ca="1">AVERAGE(OFFSET(日前负荷率!$B2,,(COLUMN(AL7)-20)*4,,4))</f>
        <v>0.700654334393655</v>
      </c>
      <c r="U2">
        <f ca="1">AVERAGE(OFFSET(日前负荷率!$B2,,(COLUMN(AM7)-20)*4,,4))</f>
        <v>0.739811069776461</v>
      </c>
      <c r="V2">
        <f ca="1">AVERAGE(OFFSET(日前负荷率!$B2,,(COLUMN(AN7)-20)*4,,4))</f>
        <v>0.74324986144467</v>
      </c>
      <c r="W2">
        <f ca="1">AVERAGE(OFFSET(日前负荷率!$B2,,(COLUMN(AO7)-20)*4,,4))</f>
        <v>0.70534888232034</v>
      </c>
      <c r="X2">
        <f ca="1">AVERAGE(OFFSET(日前负荷率!$B2,,(COLUMN(AP7)-20)*4,,4))</f>
        <v>0.64546499168668</v>
      </c>
      <c r="Y2">
        <f ca="1">AVERAGE(OFFSET(日前负荷率!$B2,,(COLUMN(AQ7)-20)*4,,4))</f>
        <v>0.591336781821541</v>
      </c>
    </row>
    <row r="3" spans="1:25">
      <c r="A3" s="8">
        <v>46236</v>
      </c>
      <c r="B3">
        <f ca="1">AVERAGE(OFFSET(日前负荷率!$B3,,(COLUMN(T8)-20)*4,,4))</f>
        <v>0.581391649732126</v>
      </c>
      <c r="C3">
        <f ca="1">AVERAGE(OFFSET(日前负荷率!$B3,,(COLUMN(U8)-20)*4,,4))</f>
        <v>0.594664250258554</v>
      </c>
      <c r="D3">
        <f ca="1">AVERAGE(OFFSET(日前负荷率!$B3,,(COLUMN(V8)-20)*4,,4))</f>
        <v>0.575930496974143</v>
      </c>
      <c r="E3">
        <f ca="1">AVERAGE(OFFSET(日前负荷率!$B3,,(COLUMN(W8)-20)*4,,4))</f>
        <v>0.565692646249771</v>
      </c>
      <c r="F3">
        <f ca="1">AVERAGE(OFFSET(日前负荷率!$B3,,(COLUMN(X8)-20)*4,,4))</f>
        <v>0.576700715202641</v>
      </c>
      <c r="G3">
        <f ca="1">AVERAGE(OFFSET(日前负荷率!$B3,,(COLUMN(Y8)-20)*4,,4))</f>
        <v>0.58586576196589</v>
      </c>
      <c r="H3">
        <f ca="1">AVERAGE(OFFSET(日前负荷率!$B3,,(COLUMN(Z8)-20)*4,,4))</f>
        <v>0.577825325508894</v>
      </c>
      <c r="I3">
        <f ca="1">AVERAGE(OFFSET(日前负荷率!$B3,,(COLUMN(AA8)-20)*4,,4))</f>
        <v>0.573952778287181</v>
      </c>
      <c r="J3">
        <f ca="1">AVERAGE(OFFSET(日前负荷率!$B3,,(COLUMN(AB8)-20)*4,,4))</f>
        <v>0.587379607555474</v>
      </c>
      <c r="K3">
        <f ca="1">AVERAGE(OFFSET(日前负荷率!$B3,,(COLUMN(AC8)-20)*4,,4))</f>
        <v>0.558965890335595</v>
      </c>
      <c r="L3">
        <f ca="1">AVERAGE(OFFSET(日前负荷率!$B3,,(COLUMN(AD8)-20)*4,,4))</f>
        <v>0.547364569961489</v>
      </c>
      <c r="M3">
        <f ca="1">AVERAGE(OFFSET(日前负荷率!$B3,,(COLUMN(AE8)-20)*4,,4))</f>
        <v>0.532028424720337</v>
      </c>
      <c r="N3">
        <f ca="1">AVERAGE(OFFSET(日前负荷率!$B3,,(COLUMN(AF8)-20)*4,,4))</f>
        <v>0.545736291949386</v>
      </c>
      <c r="O3">
        <f ca="1">AVERAGE(OFFSET(日前负荷率!$B3,,(COLUMN(AG8)-20)*4,,4))</f>
        <v>0.549207133687878</v>
      </c>
      <c r="P3">
        <f ca="1">AVERAGE(OFFSET(日前负荷率!$B3,,(COLUMN(AH8)-20)*4,,4))</f>
        <v>0.575277186869613</v>
      </c>
      <c r="Q3">
        <f ca="1">AVERAGE(OFFSET(日前负荷率!$B3,,(COLUMN(AI8)-20)*4,,4))</f>
        <v>0.641639556207592</v>
      </c>
      <c r="R3">
        <f ca="1">AVERAGE(OFFSET(日前负荷率!$B3,,(COLUMN(AJ8)-20)*4,,4))</f>
        <v>0.700829910141207</v>
      </c>
      <c r="S3">
        <f ca="1">AVERAGE(OFFSET(日前负荷率!$B3,,(COLUMN(AK8)-20)*4,,4))</f>
        <v>0.705560425453879</v>
      </c>
      <c r="T3">
        <f ca="1">AVERAGE(OFFSET(日前负荷率!$B3,,(COLUMN(AL8)-20)*4,,4))</f>
        <v>0.728888868512745</v>
      </c>
      <c r="U3">
        <f ca="1">AVERAGE(OFFSET(日前负荷率!$B3,,(COLUMN(AM8)-20)*4,,4))</f>
        <v>0.752680359435173</v>
      </c>
      <c r="V3">
        <f ca="1">AVERAGE(OFFSET(日前负荷率!$B3,,(COLUMN(AN8)-20)*4,,4))</f>
        <v>0.739175591417568</v>
      </c>
      <c r="W3">
        <f ca="1">AVERAGE(OFFSET(日前负荷率!$B3,,(COLUMN(AO8)-20)*4,,4))</f>
        <v>0.684782688428388</v>
      </c>
      <c r="X3">
        <f ca="1">AVERAGE(OFFSET(日前负荷率!$B3,,(COLUMN(AP8)-20)*4,,4))</f>
        <v>0.609255455712452</v>
      </c>
      <c r="Y3">
        <f ca="1">AVERAGE(OFFSET(日前负荷率!$B3,,(COLUMN(AQ8)-20)*4,,4))</f>
        <v>0.542749770768384</v>
      </c>
    </row>
    <row r="4" spans="1:25">
      <c r="A4" s="8">
        <v>46237</v>
      </c>
      <c r="B4">
        <f ca="1">AVERAGE(OFFSET(日前负荷率!$B4,,(COLUMN(T9)-20)*4,,4))</f>
        <v>0.526656702732441</v>
      </c>
      <c r="C4">
        <f ca="1">AVERAGE(OFFSET(日前负荷率!$B4,,(COLUMN(U9)-20)*4,,4))</f>
        <v>0.510848065285164</v>
      </c>
      <c r="D4">
        <f ca="1">AVERAGE(OFFSET(日前负荷率!$B4,,(COLUMN(V9)-20)*4,,4))</f>
        <v>0.477573170731707</v>
      </c>
      <c r="E4">
        <f ca="1">AVERAGE(OFFSET(日前负荷率!$B4,,(COLUMN(W9)-20)*4,,4))</f>
        <v>0.452412341830185</v>
      </c>
      <c r="F4">
        <f ca="1">AVERAGE(OFFSET(日前负荷率!$B4,,(COLUMN(X9)-20)*4,,4))</f>
        <v>0.453063634696497</v>
      </c>
      <c r="G4">
        <f ca="1">AVERAGE(OFFSET(日前负荷率!$B4,,(COLUMN(Y9)-20)*4,,4))</f>
        <v>0.457644232532551</v>
      </c>
      <c r="H4">
        <f ca="1">AVERAGE(OFFSET(日前负荷率!$B4,,(COLUMN(Z9)-20)*4,,4))</f>
        <v>0.441005318173482</v>
      </c>
      <c r="I4">
        <f ca="1">AVERAGE(OFFSET(日前负荷率!$B4,,(COLUMN(AA9)-20)*4,,4))</f>
        <v>0.423044837704016</v>
      </c>
      <c r="J4">
        <f ca="1">AVERAGE(OFFSET(日前负荷率!$B4,,(COLUMN(AB9)-20)*4,,4))</f>
        <v>0.41807628828168</v>
      </c>
      <c r="K4">
        <f ca="1">AVERAGE(OFFSET(日前负荷率!$B4,,(COLUMN(AC9)-20)*4,,4))</f>
        <v>0.355263066202091</v>
      </c>
      <c r="L4">
        <f ca="1">AVERAGE(OFFSET(日前负荷率!$B4,,(COLUMN(AD9)-20)*4,,4))</f>
        <v>0.31098679625894</v>
      </c>
      <c r="M4">
        <f ca="1">AVERAGE(OFFSET(日前负荷率!$B4,,(COLUMN(AE9)-20)*4,,4))</f>
        <v>0.270308729139923</v>
      </c>
      <c r="N4">
        <f ca="1">AVERAGE(OFFSET(日前负荷率!$B4,,(COLUMN(AF9)-20)*4,,4))</f>
        <v>0.263520172382175</v>
      </c>
      <c r="O4">
        <f ca="1">AVERAGE(OFFSET(日前负荷率!$B4,,(COLUMN(AG9)-20)*4,,4))</f>
        <v>0.250291949385659</v>
      </c>
      <c r="P4">
        <f ca="1">AVERAGE(OFFSET(日前负荷率!$B4,,(COLUMN(AH9)-20)*4,,4))</f>
        <v>0.275665505226481</v>
      </c>
      <c r="Q4">
        <f ca="1">AVERAGE(OFFSET(日前负荷率!$B4,,(COLUMN(AI9)-20)*4,,4))</f>
        <v>0.350926004034476</v>
      </c>
      <c r="R4">
        <f ca="1">AVERAGE(OFFSET(日前负荷率!$B4,,(COLUMN(AJ9)-20)*4,,4))</f>
        <v>0.428257748028608</v>
      </c>
      <c r="S4">
        <f ca="1">AVERAGE(OFFSET(日前负荷率!$B4,,(COLUMN(AK9)-20)*4,,4))</f>
        <v>0.454530166880616</v>
      </c>
      <c r="T4">
        <f ca="1">AVERAGE(OFFSET(日前负荷率!$B4,,(COLUMN(AL9)-20)*4,,4))</f>
        <v>0.487925545571245</v>
      </c>
      <c r="U4">
        <f ca="1">AVERAGE(OFFSET(日前负荷率!$B4,,(COLUMN(AM9)-20)*4,,4))</f>
        <v>0.514527232715936</v>
      </c>
      <c r="V4">
        <f ca="1">AVERAGE(OFFSET(日前负荷率!$B4,,(COLUMN(AN9)-20)*4,,4))</f>
        <v>0.506909957821383</v>
      </c>
      <c r="W4">
        <f ca="1">AVERAGE(OFFSET(日前负荷率!$B4,,(COLUMN(AO9)-20)*4,,4))</f>
        <v>0.478883550339263</v>
      </c>
      <c r="X4">
        <f ca="1">AVERAGE(OFFSET(日前负荷率!$B4,,(COLUMN(AP9)-20)*4,,4))</f>
        <v>0.455725655602421</v>
      </c>
      <c r="Y4">
        <f ca="1">AVERAGE(OFFSET(日前负荷率!$B4,,(COLUMN(AQ9)-20)*4,,4))</f>
        <v>0.415931597285898</v>
      </c>
    </row>
    <row r="5" spans="1:25">
      <c r="A5" s="8">
        <v>46238</v>
      </c>
      <c r="B5">
        <f ca="1">AVERAGE(OFFSET(日前负荷率!$B5,,(COLUMN(T10)-20)*4,,4))</f>
        <v>0.404011828351366</v>
      </c>
      <c r="C5">
        <f ca="1">AVERAGE(OFFSET(日前负荷率!$B5,,(COLUMN(U10)-20)*4,,4))</f>
        <v>0.418278287181368</v>
      </c>
      <c r="D5">
        <f ca="1">AVERAGE(OFFSET(日前负荷率!$B5,,(COLUMN(V10)-20)*4,,4))</f>
        <v>0.416003025857326</v>
      </c>
      <c r="E5">
        <f ca="1">AVERAGE(OFFSET(日前负荷率!$B5,,(COLUMN(W10)-20)*4,,4))</f>
        <v>0.417240326425821</v>
      </c>
      <c r="F5">
        <f ca="1">AVERAGE(OFFSET(日前负荷率!$B5,,(COLUMN(X10)-20)*4,,4))</f>
        <v>0.435017238217495</v>
      </c>
      <c r="G5">
        <f ca="1">AVERAGE(OFFSET(日前负荷率!$B5,,(COLUMN(Y10)-20)*4,,4))</f>
        <v>0.453754263708051</v>
      </c>
      <c r="H5">
        <f ca="1">AVERAGE(OFFSET(日前负荷率!$B5,,(COLUMN(Z10)-20)*4,,4))</f>
        <v>0.477107372088759</v>
      </c>
      <c r="I5">
        <f ca="1">AVERAGE(OFFSET(日前负荷率!$B5,,(COLUMN(AA10)-20)*4,,4))</f>
        <v>0.458227131549658</v>
      </c>
      <c r="J5">
        <f ca="1">AVERAGE(OFFSET(日前负荷率!$B5,,(COLUMN(AB10)-20)*4,,4))</f>
        <v>0.479455015418103</v>
      </c>
      <c r="K5">
        <f ca="1">AVERAGE(OFFSET(日前负荷率!$B5,,(COLUMN(AC10)-20)*4,,4))</f>
        <v>0.441051605296572</v>
      </c>
      <c r="L5">
        <f ca="1">AVERAGE(OFFSET(日前负荷率!$B5,,(COLUMN(AD10)-20)*4,,4))</f>
        <v>0.401519499365137</v>
      </c>
      <c r="M5">
        <f ca="1">AVERAGE(OFFSET(日前负荷率!$B5,,(COLUMN(AE10)-20)*4,,4))</f>
        <v>0.370111554507528</v>
      </c>
      <c r="N5">
        <f ca="1">AVERAGE(OFFSET(日前负荷率!$B5,,(COLUMN(AF10)-20)*4,,4))</f>
        <v>0.379272991111917</v>
      </c>
      <c r="O5">
        <f ca="1">AVERAGE(OFFSET(日前负荷率!$B5,,(COLUMN(AG10)-20)*4,,4))</f>
        <v>0.365755124251768</v>
      </c>
      <c r="P5">
        <f ca="1">AVERAGE(OFFSET(日前负荷率!$B5,,(COLUMN(AH10)-20)*4,,4))</f>
        <v>0.40382813350263</v>
      </c>
      <c r="Q5">
        <f ca="1">AVERAGE(OFFSET(日前负荷率!$B5,,(COLUMN(AI10)-20)*4,,4))</f>
        <v>0.453519499365137</v>
      </c>
      <c r="R5">
        <f ca="1">AVERAGE(OFFSET(日前负荷率!$B5,,(COLUMN(AJ10)-20)*4,,4))</f>
        <v>0.522963450027208</v>
      </c>
      <c r="S5">
        <f ca="1">AVERAGE(OFFSET(日前负荷率!$B5,,(COLUMN(AK10)-20)*4,,4))</f>
        <v>0.568981770360965</v>
      </c>
      <c r="T5">
        <f ca="1">AVERAGE(OFFSET(日前负荷率!$B5,,(COLUMN(AL10)-20)*4,,4))</f>
        <v>0.611166878287684</v>
      </c>
      <c r="U5">
        <f ca="1">AVERAGE(OFFSET(日前负荷率!$B5,,(COLUMN(AM10)-20)*4,,4))</f>
        <v>0.646191365862507</v>
      </c>
      <c r="V5">
        <f ca="1">AVERAGE(OFFSET(日前负荷率!$B5,,(COLUMN(AN10)-20)*4,,4))</f>
        <v>0.651080174133865</v>
      </c>
      <c r="W5">
        <f ca="1">AVERAGE(OFFSET(日前负荷率!$B5,,(COLUMN(AO10)-20)*4,,4))</f>
        <v>0.644102485035371</v>
      </c>
      <c r="X5">
        <f ca="1">AVERAGE(OFFSET(日前负荷率!$B5,,(COLUMN(AP10)-20)*4,,4))</f>
        <v>0.641631053872665</v>
      </c>
      <c r="Y5">
        <f ca="1">AVERAGE(OFFSET(日前负荷率!$B5,,(COLUMN(AQ10)-20)*4,,4))</f>
        <v>0.598368129874841</v>
      </c>
    </row>
    <row r="6" spans="1:25">
      <c r="A6" s="8">
        <v>46239</v>
      </c>
      <c r="B6">
        <f ca="1">AVERAGE(OFFSET(日前负荷率!$B6,,(COLUMN(T11)-20)*4,,4))</f>
        <v>0.536611010339198</v>
      </c>
      <c r="C6">
        <f ca="1">AVERAGE(OFFSET(日前负荷率!$B6,,(COLUMN(U11)-20)*4,,4))</f>
        <v>0.564813168873572</v>
      </c>
      <c r="D6">
        <f ca="1">AVERAGE(OFFSET(日前负荷率!$B6,,(COLUMN(V11)-20)*4,,4))</f>
        <v>0.55066143660439</v>
      </c>
      <c r="E6">
        <f ca="1">AVERAGE(OFFSET(日前负荷率!$B6,,(COLUMN(W11)-20)*4,,4))</f>
        <v>0.556381461998912</v>
      </c>
      <c r="F6">
        <f ca="1">AVERAGE(OFFSET(日前负荷率!$B6,,(COLUMN(X11)-20)*4,,4))</f>
        <v>0.548042082350807</v>
      </c>
      <c r="G6">
        <f ca="1">AVERAGE(OFFSET(日前负荷率!$B6,,(COLUMN(Y11)-20)*4,,4))</f>
        <v>0.535383820061672</v>
      </c>
      <c r="H6">
        <f ca="1">AVERAGE(OFFSET(日前负荷率!$B6,,(COLUMN(Z11)-20)*4,,4))</f>
        <v>0.552119535643026</v>
      </c>
      <c r="I6">
        <f ca="1">AVERAGE(OFFSET(日前负荷率!$B6,,(COLUMN(AA11)-20)*4,,4))</f>
        <v>0.559877108652276</v>
      </c>
      <c r="J6">
        <f ca="1">AVERAGE(OFFSET(日前负荷率!$B6,,(COLUMN(AB11)-20)*4,,4))</f>
        <v>0.614923816433884</v>
      </c>
      <c r="K6">
        <f ca="1">AVERAGE(OFFSET(日前负荷率!$B6,,(COLUMN(AC11)-20)*4,,4))</f>
        <v>0.627732178487212</v>
      </c>
      <c r="L6">
        <f ca="1">AVERAGE(OFFSET(日前负荷率!$B6,,(COLUMN(AD11)-20)*4,,4))</f>
        <v>0.663475512425177</v>
      </c>
      <c r="M6">
        <f ca="1">AVERAGE(OFFSET(日前负荷率!$B6,,(COLUMN(AE11)-20)*4,,4))</f>
        <v>0.655562307273717</v>
      </c>
      <c r="N6">
        <f ca="1">AVERAGE(OFFSET(日前负荷率!$B6,,(COLUMN(AF11)-20)*4,,4))</f>
        <v>0.679020497007074</v>
      </c>
      <c r="O6">
        <f ca="1">AVERAGE(OFFSET(日前负荷率!$B6,,(COLUMN(AG11)-20)*4,,4))</f>
        <v>0.673111826591692</v>
      </c>
      <c r="P6">
        <f ca="1">AVERAGE(OFFSET(日前负荷率!$B6,,(COLUMN(AH11)-20)*4,,4))</f>
        <v>0.694262923997823</v>
      </c>
      <c r="Q6">
        <f ca="1">AVERAGE(OFFSET(日前负荷率!$B6,,(COLUMN(AI11)-20)*4,,4))</f>
        <v>0.725862144023218</v>
      </c>
      <c r="R6">
        <f ca="1">AVERAGE(OFFSET(日前负荷率!$B6,,(COLUMN(AJ11)-20)*4,,4))</f>
        <v>0.762659804099401</v>
      </c>
      <c r="S6">
        <f ca="1">AVERAGE(OFFSET(日前负荷率!$B6,,(COLUMN(AK11)-20)*4,,4))</f>
        <v>0.795181026664248</v>
      </c>
      <c r="T6">
        <f ca="1">AVERAGE(OFFSET(日前负荷率!$B6,,(COLUMN(AL11)-20)*4,,4))</f>
        <v>0.820160529657174</v>
      </c>
      <c r="U6">
        <f ca="1">AVERAGE(OFFSET(日前负荷率!$B6,,(COLUMN(AM11)-20)*4,,4))</f>
        <v>0.841126609831308</v>
      </c>
      <c r="V6">
        <f ca="1">AVERAGE(OFFSET(日前负荷率!$B6,,(COLUMN(AN11)-20)*4,,4))</f>
        <v>0.838246417558498</v>
      </c>
      <c r="W6">
        <f ca="1">AVERAGE(OFFSET(日前负荷率!$B6,,(COLUMN(AO11)-20)*4,,4))</f>
        <v>0.802923544349719</v>
      </c>
      <c r="X6">
        <f ca="1">AVERAGE(OFFSET(日前负荷率!$B6,,(COLUMN(AP11)-20)*4,,4))</f>
        <v>0.785431253401052</v>
      </c>
      <c r="Y6">
        <f ca="1">AVERAGE(OFFSET(日前负荷率!$B6,,(COLUMN(AQ11)-20)*4,,4))</f>
        <v>0.763086069290767</v>
      </c>
    </row>
    <row r="7" spans="1:25">
      <c r="A7" s="8">
        <v>46240</v>
      </c>
      <c r="B7">
        <f ca="1">AVERAGE(OFFSET(日前负荷率!$B7,,(COLUMN(T12)-20)*4,,4))</f>
        <v>0.705592780700163</v>
      </c>
      <c r="C7">
        <f ca="1">AVERAGE(OFFSET(日前负荷率!$B7,,(COLUMN(U12)-20)*4,,4))</f>
        <v>0.724215944132051</v>
      </c>
      <c r="D7">
        <f ca="1">AVERAGE(OFFSET(日前负荷率!$B7,,(COLUMN(V12)-20)*4,,4))</f>
        <v>0.707122982042445</v>
      </c>
      <c r="E7">
        <f ca="1">AVERAGE(OFFSET(日前负荷率!$B7,,(COLUMN(W12)-20)*4,,4))</f>
        <v>0.684019590059858</v>
      </c>
      <c r="F7">
        <f ca="1">AVERAGE(OFFSET(日前负荷率!$B7,,(COLUMN(X12)-20)*4,,4))</f>
        <v>0.686679575548703</v>
      </c>
      <c r="G7">
        <f ca="1">AVERAGE(OFFSET(日前负荷率!$B7,,(COLUMN(Y12)-20)*4,,4))</f>
        <v>0.716111463812806</v>
      </c>
      <c r="H7">
        <f ca="1">AVERAGE(OFFSET(日前负荷率!$B7,,(COLUMN(Z12)-20)*4,,4))</f>
        <v>0.753757935788137</v>
      </c>
      <c r="I7">
        <f ca="1">AVERAGE(OFFSET(日前负荷率!$B7,,(COLUMN(AA12)-20)*4,,4))</f>
        <v>0.74514756031199</v>
      </c>
      <c r="J7">
        <f ca="1">AVERAGE(OFFSET(日前负荷率!$B7,,(COLUMN(AB12)-20)*4,,4))</f>
        <v>0.722636858334845</v>
      </c>
      <c r="K7">
        <f ca="1">AVERAGE(OFFSET(日前负荷率!$B7,,(COLUMN(AC12)-20)*4,,4))</f>
        <v>0.690048703065482</v>
      </c>
      <c r="L7">
        <f ca="1">AVERAGE(OFFSET(日前负荷率!$B7,,(COLUMN(AD12)-20)*4,,4))</f>
        <v>0.675255124251769</v>
      </c>
      <c r="M7">
        <f ca="1">AVERAGE(OFFSET(日前负荷率!$B7,,(COLUMN(AE12)-20)*4,,4))</f>
        <v>0.659697623798295</v>
      </c>
      <c r="N7">
        <f ca="1">AVERAGE(OFFSET(日前负荷率!$B7,,(COLUMN(AF12)-20)*4,,4))</f>
        <v>0.67004743333938</v>
      </c>
      <c r="O7">
        <f ca="1">AVERAGE(OFFSET(日前负荷率!$B7,,(COLUMN(AG12)-20)*4,,4))</f>
        <v>0.673691365862507</v>
      </c>
      <c r="P7">
        <f ca="1">AVERAGE(OFFSET(日前负荷率!$B7,,(COLUMN(AH12)-20)*4,,4))</f>
        <v>0.706460729185561</v>
      </c>
      <c r="Q7">
        <f ca="1">AVERAGE(OFFSET(日前负荷率!$B7,,(COLUMN(AI12)-20)*4,,4))</f>
        <v>0.767946036640668</v>
      </c>
      <c r="R7">
        <f ca="1">AVERAGE(OFFSET(日前负荷率!$B7,,(COLUMN(AJ12)-20)*4,,4))</f>
        <v>0.806256212588427</v>
      </c>
      <c r="S7">
        <f ca="1">AVERAGE(OFFSET(日前负荷率!$B7,,(COLUMN(AK12)-20)*4,,4))</f>
        <v>0.829487937602032</v>
      </c>
      <c r="T7">
        <f ca="1">AVERAGE(OFFSET(日前负荷率!$B7,,(COLUMN(AL12)-20)*4,,4))</f>
        <v>0.839889805913296</v>
      </c>
      <c r="U7">
        <f ca="1">AVERAGE(OFFSET(日前负荷率!$B7,,(COLUMN(AM12)-20)*4,,4))</f>
        <v>0.848896880101578</v>
      </c>
      <c r="V7">
        <f ca="1">AVERAGE(OFFSET(日前负荷率!$B7,,(COLUMN(AN12)-20)*4,,4))</f>
        <v>0.824748684926537</v>
      </c>
      <c r="W7">
        <f ca="1">AVERAGE(OFFSET(日前负荷率!$B7,,(COLUMN(AO12)-20)*4,,4))</f>
        <v>0.770823326682387</v>
      </c>
      <c r="X7">
        <f ca="1">AVERAGE(OFFSET(日前负荷率!$B7,,(COLUMN(AP12)-20)*4,,4))</f>
        <v>0.71467304552875</v>
      </c>
      <c r="Y7">
        <f ca="1">AVERAGE(OFFSET(日前负荷率!$B7,,(COLUMN(AQ12)-20)*4,,4))</f>
        <v>0.659379920188645</v>
      </c>
    </row>
    <row r="8" spans="1:25">
      <c r="A8" s="8">
        <v>46241</v>
      </c>
      <c r="B8">
        <f ca="1">AVERAGE(OFFSET(日前负荷率!$B8,,(COLUMN(T13)-20)*4,,4))</f>
        <v>0.597556575313768</v>
      </c>
      <c r="C8">
        <f ca="1">AVERAGE(OFFSET(日前负荷率!$B8,,(COLUMN(U13)-20)*4,,4))</f>
        <v>0.570112380557588</v>
      </c>
      <c r="D8">
        <f ca="1">AVERAGE(OFFSET(日前负荷率!$B8,,(COLUMN(V13)-20)*4,,4))</f>
        <v>0.501241441082803</v>
      </c>
      <c r="E8">
        <f ca="1">AVERAGE(OFFSET(日前负荷率!$B8,,(COLUMN(W13)-20)*4,,4))</f>
        <v>0.445671176561702</v>
      </c>
      <c r="F8">
        <f ca="1">AVERAGE(OFFSET(日前负荷率!$B8,,(COLUMN(X13)-20)*4,,4))</f>
        <v>0.386164631664632</v>
      </c>
      <c r="G8">
        <f ca="1">AVERAGE(OFFSET(日前负荷率!$B8,,(COLUMN(Y13)-20)*4,,4))</f>
        <v>0.353680606430606</v>
      </c>
      <c r="H8">
        <f ca="1">AVERAGE(OFFSET(日前负荷率!$B8,,(COLUMN(Z13)-20)*4,,4))</f>
        <v>0.349366096866097</v>
      </c>
      <c r="I8">
        <f ca="1">AVERAGE(OFFSET(日前负荷率!$B8,,(COLUMN(AA13)-20)*4,,4))</f>
        <v>0.352786935286935</v>
      </c>
      <c r="J8">
        <f ca="1">AVERAGE(OFFSET(日前负荷率!$B8,,(COLUMN(AB13)-20)*4,,4))</f>
        <v>0.382387362637363</v>
      </c>
      <c r="K8">
        <f ca="1">AVERAGE(OFFSET(日前负荷率!$B8,,(COLUMN(AC13)-20)*4,,4))</f>
        <v>0.341342897842898</v>
      </c>
      <c r="L8">
        <f ca="1">AVERAGE(OFFSET(日前负荷率!$B8,,(COLUMN(AD13)-20)*4,,4))</f>
        <v>0.313658831908832</v>
      </c>
      <c r="M8">
        <f ca="1">AVERAGE(OFFSET(日前负荷率!$B8,,(COLUMN(AE13)-20)*4,,4))</f>
        <v>0.31996805046805</v>
      </c>
      <c r="N8">
        <f ca="1">AVERAGE(OFFSET(日前负荷率!$B8,,(COLUMN(AF13)-20)*4,,4))</f>
        <v>0.337445054945055</v>
      </c>
      <c r="O8">
        <f ca="1">AVERAGE(OFFSET(日前负荷率!$B8,,(COLUMN(AG13)-20)*4,,4))</f>
        <v>0.278883903133903</v>
      </c>
      <c r="P8">
        <f ca="1">AVERAGE(OFFSET(日前负荷率!$B8,,(COLUMN(AH13)-20)*4,,4))</f>
        <v>0.231509768009768</v>
      </c>
      <c r="Q8">
        <f ca="1">AVERAGE(OFFSET(日前负荷率!$B8,,(COLUMN(AI13)-20)*4,,4))</f>
        <v>0.26761223036223</v>
      </c>
      <c r="R8">
        <f ca="1">AVERAGE(OFFSET(日前负荷率!$B8,,(COLUMN(AJ13)-20)*4,,4))</f>
        <v>0.32365293040293</v>
      </c>
      <c r="S8">
        <f ca="1">AVERAGE(OFFSET(日前负荷率!$B8,,(COLUMN(AK13)-20)*4,,4))</f>
        <v>0.327773199023199</v>
      </c>
      <c r="T8">
        <f ca="1">AVERAGE(OFFSET(日前负荷率!$B8,,(COLUMN(AL13)-20)*4,,4))</f>
        <v>0.349663817663818</v>
      </c>
      <c r="U8">
        <f ca="1">AVERAGE(OFFSET(日前负荷率!$B8,,(COLUMN(AM13)-20)*4,,4))</f>
        <v>0.387854192104192</v>
      </c>
      <c r="V8">
        <f ca="1">AVERAGE(OFFSET(日前负荷率!$B8,,(COLUMN(AN13)-20)*4,,4))</f>
        <v>0.351110093610094</v>
      </c>
      <c r="W8">
        <f ca="1">AVERAGE(OFFSET(日前负荷率!$B8,,(COLUMN(AO13)-20)*4,,4))</f>
        <v>0.300729758367438</v>
      </c>
      <c r="X8">
        <f ca="1">AVERAGE(OFFSET(日前负荷率!$B8,,(COLUMN(AP13)-20)*4,,4))</f>
        <v>0.304961339018979</v>
      </c>
      <c r="Y8">
        <f ca="1">AVERAGE(OFFSET(日前负荷率!$B8,,(COLUMN(AQ13)-20)*4,,4))</f>
        <v>0.251406592203241</v>
      </c>
    </row>
    <row r="9" spans="1:25">
      <c r="A9" s="8">
        <v>46242</v>
      </c>
      <c r="B9">
        <f ca="1">AVERAGE(OFFSET(日前负荷率!$B9,,(COLUMN(T14)-20)*4,,4))</f>
        <v>0.320455293594306</v>
      </c>
      <c r="C9">
        <f ca="1">AVERAGE(OFFSET(日前负荷率!$B9,,(COLUMN(U14)-20)*4,,4))</f>
        <v>0.287858763345196</v>
      </c>
      <c r="D9">
        <f ca="1">AVERAGE(OFFSET(日前负荷率!$B9,,(COLUMN(V14)-20)*4,,4))</f>
        <v>0.263848976868327</v>
      </c>
      <c r="E9">
        <f ca="1">AVERAGE(OFFSET(日前负荷率!$B9,,(COLUMN(W14)-20)*4,,4))</f>
        <v>0.230125111209965</v>
      </c>
      <c r="F9">
        <f ca="1">AVERAGE(OFFSET(日前负荷率!$B9,,(COLUMN(X14)-20)*4,,4))</f>
        <v>0.201776690391459</v>
      </c>
      <c r="G9">
        <f ca="1">AVERAGE(OFFSET(日前负荷率!$B9,,(COLUMN(Y14)-20)*4,,4))</f>
        <v>0.222547820284697</v>
      </c>
      <c r="H9">
        <f ca="1">AVERAGE(OFFSET(日前负荷率!$B9,,(COLUMN(Z14)-20)*4,,4))</f>
        <v>0.254697508896797</v>
      </c>
      <c r="I9">
        <f ca="1">AVERAGE(OFFSET(日前负荷率!$B9,,(COLUMN(AA14)-20)*4,,4))</f>
        <v>0.218682606761566</v>
      </c>
      <c r="J9">
        <f ca="1">AVERAGE(OFFSET(日前负荷率!$B9,,(COLUMN(AB14)-20)*4,,4))</f>
        <v>0.229637677935943</v>
      </c>
      <c r="K9">
        <f ca="1">AVERAGE(OFFSET(日前负荷率!$B9,,(COLUMN(AC14)-20)*4,,4))</f>
        <v>0.218531027580071</v>
      </c>
      <c r="L9">
        <f ca="1">AVERAGE(OFFSET(日前负荷率!$B9,,(COLUMN(AD14)-20)*4,,4))</f>
        <v>0.202028358540925</v>
      </c>
      <c r="M9">
        <f ca="1">AVERAGE(OFFSET(日前负荷率!$B9,,(COLUMN(AE14)-20)*4,,4))</f>
        <v>0.171203291814947</v>
      </c>
      <c r="N9">
        <f ca="1">AVERAGE(OFFSET(日前负荷率!$B9,,(COLUMN(AF14)-20)*4,,4))</f>
        <v>0.199839524021352</v>
      </c>
      <c r="O9">
        <f ca="1">AVERAGE(OFFSET(日前负荷率!$B9,,(COLUMN(AG14)-20)*4,,4))</f>
        <v>0.227625333629893</v>
      </c>
      <c r="P9">
        <f ca="1">AVERAGE(OFFSET(日前负荷率!$B9,,(COLUMN(AH14)-20)*4,,4))</f>
        <v>0.268934386120996</v>
      </c>
      <c r="Q9">
        <f ca="1">AVERAGE(OFFSET(日前负荷率!$B9,,(COLUMN(AI14)-20)*4,,4))</f>
        <v>0.394717193060498</v>
      </c>
      <c r="R9">
        <f ca="1">AVERAGE(OFFSET(日前负荷率!$B9,,(COLUMN(AJ14)-20)*4,,4))</f>
        <v>0.538594639679715</v>
      </c>
      <c r="S9">
        <f ca="1">AVERAGE(OFFSET(日前负荷率!$B9,,(COLUMN(AK14)-20)*4,,4))</f>
        <v>0.510086854982206</v>
      </c>
      <c r="T9">
        <f ca="1">AVERAGE(OFFSET(日前负荷率!$B9,,(COLUMN(AL14)-20)*4,,4))</f>
        <v>0.530925378113879</v>
      </c>
      <c r="U9">
        <f ca="1">AVERAGE(OFFSET(日前负荷率!$B9,,(COLUMN(AM14)-20)*4,,4))</f>
        <v>0.531284252669039</v>
      </c>
      <c r="V9">
        <f ca="1">AVERAGE(OFFSET(日前负荷率!$B9,,(COLUMN(AN14)-20)*4,,4))</f>
        <v>0.478446508007117</v>
      </c>
      <c r="W9">
        <f ca="1">AVERAGE(OFFSET(日前负荷率!$B9,,(COLUMN(AO14)-20)*4,,4))</f>
        <v>0.447916258896797</v>
      </c>
      <c r="X9">
        <f ca="1">AVERAGE(OFFSET(日前负荷率!$B9,,(COLUMN(AP14)-20)*4,,4))</f>
        <v>0.492399799822064</v>
      </c>
      <c r="Y9">
        <f ca="1">AVERAGE(OFFSET(日前负荷率!$B9,,(COLUMN(AQ14)-20)*4,,4))</f>
        <v>0.442431939501779</v>
      </c>
    </row>
    <row r="10" spans="1:25">
      <c r="A10" s="8">
        <v>46243</v>
      </c>
      <c r="B10">
        <f ca="1">AVERAGE(OFFSET(日前负荷率!$B10,,(COLUMN(T15)-20)*4,,4))</f>
        <v>0.405630782918149</v>
      </c>
      <c r="C10">
        <f ca="1">AVERAGE(OFFSET(日前负荷率!$B10,,(COLUMN(U15)-20)*4,,4))</f>
        <v>0.402633340747331</v>
      </c>
      <c r="D10">
        <f ca="1">AVERAGE(OFFSET(日前负荷率!$B10,,(COLUMN(V15)-20)*4,,4))</f>
        <v>0.388103758896797</v>
      </c>
      <c r="E10">
        <f ca="1">AVERAGE(OFFSET(日前负荷率!$B10,,(COLUMN(W15)-20)*4,,4))</f>
        <v>0.395648910142349</v>
      </c>
      <c r="F10">
        <f ca="1">AVERAGE(OFFSET(日前负荷率!$B10,,(COLUMN(X15)-20)*4,,4))</f>
        <v>0.413060943060498</v>
      </c>
      <c r="G10">
        <f ca="1">AVERAGE(OFFSET(日前负荷率!$B10,,(COLUMN(Y15)-20)*4,,4))</f>
        <v>0.456831072064057</v>
      </c>
      <c r="H10">
        <f ca="1">AVERAGE(OFFSET(日前负荷率!$B10,,(COLUMN(Z15)-20)*4,,4))</f>
        <v>0.498400800711744</v>
      </c>
      <c r="I10">
        <f ca="1">AVERAGE(OFFSET(日前负荷率!$B10,,(COLUMN(AA15)-20)*4,,4))</f>
        <v>0.44438256227758</v>
      </c>
      <c r="J10">
        <f ca="1">AVERAGE(OFFSET(日前负荷率!$B10,,(COLUMN(AB15)-20)*4,,4))</f>
        <v>0.441092971530249</v>
      </c>
      <c r="K10">
        <f ca="1">AVERAGE(OFFSET(日前负荷率!$B10,,(COLUMN(AC15)-20)*4,,4))</f>
        <v>0.398680604982206</v>
      </c>
      <c r="L10">
        <f ca="1">AVERAGE(OFFSET(日前负荷率!$B10,,(COLUMN(AD15)-20)*4,,4))</f>
        <v>0.388509675266904</v>
      </c>
      <c r="M10">
        <f ca="1">AVERAGE(OFFSET(日前负荷率!$B10,,(COLUMN(AE15)-20)*4,,4))</f>
        <v>0.398224310498221</v>
      </c>
      <c r="N10">
        <f ca="1">AVERAGE(OFFSET(日前负荷率!$B10,,(COLUMN(AF15)-20)*4,,4))</f>
        <v>0.422501890569395</v>
      </c>
      <c r="O10">
        <f ca="1">AVERAGE(OFFSET(日前负荷率!$B10,,(COLUMN(AG15)-20)*4,,4))</f>
        <v>0.460970529359431</v>
      </c>
      <c r="P10">
        <f ca="1">AVERAGE(OFFSET(日前负荷率!$B10,,(COLUMN(AH15)-20)*4,,4))</f>
        <v>0.506435943060498</v>
      </c>
      <c r="Q10">
        <f ca="1">AVERAGE(OFFSET(日前负荷率!$B10,,(COLUMN(AI15)-20)*4,,4))</f>
        <v>0.529471419039146</v>
      </c>
      <c r="R10">
        <f ca="1">AVERAGE(OFFSET(日前负荷率!$B10,,(COLUMN(AJ15)-20)*4,,4))</f>
        <v>0.575916814946619</v>
      </c>
      <c r="S10">
        <f ca="1">AVERAGE(OFFSET(日前负荷率!$B10,,(COLUMN(AK15)-20)*4,,4))</f>
        <v>0.632111543594306</v>
      </c>
      <c r="T10">
        <f ca="1">AVERAGE(OFFSET(日前负荷率!$B10,,(COLUMN(AL15)-20)*4,,4))</f>
        <v>0.659675378113879</v>
      </c>
      <c r="U10">
        <f ca="1">AVERAGE(OFFSET(日前负荷率!$B10,,(COLUMN(AM15)-20)*4,,4))</f>
        <v>0.678594083629893</v>
      </c>
      <c r="V10">
        <f ca="1">AVERAGE(OFFSET(日前负荷率!$B10,,(COLUMN(AN15)-20)*4,,4))</f>
        <v>0.673699955516014</v>
      </c>
      <c r="W10">
        <f ca="1">AVERAGE(OFFSET(日前负荷率!$B10,,(COLUMN(AO15)-20)*4,,4))</f>
        <v>0.625569506227758</v>
      </c>
      <c r="X10">
        <f ca="1">AVERAGE(OFFSET(日前负荷率!$B10,,(COLUMN(AP15)-20)*4,,4))</f>
        <v>0.618386454626334</v>
      </c>
      <c r="Y10">
        <f ca="1">AVERAGE(OFFSET(日前负荷率!$B10,,(COLUMN(AQ15)-20)*4,,4))</f>
        <v>0.575398465302491</v>
      </c>
    </row>
    <row r="11" spans="1:25">
      <c r="A11" s="8">
        <v>46244</v>
      </c>
      <c r="B11">
        <f ca="1">AVERAGE(OFFSET(日前负荷率!$B11,,(COLUMN(T16)-20)*4,,4))</f>
        <v>0.489471641459075</v>
      </c>
      <c r="C11">
        <f ca="1">AVERAGE(OFFSET(日前负荷率!$B11,,(COLUMN(U16)-20)*4,,4))</f>
        <v>0.490196396797153</v>
      </c>
      <c r="D11">
        <f ca="1">AVERAGE(OFFSET(日前负荷率!$B11,,(COLUMN(V16)-20)*4,,4))</f>
        <v>0.463309552021053</v>
      </c>
      <c r="E11">
        <f ca="1">AVERAGE(OFFSET(日前负荷率!$B11,,(COLUMN(W16)-20)*4,,4))</f>
        <v>0.45692550274223</v>
      </c>
      <c r="F11">
        <f ca="1">AVERAGE(OFFSET(日前负荷率!$B11,,(COLUMN(X16)-20)*4,,4))</f>
        <v>0.475085580438757</v>
      </c>
      <c r="G11">
        <f ca="1">AVERAGE(OFFSET(日前负荷率!$B11,,(COLUMN(Y16)-20)*4,,4))</f>
        <v>0.511167909490362</v>
      </c>
      <c r="H11">
        <f ca="1">AVERAGE(OFFSET(日前负荷率!$B11,,(COLUMN(Z16)-20)*4,,4))</f>
        <v>0.55151012145749</v>
      </c>
      <c r="I11">
        <f ca="1">AVERAGE(OFFSET(日前负荷率!$B11,,(COLUMN(AA16)-20)*4,,4))</f>
        <v>0.528753261358525</v>
      </c>
      <c r="J11">
        <f ca="1">AVERAGE(OFFSET(日前负荷率!$B11,,(COLUMN(AB16)-20)*4,,4))</f>
        <v>0.541381691408007</v>
      </c>
      <c r="K11">
        <f ca="1">AVERAGE(OFFSET(日前负荷率!$B11,,(COLUMN(AC16)-20)*4,,4))</f>
        <v>0.471788011695906</v>
      </c>
      <c r="L11">
        <f ca="1">AVERAGE(OFFSET(日前负荷率!$B11,,(COLUMN(AD16)-20)*4,,4))</f>
        <v>0.443812078272605</v>
      </c>
      <c r="M11">
        <f ca="1">AVERAGE(OFFSET(日前负荷率!$B11,,(COLUMN(AE16)-20)*4,,4))</f>
        <v>0.406113135402609</v>
      </c>
      <c r="N11">
        <f ca="1">AVERAGE(OFFSET(日前负荷率!$B11,,(COLUMN(AF16)-20)*4,,4))</f>
        <v>0.380521937842779</v>
      </c>
      <c r="O11">
        <f ca="1">AVERAGE(OFFSET(日前负荷率!$B11,,(COLUMN(AG16)-20)*4,,4))</f>
        <v>0.316091179159049</v>
      </c>
      <c r="P11">
        <f ca="1">AVERAGE(OFFSET(日前负荷率!$B11,,(COLUMN(AH16)-20)*4,,4))</f>
        <v>0.288162362888483</v>
      </c>
      <c r="Q11">
        <f ca="1">AVERAGE(OFFSET(日前负荷率!$B11,,(COLUMN(AI16)-20)*4,,4))</f>
        <v>0.32495418190128</v>
      </c>
      <c r="R11">
        <f ca="1">AVERAGE(OFFSET(日前负荷率!$B11,,(COLUMN(AJ16)-20)*4,,4))</f>
        <v>0.387058957952468</v>
      </c>
      <c r="S11">
        <f ca="1">AVERAGE(OFFSET(日前负荷率!$B11,,(COLUMN(AK16)-20)*4,,4))</f>
        <v>0.442958066727605</v>
      </c>
      <c r="T11">
        <f ca="1">AVERAGE(OFFSET(日前负荷率!$B11,,(COLUMN(AL16)-20)*4,,4))</f>
        <v>0.475997714808044</v>
      </c>
      <c r="U11">
        <f ca="1">AVERAGE(OFFSET(日前负荷率!$B11,,(COLUMN(AM16)-20)*4,,4))</f>
        <v>0.48910831809872</v>
      </c>
      <c r="V11">
        <f ca="1">AVERAGE(OFFSET(日前负荷率!$B11,,(COLUMN(AN16)-20)*4,,4))</f>
        <v>0.442276279707495</v>
      </c>
      <c r="W11">
        <f ca="1">AVERAGE(OFFSET(日前负荷率!$B11,,(COLUMN(AO16)-20)*4,,4))</f>
        <v>0.390123057586837</v>
      </c>
      <c r="X11">
        <f ca="1">AVERAGE(OFFSET(日前负荷率!$B11,,(COLUMN(AP16)-20)*4,,4))</f>
        <v>0.42278176416819</v>
      </c>
      <c r="Y11">
        <f ca="1">AVERAGE(OFFSET(日前负荷率!$B11,,(COLUMN(AQ16)-20)*4,,4))</f>
        <v>0.363123400365631</v>
      </c>
    </row>
    <row r="12" spans="1:25">
      <c r="A12" s="8">
        <v>46245</v>
      </c>
      <c r="B12">
        <f ca="1">AVERAGE(OFFSET(日前负荷率!$B12,,(COLUMN(T17)-20)*4,,4))</f>
        <v>0.34742344606947</v>
      </c>
      <c r="C12">
        <f ca="1">AVERAGE(OFFSET(日前负荷率!$B12,,(COLUMN(U17)-20)*4,,4))</f>
        <v>0.376737888482633</v>
      </c>
      <c r="D12">
        <f ca="1">AVERAGE(OFFSET(日前负荷率!$B12,,(COLUMN(V17)-20)*4,,4))</f>
        <v>0.401098834552102</v>
      </c>
      <c r="E12">
        <f ca="1">AVERAGE(OFFSET(日前负荷率!$B12,,(COLUMN(W17)-20)*4,,4))</f>
        <v>0.404614716636197</v>
      </c>
      <c r="F12">
        <f ca="1">AVERAGE(OFFSET(日前负荷率!$B12,,(COLUMN(X17)-20)*4,,4))</f>
        <v>0.422621000914077</v>
      </c>
      <c r="G12">
        <f ca="1">AVERAGE(OFFSET(日前负荷率!$B12,,(COLUMN(Y17)-20)*4,,4))</f>
        <v>0.42825262797075</v>
      </c>
      <c r="H12">
        <f ca="1">AVERAGE(OFFSET(日前负荷率!$B12,,(COLUMN(Z17)-20)*4,,4))</f>
        <v>0.419959666361975</v>
      </c>
      <c r="I12">
        <f ca="1">AVERAGE(OFFSET(日前负荷率!$B12,,(COLUMN(AA17)-20)*4,,4))</f>
        <v>0.411062842778793</v>
      </c>
      <c r="J12">
        <f ca="1">AVERAGE(OFFSET(日前负荷率!$B12,,(COLUMN(AB17)-20)*4,,4))</f>
        <v>0.425971549360146</v>
      </c>
      <c r="K12">
        <f ca="1">AVERAGE(OFFSET(日前负荷率!$B12,,(COLUMN(AC17)-20)*4,,4))</f>
        <v>0.374247486288848</v>
      </c>
      <c r="L12">
        <f ca="1">AVERAGE(OFFSET(日前负荷率!$B12,,(COLUMN(AD17)-20)*4,,4))</f>
        <v>0.363386768738574</v>
      </c>
      <c r="M12">
        <f ca="1">AVERAGE(OFFSET(日前负荷率!$B12,,(COLUMN(AE17)-20)*4,,4))</f>
        <v>0.360858889396709</v>
      </c>
      <c r="N12">
        <f ca="1">AVERAGE(OFFSET(日前负荷率!$B12,,(COLUMN(AF17)-20)*4,,4))</f>
        <v>0.376621115173675</v>
      </c>
      <c r="O12">
        <f ca="1">AVERAGE(OFFSET(日前负荷率!$B12,,(COLUMN(AG17)-20)*4,,4))</f>
        <v>0.41960991773309</v>
      </c>
      <c r="P12">
        <f ca="1">AVERAGE(OFFSET(日前负荷率!$B12,,(COLUMN(AH17)-20)*4,,4))</f>
        <v>0.458772447894411</v>
      </c>
      <c r="Q12">
        <f ca="1">AVERAGE(OFFSET(日前负荷率!$B12,,(COLUMN(AI17)-20)*4,,4))</f>
        <v>0.553663774165202</v>
      </c>
      <c r="R12">
        <f ca="1">AVERAGE(OFFSET(日前负荷率!$B12,,(COLUMN(AJ17)-20)*4,,4))</f>
        <v>0.582051405975395</v>
      </c>
      <c r="S12">
        <f ca="1">AVERAGE(OFFSET(日前负荷率!$B12,,(COLUMN(AK17)-20)*4,,4))</f>
        <v>0.613678608041372</v>
      </c>
      <c r="T12">
        <f ca="1">AVERAGE(OFFSET(日前负荷率!$B12,,(COLUMN(AL17)-20)*4,,4))</f>
        <v>0.650807272330203</v>
      </c>
      <c r="U12">
        <f ca="1">AVERAGE(OFFSET(日前负荷率!$B12,,(COLUMN(AM17)-20)*4,,4))</f>
        <v>0.66672968839394</v>
      </c>
      <c r="V12">
        <f ca="1">AVERAGE(OFFSET(日前负荷率!$B12,,(COLUMN(AN17)-20)*4,,4))</f>
        <v>0.64464440433213</v>
      </c>
      <c r="W12">
        <f ca="1">AVERAGE(OFFSET(日前负荷率!$B12,,(COLUMN(AO17)-20)*4,,4))</f>
        <v>0.593783074962837</v>
      </c>
      <c r="X12">
        <f ca="1">AVERAGE(OFFSET(日前负荷率!$B12,,(COLUMN(AP17)-20)*4,,4))</f>
        <v>0.616724231517603</v>
      </c>
      <c r="Y12">
        <f ca="1">AVERAGE(OFFSET(日前负荷率!$B12,,(COLUMN(AQ17)-20)*4,,4))</f>
        <v>0.602931705743171</v>
      </c>
    </row>
    <row r="13" spans="1:25">
      <c r="A13" s="8">
        <v>46246</v>
      </c>
      <c r="B13">
        <f ca="1">AVERAGE(OFFSET(日前负荷率!$B13,,(COLUMN(T18)-20)*4,,4))</f>
        <v>0.559140112047101</v>
      </c>
      <c r="C13">
        <f ca="1">AVERAGE(OFFSET(日前负荷率!$B13,,(COLUMN(U18)-20)*4,,4))</f>
        <v>0.589269866497139</v>
      </c>
      <c r="D13">
        <f ca="1">AVERAGE(OFFSET(日前负荷率!$B13,,(COLUMN(V18)-20)*4,,4))</f>
        <v>0.604997986861623</v>
      </c>
      <c r="E13">
        <f ca="1">AVERAGE(OFFSET(日前负荷率!$B13,,(COLUMN(W18)-20)*4,,4))</f>
        <v>0.601140919686374</v>
      </c>
      <c r="F13">
        <f ca="1">AVERAGE(OFFSET(日前负荷率!$B13,,(COLUMN(X18)-20)*4,,4))</f>
        <v>0.608556391680606</v>
      </c>
      <c r="G13">
        <f ca="1">AVERAGE(OFFSET(日前负荷率!$B13,,(COLUMN(Y18)-20)*4,,4))</f>
        <v>0.649323971601587</v>
      </c>
      <c r="H13">
        <f ca="1">AVERAGE(OFFSET(日前负荷率!$B13,,(COLUMN(Z18)-20)*4,,4))</f>
        <v>0.674299018584256</v>
      </c>
      <c r="I13">
        <f ca="1">AVERAGE(OFFSET(日前负荷率!$B13,,(COLUMN(AA18)-20)*4,,4))</f>
        <v>0.629641092192691</v>
      </c>
      <c r="J13">
        <f ca="1">AVERAGE(OFFSET(日前负荷率!$B13,,(COLUMN(AB18)-20)*4,,4))</f>
        <v>0.639706499169435</v>
      </c>
      <c r="K13">
        <f ca="1">AVERAGE(OFFSET(日前负荷率!$B13,,(COLUMN(AC18)-20)*4,,4))</f>
        <v>0.614441445182724</v>
      </c>
      <c r="L13">
        <f ca="1">AVERAGE(OFFSET(日前负荷率!$B13,,(COLUMN(AD18)-20)*4,,4))</f>
        <v>0.613584094684385</v>
      </c>
      <c r="M13">
        <f ca="1">AVERAGE(OFFSET(日前负荷率!$B13,,(COLUMN(AE18)-20)*4,,4))</f>
        <v>0.614130087209302</v>
      </c>
      <c r="N13">
        <f ca="1">AVERAGE(OFFSET(日前负荷率!$B13,,(COLUMN(AF18)-20)*4,,4))</f>
        <v>0.639948770776915</v>
      </c>
      <c r="O13">
        <f ca="1">AVERAGE(OFFSET(日前负荷率!$B13,,(COLUMN(AG18)-20)*4,,4))</f>
        <v>0.65663566055142</v>
      </c>
      <c r="P13">
        <f ca="1">AVERAGE(OFFSET(日前负荷率!$B13,,(COLUMN(AH18)-20)*4,,4))</f>
        <v>0.673390599408898</v>
      </c>
      <c r="Q13">
        <f ca="1">AVERAGE(OFFSET(日前负荷率!$B13,,(COLUMN(AI18)-20)*4,,4))</f>
        <v>0.686288035666359</v>
      </c>
      <c r="R13">
        <f ca="1">AVERAGE(OFFSET(日前负荷率!$B13,,(COLUMN(AJ18)-20)*4,,4))</f>
        <v>0.721056459151243</v>
      </c>
      <c r="S13">
        <f ca="1">AVERAGE(OFFSET(日前负荷率!$B13,,(COLUMN(AK18)-20)*4,,4))</f>
        <v>0.726597868760516</v>
      </c>
      <c r="T13">
        <f ca="1">AVERAGE(OFFSET(日前负荷率!$B13,,(COLUMN(AL18)-20)*4,,4))</f>
        <v>0.73056664416521</v>
      </c>
      <c r="U13">
        <f ca="1">AVERAGE(OFFSET(日前负荷率!$B13,,(COLUMN(AM18)-20)*4,,4))</f>
        <v>0.733628721827624</v>
      </c>
      <c r="V13">
        <f ca="1">AVERAGE(OFFSET(日前负荷率!$B13,,(COLUMN(AN18)-20)*4,,4))</f>
        <v>0.693645852662832</v>
      </c>
      <c r="W13">
        <f ca="1">AVERAGE(OFFSET(日前负荷率!$B13,,(COLUMN(AO18)-20)*4,,4))</f>
        <v>0.639944887734273</v>
      </c>
      <c r="X13">
        <f ca="1">AVERAGE(OFFSET(日前负荷率!$B13,,(COLUMN(AP18)-20)*4,,4))</f>
        <v>0.638070606791613</v>
      </c>
      <c r="Y13">
        <f ca="1">AVERAGE(OFFSET(日前负荷率!$B13,,(COLUMN(AQ18)-20)*4,,4))</f>
        <v>0.615879569493412</v>
      </c>
    </row>
    <row r="14" spans="1:25">
      <c r="A14" s="8">
        <v>46247</v>
      </c>
      <c r="B14">
        <f ca="1">AVERAGE(OFFSET(日前负荷率!$B14,,(COLUMN(T19)-20)*4,,4))</f>
        <v>0.573101224717016</v>
      </c>
      <c r="C14">
        <f ca="1">AVERAGE(OFFSET(日前负荷率!$B14,,(COLUMN(U19)-20)*4,,4))</f>
        <v>0.589451104100946</v>
      </c>
      <c r="D14">
        <f ca="1">AVERAGE(OFFSET(日前负荷率!$B14,,(COLUMN(V19)-20)*4,,4))</f>
        <v>0.57489209500835</v>
      </c>
      <c r="E14">
        <f ca="1">AVERAGE(OFFSET(日前负荷率!$B14,,(COLUMN(W19)-20)*4,,4))</f>
        <v>0.560045555761737</v>
      </c>
      <c r="F14">
        <f ca="1">AVERAGE(OFFSET(日前负荷率!$B14,,(COLUMN(X19)-20)*4,,4))</f>
        <v>0.571028483948784</v>
      </c>
      <c r="G14">
        <f ca="1">AVERAGE(OFFSET(日前负荷率!$B14,,(COLUMN(Y19)-20)*4,,4))</f>
        <v>0.601415475969568</v>
      </c>
      <c r="H14">
        <f ca="1">AVERAGE(OFFSET(日前负荷率!$B14,,(COLUMN(Z19)-20)*4,,4))</f>
        <v>0.627813601781407</v>
      </c>
      <c r="I14">
        <f ca="1">AVERAGE(OFFSET(日前负荷率!$B14,,(COLUMN(AA19)-20)*4,,4))</f>
        <v>0.598317776953053</v>
      </c>
      <c r="J14">
        <f ca="1">AVERAGE(OFFSET(日前负荷率!$B14,,(COLUMN(AB19)-20)*4,,4))</f>
        <v>0.603327797365003</v>
      </c>
      <c r="K14">
        <f ca="1">AVERAGE(OFFSET(日前负荷率!$B14,,(COLUMN(AC19)-20)*4,,4))</f>
        <v>0.580188161068844</v>
      </c>
      <c r="L14">
        <f ca="1">AVERAGE(OFFSET(日前负荷率!$B14,,(COLUMN(AD19)-20)*4,,4))</f>
        <v>0.590138337353869</v>
      </c>
      <c r="M14">
        <f ca="1">AVERAGE(OFFSET(日前负荷率!$B14,,(COLUMN(AE19)-20)*4,,4))</f>
        <v>0.569359621451104</v>
      </c>
      <c r="N14">
        <f ca="1">AVERAGE(OFFSET(日前负荷率!$B14,,(COLUMN(AF19)-20)*4,,4))</f>
        <v>0.541383095193913</v>
      </c>
      <c r="O14">
        <f ca="1">AVERAGE(OFFSET(日前负荷率!$B14,,(COLUMN(AG19)-20)*4,,4))</f>
        <v>0.538122193356838</v>
      </c>
      <c r="P14">
        <f ca="1">AVERAGE(OFFSET(日前负荷率!$B14,,(COLUMN(AH19)-20)*4,,4))</f>
        <v>0.511167934681759</v>
      </c>
      <c r="Q14">
        <f ca="1">AVERAGE(OFFSET(日前负荷率!$B14,,(COLUMN(AI19)-20)*4,,4))</f>
        <v>0.518603637038412</v>
      </c>
      <c r="R14">
        <f ca="1">AVERAGE(OFFSET(日前负荷率!$B14,,(COLUMN(AJ19)-20)*4,,4))</f>
        <v>0.533767210985341</v>
      </c>
      <c r="S14">
        <f ca="1">AVERAGE(OFFSET(日前负荷率!$B14,,(COLUMN(AK19)-20)*4,,4))</f>
        <v>0.521478845796994</v>
      </c>
      <c r="T14">
        <f ca="1">AVERAGE(OFFSET(日前负荷率!$B14,,(COLUMN(AL19)-20)*4,,4))</f>
        <v>0.539856002969011</v>
      </c>
      <c r="U14">
        <f ca="1">AVERAGE(OFFSET(日前负荷率!$B14,,(COLUMN(AM19)-20)*4,,4))</f>
        <v>0.555970588235294</v>
      </c>
      <c r="V14">
        <f ca="1">AVERAGE(OFFSET(日前负荷率!$B14,,(COLUMN(AN19)-20)*4,,4))</f>
        <v>0.540565596585637</v>
      </c>
      <c r="W14">
        <f ca="1">AVERAGE(OFFSET(日前负荷率!$B14,,(COLUMN(AO19)-20)*4,,4))</f>
        <v>0.517786203173042</v>
      </c>
      <c r="X14">
        <f ca="1">AVERAGE(OFFSET(日前负荷率!$B14,,(COLUMN(AP19)-20)*4,,4))</f>
        <v>0.559731736387385</v>
      </c>
      <c r="Y14">
        <f ca="1">AVERAGE(OFFSET(日前负荷率!$B14,,(COLUMN(AQ19)-20)*4,,4))</f>
        <v>0.542742687764943</v>
      </c>
    </row>
    <row r="15" spans="1:25">
      <c r="A15" s="8">
        <v>46248</v>
      </c>
      <c r="B15">
        <f ca="1">AVERAGE(OFFSET(日前负荷率!$B15,,(COLUMN(T20)-20)*4,,4))</f>
        <v>0.492678346619124</v>
      </c>
      <c r="C15">
        <f ca="1">AVERAGE(OFFSET(日前负荷率!$B15,,(COLUMN(U20)-20)*4,,4))</f>
        <v>0.480524829497016</v>
      </c>
      <c r="D15">
        <f ca="1">AVERAGE(OFFSET(日前负荷率!$B15,,(COLUMN(V20)-20)*4,,4))</f>
        <v>0.467321717817562</v>
      </c>
      <c r="E15">
        <f ca="1">AVERAGE(OFFSET(日前负荷率!$B15,,(COLUMN(W20)-20)*4,,4))</f>
        <v>0.49222399829497</v>
      </c>
      <c r="F15">
        <f ca="1">AVERAGE(OFFSET(日前负荷率!$B15,,(COLUMN(X20)-20)*4,,4))</f>
        <v>0.503817561807332</v>
      </c>
      <c r="G15">
        <f ca="1">AVERAGE(OFFSET(日前负荷率!$B15,,(COLUMN(Y20)-20)*4,,4))</f>
        <v>0.51432800511509</v>
      </c>
      <c r="H15">
        <f ca="1">AVERAGE(OFFSET(日前负荷率!$B15,,(COLUMN(Z20)-20)*4,,4))</f>
        <v>0.521298380221654</v>
      </c>
      <c r="I15">
        <f ca="1">AVERAGE(OFFSET(日前负荷率!$B15,,(COLUMN(AA20)-20)*4,,4))</f>
        <v>0.498122016197783</v>
      </c>
      <c r="J15">
        <f ca="1">AVERAGE(OFFSET(日前负荷率!$B15,,(COLUMN(AB20)-20)*4,,4))</f>
        <v>0.454183930093777</v>
      </c>
      <c r="K15">
        <f ca="1">AVERAGE(OFFSET(日前负荷率!$B15,,(COLUMN(AC20)-20)*4,,4))</f>
        <v>0.426712489343563</v>
      </c>
      <c r="L15">
        <f ca="1">AVERAGE(OFFSET(日前负荷率!$B15,,(COLUMN(AD20)-20)*4,,4))</f>
        <v>0.400669650468883</v>
      </c>
      <c r="M15">
        <f ca="1">AVERAGE(OFFSET(日前负荷率!$B15,,(COLUMN(AE20)-20)*4,,4))</f>
        <v>0.377889173060529</v>
      </c>
      <c r="N15">
        <f ca="1">AVERAGE(OFFSET(日前负荷率!$B15,,(COLUMN(AF20)-20)*4,,4))</f>
        <v>0.374975277067349</v>
      </c>
      <c r="O15">
        <f ca="1">AVERAGE(OFFSET(日前负荷率!$B15,,(COLUMN(AG20)-20)*4,,4))</f>
        <v>0.408636508951407</v>
      </c>
      <c r="P15">
        <f ca="1">AVERAGE(OFFSET(日前负荷率!$B15,,(COLUMN(AH20)-20)*4,,4))</f>
        <v>0.44132779198636</v>
      </c>
      <c r="Q15">
        <f ca="1">AVERAGE(OFFSET(日前负荷率!$B15,,(COLUMN(AI20)-20)*4,,4))</f>
        <v>0.474647911338448</v>
      </c>
      <c r="R15">
        <f ca="1">AVERAGE(OFFSET(日前负荷率!$B15,,(COLUMN(AJ20)-20)*4,,4))</f>
        <v>0.531918691389599</v>
      </c>
      <c r="S15">
        <f ca="1">AVERAGE(OFFSET(日前负荷率!$B15,,(COLUMN(AK20)-20)*4,,4))</f>
        <v>0.547018009377664</v>
      </c>
      <c r="T15">
        <f ca="1">AVERAGE(OFFSET(日前负荷率!$B15,,(COLUMN(AL20)-20)*4,,4))</f>
        <v>0.559032715260017</v>
      </c>
      <c r="U15">
        <f ca="1">AVERAGE(OFFSET(日前负荷率!$B15,,(COLUMN(AM20)-20)*4,,4))</f>
        <v>0.588213235294118</v>
      </c>
      <c r="V15">
        <f ca="1">AVERAGE(OFFSET(日前负荷率!$B15,,(COLUMN(AN20)-20)*4,,4))</f>
        <v>0.590401747655584</v>
      </c>
      <c r="W15">
        <f ca="1">AVERAGE(OFFSET(日前负荷率!$B15,,(COLUMN(AO20)-20)*4,,4))</f>
        <v>0.558654305200341</v>
      </c>
      <c r="X15">
        <f ca="1">AVERAGE(OFFSET(日前负荷率!$B15,,(COLUMN(AP20)-20)*4,,4))</f>
        <v>0.5631726342711</v>
      </c>
      <c r="Y15">
        <f ca="1">AVERAGE(OFFSET(日前负荷率!$B15,,(COLUMN(AQ20)-20)*4,,4))</f>
        <v>0.563905309544282</v>
      </c>
    </row>
    <row r="16" spans="1:25">
      <c r="A16" s="8">
        <v>46249</v>
      </c>
      <c r="B16">
        <f ca="1">AVERAGE(OFFSET(日前负荷率!$B16,,(COLUMN(T21)-20)*4,,4))</f>
        <v>0.541515584694755</v>
      </c>
      <c r="C16">
        <f ca="1">AVERAGE(OFFSET(日前负荷率!$B16,,(COLUMN(U21)-20)*4,,4))</f>
        <v>0.522522355975924</v>
      </c>
      <c r="D16">
        <f ca="1">AVERAGE(OFFSET(日前负荷率!$B16,,(COLUMN(V21)-20)*4,,4))</f>
        <v>0.511099957007739</v>
      </c>
      <c r="E16">
        <f ca="1">AVERAGE(OFFSET(日前负荷率!$B16,,(COLUMN(W21)-20)*4,,4))</f>
        <v>0.508547398968186</v>
      </c>
      <c r="F16">
        <f ca="1">AVERAGE(OFFSET(日前负荷率!$B16,,(COLUMN(X21)-20)*4,,4))</f>
        <v>0.515889402407567</v>
      </c>
      <c r="G16">
        <f ca="1">AVERAGE(OFFSET(日前负荷率!$B16,,(COLUMN(Y21)-20)*4,,4))</f>
        <v>0.548568142734308</v>
      </c>
      <c r="H16">
        <f ca="1">AVERAGE(OFFSET(日前负荷率!$B16,,(COLUMN(Z21)-20)*4,,4))</f>
        <v>0.564649720550301</v>
      </c>
      <c r="I16">
        <f ca="1">AVERAGE(OFFSET(日前负荷率!$B16,,(COLUMN(AA21)-20)*4,,4))</f>
        <v>0.533630159071367</v>
      </c>
      <c r="J16">
        <f ca="1">AVERAGE(OFFSET(日前负荷率!$B16,,(COLUMN(AB21)-20)*4,,4))</f>
        <v>0.577363607050731</v>
      </c>
      <c r="K16">
        <f ca="1">AVERAGE(OFFSET(日前负荷率!$B16,,(COLUMN(AC21)-20)*4,,4))</f>
        <v>0.580365004299226</v>
      </c>
      <c r="L16">
        <f ca="1">AVERAGE(OFFSET(日前负荷率!$B16,,(COLUMN(AD21)-20)*4,,4))</f>
        <v>0.579486457437661</v>
      </c>
      <c r="M16">
        <f ca="1">AVERAGE(OFFSET(日前负荷率!$B16,,(COLUMN(AE21)-20)*4,,4))</f>
        <v>0.569760640584695</v>
      </c>
      <c r="N16">
        <f ca="1">AVERAGE(OFFSET(日前负荷率!$B16,,(COLUMN(AF21)-20)*4,,4))</f>
        <v>0.572819217540843</v>
      </c>
      <c r="O16">
        <f ca="1">AVERAGE(OFFSET(日前负荷率!$B16,,(COLUMN(AG21)-20)*4,,4))</f>
        <v>0.60053826311264</v>
      </c>
      <c r="P16">
        <f ca="1">AVERAGE(OFFSET(日前负荷率!$B16,,(COLUMN(AH21)-20)*4,,4))</f>
        <v>0.576920034393809</v>
      </c>
      <c r="Q16">
        <f ca="1">AVERAGE(OFFSET(日前负荷率!$B16,,(COLUMN(AI21)-20)*4,,4))</f>
        <v>0.623811801375752</v>
      </c>
      <c r="R16">
        <f ca="1">AVERAGE(OFFSET(日前负荷率!$B16,,(COLUMN(AJ21)-20)*4,,4))</f>
        <v>0.6880864144454</v>
      </c>
      <c r="S16">
        <f ca="1">AVERAGE(OFFSET(日前负荷率!$B16,,(COLUMN(AK21)-20)*4,,4))</f>
        <v>0.695518271711092</v>
      </c>
      <c r="T16">
        <f ca="1">AVERAGE(OFFSET(日前负荷率!$B16,,(COLUMN(AL21)-20)*4,,4))</f>
        <v>0.717111027515047</v>
      </c>
      <c r="U16">
        <f ca="1">AVERAGE(OFFSET(日前负荷率!$B16,,(COLUMN(AM21)-20)*4,,4))</f>
        <v>0.701357501594228</v>
      </c>
      <c r="V16">
        <f ca="1">AVERAGE(OFFSET(日前负荷率!$B16,,(COLUMN(AN21)-20)*4,,4))</f>
        <v>0.712636382888607</v>
      </c>
      <c r="W16">
        <f ca="1">AVERAGE(OFFSET(日前负荷率!$B16,,(COLUMN(AO21)-20)*4,,4))</f>
        <v>0.665785048708174</v>
      </c>
      <c r="X16">
        <f ca="1">AVERAGE(OFFSET(日前负荷率!$B16,,(COLUMN(AP21)-20)*4,,4))</f>
        <v>0.626763447691656</v>
      </c>
      <c r="Y16">
        <f ca="1">AVERAGE(OFFSET(日前负荷率!$B16,,(COLUMN(AQ21)-20)*4,,4))</f>
        <v>0.64496304531978</v>
      </c>
    </row>
    <row r="17" spans="1:25">
      <c r="A17" s="8">
        <v>46250</v>
      </c>
      <c r="B17">
        <f ca="1">AVERAGE(OFFSET(日前负荷率!$B17,,(COLUMN(T22)-20)*4,,4))</f>
        <v>0.584034503879134</v>
      </c>
      <c r="C17">
        <f ca="1">AVERAGE(OFFSET(日前负荷率!$B17,,(COLUMN(U22)-20)*4,,4))</f>
        <v>0.586559207839935</v>
      </c>
      <c r="D17">
        <f ca="1">AVERAGE(OFFSET(日前负荷率!$B17,,(COLUMN(V22)-20)*4,,4))</f>
        <v>0.571892813393222</v>
      </c>
      <c r="E17">
        <f ca="1">AVERAGE(OFFSET(日前负荷率!$B17,,(COLUMN(W22)-20)*4,,4))</f>
        <v>0.566120661494488</v>
      </c>
      <c r="F17">
        <f ca="1">AVERAGE(OFFSET(日前负荷率!$B17,,(COLUMN(X22)-20)*4,,4))</f>
        <v>0.561853103307472</v>
      </c>
      <c r="G17">
        <f ca="1">AVERAGE(OFFSET(日前负荷率!$B17,,(COLUMN(Y22)-20)*4,,4))</f>
        <v>0.532587893017558</v>
      </c>
      <c r="H17">
        <f ca="1">AVERAGE(OFFSET(日前负荷率!$B17,,(COLUMN(Z22)-20)*4,,4))</f>
        <v>0.53883064516129</v>
      </c>
      <c r="I17">
        <f ca="1">AVERAGE(OFFSET(日前负荷率!$B17,,(COLUMN(AA22)-20)*4,,4))</f>
        <v>0.489625153123724</v>
      </c>
      <c r="J17">
        <f ca="1">AVERAGE(OFFSET(日前负荷率!$B17,,(COLUMN(AB22)-20)*4,,4))</f>
        <v>0.47443364638628</v>
      </c>
      <c r="K17">
        <f ca="1">AVERAGE(OFFSET(日前负荷率!$B17,,(COLUMN(AC22)-20)*4,,4))</f>
        <v>0.470813086974275</v>
      </c>
      <c r="L17">
        <f ca="1">AVERAGE(OFFSET(日前负荷率!$B17,,(COLUMN(AD22)-20)*4,,4))</f>
        <v>0.517586463862801</v>
      </c>
      <c r="M17">
        <f ca="1">AVERAGE(OFFSET(日前负荷率!$B17,,(COLUMN(AE22)-20)*4,,4))</f>
        <v>0.543208962841976</v>
      </c>
      <c r="N17">
        <f ca="1">AVERAGE(OFFSET(日前负荷率!$B17,,(COLUMN(AF22)-20)*4,,4))</f>
        <v>0.556951714985708</v>
      </c>
      <c r="O17">
        <f ca="1">AVERAGE(OFFSET(日前负荷率!$B17,,(COLUMN(AG22)-20)*4,,4))</f>
        <v>0.583413638219682</v>
      </c>
      <c r="P17">
        <f ca="1">AVERAGE(OFFSET(日前负荷率!$B17,,(COLUMN(AH22)-20)*4,,4))</f>
        <v>0.597584932625561</v>
      </c>
      <c r="Q17">
        <f ca="1">AVERAGE(OFFSET(日前负荷率!$B17,,(COLUMN(AI22)-20)*4,,4))</f>
        <v>0.650262147815435</v>
      </c>
      <c r="R17">
        <f ca="1">AVERAGE(OFFSET(日前负荷率!$B17,,(COLUMN(AJ22)-20)*4,,4))</f>
        <v>0.697687219273173</v>
      </c>
      <c r="S17">
        <f ca="1">AVERAGE(OFFSET(日前负荷率!$B17,,(COLUMN(AK22)-20)*4,,4))</f>
        <v>0.687244181298489</v>
      </c>
      <c r="T17">
        <f ca="1">AVERAGE(OFFSET(日前负荷率!$B17,,(COLUMN(AL22)-20)*4,,4))</f>
        <v>0.701265516537362</v>
      </c>
      <c r="U17">
        <f ca="1">AVERAGE(OFFSET(日前负荷率!$B17,,(COLUMN(AM22)-20)*4,,4))</f>
        <v>0.720574111882401</v>
      </c>
      <c r="V17">
        <f ca="1">AVERAGE(OFFSET(日前负荷率!$B17,,(COLUMN(AN22)-20)*4,,4))</f>
        <v>0.694401388321764</v>
      </c>
      <c r="W17">
        <f ca="1">AVERAGE(OFFSET(日前负荷率!$B17,,(COLUMN(AO22)-20)*4,,4))</f>
        <v>0.641736525112291</v>
      </c>
      <c r="X17">
        <f ca="1">AVERAGE(OFFSET(日前负荷率!$B17,,(COLUMN(AP22)-20)*4,,4))</f>
        <v>0.611656696610862</v>
      </c>
      <c r="Y17">
        <f ca="1">AVERAGE(OFFSET(日前负荷率!$B17,,(COLUMN(AQ22)-20)*4,,4))</f>
        <v>0.617745916700694</v>
      </c>
    </row>
    <row r="18" spans="1:25">
      <c r="A18" s="8">
        <v>46251</v>
      </c>
      <c r="B18">
        <f ca="1">AVERAGE(OFFSET(日前负荷率!$B18,,(COLUMN(T23)-20)*4,,4))</f>
        <v>0.553928542262148</v>
      </c>
      <c r="C18">
        <f ca="1">AVERAGE(OFFSET(日前负荷率!$B18,,(COLUMN(U23)-20)*4,,4))</f>
        <v>0.548619028174765</v>
      </c>
      <c r="D18">
        <f ca="1">AVERAGE(OFFSET(日前负荷率!$B18,,(COLUMN(V23)-20)*4,,4))</f>
        <v>0.526266026949775</v>
      </c>
      <c r="E18">
        <f ca="1">AVERAGE(OFFSET(日前负荷率!$B18,,(COLUMN(W23)-20)*4,,4))</f>
        <v>0.51451582278481</v>
      </c>
      <c r="F18">
        <f ca="1">AVERAGE(OFFSET(日前负荷率!$B18,,(COLUMN(X23)-20)*4,,4))</f>
        <v>0.50973917925684</v>
      </c>
      <c r="G18">
        <f ca="1">AVERAGE(OFFSET(日前负荷率!$B18,,(COLUMN(Y23)-20)*4,,4))</f>
        <v>0.495474989791752</v>
      </c>
      <c r="H18">
        <f ca="1">AVERAGE(OFFSET(日前负荷率!$B18,,(COLUMN(Z23)-20)*4,,4))</f>
        <v>0.52711035116374</v>
      </c>
      <c r="I18">
        <f ca="1">AVERAGE(OFFSET(日前负荷率!$B18,,(COLUMN(AA23)-20)*4,,4))</f>
        <v>0.520198958758677</v>
      </c>
      <c r="J18">
        <f ca="1">AVERAGE(OFFSET(日前负荷率!$B18,,(COLUMN(AB23)-20)*4,,4))</f>
        <v>0.600296855859535</v>
      </c>
      <c r="K18">
        <f ca="1">AVERAGE(OFFSET(日前负荷率!$B18,,(COLUMN(AC23)-20)*4,,4))</f>
        <v>0.648624846876276</v>
      </c>
      <c r="L18">
        <f ca="1">AVERAGE(OFFSET(日前负荷率!$B18,,(COLUMN(AD23)-20)*4,,4))</f>
        <v>0.668994793793385</v>
      </c>
      <c r="M18">
        <f ca="1">AVERAGE(OFFSET(日前负荷率!$B18,,(COLUMN(AE23)-20)*4,,4))</f>
        <v>0.651106574111882</v>
      </c>
      <c r="N18">
        <f ca="1">AVERAGE(OFFSET(日前负荷率!$B18,,(COLUMN(AF23)-20)*4,,4))</f>
        <v>0.645637403021642</v>
      </c>
      <c r="O18">
        <f ca="1">AVERAGE(OFFSET(日前负荷率!$B18,,(COLUMN(AG23)-20)*4,,4))</f>
        <v>0.645627092690894</v>
      </c>
      <c r="P18">
        <f ca="1">AVERAGE(OFFSET(日前负荷率!$B18,,(COLUMN(AH23)-20)*4,,4))</f>
        <v>0.632687933850551</v>
      </c>
      <c r="Q18">
        <f ca="1">AVERAGE(OFFSET(日前负荷率!$B18,,(COLUMN(AI23)-20)*4,,4))</f>
        <v>0.643715394038383</v>
      </c>
      <c r="R18">
        <f ca="1">AVERAGE(OFFSET(日前负荷率!$B18,,(COLUMN(AJ23)-20)*4,,4))</f>
        <v>0.678090036749694</v>
      </c>
      <c r="S18">
        <f ca="1">AVERAGE(OFFSET(日前负荷率!$B18,,(COLUMN(AK23)-20)*4,,4))</f>
        <v>0.680935624697084</v>
      </c>
      <c r="T18">
        <f ca="1">AVERAGE(OFFSET(日前负荷率!$B18,,(COLUMN(AL23)-20)*4,,4))</f>
        <v>0.71602796452816</v>
      </c>
      <c r="U18">
        <f ca="1">AVERAGE(OFFSET(日前负荷率!$B18,,(COLUMN(AM23)-20)*4,,4))</f>
        <v>0.755557432163819</v>
      </c>
      <c r="V18">
        <f ca="1">AVERAGE(OFFSET(日前负荷率!$B18,,(COLUMN(AN23)-20)*4,,4))</f>
        <v>0.714536225108946</v>
      </c>
      <c r="W18">
        <f ca="1">AVERAGE(OFFSET(日前负荷率!$B18,,(COLUMN(AO23)-20)*4,,4))</f>
        <v>0.648284554145659</v>
      </c>
      <c r="X18">
        <f ca="1">AVERAGE(OFFSET(日前负荷率!$B18,,(COLUMN(AP23)-20)*4,,4))</f>
        <v>0.609902100811894</v>
      </c>
      <c r="Y18">
        <f ca="1">AVERAGE(OFFSET(日前负荷率!$B18,,(COLUMN(AQ23)-20)*4,,4))</f>
        <v>0.586606527565084</v>
      </c>
    </row>
    <row r="19" spans="1:25">
      <c r="A19" s="8">
        <v>46252</v>
      </c>
      <c r="B19">
        <f ca="1">AVERAGE(OFFSET(日前负荷率!$B19,,(COLUMN(T24)-20)*4,,4))</f>
        <v>0.582055704441041</v>
      </c>
      <c r="C19">
        <f ca="1">AVERAGE(OFFSET(日前负荷率!$B19,,(COLUMN(U24)-20)*4,,4))</f>
        <v>0.607583556661562</v>
      </c>
      <c r="D19">
        <f ca="1">AVERAGE(OFFSET(日前负荷率!$B19,,(COLUMN(V24)-20)*4,,4))</f>
        <v>0.589177545941807</v>
      </c>
      <c r="E19">
        <f ca="1">AVERAGE(OFFSET(日前负荷率!$B19,,(COLUMN(W24)-20)*4,,4))</f>
        <v>0.581066615620214</v>
      </c>
      <c r="F19">
        <f ca="1">AVERAGE(OFFSET(日前负荷率!$B19,,(COLUMN(X24)-20)*4,,4))</f>
        <v>0.589636868300153</v>
      </c>
      <c r="G19">
        <f ca="1">AVERAGE(OFFSET(日前负荷率!$B19,,(COLUMN(Y24)-20)*4,,4))</f>
        <v>0.628762346860643</v>
      </c>
      <c r="H19">
        <f ca="1">AVERAGE(OFFSET(日前负荷率!$B19,,(COLUMN(Z24)-20)*4,,4))</f>
        <v>0.674628637059724</v>
      </c>
      <c r="I19">
        <f ca="1">AVERAGE(OFFSET(日前负荷率!$B19,,(COLUMN(AA24)-20)*4,,4))</f>
        <v>0.664911753445635</v>
      </c>
      <c r="J19">
        <f ca="1">AVERAGE(OFFSET(日前负荷率!$B19,,(COLUMN(AB24)-20)*4,,4))</f>
        <v>0.614726359111792</v>
      </c>
      <c r="K19">
        <f ca="1">AVERAGE(OFFSET(日前负荷率!$B19,,(COLUMN(AC24)-20)*4,,4))</f>
        <v>0.560508805513017</v>
      </c>
      <c r="L19">
        <f ca="1">AVERAGE(OFFSET(日前负荷率!$B19,,(COLUMN(AD24)-20)*4,,4))</f>
        <v>0.531359973200613</v>
      </c>
      <c r="M19">
        <f ca="1">AVERAGE(OFFSET(日前负荷率!$B19,,(COLUMN(AE24)-20)*4,,4))</f>
        <v>0.498785796324655</v>
      </c>
      <c r="N19">
        <f ca="1">AVERAGE(OFFSET(日前负荷率!$B19,,(COLUMN(AF24)-20)*4,,4))</f>
        <v>0.505622320061256</v>
      </c>
      <c r="O19">
        <f ca="1">AVERAGE(OFFSET(日前负荷率!$B19,,(COLUMN(AG24)-20)*4,,4))</f>
        <v>0.531840160796325</v>
      </c>
      <c r="P19">
        <f ca="1">AVERAGE(OFFSET(日前负荷率!$B19,,(COLUMN(AH24)-20)*4,,4))</f>
        <v>0.523602124808576</v>
      </c>
      <c r="Q19">
        <f ca="1">AVERAGE(OFFSET(日前负荷率!$B19,,(COLUMN(AI24)-20)*4,,4))</f>
        <v>0.558694486983155</v>
      </c>
      <c r="R19">
        <f ca="1">AVERAGE(OFFSET(日前负荷率!$B19,,(COLUMN(AJ24)-20)*4,,4))</f>
        <v>0.614700708269525</v>
      </c>
      <c r="S19">
        <f ca="1">AVERAGE(OFFSET(日前负荷率!$B19,,(COLUMN(AK24)-20)*4,,4))</f>
        <v>0.642422281776417</v>
      </c>
      <c r="T19">
        <f ca="1">AVERAGE(OFFSET(日前负荷率!$B19,,(COLUMN(AL24)-20)*4,,4))</f>
        <v>0.682490428790199</v>
      </c>
      <c r="U19">
        <f ca="1">AVERAGE(OFFSET(日前负荷率!$B19,,(COLUMN(AM24)-20)*4,,4))</f>
        <v>0.721472626339969</v>
      </c>
      <c r="V19">
        <f ca="1">AVERAGE(OFFSET(日前负荷率!$B19,,(COLUMN(AN24)-20)*4,,4))</f>
        <v>0.712525650842266</v>
      </c>
      <c r="W19">
        <f ca="1">AVERAGE(OFFSET(日前负荷率!$B19,,(COLUMN(AO24)-20)*4,,4))</f>
        <v>0.715532159264931</v>
      </c>
      <c r="X19">
        <f ca="1">AVERAGE(OFFSET(日前负荷率!$B19,,(COLUMN(AP24)-20)*4,,4))</f>
        <v>0.672717075038285</v>
      </c>
      <c r="Y19">
        <f ca="1">AVERAGE(OFFSET(日前负荷率!$B19,,(COLUMN(AQ24)-20)*4,,4))</f>
        <v>0.63567544367284</v>
      </c>
    </row>
    <row r="20" spans="1:25">
      <c r="A20" s="8">
        <v>46253</v>
      </c>
      <c r="B20">
        <f ca="1">AVERAGE(OFFSET(日前负荷率!$B20,,(COLUMN(T25)-20)*4,,4))</f>
        <v>0.585052250350057</v>
      </c>
      <c r="C20">
        <f ca="1">AVERAGE(OFFSET(日前负荷率!$B20,,(COLUMN(U25)-20)*4,,4))</f>
        <v>0.588708067092652</v>
      </c>
      <c r="D20">
        <f ca="1">AVERAGE(OFFSET(日前负荷率!$B20,,(COLUMN(V25)-20)*4,,4))</f>
        <v>0.599064596645367</v>
      </c>
      <c r="E20">
        <f ca="1">AVERAGE(OFFSET(日前负荷率!$B20,,(COLUMN(W25)-20)*4,,4))</f>
        <v>0.595618710063898</v>
      </c>
      <c r="F20">
        <f ca="1">AVERAGE(OFFSET(日前负荷率!$B20,,(COLUMN(X25)-20)*4,,4))</f>
        <v>0.602761481629393</v>
      </c>
      <c r="G20">
        <f ca="1">AVERAGE(OFFSET(日前负荷率!$B20,,(COLUMN(Y25)-20)*4,,4))</f>
        <v>0.61978125</v>
      </c>
      <c r="H20">
        <f ca="1">AVERAGE(OFFSET(日前负荷率!$B20,,(COLUMN(Z25)-20)*4,,4))</f>
        <v>0.618970746805112</v>
      </c>
      <c r="I20">
        <f ca="1">AVERAGE(OFFSET(日前负荷率!$B20,,(COLUMN(AA25)-20)*4,,4))</f>
        <v>0.582060303514377</v>
      </c>
      <c r="J20">
        <f ca="1">AVERAGE(OFFSET(日前负荷率!$B20,,(COLUMN(AB25)-20)*4,,4))</f>
        <v>0.570132488019169</v>
      </c>
      <c r="K20">
        <f ca="1">AVERAGE(OFFSET(日前负荷率!$B20,,(COLUMN(AC25)-20)*4,,4))</f>
        <v>0.52488857827476</v>
      </c>
      <c r="L20">
        <f ca="1">AVERAGE(OFFSET(日前负荷率!$B20,,(COLUMN(AD25)-20)*4,,4))</f>
        <v>0.553090155750799</v>
      </c>
      <c r="M20">
        <f ca="1">AVERAGE(OFFSET(日前负荷率!$B20,,(COLUMN(AE25)-20)*4,,4))</f>
        <v>0.565764776357828</v>
      </c>
      <c r="N20">
        <f ca="1">AVERAGE(OFFSET(日前负荷率!$B20,,(COLUMN(AF25)-20)*4,,4))</f>
        <v>0.583096146166134</v>
      </c>
      <c r="O20">
        <f ca="1">AVERAGE(OFFSET(日前负荷率!$B20,,(COLUMN(AG25)-20)*4,,4))</f>
        <v>0.625726238019169</v>
      </c>
      <c r="P20">
        <f ca="1">AVERAGE(OFFSET(日前负荷率!$B20,,(COLUMN(AH25)-20)*4,,4))</f>
        <v>0.641178414536741</v>
      </c>
      <c r="Q20">
        <f ca="1">AVERAGE(OFFSET(日前负荷率!$B20,,(COLUMN(AI25)-20)*4,,4))</f>
        <v>0.672035343450479</v>
      </c>
      <c r="R20">
        <f ca="1">AVERAGE(OFFSET(日前负荷率!$B20,,(COLUMN(AJ25)-20)*4,,4))</f>
        <v>0.684458965654952</v>
      </c>
      <c r="S20">
        <f ca="1">AVERAGE(OFFSET(日前负荷率!$B20,,(COLUMN(AK25)-20)*4,,4))</f>
        <v>0.668647563897764</v>
      </c>
      <c r="T20">
        <f ca="1">AVERAGE(OFFSET(日前负荷率!$B20,,(COLUMN(AL25)-20)*4,,4))</f>
        <v>0.696078873801917</v>
      </c>
      <c r="U20">
        <f ca="1">AVERAGE(OFFSET(日前负荷率!$B20,,(COLUMN(AM25)-20)*4,,4))</f>
        <v>0.725633785942492</v>
      </c>
      <c r="V20">
        <f ca="1">AVERAGE(OFFSET(日前负荷率!$B20,,(COLUMN(AN25)-20)*4,,4))</f>
        <v>0.706525958466454</v>
      </c>
      <c r="W20">
        <f ca="1">AVERAGE(OFFSET(日前负荷率!$B20,,(COLUMN(AO25)-20)*4,,4))</f>
        <v>0.626272963258786</v>
      </c>
      <c r="X20">
        <f ca="1">AVERAGE(OFFSET(日前负荷率!$B20,,(COLUMN(AP25)-20)*4,,4))</f>
        <v>0.584949380990415</v>
      </c>
      <c r="Y20">
        <f ca="1">AVERAGE(OFFSET(日前负荷率!$B20,,(COLUMN(AQ25)-20)*4,,4))</f>
        <v>0.597813625200488</v>
      </c>
    </row>
    <row r="21" spans="1:25">
      <c r="A21" s="8">
        <v>46254</v>
      </c>
      <c r="B21">
        <f ca="1">AVERAGE(OFFSET(日前负荷率!$B21,,(COLUMN(T26)-20)*4,,4))</f>
        <v>0.566114793856103</v>
      </c>
      <c r="C21">
        <f ca="1">AVERAGE(OFFSET(日前负荷率!$B21,,(COLUMN(U26)-20)*4,,4))</f>
        <v>0.540719078415521</v>
      </c>
      <c r="D21">
        <f ca="1">AVERAGE(OFFSET(日前负荷率!$B21,,(COLUMN(V26)-20)*4,,4))</f>
        <v>0.530788601455133</v>
      </c>
      <c r="E21">
        <f ca="1">AVERAGE(OFFSET(日前负荷率!$B21,,(COLUMN(W26)-20)*4,,4))</f>
        <v>0.533636721907842</v>
      </c>
      <c r="F21">
        <f ca="1">AVERAGE(OFFSET(日前负荷率!$B21,,(COLUMN(X26)-20)*4,,4))</f>
        <v>0.551542340339531</v>
      </c>
      <c r="G21">
        <f ca="1">AVERAGE(OFFSET(日前负荷率!$B21,,(COLUMN(Y26)-20)*4,,4))</f>
        <v>0.544071224719053</v>
      </c>
      <c r="H21">
        <f ca="1">AVERAGE(OFFSET(日前负荷率!$B21,,(COLUMN(Z26)-20)*4,,4))</f>
        <v>0.569007271609996</v>
      </c>
      <c r="I21">
        <f ca="1">AVERAGE(OFFSET(日前负荷率!$B21,,(COLUMN(AA26)-20)*4,,4))</f>
        <v>0.558950839819746</v>
      </c>
      <c r="J21">
        <f ca="1">AVERAGE(OFFSET(日前负荷率!$B21,,(COLUMN(AB26)-20)*4,,4))</f>
        <v>0.599184555510037</v>
      </c>
      <c r="K21">
        <f ca="1">AVERAGE(OFFSET(日前负荷率!$B21,,(COLUMN(AC26)-20)*4,,4))</f>
        <v>0.588587873822204</v>
      </c>
      <c r="L21">
        <f ca="1">AVERAGE(OFFSET(日前负荷率!$B21,,(COLUMN(AD26)-20)*4,,4))</f>
        <v>0.546997875529642</v>
      </c>
      <c r="M21">
        <f ca="1">AVERAGE(OFFSET(日前负荷率!$B21,,(COLUMN(AE26)-20)*4,,4))</f>
        <v>0.507345895294357</v>
      </c>
      <c r="N21">
        <f ca="1">AVERAGE(OFFSET(日前负荷率!$B21,,(COLUMN(AF26)-20)*4,,4))</f>
        <v>0.507403340802608</v>
      </c>
      <c r="O21">
        <f ca="1">AVERAGE(OFFSET(日前负荷率!$B21,,(COLUMN(AG26)-20)*4,,4))</f>
        <v>0.533230698716643</v>
      </c>
      <c r="P21">
        <f ca="1">AVERAGE(OFFSET(日前负荷率!$B21,,(COLUMN(AH26)-20)*4,,4))</f>
        <v>0.575888219051073</v>
      </c>
      <c r="Q21">
        <f ca="1">AVERAGE(OFFSET(日前负荷率!$B21,,(COLUMN(AI26)-20)*4,,4))</f>
        <v>0.64668379145874</v>
      </c>
      <c r="R21">
        <f ca="1">AVERAGE(OFFSET(日前负荷率!$B21,,(COLUMN(AJ26)-20)*4,,4))</f>
        <v>0.682920310296192</v>
      </c>
      <c r="S21">
        <f ca="1">AVERAGE(OFFSET(日前负荷率!$B21,,(COLUMN(AK26)-20)*4,,4))</f>
        <v>0.67122216669998</v>
      </c>
      <c r="T21">
        <f ca="1">AVERAGE(OFFSET(日前负荷率!$B21,,(COLUMN(AL26)-20)*4,,4))</f>
        <v>0.667409478485029</v>
      </c>
      <c r="U21">
        <f ca="1">AVERAGE(OFFSET(日前负荷率!$B21,,(COLUMN(AM26)-20)*4,,4))</f>
        <v>0.702165278604005</v>
      </c>
      <c r="V21">
        <f ca="1">AVERAGE(OFFSET(日前负荷率!$B21,,(COLUMN(AN26)-20)*4,,4))</f>
        <v>0.700564941503074</v>
      </c>
      <c r="W21">
        <f ca="1">AVERAGE(OFFSET(日前负荷率!$B21,,(COLUMN(AO26)-20)*4,,4))</f>
        <v>0.665742216934365</v>
      </c>
      <c r="X21">
        <f ca="1">AVERAGE(OFFSET(日前负荷率!$B21,,(COLUMN(AP26)-20)*4,,4))</f>
        <v>0.642872000793179</v>
      </c>
      <c r="Y21">
        <f ca="1">AVERAGE(OFFSET(日前负荷率!$B21,,(COLUMN(AQ26)-20)*4,,4))</f>
        <v>0.552066726155066</v>
      </c>
    </row>
    <row r="22" spans="1:25">
      <c r="A22" s="8">
        <v>46255</v>
      </c>
      <c r="B22">
        <f ca="1">AVERAGE(OFFSET(日前负荷率!$B22,,(COLUMN(T27)-20)*4,,4))</f>
        <v>0.435231211580408</v>
      </c>
      <c r="C22">
        <f ca="1">AVERAGE(OFFSET(日前负荷率!$B22,,(COLUMN(U27)-20)*4,,4))</f>
        <v>0.459269482450922</v>
      </c>
      <c r="D22">
        <f ca="1">AVERAGE(OFFSET(日前负荷率!$B22,,(COLUMN(V27)-20)*4,,4))</f>
        <v>0.461774439817569</v>
      </c>
      <c r="E22">
        <f ca="1">AVERAGE(OFFSET(日前负荷率!$B22,,(COLUMN(W27)-20)*4,,4))</f>
        <v>0.429146837200079</v>
      </c>
      <c r="F22">
        <f ca="1">AVERAGE(OFFSET(日前负荷率!$B22,,(COLUMN(X27)-20)*4,,4))</f>
        <v>0.408252825698989</v>
      </c>
      <c r="G22">
        <f ca="1">AVERAGE(OFFSET(日前负荷率!$B22,,(COLUMN(Y27)-20)*4,,4))</f>
        <v>0.44403004164188</v>
      </c>
      <c r="H22">
        <f ca="1">AVERAGE(OFFSET(日前负荷率!$B22,,(COLUMN(Z27)-20)*4,,4))</f>
        <v>0.49055740630577</v>
      </c>
      <c r="I22">
        <f ca="1">AVERAGE(OFFSET(日前负荷率!$B22,,(COLUMN(AA27)-20)*4,,4))</f>
        <v>0.483343049771961</v>
      </c>
      <c r="J22">
        <f ca="1">AVERAGE(OFFSET(日前负荷率!$B22,,(COLUMN(AB27)-20)*4,,4))</f>
        <v>0.496219710489788</v>
      </c>
      <c r="K22">
        <f ca="1">AVERAGE(OFFSET(日前负荷率!$B22,,(COLUMN(AC27)-20)*4,,4))</f>
        <v>0.467485326194725</v>
      </c>
      <c r="L22">
        <f ca="1">AVERAGE(OFFSET(日前负荷率!$B22,,(COLUMN(AD27)-20)*4,,4))</f>
        <v>0.435469859210787</v>
      </c>
      <c r="M22">
        <f ca="1">AVERAGE(OFFSET(日前负荷率!$B22,,(COLUMN(AE27)-20)*4,,4))</f>
        <v>0.408943585167559</v>
      </c>
      <c r="N22">
        <f ca="1">AVERAGE(OFFSET(日前负荷率!$B22,,(COLUMN(AF27)-20)*4,,4))</f>
        <v>0.439901348403728</v>
      </c>
      <c r="O22">
        <f ca="1">AVERAGE(OFFSET(日前负荷率!$B22,,(COLUMN(AG27)-20)*4,,4))</f>
        <v>0.479179695359901</v>
      </c>
      <c r="P22">
        <f ca="1">AVERAGE(OFFSET(日前负荷率!$B22,,(COLUMN(AH27)-20)*4,,4))</f>
        <v>0.556704202694551</v>
      </c>
      <c r="Q22">
        <f ca="1">AVERAGE(OFFSET(日前负荷率!$B22,,(COLUMN(AI27)-20)*4,,4))</f>
        <v>0.602769052885582</v>
      </c>
      <c r="R22">
        <f ca="1">AVERAGE(OFFSET(日前负荷率!$B22,,(COLUMN(AJ27)-20)*4,,4))</f>
        <v>0.637629298210336</v>
      </c>
      <c r="S22">
        <f ca="1">AVERAGE(OFFSET(日前负荷率!$B22,,(COLUMN(AK27)-20)*4,,4))</f>
        <v>0.65205871707219</v>
      </c>
      <c r="T22">
        <f ca="1">AVERAGE(OFFSET(日前负荷率!$B22,,(COLUMN(AL27)-20)*4,,4))</f>
        <v>0.682487834305248</v>
      </c>
      <c r="U22">
        <f ca="1">AVERAGE(OFFSET(日前负荷率!$B22,,(COLUMN(AM27)-20)*4,,4))</f>
        <v>0.73584157713359</v>
      </c>
      <c r="V22">
        <f ca="1">AVERAGE(OFFSET(日前负荷率!$B22,,(COLUMN(AN27)-20)*4,,4))</f>
        <v>0.718210426521022</v>
      </c>
      <c r="W22">
        <f ca="1">AVERAGE(OFFSET(日前负荷率!$B22,,(COLUMN(AO27)-20)*4,,4))</f>
        <v>0.652310159321333</v>
      </c>
      <c r="X22">
        <f ca="1">AVERAGE(OFFSET(日前负荷率!$B22,,(COLUMN(AP27)-20)*4,,4))</f>
        <v>0.620554796904342</v>
      </c>
      <c r="Y22">
        <f ca="1">AVERAGE(OFFSET(日前负荷率!$B22,,(COLUMN(AQ27)-20)*4,,4))</f>
        <v>0.619489984512188</v>
      </c>
    </row>
    <row r="23" spans="1:25">
      <c r="A23" s="8">
        <v>46256</v>
      </c>
      <c r="B23">
        <f ca="1">AVERAGE(OFFSET(日前负荷率!$B23,,(COLUMN(T28)-20)*4,,4))</f>
        <v>0.616714132302405</v>
      </c>
      <c r="C23">
        <f ca="1">AVERAGE(OFFSET(日前负荷率!$B23,,(COLUMN(U28)-20)*4,,4))</f>
        <v>0.645419458762887</v>
      </c>
      <c r="D23">
        <f ca="1">AVERAGE(OFFSET(日前负荷率!$B23,,(COLUMN(V28)-20)*4,,4))</f>
        <v>0.657466344698417</v>
      </c>
      <c r="E23">
        <f ca="1">AVERAGE(OFFSET(日前负荷率!$B23,,(COLUMN(W28)-20)*4,,4))</f>
        <v>0.661465547317924</v>
      </c>
      <c r="F23">
        <f ca="1">AVERAGE(OFFSET(日前负荷率!$B23,,(COLUMN(X28)-20)*4,,4))</f>
        <v>0.661140754470126</v>
      </c>
      <c r="G23">
        <f ca="1">AVERAGE(OFFSET(日前负荷率!$B23,,(COLUMN(Y28)-20)*4,,4))</f>
        <v>0.64497895769734</v>
      </c>
      <c r="H23">
        <f ca="1">AVERAGE(OFFSET(日前负荷率!$B23,,(COLUMN(Z28)-20)*4,,4))</f>
        <v>0.655284670737026</v>
      </c>
      <c r="I23">
        <f ca="1">AVERAGE(OFFSET(日前负荷率!$B23,,(COLUMN(AA28)-20)*4,,4))</f>
        <v>0.628877780200611</v>
      </c>
      <c r="J23">
        <f ca="1">AVERAGE(OFFSET(日前负荷率!$B23,,(COLUMN(AB28)-20)*4,,4))</f>
        <v>0.616761011774967</v>
      </c>
      <c r="K23">
        <f ca="1">AVERAGE(OFFSET(日前负荷率!$B23,,(COLUMN(AC28)-20)*4,,4))</f>
        <v>0.556153074574793</v>
      </c>
      <c r="L23">
        <f ca="1">AVERAGE(OFFSET(日前负荷率!$B23,,(COLUMN(AD28)-20)*4,,4))</f>
        <v>0.479912123855211</v>
      </c>
      <c r="M23">
        <f ca="1">AVERAGE(OFFSET(日前负荷率!$B23,,(COLUMN(AE28)-20)*4,,4))</f>
        <v>0.432818251199302</v>
      </c>
      <c r="N23">
        <f ca="1">AVERAGE(OFFSET(日前负荷率!$B23,,(COLUMN(AF28)-20)*4,,4))</f>
        <v>0.441684910597471</v>
      </c>
      <c r="O23">
        <f ca="1">AVERAGE(OFFSET(日前负荷率!$B23,,(COLUMN(AG28)-20)*4,,4))</f>
        <v>0.442403946794592</v>
      </c>
      <c r="P23">
        <f ca="1">AVERAGE(OFFSET(日前负荷率!$B23,,(COLUMN(AH28)-20)*4,,4))</f>
        <v>0.429753924989097</v>
      </c>
      <c r="Q23">
        <f ca="1">AVERAGE(OFFSET(日前负荷率!$B23,,(COLUMN(AI28)-20)*4,,4))</f>
        <v>0.467442542520715</v>
      </c>
      <c r="R23">
        <f ca="1">AVERAGE(OFFSET(日前负荷率!$B23,,(COLUMN(AJ28)-20)*4,,4))</f>
        <v>0.555894679459224</v>
      </c>
      <c r="S23">
        <f ca="1">AVERAGE(OFFSET(日前负荷率!$B23,,(COLUMN(AK28)-20)*4,,4))</f>
        <v>0.621990732664631</v>
      </c>
      <c r="T23">
        <f ca="1">AVERAGE(OFFSET(日前负荷率!$B23,,(COLUMN(AL28)-20)*4,,4))</f>
        <v>0.655062799825556</v>
      </c>
      <c r="U23">
        <f ca="1">AVERAGE(OFFSET(日前负荷率!$B23,,(COLUMN(AM28)-20)*4,,4))</f>
        <v>0.660871020497165</v>
      </c>
      <c r="V23">
        <f ca="1">AVERAGE(OFFSET(日前负荷率!$B23,,(COLUMN(AN28)-20)*4,,4))</f>
        <v>0.596764282599215</v>
      </c>
      <c r="W23">
        <f ca="1">AVERAGE(OFFSET(日前负荷率!$B23,,(COLUMN(AO28)-20)*4,,4))</f>
        <v>0.570969570716335</v>
      </c>
      <c r="X23">
        <f ca="1">AVERAGE(OFFSET(日前负荷率!$B23,,(COLUMN(AP28)-20)*4,,4))</f>
        <v>0.560710243474446</v>
      </c>
      <c r="Y23">
        <f ca="1">AVERAGE(OFFSET(日前负荷率!$B23,,(COLUMN(AQ28)-20)*4,,4))</f>
        <v>0.539178328580829</v>
      </c>
    </row>
    <row r="24" spans="1:25">
      <c r="A24" s="8">
        <v>46257</v>
      </c>
      <c r="B24">
        <f ca="1">AVERAGE(OFFSET(日前负荷率!$B24,,(COLUMN(T29)-20)*4,,4))</f>
        <v>0.503118447027857</v>
      </c>
      <c r="C24">
        <f ca="1">AVERAGE(OFFSET(日前负荷率!$B24,,(COLUMN(U29)-20)*4,,4))</f>
        <v>0.481278021495942</v>
      </c>
      <c r="D24">
        <f ca="1">AVERAGE(OFFSET(日前负荷率!$B24,,(COLUMN(V29)-20)*4,,4))</f>
        <v>0.446990677780215</v>
      </c>
      <c r="E24">
        <f ca="1">AVERAGE(OFFSET(日前负荷率!$B24,,(COLUMN(W29)-20)*4,,4))</f>
        <v>0.456149265189735</v>
      </c>
      <c r="F24">
        <f ca="1">AVERAGE(OFFSET(日前负荷率!$B24,,(COLUMN(X29)-20)*4,,4))</f>
        <v>0.446481245887256</v>
      </c>
      <c r="G24">
        <f ca="1">AVERAGE(OFFSET(日前负荷率!$B24,,(COLUMN(Y29)-20)*4,,4))</f>
        <v>0.42624511954376</v>
      </c>
      <c r="H24">
        <f ca="1">AVERAGE(OFFSET(日前负荷率!$B24,,(COLUMN(Z29)-20)*4,,4))</f>
        <v>0.395714630401404</v>
      </c>
      <c r="I24">
        <f ca="1">AVERAGE(OFFSET(日前负荷率!$B24,,(COLUMN(AA29)-20)*4,,4))</f>
        <v>0.369632704540469</v>
      </c>
      <c r="J24">
        <f ca="1">AVERAGE(OFFSET(日前负荷率!$B24,,(COLUMN(AB29)-20)*4,,4))</f>
        <v>0.356249725817065</v>
      </c>
      <c r="K24">
        <f ca="1">AVERAGE(OFFSET(日前负荷率!$B24,,(COLUMN(AC29)-20)*4,,4))</f>
        <v>0.274599034876069</v>
      </c>
      <c r="L24">
        <f ca="1">AVERAGE(OFFSET(日前负荷率!$B24,,(COLUMN(AD29)-20)*4,,4))</f>
        <v>0.292103202456679</v>
      </c>
      <c r="M24">
        <f ca="1">AVERAGE(OFFSET(日前负荷率!$B24,,(COLUMN(AE29)-20)*4,,4))</f>
        <v>0.345438363676245</v>
      </c>
      <c r="N24">
        <f ca="1">AVERAGE(OFFSET(日前负荷率!$B24,,(COLUMN(AF29)-20)*4,,4))</f>
        <v>0.409992651897346</v>
      </c>
      <c r="O24">
        <f ca="1">AVERAGE(OFFSET(日前负荷率!$B24,,(COLUMN(AG29)-20)*4,,4))</f>
        <v>0.435895262118886</v>
      </c>
      <c r="P24">
        <f ca="1">AVERAGE(OFFSET(日前负荷率!$B24,,(COLUMN(AH29)-20)*4,,4))</f>
        <v>0.462959749945163</v>
      </c>
      <c r="Q24">
        <f ca="1">AVERAGE(OFFSET(日前负荷率!$B24,,(COLUMN(AI29)-20)*4,,4))</f>
        <v>0.567964685237991</v>
      </c>
      <c r="R24">
        <f ca="1">AVERAGE(OFFSET(日前负荷率!$B24,,(COLUMN(AJ29)-20)*4,,4))</f>
        <v>0.61129381443299</v>
      </c>
      <c r="S24">
        <f ca="1">AVERAGE(OFFSET(日前负荷率!$B24,,(COLUMN(AK29)-20)*4,,4))</f>
        <v>0.636486109100264</v>
      </c>
      <c r="T24">
        <f ca="1">AVERAGE(OFFSET(日前负荷率!$B24,,(COLUMN(AL29)-20)*4,,4))</f>
        <v>0.658926758442676</v>
      </c>
      <c r="U24">
        <f ca="1">AVERAGE(OFFSET(日前负荷率!$B24,,(COLUMN(AM29)-20)*4,,4))</f>
        <v>0.653958378145838</v>
      </c>
      <c r="V24">
        <f ca="1">AVERAGE(OFFSET(日前负荷率!$B24,,(COLUMN(AN29)-20)*4,,4))</f>
        <v>0.649375994837599</v>
      </c>
      <c r="W24">
        <f ca="1">AVERAGE(OFFSET(日前负荷率!$B24,,(COLUMN(AO29)-20)*4,,4))</f>
        <v>0.613149386964939</v>
      </c>
      <c r="X24">
        <f ca="1">AVERAGE(OFFSET(日前负荷率!$B24,,(COLUMN(AP29)-20)*4,,4))</f>
        <v>0.557635573818644</v>
      </c>
      <c r="Y24">
        <f ca="1">AVERAGE(OFFSET(日前负荷率!$B24,,(COLUMN(AQ29)-20)*4,,4))</f>
        <v>0.570058432001489</v>
      </c>
    </row>
    <row r="25" spans="1:25">
      <c r="A25" s="8">
        <v>46258</v>
      </c>
      <c r="B25">
        <f ca="1">AVERAGE(OFFSET(日前负荷率!$B25,,(COLUMN(T30)-20)*4,,4))</f>
        <v>0.598326506933935</v>
      </c>
      <c r="C25">
        <f ca="1">AVERAGE(OFFSET(日前负荷率!$B25,,(COLUMN(U30)-20)*4,,4))</f>
        <v>0.634809472781826</v>
      </c>
      <c r="D25">
        <f ca="1">AVERAGE(OFFSET(日前负荷率!$B25,,(COLUMN(V30)-20)*4,,4))</f>
        <v>0.651897235319331</v>
      </c>
      <c r="E25">
        <f ca="1">AVERAGE(OFFSET(日前负荷率!$B25,,(COLUMN(W30)-20)*4,,4))</f>
        <v>0.663217209601372</v>
      </c>
      <c r="F25">
        <f ca="1">AVERAGE(OFFSET(日前负荷率!$B25,,(COLUMN(X30)-20)*4,,4))</f>
        <v>0.651593656236605</v>
      </c>
      <c r="G25">
        <f ca="1">AVERAGE(OFFSET(日前负荷率!$B25,,(COLUMN(Y30)-20)*4,,4))</f>
        <v>0.639561187312473</v>
      </c>
      <c r="H25">
        <f ca="1">AVERAGE(OFFSET(日前负荷率!$B25,,(COLUMN(Z30)-20)*4,,4))</f>
        <v>0.662685276468067</v>
      </c>
      <c r="I25">
        <f ca="1">AVERAGE(OFFSET(日前负荷率!$B25,,(COLUMN(AA30)-20)*4,,4))</f>
        <v>0.696559579939992</v>
      </c>
      <c r="J25">
        <f ca="1">AVERAGE(OFFSET(日前负荷率!$B25,,(COLUMN(AB30)-20)*4,,4))</f>
        <v>0.726025830708735</v>
      </c>
      <c r="K25">
        <f ca="1">AVERAGE(OFFSET(日前负荷率!$B25,,(COLUMN(AC30)-20)*4,,4))</f>
        <v>0.661665543478261</v>
      </c>
      <c r="L25">
        <f ca="1">AVERAGE(OFFSET(日前负荷率!$B25,,(COLUMN(AD30)-20)*4,,4))</f>
        <v>0.654738369565217</v>
      </c>
      <c r="M25">
        <f ca="1">AVERAGE(OFFSET(日前负荷率!$B25,,(COLUMN(AE30)-20)*4,,4))</f>
        <v>0.676467826086956</v>
      </c>
      <c r="N25">
        <f ca="1">AVERAGE(OFFSET(日前负荷率!$B25,,(COLUMN(AF30)-20)*4,,4))</f>
        <v>0.709817826086957</v>
      </c>
      <c r="O25">
        <f ca="1">AVERAGE(OFFSET(日前负荷率!$B25,,(COLUMN(AG30)-20)*4,,4))</f>
        <v>0.69199466080402</v>
      </c>
      <c r="P25">
        <f ca="1">AVERAGE(OFFSET(日前负荷率!$B25,,(COLUMN(AH30)-20)*4,,4))</f>
        <v>0.66564405360134</v>
      </c>
      <c r="Q25">
        <f ca="1">AVERAGE(OFFSET(日前负荷率!$B25,,(COLUMN(AI30)-20)*4,,4))</f>
        <v>0.641087590746266</v>
      </c>
      <c r="R25">
        <f ca="1">AVERAGE(OFFSET(日前负荷率!$B25,,(COLUMN(AJ30)-20)*4,,4))</f>
        <v>0.626143540161496</v>
      </c>
      <c r="S25">
        <f ca="1">AVERAGE(OFFSET(日前负荷率!$B25,,(COLUMN(AK30)-20)*4,,4))</f>
        <v>0.615194645133872</v>
      </c>
      <c r="T25">
        <f ca="1">AVERAGE(OFFSET(日前负荷率!$B25,,(COLUMN(AL30)-20)*4,,4))</f>
        <v>0.645216213344666</v>
      </c>
      <c r="U25">
        <f ca="1">AVERAGE(OFFSET(日前负荷率!$B25,,(COLUMN(AM30)-20)*4,,4))</f>
        <v>0.665712600934977</v>
      </c>
      <c r="V25">
        <f ca="1">AVERAGE(OFFSET(日前负荷率!$B25,,(COLUMN(AN30)-20)*4,,4))</f>
        <v>0.638721650208314</v>
      </c>
      <c r="W25">
        <f ca="1">AVERAGE(OFFSET(日前负荷率!$B25,,(COLUMN(AO30)-20)*4,,4))</f>
        <v>0.634342552733534</v>
      </c>
      <c r="X25">
        <f ca="1">AVERAGE(OFFSET(日前负荷率!$B25,,(COLUMN(AP30)-20)*4,,4))</f>
        <v>0.60130198019802</v>
      </c>
      <c r="Y25">
        <f ca="1">AVERAGE(OFFSET(日前负荷率!$B25,,(COLUMN(AQ30)-20)*4,,4))</f>
        <v>0.59419575784357</v>
      </c>
    </row>
    <row r="26" spans="1:25">
      <c r="A26" s="8">
        <v>46259</v>
      </c>
      <c r="B26">
        <f ca="1">AVERAGE(OFFSET(日前负荷率!$B26,,(COLUMN(T31)-20)*4,,4))</f>
        <v>0.569576778612461</v>
      </c>
      <c r="C26">
        <f ca="1">AVERAGE(OFFSET(日前负荷率!$B26,,(COLUMN(U31)-20)*4,,4))</f>
        <v>0.565164494034468</v>
      </c>
      <c r="D26">
        <f ca="1">AVERAGE(OFFSET(日前负荷率!$B26,,(COLUMN(V31)-20)*4,,4))</f>
        <v>0.59145713654441</v>
      </c>
      <c r="E26">
        <f ca="1">AVERAGE(OFFSET(日前负荷率!$B26,,(COLUMN(W31)-20)*4,,4))</f>
        <v>0.602075011047282</v>
      </c>
      <c r="F26">
        <f ca="1">AVERAGE(OFFSET(日前负荷率!$B26,,(COLUMN(X31)-20)*4,,4))</f>
        <v>0.578182501104728</v>
      </c>
      <c r="G26">
        <f ca="1">AVERAGE(OFFSET(日前负荷率!$B26,,(COLUMN(Y31)-20)*4,,4))</f>
        <v>0.580806672558551</v>
      </c>
      <c r="H26">
        <f ca="1">AVERAGE(OFFSET(日前负荷率!$B26,,(COLUMN(Z31)-20)*4,,4))</f>
        <v>0.582141073795846</v>
      </c>
      <c r="I26">
        <f ca="1">AVERAGE(OFFSET(日前负荷率!$B26,,(COLUMN(AA31)-20)*4,,4))</f>
        <v>0.574459125055236</v>
      </c>
      <c r="J26">
        <f ca="1">AVERAGE(OFFSET(日前负荷率!$B26,,(COLUMN(AB31)-20)*4,,4))</f>
        <v>0.633464014055069</v>
      </c>
      <c r="K26">
        <f ca="1">AVERAGE(OFFSET(日前负荷率!$B26,,(COLUMN(AC31)-20)*4,,4))</f>
        <v>0.634968334261492</v>
      </c>
      <c r="L26">
        <f ca="1">AVERAGE(OFFSET(日前负荷率!$B26,,(COLUMN(AD31)-20)*4,,4))</f>
        <v>0.653085624594068</v>
      </c>
      <c r="M26">
        <f ca="1">AVERAGE(OFFSET(日前负荷率!$B26,,(COLUMN(AE31)-20)*4,,4))</f>
        <v>0.640374864689327</v>
      </c>
      <c r="N26">
        <f ca="1">AVERAGE(OFFSET(日前负荷率!$B26,,(COLUMN(AF31)-20)*4,,4))</f>
        <v>0.658475860575882</v>
      </c>
      <c r="O26">
        <f ca="1">AVERAGE(OFFSET(日前负荷率!$B26,,(COLUMN(AG31)-20)*4,,4))</f>
        <v>0.686150357220178</v>
      </c>
      <c r="P26">
        <f ca="1">AVERAGE(OFFSET(日前负荷率!$B26,,(COLUMN(AH31)-20)*4,,4))</f>
        <v>0.688179982816851</v>
      </c>
      <c r="Q26">
        <f ca="1">AVERAGE(OFFSET(日前负荷率!$B26,,(COLUMN(AI31)-20)*4,,4))</f>
        <v>0.695755127934024</v>
      </c>
      <c r="R26">
        <f ca="1">AVERAGE(OFFSET(日前负荷率!$B26,,(COLUMN(AJ31)-20)*4,,4))</f>
        <v>0.674561218016494</v>
      </c>
      <c r="S26">
        <f ca="1">AVERAGE(OFFSET(日前负荷率!$B26,,(COLUMN(AK31)-20)*4,,4))</f>
        <v>0.673219390991753</v>
      </c>
      <c r="T26">
        <f ca="1">AVERAGE(OFFSET(日前负荷率!$B26,,(COLUMN(AL31)-20)*4,,4))</f>
        <v>0.709104779023049</v>
      </c>
      <c r="U26">
        <f ca="1">AVERAGE(OFFSET(日前负荷率!$B26,,(COLUMN(AM31)-20)*4,,4))</f>
        <v>0.748012899133009</v>
      </c>
      <c r="V26">
        <f ca="1">AVERAGE(OFFSET(日前负荷率!$B26,,(COLUMN(AN31)-20)*4,,4))</f>
        <v>0.715409071685346</v>
      </c>
      <c r="W26">
        <f ca="1">AVERAGE(OFFSET(日前负荷率!$B26,,(COLUMN(AO31)-20)*4,,4))</f>
        <v>0.674550856417847</v>
      </c>
      <c r="X26">
        <f ca="1">AVERAGE(OFFSET(日前负荷率!$B26,,(COLUMN(AP31)-20)*4,,4))</f>
        <v>0.619603087333474</v>
      </c>
      <c r="Y26">
        <f ca="1">AVERAGE(OFFSET(日前负荷率!$B26,,(COLUMN(AQ31)-20)*4,,4))</f>
        <v>0.625750581518291</v>
      </c>
    </row>
    <row r="27" spans="1:25">
      <c r="A27" s="8">
        <v>46260</v>
      </c>
      <c r="B27">
        <f ca="1">AVERAGE(OFFSET(日前负荷率!$B27,,(COLUMN(T32)-20)*4,,4))</f>
        <v>0.633481708606471</v>
      </c>
      <c r="C27">
        <f ca="1">AVERAGE(OFFSET(日前负荷率!$B27,,(COLUMN(U32)-20)*4,,4))</f>
        <v>0.654596109113978</v>
      </c>
      <c r="D27">
        <f ca="1">AVERAGE(OFFSET(日前负荷率!$B27,,(COLUMN(V32)-20)*4,,4))</f>
        <v>0.643471558469021</v>
      </c>
      <c r="E27">
        <f ca="1">AVERAGE(OFFSET(日前负荷率!$B27,,(COLUMN(W32)-20)*4,,4))</f>
        <v>0.626876929583421</v>
      </c>
      <c r="F27">
        <f ca="1">AVERAGE(OFFSET(日前负荷率!$B27,,(COLUMN(X32)-20)*4,,4))</f>
        <v>0.613184711355466</v>
      </c>
      <c r="G27">
        <f ca="1">AVERAGE(OFFSET(日前负荷率!$B27,,(COLUMN(Y32)-20)*4,,4))</f>
        <v>0.58645538168746</v>
      </c>
      <c r="H27">
        <f ca="1">AVERAGE(OFFSET(日前负荷率!$B27,,(COLUMN(Z32)-20)*4,,4))</f>
        <v>0.600434869951364</v>
      </c>
      <c r="I27">
        <f ca="1">AVERAGE(OFFSET(日前负荷率!$B27,,(COLUMN(AA32)-20)*4,,4))</f>
        <v>0.579982131528864</v>
      </c>
      <c r="J27">
        <f ca="1">AVERAGE(OFFSET(日前负荷率!$B27,,(COLUMN(AB32)-20)*4,,4))</f>
        <v>0.578045992810319</v>
      </c>
      <c r="K27">
        <f ca="1">AVERAGE(OFFSET(日前负荷率!$B27,,(COLUMN(AC32)-20)*4,,4))</f>
        <v>0.567973038697399</v>
      </c>
      <c r="L27">
        <f ca="1">AVERAGE(OFFSET(日前负荷率!$B27,,(COLUMN(AD32)-20)*4,,4))</f>
        <v>0.577638718545147</v>
      </c>
      <c r="M27">
        <f ca="1">AVERAGE(OFFSET(日前负荷率!$B27,,(COLUMN(AE32)-20)*4,,4))</f>
        <v>0.548958236413618</v>
      </c>
      <c r="N27">
        <f ca="1">AVERAGE(OFFSET(日前负荷率!$B27,,(COLUMN(AF32)-20)*4,,4))</f>
        <v>0.552974624656376</v>
      </c>
      <c r="O27">
        <f ca="1">AVERAGE(OFFSET(日前负荷率!$B27,,(COLUMN(AG32)-20)*4,,4))</f>
        <v>0.568460985409177</v>
      </c>
      <c r="P27">
        <f ca="1">AVERAGE(OFFSET(日前负荷率!$B27,,(COLUMN(AH32)-20)*4,,4))</f>
        <v>0.587902199196447</v>
      </c>
      <c r="Q27">
        <f ca="1">AVERAGE(OFFSET(日前负荷率!$B27,,(COLUMN(AI32)-20)*4,,4))</f>
        <v>0.607581941213787</v>
      </c>
      <c r="R27">
        <f ca="1">AVERAGE(OFFSET(日前负荷率!$B27,,(COLUMN(AJ32)-20)*4,,4))</f>
        <v>0.628577289067456</v>
      </c>
      <c r="S27">
        <f ca="1">AVERAGE(OFFSET(日前负荷率!$B27,,(COLUMN(AK32)-20)*4,,4))</f>
        <v>0.626057834637344</v>
      </c>
      <c r="T27">
        <f ca="1">AVERAGE(OFFSET(日前负荷率!$B27,,(COLUMN(AL32)-20)*4,,4))</f>
        <v>0.67032749659355</v>
      </c>
      <c r="U27">
        <f ca="1">AVERAGE(OFFSET(日前负荷率!$B27,,(COLUMN(AM32)-20)*4,,4))</f>
        <v>0.725047401590259</v>
      </c>
      <c r="V27">
        <f ca="1">AVERAGE(OFFSET(日前负荷率!$B27,,(COLUMN(AN32)-20)*4,,4))</f>
        <v>0.701133419689119</v>
      </c>
      <c r="W27">
        <f ca="1">AVERAGE(OFFSET(日前负荷率!$B27,,(COLUMN(AO32)-20)*4,,4))</f>
        <v>0.676469667530225</v>
      </c>
      <c r="X27">
        <f ca="1">AVERAGE(OFFSET(日前负荷率!$B27,,(COLUMN(AP32)-20)*4,,4))</f>
        <v>0.674477331606218</v>
      </c>
      <c r="Y27">
        <f ca="1">AVERAGE(OFFSET(日前负荷率!$B27,,(COLUMN(AQ32)-20)*4,,4))</f>
        <v>0.654021049222798</v>
      </c>
    </row>
    <row r="28" spans="1:25">
      <c r="A28" s="8">
        <v>46261</v>
      </c>
      <c r="B28">
        <f ca="1">AVERAGE(OFFSET(日前负荷率!$B28,,(COLUMN(T33)-20)*4,,4))</f>
        <v>0.598556670984456</v>
      </c>
      <c r="C28">
        <f ca="1">AVERAGE(OFFSET(日前负荷率!$B28,,(COLUMN(U33)-20)*4,,4))</f>
        <v>0.599799011782776</v>
      </c>
      <c r="D28">
        <f ca="1">AVERAGE(OFFSET(日前负荷率!$B28,,(COLUMN(V33)-20)*4,,4))</f>
        <v>0.578791100394564</v>
      </c>
      <c r="E28">
        <f ca="1">AVERAGE(OFFSET(日前负荷率!$B28,,(COLUMN(W33)-20)*4,,4))</f>
        <v>0.567437417799211</v>
      </c>
      <c r="F28">
        <f ca="1">AVERAGE(OFFSET(日前负荷率!$B28,,(COLUMN(X33)-20)*4,,4))</f>
        <v>0.580015563349408</v>
      </c>
      <c r="G28">
        <f ca="1">AVERAGE(OFFSET(日前负荷率!$B28,,(COLUMN(Y33)-20)*4,,4))</f>
        <v>0.611684568171854</v>
      </c>
      <c r="H28">
        <f ca="1">AVERAGE(OFFSET(日前负荷率!$B28,,(COLUMN(Z33)-20)*4,,4))</f>
        <v>0.612281674704077</v>
      </c>
      <c r="I28">
        <f ca="1">AVERAGE(OFFSET(日前负荷率!$B28,,(COLUMN(AA33)-20)*4,,4))</f>
        <v>0.563183143358176</v>
      </c>
      <c r="J28">
        <f ca="1">AVERAGE(OFFSET(日前负荷率!$B28,,(COLUMN(AB33)-20)*4,,4))</f>
        <v>0.518220736519071</v>
      </c>
      <c r="K28">
        <f ca="1">AVERAGE(OFFSET(日前负荷率!$B28,,(COLUMN(AC33)-20)*4,,4))</f>
        <v>0.467954514363885</v>
      </c>
      <c r="L28">
        <f ca="1">AVERAGE(OFFSET(日前负荷率!$B28,,(COLUMN(AD33)-20)*4,,4))</f>
        <v>0.443515845873233</v>
      </c>
      <c r="M28">
        <f ca="1">AVERAGE(OFFSET(日前负荷率!$B28,,(COLUMN(AE33)-20)*4,,4))</f>
        <v>0.477349293205654</v>
      </c>
      <c r="N28">
        <f ca="1">AVERAGE(OFFSET(日前负荷率!$B28,,(COLUMN(AF33)-20)*4,,4))</f>
        <v>0.515088577291382</v>
      </c>
      <c r="O28">
        <f ca="1">AVERAGE(OFFSET(日前负荷率!$B28,,(COLUMN(AG33)-20)*4,,4))</f>
        <v>0.488583447332421</v>
      </c>
      <c r="P28">
        <f ca="1">AVERAGE(OFFSET(日前负荷率!$B28,,(COLUMN(AH33)-20)*4,,4))</f>
        <v>0.485364569083447</v>
      </c>
      <c r="Q28">
        <f ca="1">AVERAGE(OFFSET(日前负荷率!$B28,,(COLUMN(AI33)-20)*4,,4))</f>
        <v>0.563227086183311</v>
      </c>
      <c r="R28">
        <f ca="1">AVERAGE(OFFSET(日前负荷率!$B28,,(COLUMN(AJ33)-20)*4,,4))</f>
        <v>0.627278157774738</v>
      </c>
      <c r="S28">
        <f ca="1">AVERAGE(OFFSET(日前负荷率!$B28,,(COLUMN(AK33)-20)*4,,4))</f>
        <v>0.621763793889649</v>
      </c>
      <c r="T28">
        <f ca="1">AVERAGE(OFFSET(日前负荷率!$B28,,(COLUMN(AL33)-20)*4,,4))</f>
        <v>0.607433424532604</v>
      </c>
      <c r="U28">
        <f ca="1">AVERAGE(OFFSET(日前负荷率!$B28,,(COLUMN(AM33)-20)*4,,4))</f>
        <v>0.626460670314637</v>
      </c>
      <c r="V28">
        <f ca="1">AVERAGE(OFFSET(日前负荷率!$B28,,(COLUMN(AN33)-20)*4,,4))</f>
        <v>0.578147514819881</v>
      </c>
      <c r="W28">
        <f ca="1">AVERAGE(OFFSET(日前负荷率!$B28,,(COLUMN(AO33)-20)*4,,4))</f>
        <v>0.532703944368445</v>
      </c>
      <c r="X28">
        <f ca="1">AVERAGE(OFFSET(日前负荷率!$B28,,(COLUMN(AP33)-20)*4,,4))</f>
        <v>0.510023711810306</v>
      </c>
      <c r="Y28">
        <f ca="1">AVERAGE(OFFSET(日前负荷率!$B28,,(COLUMN(AQ33)-20)*4,,4))</f>
        <v>0.52362528499772</v>
      </c>
    </row>
    <row r="29" spans="1:25">
      <c r="A29" s="8">
        <v>46262</v>
      </c>
      <c r="B29">
        <f ca="1">AVERAGE(OFFSET(日前负荷率!$B29,,(COLUMN(T34)-20)*4,,4))</f>
        <v>0.529397058823529</v>
      </c>
      <c r="C29">
        <f ca="1">AVERAGE(OFFSET(日前负荷率!$B29,,(COLUMN(U34)-20)*4,,4))</f>
        <v>0.514822047423621</v>
      </c>
      <c r="D29">
        <f ca="1">AVERAGE(OFFSET(日前负荷率!$B29,,(COLUMN(V34)-20)*4,,4))</f>
        <v>0.49758983128135</v>
      </c>
      <c r="E29">
        <f ca="1">AVERAGE(OFFSET(日前负荷率!$B29,,(COLUMN(W34)-20)*4,,4))</f>
        <v>0.497374829001368</v>
      </c>
      <c r="F29">
        <f ca="1">AVERAGE(OFFSET(日前负荷率!$B29,,(COLUMN(X34)-20)*4,,4))</f>
        <v>0.507402416780666</v>
      </c>
      <c r="G29">
        <f ca="1">AVERAGE(OFFSET(日前负荷率!$B29,,(COLUMN(Y34)-20)*4,,4))</f>
        <v>0.543190264477884</v>
      </c>
      <c r="H29">
        <f ca="1">AVERAGE(OFFSET(日前负荷率!$B29,,(COLUMN(Z34)-20)*4,,4))</f>
        <v>0.586373917008664</v>
      </c>
      <c r="I29">
        <f ca="1">AVERAGE(OFFSET(日前负荷率!$B29,,(COLUMN(AA34)-20)*4,,4))</f>
        <v>0.564698016415869</v>
      </c>
      <c r="J29">
        <f ca="1">AVERAGE(OFFSET(日前负荷率!$B29,,(COLUMN(AB34)-20)*4,,4))</f>
        <v>0.605087095303238</v>
      </c>
      <c r="K29">
        <f ca="1">AVERAGE(OFFSET(日前负荷率!$B29,,(COLUMN(AC34)-20)*4,,4))</f>
        <v>0.59949943000456</v>
      </c>
      <c r="L29">
        <f ca="1">AVERAGE(OFFSET(日前负荷率!$B29,,(COLUMN(AD34)-20)*4,,4))</f>
        <v>0.621212494300046</v>
      </c>
      <c r="M29">
        <f ca="1">AVERAGE(OFFSET(日前负荷率!$B29,,(COLUMN(AE34)-20)*4,,4))</f>
        <v>0.628239968080255</v>
      </c>
      <c r="N29">
        <f ca="1">AVERAGE(OFFSET(日前负荷率!$B29,,(COLUMN(AF34)-20)*4,,4))</f>
        <v>0.641619357045144</v>
      </c>
      <c r="O29">
        <f ca="1">AVERAGE(OFFSET(日前负荷率!$B29,,(COLUMN(AG34)-20)*4,,4))</f>
        <v>0.682419133142461</v>
      </c>
      <c r="P29">
        <f ca="1">AVERAGE(OFFSET(日前负荷率!$B29,,(COLUMN(AH34)-20)*4,,4))</f>
        <v>0.689139137416839</v>
      </c>
      <c r="Q29">
        <f ca="1">AVERAGE(OFFSET(日前负荷率!$B29,,(COLUMN(AI34)-20)*4,,4))</f>
        <v>0.687123308098188</v>
      </c>
      <c r="R29">
        <f ca="1">AVERAGE(OFFSET(日前负荷率!$B29,,(COLUMN(AJ34)-20)*4,,4))</f>
        <v>0.670352374397798</v>
      </c>
      <c r="S29">
        <f ca="1">AVERAGE(OFFSET(日前负荷率!$B29,,(COLUMN(AK34)-20)*4,,4))</f>
        <v>0.640372218398715</v>
      </c>
      <c r="T29">
        <f ca="1">AVERAGE(OFFSET(日前负荷率!$B29,,(COLUMN(AL34)-20)*4,,4))</f>
        <v>0.667210598761184</v>
      </c>
      <c r="U29">
        <f ca="1">AVERAGE(OFFSET(日前负荷率!$B29,,(COLUMN(AM34)-20)*4,,4))</f>
        <v>0.687821518696949</v>
      </c>
      <c r="V29">
        <f ca="1">AVERAGE(OFFSET(日前负荷率!$B29,,(COLUMN(AN34)-20)*4,,4))</f>
        <v>0.643886556549667</v>
      </c>
      <c r="W29">
        <f ca="1">AVERAGE(OFFSET(日前负荷率!$B29,,(COLUMN(AO34)-20)*4,,4))</f>
        <v>0.598892980041294</v>
      </c>
      <c r="X29">
        <f ca="1">AVERAGE(OFFSET(日前负荷率!$B29,,(COLUMN(AP34)-20)*4,,4))</f>
        <v>0.608268990998881</v>
      </c>
      <c r="Y29">
        <f ca="1">AVERAGE(OFFSET(日前负荷率!$B29,,(COLUMN(AQ34)-20)*4,,4))</f>
        <v>0.624406431334623</v>
      </c>
    </row>
    <row r="30" spans="1:25">
      <c r="A30" s="8">
        <v>46263</v>
      </c>
      <c r="B30">
        <f ca="1">AVERAGE(OFFSET(日前负荷率!$B30,,(COLUMN(T35)-20)*4,,4))</f>
        <v>0.612046784332689</v>
      </c>
      <c r="C30">
        <f ca="1">AVERAGE(OFFSET(日前负荷率!$B30,,(COLUMN(U35)-20)*4,,4))</f>
        <v>0.62874295540276</v>
      </c>
      <c r="D30">
        <f ca="1">AVERAGE(OFFSET(日前负荷率!$B30,,(COLUMN(V35)-20)*4,,4))</f>
        <v>0.638763487421323</v>
      </c>
      <c r="E30">
        <f ca="1">AVERAGE(OFFSET(日前负荷率!$B30,,(COLUMN(W35)-20)*4,,4))</f>
        <v>0.643063580545014</v>
      </c>
      <c r="F30">
        <f ca="1">AVERAGE(OFFSET(日前负荷率!$B30,,(COLUMN(X35)-20)*4,,4))</f>
        <v>0.582357629785003</v>
      </c>
      <c r="G30">
        <f ca="1">AVERAGE(OFFSET(日前负荷率!$B30,,(COLUMN(Y35)-20)*4,,4))</f>
        <v>0.522967094913477</v>
      </c>
      <c r="H30">
        <f ca="1">AVERAGE(OFFSET(日前负荷率!$B30,,(COLUMN(Z35)-20)*4,,4))</f>
        <v>0.522415049816466</v>
      </c>
      <c r="I30">
        <f ca="1">AVERAGE(OFFSET(日前负荷率!$B30,,(COLUMN(AA35)-20)*4,,4))</f>
        <v>0.538707787100157</v>
      </c>
      <c r="J30">
        <f ca="1">AVERAGE(OFFSET(日前负荷率!$B30,,(COLUMN(AB35)-20)*4,,4))</f>
        <v>0.540303487152596</v>
      </c>
      <c r="K30">
        <f ca="1">AVERAGE(OFFSET(日前负荷率!$B30,,(COLUMN(AC35)-20)*4,,4))</f>
        <v>0.414207656004195</v>
      </c>
      <c r="L30">
        <f ca="1">AVERAGE(OFFSET(日前负荷率!$B30,,(COLUMN(AD35)-20)*4,,4))</f>
        <v>0.388102910330362</v>
      </c>
      <c r="M30">
        <f ca="1">AVERAGE(OFFSET(日前负荷率!$B30,,(COLUMN(AE35)-20)*4,,4))</f>
        <v>0.388129129522811</v>
      </c>
      <c r="N30">
        <f ca="1">AVERAGE(OFFSET(日前负荷率!$B30,,(COLUMN(AF35)-20)*4,,4))</f>
        <v>0.376593733613005</v>
      </c>
      <c r="O30">
        <f ca="1">AVERAGE(OFFSET(日前负荷率!$B30,,(COLUMN(AG35)-20)*4,,4))</f>
        <v>0.387649187205034</v>
      </c>
      <c r="P30">
        <f ca="1">AVERAGE(OFFSET(日前负荷率!$B30,,(COLUMN(AH35)-20)*4,,4))</f>
        <v>0.378941400104877</v>
      </c>
      <c r="Q30">
        <f ca="1">AVERAGE(OFFSET(日前负荷率!$B30,,(COLUMN(AI35)-20)*4,,4))</f>
        <v>0.367697692711065</v>
      </c>
      <c r="R30">
        <f ca="1">AVERAGE(OFFSET(日前负荷率!$B30,,(COLUMN(AJ35)-20)*4,,4))</f>
        <v>0.393082459360252</v>
      </c>
      <c r="S30">
        <f ca="1">AVERAGE(OFFSET(日前负荷率!$B30,,(COLUMN(AK35)-20)*4,,4))</f>
        <v>0.433398400629261</v>
      </c>
      <c r="T30">
        <f ca="1">AVERAGE(OFFSET(日前负荷率!$B30,,(COLUMN(AL35)-20)*4,,4))</f>
        <v>0.509324986890404</v>
      </c>
      <c r="U30">
        <f ca="1">AVERAGE(OFFSET(日前负荷率!$B30,,(COLUMN(AM35)-20)*4,,4))</f>
        <v>0.550014682747771</v>
      </c>
      <c r="V30">
        <f ca="1">AVERAGE(OFFSET(日前负荷率!$B30,,(COLUMN(AN35)-20)*4,,4))</f>
        <v>0.593222863135815</v>
      </c>
      <c r="W30">
        <f ca="1">AVERAGE(OFFSET(日前负荷率!$B30,,(COLUMN(AO35)-20)*4,,4))</f>
        <v>0.641687860513896</v>
      </c>
      <c r="X30">
        <f ca="1">AVERAGE(OFFSET(日前负荷率!$B30,,(COLUMN(AP35)-20)*4,,4))</f>
        <v>0.650785539071991</v>
      </c>
      <c r="Y30">
        <f ca="1">AVERAGE(OFFSET(日前负荷率!$B30,,(COLUMN(AQ35)-20)*4,,4))</f>
        <v>0.643304683270168</v>
      </c>
    </row>
    <row r="31" spans="1:25">
      <c r="A31" s="8">
        <v>46264</v>
      </c>
      <c r="B31">
        <f ca="1">AVERAGE(OFFSET(日前负荷率!$B31,,(COLUMN(T36)-20)*4,,4))</f>
        <v>0.615339063345966</v>
      </c>
      <c r="C31">
        <f ca="1">AVERAGE(OFFSET(日前负荷率!$B31,,(COLUMN(U36)-20)*4,,4))</f>
        <v>0.65707146724418</v>
      </c>
      <c r="D31">
        <f ca="1">AVERAGE(OFFSET(日前负荷率!$B31,,(COLUMN(V36)-20)*4,,4))</f>
        <v>0.64760246345425</v>
      </c>
      <c r="E31">
        <f ca="1">AVERAGE(OFFSET(日前负荷率!$B31,,(COLUMN(W36)-20)*4,,4))</f>
        <v>0.657199242014077</v>
      </c>
      <c r="F31">
        <f ca="1">AVERAGE(OFFSET(日前负荷率!$B31,,(COLUMN(X36)-20)*4,,4))</f>
        <v>0.674188548998376</v>
      </c>
      <c r="G31">
        <f ca="1">AVERAGE(OFFSET(日前负荷率!$B31,,(COLUMN(Y36)-20)*4,,4))</f>
        <v>0.713893881970763</v>
      </c>
      <c r="H31">
        <f ca="1">AVERAGE(OFFSET(日前负荷率!$B31,,(COLUMN(Z36)-20)*4,,4))</f>
        <v>0.626461559285328</v>
      </c>
      <c r="I31">
        <f ca="1">AVERAGE(OFFSET(日前负荷率!$B31,,(COLUMN(AA36)-20)*4,,4))</f>
        <v>0.524877774769897</v>
      </c>
      <c r="J31">
        <f ca="1">AVERAGE(OFFSET(日前负荷率!$B31,,(COLUMN(AB36)-20)*4,,4))</f>
        <v>0.456853275582025</v>
      </c>
      <c r="K31">
        <f ca="1">AVERAGE(OFFSET(日前负荷率!$B31,,(COLUMN(AC36)-20)*4,,4))</f>
        <v>0.41891770438549</v>
      </c>
      <c r="L31">
        <f ca="1">AVERAGE(OFFSET(日前负荷率!$B31,,(COLUMN(AD36)-20)*4,,4))</f>
        <v>0.437693963183541</v>
      </c>
      <c r="M31">
        <f ca="1">AVERAGE(OFFSET(日前负荷率!$B31,,(COLUMN(AE36)-20)*4,,4))</f>
        <v>0.418656199242014</v>
      </c>
      <c r="N31">
        <f ca="1">AVERAGE(OFFSET(日前负荷率!$B31,,(COLUMN(AF36)-20)*4,,4))</f>
        <v>0.416290741743368</v>
      </c>
      <c r="O31">
        <f ca="1">AVERAGE(OFFSET(日前负荷率!$B31,,(COLUMN(AG36)-20)*4,,4))</f>
        <v>0.43680752571738</v>
      </c>
      <c r="P31">
        <f ca="1">AVERAGE(OFFSET(日前负荷率!$B31,,(COLUMN(AH36)-20)*4,,4))</f>
        <v>0.457564293448836</v>
      </c>
      <c r="Q31">
        <f ca="1">AVERAGE(OFFSET(日前负荷率!$B31,,(COLUMN(AI36)-20)*4,,4))</f>
        <v>0.493344612885761</v>
      </c>
      <c r="R31">
        <f ca="1">AVERAGE(OFFSET(日前负荷率!$B31,,(COLUMN(AJ36)-20)*4,,4))</f>
        <v>0.552334055224689</v>
      </c>
      <c r="S31">
        <f ca="1">AVERAGE(OFFSET(日前负荷率!$B31,,(COLUMN(AK36)-20)*4,,4))</f>
        <v>0.58014753654575</v>
      </c>
      <c r="T31">
        <f ca="1">AVERAGE(OFFSET(日前负荷率!$B31,,(COLUMN(AL36)-20)*4,,4))</f>
        <v>0.624273010286952</v>
      </c>
      <c r="U31">
        <f ca="1">AVERAGE(OFFSET(日前负荷率!$B31,,(COLUMN(AM36)-20)*4,,4))</f>
        <v>0.677097319978343</v>
      </c>
      <c r="V31">
        <f ca="1">AVERAGE(OFFSET(日前负荷率!$B31,,(COLUMN(AN36)-20)*4,,4))</f>
        <v>0.680586085544126</v>
      </c>
      <c r="W31">
        <f ca="1">AVERAGE(OFFSET(日前负荷率!$B31,,(COLUMN(AO36)-20)*4,,4))</f>
        <v>0.655538711423931</v>
      </c>
      <c r="X31">
        <f ca="1">AVERAGE(OFFSET(日前负荷率!$B31,,(COLUMN(AP36)-20)*4,,4))</f>
        <v>0.597721006162261</v>
      </c>
      <c r="Y31">
        <f ca="1">AVERAGE(OFFSET(日前负荷率!$B31,,(COLUMN(AQ36)-20)*4,,4))</f>
        <v>0.572969587053571</v>
      </c>
    </row>
    <row r="32" spans="1:25">
      <c r="A32" s="8">
        <v>46265</v>
      </c>
      <c r="B32">
        <f ca="1">AVERAGE(OFFSET(日前负荷率!$B32,,(COLUMN(T37)-20)*4,,4))</f>
        <v>0.572894042215462</v>
      </c>
      <c r="C32">
        <f ca="1">AVERAGE(OFFSET(日前负荷率!$B32,,(COLUMN(U37)-20)*4,,4))</f>
        <v>0.544262149028078</v>
      </c>
      <c r="D32">
        <f ca="1">AVERAGE(OFFSET(日前负荷率!$B32,,(COLUMN(V37)-20)*4,,4))</f>
        <v>0.487311285097192</v>
      </c>
      <c r="E32">
        <f ca="1">AVERAGE(OFFSET(日前负荷率!$B32,,(COLUMN(W37)-20)*4,,4))</f>
        <v>0.449707343412527</v>
      </c>
      <c r="F32">
        <f ca="1">AVERAGE(OFFSET(日前负荷率!$B32,,(COLUMN(X37)-20)*4,,4))</f>
        <v>0.437599757019438</v>
      </c>
      <c r="G32">
        <f ca="1">AVERAGE(OFFSET(日前负荷率!$B32,,(COLUMN(Y37)-20)*4,,4))</f>
        <v>0.478666306695464</v>
      </c>
      <c r="H32">
        <f ca="1">AVERAGE(OFFSET(日前负荷率!$B32,,(COLUMN(Z37)-20)*4,,4))</f>
        <v>0.45517818574514</v>
      </c>
      <c r="I32">
        <f ca="1">AVERAGE(OFFSET(日前负荷率!$B32,,(COLUMN(AA37)-20)*4,,4))</f>
        <v>0.356756074514039</v>
      </c>
      <c r="J32">
        <f ca="1">AVERAGE(OFFSET(日前负荷率!$B32,,(COLUMN(AB37)-20)*4,,4))</f>
        <v>0.304979481641469</v>
      </c>
      <c r="K32">
        <f ca="1">AVERAGE(OFFSET(日前负荷率!$B32,,(COLUMN(AC37)-20)*4,,4))</f>
        <v>0.212627699784017</v>
      </c>
      <c r="L32">
        <f ca="1">AVERAGE(OFFSET(日前负荷率!$B32,,(COLUMN(AD37)-20)*4,,4))</f>
        <v>0.175075863930886</v>
      </c>
      <c r="M32">
        <f ca="1">AVERAGE(OFFSET(日前负荷率!$B32,,(COLUMN(AE37)-20)*4,,4))</f>
        <v>0.150480291576674</v>
      </c>
      <c r="N32">
        <f ca="1">AVERAGE(OFFSET(日前负荷率!$B32,,(COLUMN(AF37)-20)*4,,4))</f>
        <v>0.174093547516199</v>
      </c>
      <c r="O32">
        <f ca="1">AVERAGE(OFFSET(日前负荷率!$B32,,(COLUMN(AG37)-20)*4,,4))</f>
        <v>0.22789376349892</v>
      </c>
      <c r="P32">
        <f ca="1">AVERAGE(OFFSET(日前负荷率!$B32,,(COLUMN(AH37)-20)*4,,4))</f>
        <v>0.275277267818575</v>
      </c>
      <c r="Q32">
        <f ca="1">AVERAGE(OFFSET(日前负荷率!$B32,,(COLUMN(AI37)-20)*4,,4))</f>
        <v>0.36550782937365</v>
      </c>
      <c r="R32">
        <f ca="1">AVERAGE(OFFSET(日前负荷率!$B32,,(COLUMN(AJ37)-20)*4,,4))</f>
        <v>0.488822489200864</v>
      </c>
      <c r="S32">
        <f ca="1">AVERAGE(OFFSET(日前负荷率!$B32,,(COLUMN(AK37)-20)*4,,4))</f>
        <v>0.52416090712743</v>
      </c>
      <c r="T32">
        <f ca="1">AVERAGE(OFFSET(日前负荷率!$B32,,(COLUMN(AL37)-20)*4,,4))</f>
        <v>0.563995950323974</v>
      </c>
      <c r="U32">
        <f ca="1">AVERAGE(OFFSET(日前负荷率!$B32,,(COLUMN(AM37)-20)*4,,4))</f>
        <v>0.583943439524838</v>
      </c>
      <c r="V32">
        <f ca="1">AVERAGE(OFFSET(日前负荷率!$B32,,(COLUMN(AN37)-20)*4,,4))</f>
        <v>0.607659962203024</v>
      </c>
      <c r="W32">
        <f ca="1">AVERAGE(OFFSET(日前负荷率!$B32,,(COLUMN(AO37)-20)*4,,4))</f>
        <v>0.600063174946004</v>
      </c>
      <c r="X32">
        <f ca="1">AVERAGE(OFFSET(日前负荷率!$B32,,(COLUMN(AP37)-20)*4,,4))</f>
        <v>0.608116630669546</v>
      </c>
      <c r="Y32">
        <f ca="1">AVERAGE(OFFSET(日前负荷率!$B32,,(COLUMN(AQ37)-20)*4,,4))</f>
        <v>0.585556155507559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CS32"/>
  <sheetViews>
    <sheetView workbookViewId="0">
      <selection activeCell="H26" sqref="H26"/>
    </sheetView>
  </sheetViews>
  <sheetFormatPr defaultColWidth="9" defaultRowHeight="13.5"/>
  <cols>
    <col min="1" max="1" width="11.5" customWidth="1"/>
  </cols>
  <sheetData>
    <row r="1" spans="1:97">
      <c r="A1" s="9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9">
        <v>46235</v>
      </c>
      <c r="B2">
        <v>337.8556</v>
      </c>
      <c r="C2">
        <v>-4.8355</v>
      </c>
      <c r="D2">
        <v>-100</v>
      </c>
      <c r="E2">
        <v>-100</v>
      </c>
      <c r="F2">
        <v>-4.7167</v>
      </c>
      <c r="G2">
        <v>-80.9509</v>
      </c>
      <c r="H2">
        <v>-90.4789</v>
      </c>
      <c r="I2">
        <v>-90.4817</v>
      </c>
      <c r="J2">
        <v>-90.4818</v>
      </c>
      <c r="K2">
        <v>-100</v>
      </c>
      <c r="L2">
        <v>-100</v>
      </c>
      <c r="M2">
        <v>-100</v>
      </c>
      <c r="N2">
        <v>-100</v>
      </c>
      <c r="O2">
        <v>-100</v>
      </c>
      <c r="P2">
        <v>-100</v>
      </c>
      <c r="Q2">
        <v>-100</v>
      </c>
      <c r="R2">
        <v>-90.4952</v>
      </c>
      <c r="S2">
        <v>-90.4965</v>
      </c>
      <c r="T2">
        <v>-90.4974</v>
      </c>
      <c r="U2">
        <v>-90.5005</v>
      </c>
      <c r="V2">
        <v>-80</v>
      </c>
      <c r="W2">
        <v>0</v>
      </c>
      <c r="X2">
        <v>280</v>
      </c>
      <c r="Y2">
        <v>150</v>
      </c>
      <c r="Z2">
        <v>280</v>
      </c>
      <c r="AA2">
        <v>-100</v>
      </c>
      <c r="AB2">
        <v>-100</v>
      </c>
      <c r="AC2">
        <v>-100</v>
      </c>
      <c r="AD2">
        <v>-100</v>
      </c>
      <c r="AE2">
        <v>-86.5098</v>
      </c>
      <c r="AF2">
        <v>-82.925</v>
      </c>
      <c r="AG2">
        <v>-79.0635</v>
      </c>
      <c r="AH2">
        <v>-75.1692</v>
      </c>
      <c r="AI2">
        <v>-70.3671</v>
      </c>
      <c r="AJ2">
        <v>-67.2365</v>
      </c>
      <c r="AK2">
        <v>-64.3335</v>
      </c>
      <c r="AL2">
        <v>-61.2015</v>
      </c>
      <c r="AM2">
        <v>-59.3239</v>
      </c>
      <c r="AN2">
        <v>-57.1102</v>
      </c>
      <c r="AO2">
        <v>-56.0477</v>
      </c>
      <c r="AP2">
        <v>-55.0887</v>
      </c>
      <c r="AQ2">
        <v>-54.1551</v>
      </c>
      <c r="AR2">
        <v>-53.883</v>
      </c>
      <c r="AS2">
        <v>-53.5161</v>
      </c>
      <c r="AT2">
        <v>-53.62</v>
      </c>
      <c r="AU2">
        <v>-54.3815</v>
      </c>
      <c r="AV2">
        <v>-54.1306</v>
      </c>
      <c r="AW2">
        <v>-54.0526</v>
      </c>
      <c r="AX2">
        <v>-53.511</v>
      </c>
      <c r="AY2">
        <v>-53.4763</v>
      </c>
      <c r="AZ2">
        <v>-53.2197</v>
      </c>
      <c r="BA2">
        <v>-52.1868</v>
      </c>
      <c r="BB2">
        <v>-51.5907</v>
      </c>
      <c r="BC2">
        <v>-51.4991</v>
      </c>
      <c r="BD2">
        <v>-51.2813</v>
      </c>
      <c r="BE2">
        <v>-51.5405</v>
      </c>
      <c r="BF2">
        <v>-51.6013</v>
      </c>
      <c r="BG2">
        <v>-51.8918</v>
      </c>
      <c r="BH2">
        <v>-52.6371</v>
      </c>
      <c r="BI2">
        <v>-29.0418</v>
      </c>
      <c r="BJ2">
        <v>312.6521</v>
      </c>
      <c r="BK2">
        <v>315.6306</v>
      </c>
      <c r="BL2">
        <v>332.0311</v>
      </c>
      <c r="BM2">
        <v>342.1946</v>
      </c>
      <c r="BN2">
        <v>376.7868</v>
      </c>
      <c r="BO2">
        <v>366.9912</v>
      </c>
      <c r="BP2">
        <v>332.5831</v>
      </c>
      <c r="BQ2">
        <v>333.4617</v>
      </c>
      <c r="BR2">
        <v>334.4085</v>
      </c>
      <c r="BS2">
        <v>343.2009</v>
      </c>
      <c r="BT2">
        <v>352.2213</v>
      </c>
      <c r="BU2">
        <v>360.1304</v>
      </c>
      <c r="BV2">
        <v>358.5425</v>
      </c>
      <c r="BW2">
        <v>376.3435</v>
      </c>
      <c r="BX2">
        <v>376.0601</v>
      </c>
      <c r="BY2">
        <v>382.9105</v>
      </c>
      <c r="BZ2">
        <v>384.9866</v>
      </c>
      <c r="CA2">
        <v>396.1452</v>
      </c>
      <c r="CB2">
        <v>401.046</v>
      </c>
      <c r="CC2">
        <v>399.8571</v>
      </c>
      <c r="CD2">
        <v>395.8196</v>
      </c>
      <c r="CE2">
        <v>397.7682</v>
      </c>
      <c r="CF2">
        <v>403.8575</v>
      </c>
      <c r="CG2">
        <v>390.0838</v>
      </c>
      <c r="CH2">
        <v>434.2321</v>
      </c>
      <c r="CI2">
        <v>374.9973</v>
      </c>
      <c r="CJ2">
        <v>388.821</v>
      </c>
      <c r="CK2">
        <v>361.1316</v>
      </c>
      <c r="CL2">
        <v>361.2595</v>
      </c>
      <c r="CM2">
        <v>360.9265</v>
      </c>
      <c r="CN2">
        <v>351.1834</v>
      </c>
      <c r="CO2">
        <v>340.3589</v>
      </c>
      <c r="CP2">
        <v>340</v>
      </c>
      <c r="CQ2">
        <v>330</v>
      </c>
      <c r="CR2">
        <v>320</v>
      </c>
      <c r="CS2">
        <v>320</v>
      </c>
    </row>
    <row r="3" spans="1:97">
      <c r="A3" s="9">
        <v>46236</v>
      </c>
      <c r="B3">
        <v>1432.6489</v>
      </c>
      <c r="C3">
        <v>410</v>
      </c>
      <c r="D3">
        <v>380</v>
      </c>
      <c r="E3">
        <v>380</v>
      </c>
      <c r="F3">
        <v>380</v>
      </c>
      <c r="G3">
        <v>380</v>
      </c>
      <c r="H3">
        <v>380</v>
      </c>
      <c r="I3">
        <v>380</v>
      </c>
      <c r="J3">
        <v>380</v>
      </c>
      <c r="K3">
        <v>380</v>
      </c>
      <c r="L3">
        <v>380</v>
      </c>
      <c r="M3">
        <v>380</v>
      </c>
      <c r="N3">
        <v>380</v>
      </c>
      <c r="O3">
        <v>380</v>
      </c>
      <c r="P3">
        <v>380</v>
      </c>
      <c r="Q3">
        <v>380</v>
      </c>
      <c r="R3">
        <v>380</v>
      </c>
      <c r="S3">
        <v>380</v>
      </c>
      <c r="T3">
        <v>380</v>
      </c>
      <c r="U3">
        <v>380</v>
      </c>
      <c r="V3">
        <v>380</v>
      </c>
      <c r="W3">
        <v>360</v>
      </c>
      <c r="X3">
        <v>370</v>
      </c>
      <c r="Y3">
        <v>370</v>
      </c>
      <c r="Z3">
        <v>380</v>
      </c>
      <c r="AA3">
        <v>380</v>
      </c>
      <c r="AB3">
        <v>380</v>
      </c>
      <c r="AC3">
        <v>370</v>
      </c>
      <c r="AD3">
        <v>360</v>
      </c>
      <c r="AE3">
        <v>360</v>
      </c>
      <c r="AF3">
        <v>360</v>
      </c>
      <c r="AG3">
        <v>360.7287</v>
      </c>
      <c r="AH3">
        <v>372.4587</v>
      </c>
      <c r="AI3">
        <v>384.8772</v>
      </c>
      <c r="AJ3">
        <v>373.0699</v>
      </c>
      <c r="AK3">
        <v>378.5597</v>
      </c>
      <c r="AL3">
        <v>381.6068</v>
      </c>
      <c r="AM3">
        <v>385.0193</v>
      </c>
      <c r="AN3">
        <v>385.4162</v>
      </c>
      <c r="AO3">
        <v>378.6942</v>
      </c>
      <c r="AP3">
        <v>374.3832</v>
      </c>
      <c r="AQ3">
        <v>376.8885</v>
      </c>
      <c r="AR3">
        <v>375.9684</v>
      </c>
      <c r="AS3">
        <v>384.3046</v>
      </c>
      <c r="AT3">
        <v>383.5014</v>
      </c>
      <c r="AU3">
        <v>372.7051</v>
      </c>
      <c r="AV3">
        <v>372.7884</v>
      </c>
      <c r="AW3">
        <v>382.0276</v>
      </c>
      <c r="AX3">
        <v>382.2789</v>
      </c>
      <c r="AY3">
        <v>374.1212</v>
      </c>
      <c r="AZ3">
        <v>375.8176</v>
      </c>
      <c r="BA3">
        <v>350.4309</v>
      </c>
      <c r="BB3">
        <v>359.5227</v>
      </c>
      <c r="BC3">
        <v>359.5618</v>
      </c>
      <c r="BD3">
        <v>359.4847</v>
      </c>
      <c r="BE3">
        <v>359.3902</v>
      </c>
      <c r="BF3">
        <v>359.3949</v>
      </c>
      <c r="BG3">
        <v>359.4162</v>
      </c>
      <c r="BH3">
        <v>360.2538</v>
      </c>
      <c r="BI3">
        <v>369.6537</v>
      </c>
      <c r="BJ3">
        <v>370.1991</v>
      </c>
      <c r="BK3">
        <v>369.5224</v>
      </c>
      <c r="BL3">
        <v>369.8802</v>
      </c>
      <c r="BM3">
        <v>378.4753</v>
      </c>
      <c r="BN3">
        <v>397.3146</v>
      </c>
      <c r="BO3">
        <v>405.6834</v>
      </c>
      <c r="BP3">
        <v>396.3562</v>
      </c>
      <c r="BQ3">
        <v>386.5985</v>
      </c>
      <c r="BR3">
        <v>386.5367</v>
      </c>
      <c r="BS3">
        <v>395.7677</v>
      </c>
      <c r="BT3">
        <v>395.6642</v>
      </c>
      <c r="BU3">
        <v>404.9064</v>
      </c>
      <c r="BV3">
        <v>404.8335</v>
      </c>
      <c r="BW3">
        <v>395.542</v>
      </c>
      <c r="BX3">
        <v>395.6176</v>
      </c>
      <c r="BY3">
        <v>395.6646</v>
      </c>
      <c r="BZ3">
        <v>405.0526</v>
      </c>
      <c r="CA3">
        <v>405.1207</v>
      </c>
      <c r="CB3">
        <v>414.5144</v>
      </c>
      <c r="CC3">
        <v>417.4753</v>
      </c>
      <c r="CD3">
        <v>417.0845</v>
      </c>
      <c r="CE3">
        <v>415.73</v>
      </c>
      <c r="CF3">
        <v>413.2113</v>
      </c>
      <c r="CG3">
        <v>402.4507</v>
      </c>
      <c r="CH3">
        <v>407.252</v>
      </c>
      <c r="CI3">
        <v>420.7109</v>
      </c>
      <c r="CJ3">
        <v>403.8805</v>
      </c>
      <c r="CK3">
        <v>393.6189</v>
      </c>
      <c r="CL3">
        <v>374.3947</v>
      </c>
      <c r="CM3">
        <v>373.2427</v>
      </c>
      <c r="CN3">
        <v>362.2516</v>
      </c>
      <c r="CO3">
        <v>360.6716</v>
      </c>
      <c r="CP3">
        <v>350.3132</v>
      </c>
      <c r="CQ3">
        <v>340</v>
      </c>
      <c r="CR3">
        <v>330</v>
      </c>
      <c r="CS3">
        <v>330</v>
      </c>
    </row>
    <row r="4" spans="1:97">
      <c r="A4" s="9">
        <v>46237</v>
      </c>
      <c r="B4">
        <v>330</v>
      </c>
      <c r="C4">
        <v>330</v>
      </c>
      <c r="D4">
        <v>340</v>
      </c>
      <c r="E4">
        <v>340</v>
      </c>
      <c r="F4">
        <v>340</v>
      </c>
      <c r="G4">
        <v>340</v>
      </c>
      <c r="H4">
        <v>340</v>
      </c>
      <c r="I4">
        <v>330</v>
      </c>
      <c r="J4">
        <v>330</v>
      </c>
      <c r="K4">
        <v>330</v>
      </c>
      <c r="L4">
        <v>320</v>
      </c>
      <c r="M4">
        <v>320</v>
      </c>
      <c r="N4">
        <v>240</v>
      </c>
      <c r="O4">
        <v>240</v>
      </c>
      <c r="P4">
        <v>270</v>
      </c>
      <c r="Q4">
        <v>240</v>
      </c>
      <c r="R4">
        <v>240</v>
      </c>
      <c r="S4">
        <v>220</v>
      </c>
      <c r="T4">
        <v>300</v>
      </c>
      <c r="U4">
        <v>320</v>
      </c>
      <c r="V4">
        <v>290</v>
      </c>
      <c r="W4">
        <v>220</v>
      </c>
      <c r="X4">
        <v>-100</v>
      </c>
      <c r="Y4">
        <v>-100</v>
      </c>
      <c r="Z4">
        <v>-100</v>
      </c>
      <c r="AA4">
        <v>-100</v>
      </c>
      <c r="AB4">
        <v>-100</v>
      </c>
      <c r="AC4">
        <v>-100</v>
      </c>
      <c r="AD4">
        <v>-83.7763</v>
      </c>
      <c r="AE4">
        <v>-80.2494</v>
      </c>
      <c r="AF4">
        <v>-74.7449</v>
      </c>
      <c r="AG4">
        <v>-69.5261</v>
      </c>
      <c r="AH4">
        <v>-66.1969</v>
      </c>
      <c r="AI4">
        <v>-62.3919</v>
      </c>
      <c r="AJ4">
        <v>-59.1686</v>
      </c>
      <c r="AK4">
        <v>-46.5409</v>
      </c>
      <c r="AL4">
        <v>-44.0016</v>
      </c>
      <c r="AM4">
        <v>-41.4285</v>
      </c>
      <c r="AN4">
        <v>-40.3619</v>
      </c>
      <c r="AO4">
        <v>-39.3339</v>
      </c>
      <c r="AP4">
        <v>-36.431</v>
      </c>
      <c r="AQ4">
        <v>-36.9734</v>
      </c>
      <c r="AR4">
        <v>-36.0917</v>
      </c>
      <c r="AS4">
        <v>-36.7727</v>
      </c>
      <c r="AT4">
        <v>-47.6057</v>
      </c>
      <c r="AU4">
        <v>-48.3788</v>
      </c>
      <c r="AV4">
        <v>-49.2841</v>
      </c>
      <c r="AW4">
        <v>-49.9617</v>
      </c>
      <c r="AX4">
        <v>-50.4526</v>
      </c>
      <c r="AY4">
        <v>-50.4435</v>
      </c>
      <c r="AZ4">
        <v>-40.379</v>
      </c>
      <c r="BA4">
        <v>-39.7421</v>
      </c>
      <c r="BB4">
        <v>-38.4425</v>
      </c>
      <c r="BC4">
        <v>-39.2676</v>
      </c>
      <c r="BD4">
        <v>-39.9532</v>
      </c>
      <c r="BE4">
        <v>-40.8679</v>
      </c>
      <c r="BF4">
        <v>-40.8767</v>
      </c>
      <c r="BG4">
        <v>-41.0553</v>
      </c>
      <c r="BH4">
        <v>-40.7132</v>
      </c>
      <c r="BI4">
        <v>-40.8364</v>
      </c>
      <c r="BJ4">
        <v>-41.4642</v>
      </c>
      <c r="BK4">
        <v>-42.151</v>
      </c>
      <c r="BL4">
        <v>-41.8931</v>
      </c>
      <c r="BM4">
        <v>-42.9811</v>
      </c>
      <c r="BN4">
        <v>-43.0242</v>
      </c>
      <c r="BO4">
        <v>-27.0296</v>
      </c>
      <c r="BP4">
        <v>328.4894</v>
      </c>
      <c r="BQ4">
        <v>-47.1548</v>
      </c>
      <c r="BR4">
        <v>345.7093</v>
      </c>
      <c r="BS4">
        <v>354.6549</v>
      </c>
      <c r="BT4">
        <v>354.368</v>
      </c>
      <c r="BU4">
        <v>354.4565</v>
      </c>
      <c r="BV4">
        <v>344.9678</v>
      </c>
      <c r="BW4">
        <v>353.352</v>
      </c>
      <c r="BX4">
        <v>353.3338</v>
      </c>
      <c r="BY4">
        <v>362.2789</v>
      </c>
      <c r="BZ4">
        <v>363.0411</v>
      </c>
      <c r="CA4">
        <v>363.0382</v>
      </c>
      <c r="CB4">
        <v>354.032</v>
      </c>
      <c r="CC4">
        <v>362.8479</v>
      </c>
      <c r="CD4">
        <v>352.609</v>
      </c>
      <c r="CE4">
        <v>361.4473</v>
      </c>
      <c r="CF4">
        <v>360.9297</v>
      </c>
      <c r="CG4">
        <v>351.3911</v>
      </c>
      <c r="CH4">
        <v>332.9235</v>
      </c>
      <c r="CI4">
        <v>328.4188</v>
      </c>
      <c r="CJ4">
        <v>327.8622</v>
      </c>
      <c r="CK4">
        <v>317.9501</v>
      </c>
      <c r="CL4">
        <v>326.7155</v>
      </c>
      <c r="CM4">
        <v>306.6902</v>
      </c>
      <c r="CN4">
        <v>314.9141</v>
      </c>
      <c r="CO4">
        <v>312.9945</v>
      </c>
      <c r="CP4">
        <v>-83.3473</v>
      </c>
      <c r="CQ4">
        <v>-85.7679</v>
      </c>
      <c r="CR4">
        <v>-100</v>
      </c>
      <c r="CS4">
        <v>-100</v>
      </c>
    </row>
    <row r="5" spans="1:97">
      <c r="A5" s="9">
        <v>46238</v>
      </c>
      <c r="B5">
        <v>240</v>
      </c>
      <c r="C5">
        <v>300</v>
      </c>
      <c r="D5">
        <v>-100</v>
      </c>
      <c r="E5">
        <v>240</v>
      </c>
      <c r="F5">
        <v>320</v>
      </c>
      <c r="G5">
        <v>320</v>
      </c>
      <c r="H5">
        <v>310</v>
      </c>
      <c r="I5">
        <v>290</v>
      </c>
      <c r="J5">
        <v>310</v>
      </c>
      <c r="K5">
        <v>270</v>
      </c>
      <c r="L5">
        <v>240</v>
      </c>
      <c r="M5">
        <v>280</v>
      </c>
      <c r="N5">
        <v>0</v>
      </c>
      <c r="O5">
        <v>0</v>
      </c>
      <c r="P5">
        <v>240</v>
      </c>
      <c r="Q5">
        <v>240</v>
      </c>
      <c r="R5">
        <v>300</v>
      </c>
      <c r="S5">
        <v>300</v>
      </c>
      <c r="T5">
        <v>310</v>
      </c>
      <c r="U5">
        <v>320</v>
      </c>
      <c r="V5">
        <v>320</v>
      </c>
      <c r="W5">
        <v>320</v>
      </c>
      <c r="X5">
        <v>310</v>
      </c>
      <c r="Y5">
        <v>320</v>
      </c>
      <c r="Z5">
        <v>330</v>
      </c>
      <c r="AA5">
        <v>330</v>
      </c>
      <c r="AB5">
        <v>330</v>
      </c>
      <c r="AC5">
        <v>330</v>
      </c>
      <c r="AD5">
        <v>302.4735</v>
      </c>
      <c r="AE5">
        <v>294.267</v>
      </c>
      <c r="AF5">
        <v>249.7079</v>
      </c>
      <c r="AG5">
        <v>252.0724</v>
      </c>
      <c r="AH5">
        <v>325.8607</v>
      </c>
      <c r="AI5">
        <v>45.7481</v>
      </c>
      <c r="AJ5">
        <v>-41.1385</v>
      </c>
      <c r="AK5">
        <v>-39.3182</v>
      </c>
      <c r="AL5">
        <v>-37.67</v>
      </c>
      <c r="AM5">
        <v>-34.329</v>
      </c>
      <c r="AN5">
        <v>-32.9808</v>
      </c>
      <c r="AO5">
        <v>-32.0136</v>
      </c>
      <c r="AP5">
        <v>-31.3427</v>
      </c>
      <c r="AQ5">
        <v>-30.8609</v>
      </c>
      <c r="AR5">
        <v>-29.9321</v>
      </c>
      <c r="AS5">
        <v>-30.472</v>
      </c>
      <c r="AT5">
        <v>-30.8017</v>
      </c>
      <c r="AU5">
        <v>-32.9841</v>
      </c>
      <c r="AV5">
        <v>-35.3395</v>
      </c>
      <c r="AW5">
        <v>-35.6961</v>
      </c>
      <c r="AX5">
        <v>-35.8269</v>
      </c>
      <c r="AY5">
        <v>-34.5533</v>
      </c>
      <c r="AZ5">
        <v>-33.0243</v>
      </c>
      <c r="BA5">
        <v>-32.87</v>
      </c>
      <c r="BB5">
        <v>-33.388</v>
      </c>
      <c r="BC5">
        <v>-33.1658</v>
      </c>
      <c r="BD5">
        <v>-32.6165</v>
      </c>
      <c r="BE5">
        <v>-32.2483</v>
      </c>
      <c r="BF5">
        <v>-33.4999</v>
      </c>
      <c r="BG5">
        <v>-34.4197</v>
      </c>
      <c r="BH5">
        <v>-9.2678</v>
      </c>
      <c r="BI5">
        <v>-23.0289</v>
      </c>
      <c r="BJ5">
        <v>300.225</v>
      </c>
      <c r="BK5">
        <v>322.0609</v>
      </c>
      <c r="BL5">
        <v>344.7287</v>
      </c>
      <c r="BM5">
        <v>348.8766</v>
      </c>
      <c r="BN5">
        <v>368.0521</v>
      </c>
      <c r="BO5">
        <v>367.6071</v>
      </c>
      <c r="BP5">
        <v>373.0981</v>
      </c>
      <c r="BQ5">
        <v>367.5834</v>
      </c>
      <c r="BR5">
        <v>362.1907</v>
      </c>
      <c r="BS5">
        <v>374.805</v>
      </c>
      <c r="BT5">
        <v>349.1703</v>
      </c>
      <c r="BU5">
        <v>348.9063</v>
      </c>
      <c r="BV5">
        <v>357.0677</v>
      </c>
      <c r="BW5">
        <v>356.8127</v>
      </c>
      <c r="BX5">
        <v>365.2183</v>
      </c>
      <c r="BY5">
        <v>364.9125</v>
      </c>
      <c r="BZ5">
        <v>364.965</v>
      </c>
      <c r="CA5">
        <v>364.9474</v>
      </c>
      <c r="CB5">
        <v>374.8208</v>
      </c>
      <c r="CC5">
        <v>373.8706</v>
      </c>
      <c r="CD5">
        <v>364.3884</v>
      </c>
      <c r="CE5">
        <v>373.0402</v>
      </c>
      <c r="CF5">
        <v>372.6497</v>
      </c>
      <c r="CG5">
        <v>372.3651</v>
      </c>
      <c r="CH5">
        <v>371.9181</v>
      </c>
      <c r="CI5">
        <v>370.369</v>
      </c>
      <c r="CJ5">
        <v>369.3615</v>
      </c>
      <c r="CK5">
        <v>365.6442</v>
      </c>
      <c r="CL5">
        <v>364.2719</v>
      </c>
      <c r="CM5">
        <v>373.0082</v>
      </c>
      <c r="CN5">
        <v>372.3168</v>
      </c>
      <c r="CO5">
        <v>361.3134</v>
      </c>
      <c r="CP5">
        <v>360.3873</v>
      </c>
      <c r="CQ5">
        <v>360</v>
      </c>
      <c r="CR5">
        <v>350</v>
      </c>
      <c r="CS5">
        <v>350</v>
      </c>
    </row>
    <row r="6" spans="1:97">
      <c r="A6" s="9">
        <v>46239</v>
      </c>
      <c r="B6">
        <v>350</v>
      </c>
      <c r="C6">
        <v>350</v>
      </c>
      <c r="D6">
        <v>350</v>
      </c>
      <c r="E6">
        <v>350</v>
      </c>
      <c r="F6">
        <v>360</v>
      </c>
      <c r="G6">
        <v>360</v>
      </c>
      <c r="H6">
        <v>360</v>
      </c>
      <c r="I6">
        <v>360</v>
      </c>
      <c r="J6">
        <v>360</v>
      </c>
      <c r="K6">
        <v>350</v>
      </c>
      <c r="L6">
        <v>350</v>
      </c>
      <c r="M6">
        <v>350</v>
      </c>
      <c r="N6">
        <v>350</v>
      </c>
      <c r="O6">
        <v>350</v>
      </c>
      <c r="P6">
        <v>350</v>
      </c>
      <c r="Q6">
        <v>350</v>
      </c>
      <c r="R6">
        <v>350</v>
      </c>
      <c r="S6">
        <v>350</v>
      </c>
      <c r="T6">
        <v>350</v>
      </c>
      <c r="U6">
        <v>350</v>
      </c>
      <c r="V6">
        <v>340</v>
      </c>
      <c r="W6">
        <v>350</v>
      </c>
      <c r="X6">
        <v>350</v>
      </c>
      <c r="Y6">
        <v>350</v>
      </c>
      <c r="Z6">
        <v>340</v>
      </c>
      <c r="AA6">
        <v>350</v>
      </c>
      <c r="AB6">
        <v>350</v>
      </c>
      <c r="AC6">
        <v>350</v>
      </c>
      <c r="AD6">
        <v>351.2799</v>
      </c>
      <c r="AE6">
        <v>353.8363</v>
      </c>
      <c r="AF6">
        <v>355.4305</v>
      </c>
      <c r="AG6">
        <v>347.5885</v>
      </c>
      <c r="AH6">
        <v>365.2485</v>
      </c>
      <c r="AI6">
        <v>348.7937</v>
      </c>
      <c r="AJ6">
        <v>380.9251</v>
      </c>
      <c r="AK6">
        <v>391.8533</v>
      </c>
      <c r="AL6">
        <v>384.924</v>
      </c>
      <c r="AM6">
        <v>403.1719</v>
      </c>
      <c r="AN6">
        <v>400.815</v>
      </c>
      <c r="AO6">
        <v>401.0898</v>
      </c>
      <c r="AP6">
        <v>386.7322</v>
      </c>
      <c r="AQ6">
        <v>384.1954</v>
      </c>
      <c r="AR6">
        <v>385.2041</v>
      </c>
      <c r="AS6">
        <v>376.8868</v>
      </c>
      <c r="AT6">
        <v>376.6773</v>
      </c>
      <c r="AU6">
        <v>376.0169</v>
      </c>
      <c r="AV6">
        <v>404.3392</v>
      </c>
      <c r="AW6">
        <v>403.4528</v>
      </c>
      <c r="AX6">
        <v>374.2569</v>
      </c>
      <c r="AY6">
        <v>374.7335</v>
      </c>
      <c r="AZ6">
        <v>375.1177</v>
      </c>
      <c r="BA6">
        <v>375.3253</v>
      </c>
      <c r="BB6">
        <v>366.6489</v>
      </c>
      <c r="BC6">
        <v>375.3154</v>
      </c>
      <c r="BD6">
        <v>374.942</v>
      </c>
      <c r="BE6">
        <v>374.6792</v>
      </c>
      <c r="BF6">
        <v>383.3382</v>
      </c>
      <c r="BG6">
        <v>383.5096</v>
      </c>
      <c r="BH6">
        <v>384.9242</v>
      </c>
      <c r="BI6">
        <v>369.2533</v>
      </c>
      <c r="BJ6">
        <v>379.6898</v>
      </c>
      <c r="BK6">
        <v>382.3725</v>
      </c>
      <c r="BL6">
        <v>382.7615</v>
      </c>
      <c r="BM6">
        <v>384.7432</v>
      </c>
      <c r="BN6">
        <v>399.8998</v>
      </c>
      <c r="BO6">
        <v>385.5262</v>
      </c>
      <c r="BP6">
        <v>389.8477</v>
      </c>
      <c r="BQ6">
        <v>388.9143</v>
      </c>
      <c r="BR6">
        <v>396.7814</v>
      </c>
      <c r="BS6">
        <v>404.708</v>
      </c>
      <c r="BT6">
        <v>404.4129</v>
      </c>
      <c r="BU6">
        <v>403.8329</v>
      </c>
      <c r="BV6">
        <v>395.9088</v>
      </c>
      <c r="BW6">
        <v>403.9686</v>
      </c>
      <c r="BX6">
        <v>403.7122</v>
      </c>
      <c r="BY6">
        <v>402.7738</v>
      </c>
      <c r="BZ6">
        <v>411.0954</v>
      </c>
      <c r="CA6">
        <v>419.4042</v>
      </c>
      <c r="CB6">
        <v>461.337</v>
      </c>
      <c r="CC6">
        <v>435.8865</v>
      </c>
      <c r="CD6">
        <v>427.2287</v>
      </c>
      <c r="CE6">
        <v>460.4747</v>
      </c>
      <c r="CF6">
        <v>458.7737</v>
      </c>
      <c r="CG6">
        <v>502.3304</v>
      </c>
      <c r="CH6">
        <v>521.0034</v>
      </c>
      <c r="CI6">
        <v>471.6189</v>
      </c>
      <c r="CJ6">
        <v>503.1591</v>
      </c>
      <c r="CK6">
        <v>485.9228</v>
      </c>
      <c r="CL6">
        <v>461.5618</v>
      </c>
      <c r="CM6">
        <v>464.8572</v>
      </c>
      <c r="CN6">
        <v>463.8645</v>
      </c>
      <c r="CO6">
        <v>476.7075</v>
      </c>
      <c r="CP6">
        <v>425.6143</v>
      </c>
      <c r="CQ6">
        <v>439.3413</v>
      </c>
      <c r="CR6">
        <v>429.6697</v>
      </c>
      <c r="CS6">
        <v>400</v>
      </c>
    </row>
    <row r="7" spans="1:97">
      <c r="A7" s="9">
        <v>46240</v>
      </c>
      <c r="B7">
        <v>380</v>
      </c>
      <c r="C7">
        <v>400</v>
      </c>
      <c r="D7">
        <v>400</v>
      </c>
      <c r="E7">
        <v>409.6806</v>
      </c>
      <c r="F7">
        <v>438.7354</v>
      </c>
      <c r="G7">
        <v>438.739</v>
      </c>
      <c r="H7">
        <v>447.8158</v>
      </c>
      <c r="I7">
        <v>447.8217</v>
      </c>
      <c r="J7">
        <v>428.4277</v>
      </c>
      <c r="K7">
        <v>416.7384</v>
      </c>
      <c r="L7">
        <v>409.0483</v>
      </c>
      <c r="M7">
        <v>390</v>
      </c>
      <c r="N7">
        <v>380</v>
      </c>
      <c r="O7">
        <v>380</v>
      </c>
      <c r="P7">
        <v>380</v>
      </c>
      <c r="Q7">
        <v>380</v>
      </c>
      <c r="R7">
        <v>380</v>
      </c>
      <c r="S7">
        <v>380</v>
      </c>
      <c r="T7">
        <v>380</v>
      </c>
      <c r="U7">
        <v>390</v>
      </c>
      <c r="V7">
        <v>390</v>
      </c>
      <c r="W7">
        <v>419.3607</v>
      </c>
      <c r="X7">
        <v>429.0458</v>
      </c>
      <c r="Y7">
        <v>448.4265</v>
      </c>
      <c r="Z7">
        <v>458.1109</v>
      </c>
      <c r="AA7">
        <v>458.7398</v>
      </c>
      <c r="AB7">
        <v>449.0522</v>
      </c>
      <c r="AC7">
        <v>420</v>
      </c>
      <c r="AD7">
        <v>390</v>
      </c>
      <c r="AE7">
        <v>400</v>
      </c>
      <c r="AF7">
        <v>402.3712</v>
      </c>
      <c r="AG7">
        <v>414.2762</v>
      </c>
      <c r="AH7">
        <v>422.2875</v>
      </c>
      <c r="AI7">
        <v>411.4636</v>
      </c>
      <c r="AJ7">
        <v>404.5325</v>
      </c>
      <c r="AK7">
        <v>406.4777</v>
      </c>
      <c r="AL7">
        <v>381.3076</v>
      </c>
      <c r="AM7">
        <v>381.9234</v>
      </c>
      <c r="AN7">
        <v>382.3233</v>
      </c>
      <c r="AO7">
        <v>382.5965</v>
      </c>
      <c r="AP7">
        <v>375.2753</v>
      </c>
      <c r="AQ7">
        <v>384.3875</v>
      </c>
      <c r="AR7">
        <v>375.6872</v>
      </c>
      <c r="AS7">
        <v>375.8412</v>
      </c>
      <c r="AT7">
        <v>366.5166</v>
      </c>
      <c r="AU7">
        <v>374.5532</v>
      </c>
      <c r="AV7">
        <v>373.7216</v>
      </c>
      <c r="AW7">
        <v>372.4619</v>
      </c>
      <c r="AX7">
        <v>372.4179</v>
      </c>
      <c r="AY7">
        <v>373.6302</v>
      </c>
      <c r="AZ7">
        <v>374.1942</v>
      </c>
      <c r="BA7">
        <v>374.6125</v>
      </c>
      <c r="BB7">
        <v>385.3196</v>
      </c>
      <c r="BC7">
        <v>385.1821</v>
      </c>
      <c r="BD7">
        <v>384.9349</v>
      </c>
      <c r="BE7">
        <v>393.6779</v>
      </c>
      <c r="BF7">
        <v>393.2986</v>
      </c>
      <c r="BG7">
        <v>393.0068</v>
      </c>
      <c r="BH7">
        <v>401.091</v>
      </c>
      <c r="BI7">
        <v>400.9485</v>
      </c>
      <c r="BJ7">
        <v>401.4245</v>
      </c>
      <c r="BK7">
        <v>401.433</v>
      </c>
      <c r="BL7">
        <v>401.1486</v>
      </c>
      <c r="BM7">
        <v>409.7888</v>
      </c>
      <c r="BN7">
        <v>401.8346</v>
      </c>
      <c r="BO7">
        <v>410.0034</v>
      </c>
      <c r="BP7">
        <v>409.4738</v>
      </c>
      <c r="BQ7">
        <v>408.4624</v>
      </c>
      <c r="BR7">
        <v>407.5192</v>
      </c>
      <c r="BS7">
        <v>405.9909</v>
      </c>
      <c r="BT7">
        <v>438.0683</v>
      </c>
      <c r="BU7">
        <v>506.5153</v>
      </c>
      <c r="BV7">
        <v>496.3175</v>
      </c>
      <c r="BW7">
        <v>492.4341</v>
      </c>
      <c r="BX7">
        <v>505.949</v>
      </c>
      <c r="BY7">
        <v>412.3513</v>
      </c>
      <c r="BZ7">
        <v>429.5861</v>
      </c>
      <c r="CA7">
        <v>438.1328</v>
      </c>
      <c r="CB7">
        <v>429.7586</v>
      </c>
      <c r="CC7">
        <v>412.8117</v>
      </c>
      <c r="CD7">
        <v>413.1263</v>
      </c>
      <c r="CE7">
        <v>412.3147</v>
      </c>
      <c r="CF7">
        <v>421.7013</v>
      </c>
      <c r="CG7">
        <v>419.141</v>
      </c>
      <c r="CH7">
        <v>409.2926</v>
      </c>
      <c r="CI7">
        <v>453.0602</v>
      </c>
      <c r="CJ7">
        <v>410.3491</v>
      </c>
      <c r="CK7">
        <v>367.3006</v>
      </c>
      <c r="CL7">
        <v>378.9916</v>
      </c>
      <c r="CM7">
        <v>355.2513</v>
      </c>
      <c r="CN7">
        <v>353.8407</v>
      </c>
      <c r="CO7">
        <v>351.7448</v>
      </c>
      <c r="CP7">
        <v>350.7807</v>
      </c>
      <c r="CQ7">
        <v>350</v>
      </c>
      <c r="CR7">
        <v>340</v>
      </c>
      <c r="CS7">
        <v>330</v>
      </c>
    </row>
    <row r="8" spans="1:97">
      <c r="A8" s="9">
        <v>46241</v>
      </c>
      <c r="B8">
        <v>340</v>
      </c>
      <c r="C8">
        <v>330</v>
      </c>
      <c r="D8">
        <v>330</v>
      </c>
      <c r="E8">
        <v>330</v>
      </c>
      <c r="F8">
        <v>340</v>
      </c>
      <c r="G8">
        <v>330</v>
      </c>
      <c r="H8">
        <v>320</v>
      </c>
      <c r="I8">
        <v>290</v>
      </c>
      <c r="J8">
        <v>330</v>
      </c>
      <c r="K8">
        <v>310</v>
      </c>
      <c r="L8">
        <v>310</v>
      </c>
      <c r="M8">
        <v>-100</v>
      </c>
      <c r="N8">
        <v>-100</v>
      </c>
      <c r="O8">
        <v>-100</v>
      </c>
      <c r="P8">
        <v>-100</v>
      </c>
      <c r="Q8">
        <v>-100</v>
      </c>
      <c r="R8">
        <v>-100</v>
      </c>
      <c r="S8">
        <v>-100</v>
      </c>
      <c r="T8">
        <v>-100</v>
      </c>
      <c r="U8">
        <v>-100</v>
      </c>
      <c r="V8">
        <v>-100</v>
      </c>
      <c r="W8">
        <v>-100</v>
      </c>
      <c r="X8">
        <v>-100</v>
      </c>
      <c r="Y8">
        <v>-100</v>
      </c>
      <c r="Z8">
        <v>-100</v>
      </c>
      <c r="AA8">
        <v>-100</v>
      </c>
      <c r="AB8">
        <v>-100</v>
      </c>
      <c r="AC8">
        <v>-100</v>
      </c>
      <c r="AD8">
        <v>-81.2991</v>
      </c>
      <c r="AE8">
        <v>-77.3861</v>
      </c>
      <c r="AF8">
        <v>-71.8563</v>
      </c>
      <c r="AG8">
        <v>-65.3273</v>
      </c>
      <c r="AH8">
        <v>-60.8454</v>
      </c>
      <c r="AI8">
        <v>-53.082</v>
      </c>
      <c r="AJ8">
        <v>-49.0109</v>
      </c>
      <c r="AK8">
        <v>-34.607</v>
      </c>
      <c r="AL8">
        <v>-30.9573</v>
      </c>
      <c r="AM8">
        <v>-27.8144</v>
      </c>
      <c r="AN8">
        <v>-26.0196</v>
      </c>
      <c r="AO8">
        <v>-25.5221</v>
      </c>
      <c r="AP8">
        <v>-35.7196</v>
      </c>
      <c r="AQ8">
        <v>-22.2675</v>
      </c>
      <c r="AR8">
        <v>-34.834</v>
      </c>
      <c r="AS8">
        <v>-36.0822</v>
      </c>
      <c r="AT8">
        <v>-36.6056</v>
      </c>
      <c r="AU8">
        <v>-37.6444</v>
      </c>
      <c r="AV8">
        <v>-39.4321</v>
      </c>
      <c r="AW8">
        <v>-40.4576</v>
      </c>
      <c r="AX8">
        <v>-42.3607</v>
      </c>
      <c r="AY8">
        <v>-42.0899</v>
      </c>
      <c r="AZ8">
        <v>-41.8081</v>
      </c>
      <c r="BA8">
        <v>-41.5566</v>
      </c>
      <c r="BB8">
        <v>-40.1974</v>
      </c>
      <c r="BC8">
        <v>-39.8481</v>
      </c>
      <c r="BD8">
        <v>-39.4046</v>
      </c>
      <c r="BE8">
        <v>-38.4488</v>
      </c>
      <c r="BF8">
        <v>-38.1454</v>
      </c>
      <c r="BG8">
        <v>-37.4461</v>
      </c>
      <c r="BH8">
        <v>-37.1256</v>
      </c>
      <c r="BI8">
        <v>-36.3606</v>
      </c>
      <c r="BJ8">
        <v>-37.5822</v>
      </c>
      <c r="BK8">
        <v>-38.9133</v>
      </c>
      <c r="BL8">
        <v>-39.4389</v>
      </c>
      <c r="BM8">
        <v>-39.8904</v>
      </c>
      <c r="BN8">
        <v>-40.5157</v>
      </c>
      <c r="BO8">
        <v>-41.3658</v>
      </c>
      <c r="BP8">
        <v>-42.2107</v>
      </c>
      <c r="BQ8">
        <v>-43.8977</v>
      </c>
      <c r="BR8">
        <v>-44.7847</v>
      </c>
      <c r="BS8">
        <v>-45.127</v>
      </c>
      <c r="BT8">
        <v>-45.3642</v>
      </c>
      <c r="BU8">
        <v>-46.6045</v>
      </c>
      <c r="BV8">
        <v>-48.2265</v>
      </c>
      <c r="BW8">
        <v>-48.8015</v>
      </c>
      <c r="BX8">
        <v>-49.0959</v>
      </c>
      <c r="BY8">
        <v>-49.1381</v>
      </c>
      <c r="BZ8">
        <v>-49.7306</v>
      </c>
      <c r="CA8">
        <v>-49.7029</v>
      </c>
      <c r="CB8">
        <v>-49.8802</v>
      </c>
      <c r="CC8">
        <v>-50.1054</v>
      </c>
      <c r="CD8">
        <v>-50.0473</v>
      </c>
      <c r="CE8">
        <v>-51.4573</v>
      </c>
      <c r="CF8">
        <v>-52.8965</v>
      </c>
      <c r="CG8">
        <v>-54.7999</v>
      </c>
      <c r="CH8">
        <v>-56.7517</v>
      </c>
      <c r="CI8">
        <v>-61.2743</v>
      </c>
      <c r="CJ8">
        <v>-65.2985</v>
      </c>
      <c r="CK8">
        <v>-68.8456</v>
      </c>
      <c r="CL8">
        <v>-70.4942</v>
      </c>
      <c r="CM8">
        <v>-74.2309</v>
      </c>
      <c r="CN8">
        <v>-77.2838</v>
      </c>
      <c r="CO8">
        <v>-80.9254</v>
      </c>
      <c r="CP8">
        <v>-83.3253</v>
      </c>
      <c r="CQ8">
        <v>-96.7491</v>
      </c>
      <c r="CR8">
        <v>-100</v>
      </c>
      <c r="CS8">
        <v>-100</v>
      </c>
    </row>
    <row r="9" spans="1:97">
      <c r="A9" s="9">
        <v>46242</v>
      </c>
      <c r="B9">
        <v>320</v>
      </c>
      <c r="C9">
        <v>60</v>
      </c>
      <c r="D9">
        <v>88.2472</v>
      </c>
      <c r="E9">
        <v>93.3312</v>
      </c>
      <c r="F9">
        <v>115.9558</v>
      </c>
      <c r="G9">
        <v>91.7508</v>
      </c>
      <c r="H9">
        <v>87.8722</v>
      </c>
      <c r="I9">
        <v>-2.896</v>
      </c>
      <c r="J9">
        <v>-2.6479</v>
      </c>
      <c r="K9">
        <v>-100</v>
      </c>
      <c r="L9">
        <v>-100</v>
      </c>
      <c r="M9">
        <v>-100</v>
      </c>
      <c r="N9">
        <v>-100</v>
      </c>
      <c r="O9">
        <v>-100</v>
      </c>
      <c r="P9">
        <v>-100</v>
      </c>
      <c r="Q9">
        <v>-100</v>
      </c>
      <c r="R9">
        <v>-100</v>
      </c>
      <c r="S9">
        <v>-100</v>
      </c>
      <c r="T9">
        <v>-100</v>
      </c>
      <c r="U9">
        <v>-100</v>
      </c>
      <c r="V9">
        <v>-100</v>
      </c>
      <c r="W9">
        <v>-100</v>
      </c>
      <c r="X9">
        <v>-100</v>
      </c>
      <c r="Y9">
        <v>-100</v>
      </c>
      <c r="Z9">
        <v>-100</v>
      </c>
      <c r="AA9">
        <v>-100</v>
      </c>
      <c r="AB9">
        <v>-100</v>
      </c>
      <c r="AC9">
        <v>-100</v>
      </c>
      <c r="AD9">
        <v>-86.678</v>
      </c>
      <c r="AE9">
        <v>-83.3367</v>
      </c>
      <c r="AF9">
        <v>-78.4294</v>
      </c>
      <c r="AG9">
        <v>-72.4017</v>
      </c>
      <c r="AH9">
        <v>-68.4543</v>
      </c>
      <c r="AI9">
        <v>-65.2121</v>
      </c>
      <c r="AJ9">
        <v>-58.2385</v>
      </c>
      <c r="AK9">
        <v>-54.2494</v>
      </c>
      <c r="AL9">
        <v>-50.6211</v>
      </c>
      <c r="AM9">
        <v>-48.8988</v>
      </c>
      <c r="AN9">
        <v>-47.0678</v>
      </c>
      <c r="AO9">
        <v>-44.9549</v>
      </c>
      <c r="AP9">
        <v>-43.2376</v>
      </c>
      <c r="AQ9">
        <v>-42.5261</v>
      </c>
      <c r="AR9">
        <v>-41.8176</v>
      </c>
      <c r="AS9">
        <v>-40.7723</v>
      </c>
      <c r="AT9">
        <v>-40.3959</v>
      </c>
      <c r="AU9">
        <v>-40.3417</v>
      </c>
      <c r="AV9">
        <v>-41.1753</v>
      </c>
      <c r="AW9">
        <v>-41.7581</v>
      </c>
      <c r="AX9">
        <v>-42.4992</v>
      </c>
      <c r="AY9">
        <v>-42.3135</v>
      </c>
      <c r="AZ9">
        <v>-41.8725</v>
      </c>
      <c r="BA9">
        <v>-42.2449</v>
      </c>
      <c r="BB9">
        <v>-41.349</v>
      </c>
      <c r="BC9">
        <v>-41.8398</v>
      </c>
      <c r="BD9">
        <v>-42.2134</v>
      </c>
      <c r="BE9">
        <v>-42.6429</v>
      </c>
      <c r="BF9">
        <v>-41.1642</v>
      </c>
      <c r="BG9">
        <v>-41.4908</v>
      </c>
      <c r="BH9">
        <v>-41.6614</v>
      </c>
      <c r="BI9">
        <v>-43.577</v>
      </c>
      <c r="BJ9">
        <v>-44.4752</v>
      </c>
      <c r="BK9">
        <v>-45.2695</v>
      </c>
      <c r="BL9">
        <v>-44.5846</v>
      </c>
      <c r="BM9">
        <v>-45.7639</v>
      </c>
      <c r="BN9">
        <v>359.625</v>
      </c>
      <c r="BO9">
        <v>359.3661</v>
      </c>
      <c r="BP9">
        <v>367.9206</v>
      </c>
      <c r="BQ9">
        <v>367.3539</v>
      </c>
      <c r="BR9">
        <v>367.6386</v>
      </c>
      <c r="BS9">
        <v>367.3506</v>
      </c>
      <c r="BT9">
        <v>376.4527</v>
      </c>
      <c r="BU9">
        <v>385.5564</v>
      </c>
      <c r="BV9">
        <v>376.326</v>
      </c>
      <c r="BW9">
        <v>376.4093</v>
      </c>
      <c r="BX9">
        <v>385.7861</v>
      </c>
      <c r="BY9">
        <v>368.118</v>
      </c>
      <c r="BZ9">
        <v>368.5785</v>
      </c>
      <c r="CA9">
        <v>368.6747</v>
      </c>
      <c r="CB9">
        <v>368.6839</v>
      </c>
      <c r="CC9">
        <v>368.4163</v>
      </c>
      <c r="CD9">
        <v>367.9564</v>
      </c>
      <c r="CE9">
        <v>367.6827</v>
      </c>
      <c r="CF9">
        <v>357.5937</v>
      </c>
      <c r="CG9">
        <v>356.5902</v>
      </c>
      <c r="CH9">
        <v>355.4546</v>
      </c>
      <c r="CI9">
        <v>332.4593</v>
      </c>
      <c r="CJ9">
        <v>331.7473</v>
      </c>
      <c r="CK9">
        <v>330.0389</v>
      </c>
      <c r="CL9">
        <v>339.1015</v>
      </c>
      <c r="CM9">
        <v>327.5269</v>
      </c>
      <c r="CN9">
        <v>334.5885</v>
      </c>
      <c r="CO9">
        <v>334.1505</v>
      </c>
      <c r="CP9">
        <v>341.1076</v>
      </c>
      <c r="CQ9">
        <v>330.3395</v>
      </c>
      <c r="CR9">
        <v>310</v>
      </c>
      <c r="CS9">
        <v>250</v>
      </c>
    </row>
    <row r="10" spans="1:97">
      <c r="A10" s="9">
        <v>46243</v>
      </c>
      <c r="B10">
        <v>330</v>
      </c>
      <c r="C10">
        <v>330</v>
      </c>
      <c r="D10">
        <v>330</v>
      </c>
      <c r="E10">
        <v>330</v>
      </c>
      <c r="F10">
        <v>340</v>
      </c>
      <c r="G10">
        <v>340</v>
      </c>
      <c r="H10">
        <v>340</v>
      </c>
      <c r="I10">
        <v>340</v>
      </c>
      <c r="J10">
        <v>330</v>
      </c>
      <c r="K10">
        <v>330</v>
      </c>
      <c r="L10">
        <v>330</v>
      </c>
      <c r="M10">
        <v>330</v>
      </c>
      <c r="N10">
        <v>330</v>
      </c>
      <c r="O10">
        <v>330</v>
      </c>
      <c r="P10">
        <v>330</v>
      </c>
      <c r="Q10">
        <v>330</v>
      </c>
      <c r="R10">
        <v>320</v>
      </c>
      <c r="S10">
        <v>320</v>
      </c>
      <c r="T10">
        <v>330</v>
      </c>
      <c r="U10">
        <v>330</v>
      </c>
      <c r="V10">
        <v>330</v>
      </c>
      <c r="W10">
        <v>330</v>
      </c>
      <c r="X10">
        <v>340</v>
      </c>
      <c r="Y10">
        <v>340</v>
      </c>
      <c r="Z10">
        <v>350</v>
      </c>
      <c r="AA10">
        <v>350</v>
      </c>
      <c r="AB10">
        <v>350</v>
      </c>
      <c r="AC10">
        <v>340</v>
      </c>
      <c r="AD10">
        <v>320</v>
      </c>
      <c r="AE10">
        <v>320</v>
      </c>
      <c r="AF10">
        <v>320</v>
      </c>
      <c r="AG10">
        <v>321.6705</v>
      </c>
      <c r="AH10">
        <v>324.8737</v>
      </c>
      <c r="AI10">
        <v>297.7335</v>
      </c>
      <c r="AJ10">
        <v>303.0728</v>
      </c>
      <c r="AK10">
        <v>-58.1058</v>
      </c>
      <c r="AL10">
        <v>-53.376</v>
      </c>
      <c r="AM10">
        <v>-49.9901</v>
      </c>
      <c r="AN10">
        <v>-43.1898</v>
      </c>
      <c r="AO10">
        <v>-40.1641</v>
      </c>
      <c r="AP10">
        <v>-38.4678</v>
      </c>
      <c r="AQ10">
        <v>-35.7721</v>
      </c>
      <c r="AR10">
        <v>-34.9306</v>
      </c>
      <c r="AS10">
        <v>-34.4483</v>
      </c>
      <c r="AT10">
        <v>-33.9494</v>
      </c>
      <c r="AU10">
        <v>-34.3826</v>
      </c>
      <c r="AV10">
        <v>-34.6405</v>
      </c>
      <c r="AW10">
        <v>-35.3935</v>
      </c>
      <c r="AX10">
        <v>-35.6976</v>
      </c>
      <c r="AY10">
        <v>-35.758</v>
      </c>
      <c r="AZ10">
        <v>-35.6885</v>
      </c>
      <c r="BA10">
        <v>-35.363</v>
      </c>
      <c r="BB10">
        <v>-35.4054</v>
      </c>
      <c r="BC10">
        <v>319.2133</v>
      </c>
      <c r="BD10">
        <v>319.2696</v>
      </c>
      <c r="BE10">
        <v>328.7301</v>
      </c>
      <c r="BF10">
        <v>346.493</v>
      </c>
      <c r="BG10">
        <v>346.3683</v>
      </c>
      <c r="BH10">
        <v>329.1761</v>
      </c>
      <c r="BI10">
        <v>329.2455</v>
      </c>
      <c r="BJ10">
        <v>356.3183</v>
      </c>
      <c r="BK10">
        <v>347.1315</v>
      </c>
      <c r="BL10">
        <v>355.4833</v>
      </c>
      <c r="BM10">
        <v>364.1514</v>
      </c>
      <c r="BN10">
        <v>372.4931</v>
      </c>
      <c r="BO10">
        <v>372.3054</v>
      </c>
      <c r="BP10">
        <v>381.7611</v>
      </c>
      <c r="BQ10">
        <v>389.9977</v>
      </c>
      <c r="BR10">
        <v>398.6854</v>
      </c>
      <c r="BS10">
        <v>407.6398</v>
      </c>
      <c r="BT10">
        <v>424.3278</v>
      </c>
      <c r="BU10">
        <v>441.8239</v>
      </c>
      <c r="BV10">
        <v>458.5138</v>
      </c>
      <c r="BW10">
        <v>458.2801</v>
      </c>
      <c r="BX10">
        <v>458.1224</v>
      </c>
      <c r="BY10">
        <v>412.7976</v>
      </c>
      <c r="BZ10">
        <v>413.8869</v>
      </c>
      <c r="CA10">
        <v>413.9364</v>
      </c>
      <c r="CB10">
        <v>405.117</v>
      </c>
      <c r="CC10">
        <v>405.0737</v>
      </c>
      <c r="CD10">
        <v>404.9416</v>
      </c>
      <c r="CE10">
        <v>403.8791</v>
      </c>
      <c r="CF10">
        <v>412.3714</v>
      </c>
      <c r="CG10">
        <v>407.6445</v>
      </c>
      <c r="CH10">
        <v>388.4309</v>
      </c>
      <c r="CI10">
        <v>378.1496</v>
      </c>
      <c r="CJ10">
        <v>377.6271</v>
      </c>
      <c r="CK10">
        <v>366.1719</v>
      </c>
      <c r="CL10">
        <v>364.0808</v>
      </c>
      <c r="CM10">
        <v>363.5022</v>
      </c>
      <c r="CN10">
        <v>370</v>
      </c>
      <c r="CO10">
        <v>370</v>
      </c>
      <c r="CP10">
        <v>370</v>
      </c>
      <c r="CQ10">
        <v>360</v>
      </c>
      <c r="CR10">
        <v>350</v>
      </c>
      <c r="CS10">
        <v>340</v>
      </c>
    </row>
    <row r="11" spans="1:97">
      <c r="A11" s="9">
        <v>46244</v>
      </c>
      <c r="B11">
        <v>340</v>
      </c>
      <c r="C11">
        <v>330</v>
      </c>
      <c r="D11">
        <v>330</v>
      </c>
      <c r="E11">
        <v>330</v>
      </c>
      <c r="F11">
        <v>330</v>
      </c>
      <c r="G11">
        <v>340</v>
      </c>
      <c r="H11">
        <v>330</v>
      </c>
      <c r="I11">
        <v>330</v>
      </c>
      <c r="J11">
        <v>330</v>
      </c>
      <c r="K11">
        <v>320</v>
      </c>
      <c r="L11">
        <v>320</v>
      </c>
      <c r="M11">
        <v>320</v>
      </c>
      <c r="N11">
        <v>320</v>
      </c>
      <c r="O11">
        <v>320</v>
      </c>
      <c r="P11">
        <v>320</v>
      </c>
      <c r="Q11">
        <v>320</v>
      </c>
      <c r="R11">
        <v>320</v>
      </c>
      <c r="S11">
        <v>320</v>
      </c>
      <c r="T11">
        <v>320</v>
      </c>
      <c r="U11">
        <v>320</v>
      </c>
      <c r="V11">
        <v>330</v>
      </c>
      <c r="W11">
        <v>330</v>
      </c>
      <c r="X11">
        <v>340</v>
      </c>
      <c r="Y11">
        <v>340</v>
      </c>
      <c r="Z11">
        <v>350</v>
      </c>
      <c r="AA11">
        <v>340</v>
      </c>
      <c r="AB11">
        <v>340</v>
      </c>
      <c r="AC11">
        <v>340</v>
      </c>
      <c r="AD11">
        <v>330</v>
      </c>
      <c r="AE11">
        <v>330</v>
      </c>
      <c r="AF11">
        <v>330</v>
      </c>
      <c r="AG11">
        <v>332.6144</v>
      </c>
      <c r="AH11">
        <v>344.4926</v>
      </c>
      <c r="AI11">
        <v>337.2821</v>
      </c>
      <c r="AJ11">
        <v>340.3202</v>
      </c>
      <c r="AK11">
        <v>333.1075</v>
      </c>
      <c r="AL11">
        <v>325.3726</v>
      </c>
      <c r="AM11">
        <v>341.174</v>
      </c>
      <c r="AN11">
        <v>323.8909</v>
      </c>
      <c r="AO11">
        <v>54.003</v>
      </c>
      <c r="AP11">
        <v>108.6462</v>
      </c>
      <c r="AQ11">
        <v>325.3239</v>
      </c>
      <c r="AR11">
        <v>325.4451</v>
      </c>
      <c r="AS11">
        <v>307.0452</v>
      </c>
      <c r="AT11">
        <v>107.9933</v>
      </c>
      <c r="AU11">
        <v>-46.2919</v>
      </c>
      <c r="AV11">
        <v>-47.4442</v>
      </c>
      <c r="AW11">
        <v>96.8465</v>
      </c>
      <c r="AX11">
        <v>287.8493</v>
      </c>
      <c r="AY11">
        <v>40.6008</v>
      </c>
      <c r="AZ11">
        <v>-39.326</v>
      </c>
      <c r="BA11">
        <v>-37.9069</v>
      </c>
      <c r="BB11">
        <v>-34.9679</v>
      </c>
      <c r="BC11">
        <v>-32.6361</v>
      </c>
      <c r="BD11">
        <v>-31.7724</v>
      </c>
      <c r="BE11">
        <v>-31.157</v>
      </c>
      <c r="BF11">
        <v>-32.0515</v>
      </c>
      <c r="BG11">
        <v>-32.5647</v>
      </c>
      <c r="BH11">
        <v>-33.0879</v>
      </c>
      <c r="BI11">
        <v>-33.5603</v>
      </c>
      <c r="BJ11">
        <v>-33.8375</v>
      </c>
      <c r="BK11">
        <v>-33.2392</v>
      </c>
      <c r="BL11">
        <v>-38.2979</v>
      </c>
      <c r="BM11">
        <v>-41.9195</v>
      </c>
      <c r="BN11">
        <v>-42.1959</v>
      </c>
      <c r="BO11">
        <v>-43.2704</v>
      </c>
      <c r="BP11">
        <v>-43.6671</v>
      </c>
      <c r="BQ11">
        <v>-48.5864</v>
      </c>
      <c r="BR11">
        <v>-45.8793</v>
      </c>
      <c r="BS11">
        <v>118.8655</v>
      </c>
      <c r="BT11">
        <v>201.3579</v>
      </c>
      <c r="BU11">
        <v>289.717</v>
      </c>
      <c r="BV11">
        <v>289.6103</v>
      </c>
      <c r="BW11">
        <v>315.9718</v>
      </c>
      <c r="BX11">
        <v>315.9142</v>
      </c>
      <c r="BY11">
        <v>315.5758</v>
      </c>
      <c r="BZ11">
        <v>316.4872</v>
      </c>
      <c r="CA11">
        <v>323.7062</v>
      </c>
      <c r="CB11">
        <v>334.6123</v>
      </c>
      <c r="CC11">
        <v>324.9248</v>
      </c>
      <c r="CD11">
        <v>287.1067</v>
      </c>
      <c r="CE11">
        <v>241.0448</v>
      </c>
      <c r="CF11">
        <v>112.5698</v>
      </c>
      <c r="CG11">
        <v>28.7961</v>
      </c>
      <c r="CH11">
        <v>100.6723</v>
      </c>
      <c r="CI11">
        <v>-73.6005</v>
      </c>
      <c r="CJ11">
        <v>-76.5953</v>
      </c>
      <c r="CK11">
        <v>-79.5479</v>
      </c>
      <c r="CL11">
        <v>273.8844</v>
      </c>
      <c r="CM11">
        <v>272.773</v>
      </c>
      <c r="CN11">
        <v>300</v>
      </c>
      <c r="CO11">
        <v>200</v>
      </c>
      <c r="CP11">
        <v>-100</v>
      </c>
      <c r="CQ11">
        <v>-100</v>
      </c>
      <c r="CR11">
        <v>-100</v>
      </c>
      <c r="CS11">
        <v>-100</v>
      </c>
    </row>
    <row r="12" spans="1:97">
      <c r="A12" s="9">
        <v>46245</v>
      </c>
      <c r="B12">
        <v>-100</v>
      </c>
      <c r="C12">
        <v>-100</v>
      </c>
      <c r="D12">
        <v>-100</v>
      </c>
      <c r="E12">
        <v>-100</v>
      </c>
      <c r="F12">
        <v>-100</v>
      </c>
      <c r="G12">
        <v>-100</v>
      </c>
      <c r="H12">
        <v>-100</v>
      </c>
      <c r="I12">
        <v>-100</v>
      </c>
      <c r="J12">
        <v>-100</v>
      </c>
      <c r="K12">
        <v>0</v>
      </c>
      <c r="L12">
        <v>-100</v>
      </c>
      <c r="M12">
        <v>-100</v>
      </c>
      <c r="N12">
        <v>10</v>
      </c>
      <c r="O12">
        <v>-100</v>
      </c>
      <c r="P12">
        <v>-100</v>
      </c>
      <c r="Q12">
        <v>-100</v>
      </c>
      <c r="R12">
        <v>300</v>
      </c>
      <c r="S12">
        <v>310</v>
      </c>
      <c r="T12">
        <v>310</v>
      </c>
      <c r="U12">
        <v>310</v>
      </c>
      <c r="V12">
        <v>310</v>
      </c>
      <c r="W12">
        <v>300</v>
      </c>
      <c r="X12">
        <v>310</v>
      </c>
      <c r="Y12">
        <v>-100</v>
      </c>
      <c r="Z12">
        <v>320</v>
      </c>
      <c r="AA12">
        <v>0</v>
      </c>
      <c r="AB12">
        <v>0</v>
      </c>
      <c r="AC12">
        <v>-100</v>
      </c>
      <c r="AD12">
        <v>300</v>
      </c>
      <c r="AE12">
        <v>302.6555</v>
      </c>
      <c r="AF12">
        <v>172.0239</v>
      </c>
      <c r="AG12">
        <v>-70.1224</v>
      </c>
      <c r="AH12">
        <v>288.4292</v>
      </c>
      <c r="AI12">
        <v>319.8562</v>
      </c>
      <c r="AJ12">
        <v>196.9539</v>
      </c>
      <c r="AK12">
        <v>-35.0668</v>
      </c>
      <c r="AL12">
        <v>202.8697</v>
      </c>
      <c r="AM12">
        <v>204.9954</v>
      </c>
      <c r="AN12">
        <v>-25.9654</v>
      </c>
      <c r="AO12">
        <v>-23.7567</v>
      </c>
      <c r="AP12">
        <v>-19.944</v>
      </c>
      <c r="AQ12">
        <v>-20.2875</v>
      </c>
      <c r="AR12">
        <v>-18.486</v>
      </c>
      <c r="AS12">
        <v>-18.4825</v>
      </c>
      <c r="AT12">
        <v>-18.4373</v>
      </c>
      <c r="AU12">
        <v>-22.2681</v>
      </c>
      <c r="AV12">
        <v>-24.3031</v>
      </c>
      <c r="AW12">
        <v>-25.3697</v>
      </c>
      <c r="AX12">
        <v>299.6669</v>
      </c>
      <c r="AY12">
        <v>-24.8744</v>
      </c>
      <c r="AZ12">
        <v>63.9715</v>
      </c>
      <c r="BA12">
        <v>66.2236</v>
      </c>
      <c r="BB12">
        <v>-18.9118</v>
      </c>
      <c r="BC12">
        <v>-19.961</v>
      </c>
      <c r="BD12">
        <v>-15.4483</v>
      </c>
      <c r="BE12">
        <v>205.9303</v>
      </c>
      <c r="BF12">
        <v>67.1474</v>
      </c>
      <c r="BG12">
        <v>352.6482</v>
      </c>
      <c r="BH12">
        <v>341.0503</v>
      </c>
      <c r="BI12">
        <v>336.5798</v>
      </c>
      <c r="BJ12">
        <v>368.7409</v>
      </c>
      <c r="BK12">
        <v>367.9842</v>
      </c>
      <c r="BL12">
        <v>368.2705</v>
      </c>
      <c r="BM12">
        <v>371.0233</v>
      </c>
      <c r="BN12">
        <v>372.348</v>
      </c>
      <c r="BO12">
        <v>380.57</v>
      </c>
      <c r="BP12">
        <v>379.4791</v>
      </c>
      <c r="BQ12">
        <v>375.5665</v>
      </c>
      <c r="BR12">
        <v>383.7485</v>
      </c>
      <c r="BS12">
        <v>383.734</v>
      </c>
      <c r="BT12">
        <v>383.8772</v>
      </c>
      <c r="BU12">
        <v>383.536</v>
      </c>
      <c r="BV12">
        <v>383.2793</v>
      </c>
      <c r="BW12">
        <v>383.4956</v>
      </c>
      <c r="BX12">
        <v>391.1281</v>
      </c>
      <c r="BY12">
        <v>374.9938</v>
      </c>
      <c r="BZ12">
        <v>383.6624</v>
      </c>
      <c r="CA12">
        <v>383.5883</v>
      </c>
      <c r="CB12">
        <v>384.1976</v>
      </c>
      <c r="CC12">
        <v>383.9042</v>
      </c>
      <c r="CD12">
        <v>382.2226</v>
      </c>
      <c r="CE12">
        <v>381.0348</v>
      </c>
      <c r="CF12">
        <v>387.0807</v>
      </c>
      <c r="CG12">
        <v>383.1732</v>
      </c>
      <c r="CH12">
        <v>372.798</v>
      </c>
      <c r="CI12">
        <v>370.2369</v>
      </c>
      <c r="CJ12">
        <v>369.3616</v>
      </c>
      <c r="CK12">
        <v>355.0377</v>
      </c>
      <c r="CL12">
        <v>363.8888</v>
      </c>
      <c r="CM12">
        <v>363.0374</v>
      </c>
      <c r="CN12">
        <v>360.7726</v>
      </c>
      <c r="CO12">
        <v>370</v>
      </c>
      <c r="CP12">
        <v>360</v>
      </c>
      <c r="CQ12">
        <v>360</v>
      </c>
      <c r="CR12">
        <v>360</v>
      </c>
      <c r="CS12">
        <v>350</v>
      </c>
    </row>
    <row r="13" spans="1:97">
      <c r="A13" s="9">
        <v>46246</v>
      </c>
      <c r="B13">
        <v>330</v>
      </c>
      <c r="C13">
        <v>330</v>
      </c>
      <c r="D13">
        <v>340</v>
      </c>
      <c r="E13">
        <v>340</v>
      </c>
      <c r="F13">
        <v>340</v>
      </c>
      <c r="G13">
        <v>340</v>
      </c>
      <c r="H13">
        <v>350</v>
      </c>
      <c r="I13">
        <v>350</v>
      </c>
      <c r="J13">
        <v>350</v>
      </c>
      <c r="K13">
        <v>350</v>
      </c>
      <c r="L13">
        <v>350</v>
      </c>
      <c r="M13">
        <v>350</v>
      </c>
      <c r="N13">
        <v>350</v>
      </c>
      <c r="O13">
        <v>350</v>
      </c>
      <c r="P13">
        <v>350</v>
      </c>
      <c r="Q13">
        <v>350</v>
      </c>
      <c r="R13">
        <v>350</v>
      </c>
      <c r="S13">
        <v>350</v>
      </c>
      <c r="T13">
        <v>350</v>
      </c>
      <c r="U13">
        <v>360</v>
      </c>
      <c r="V13">
        <v>360</v>
      </c>
      <c r="W13">
        <v>360</v>
      </c>
      <c r="X13">
        <v>370</v>
      </c>
      <c r="Y13">
        <v>370</v>
      </c>
      <c r="Z13">
        <v>379.6694</v>
      </c>
      <c r="AA13">
        <v>370</v>
      </c>
      <c r="AB13">
        <v>370</v>
      </c>
      <c r="AC13">
        <v>360</v>
      </c>
      <c r="AD13">
        <v>360</v>
      </c>
      <c r="AE13">
        <v>352.1559</v>
      </c>
      <c r="AF13">
        <v>357.4703</v>
      </c>
      <c r="AG13">
        <v>360.214</v>
      </c>
      <c r="AH13">
        <v>369.8772</v>
      </c>
      <c r="AI13">
        <v>371.8326</v>
      </c>
      <c r="AJ13">
        <v>373.8785</v>
      </c>
      <c r="AK13">
        <v>368.7018</v>
      </c>
      <c r="AL13">
        <v>393.2455</v>
      </c>
      <c r="AM13">
        <v>395.8336</v>
      </c>
      <c r="AN13">
        <v>388.6835</v>
      </c>
      <c r="AO13">
        <v>393.1977</v>
      </c>
      <c r="AP13">
        <v>397.7923</v>
      </c>
      <c r="AQ13">
        <v>446.6319</v>
      </c>
      <c r="AR13">
        <v>450.1256</v>
      </c>
      <c r="AS13">
        <v>451.2766</v>
      </c>
      <c r="AT13">
        <v>452.6137</v>
      </c>
      <c r="AU13">
        <v>403.4426</v>
      </c>
      <c r="AV13">
        <v>402.974</v>
      </c>
      <c r="AW13">
        <v>402.2656</v>
      </c>
      <c r="AX13">
        <v>411.8206</v>
      </c>
      <c r="AY13">
        <v>414.0973</v>
      </c>
      <c r="AZ13">
        <v>386.6361</v>
      </c>
      <c r="BA13">
        <v>386.9622</v>
      </c>
      <c r="BB13">
        <v>386.8005</v>
      </c>
      <c r="BC13">
        <v>434.0094</v>
      </c>
      <c r="BD13">
        <v>437.9374</v>
      </c>
      <c r="BE13">
        <v>394.4211</v>
      </c>
      <c r="BF13">
        <v>393.8417</v>
      </c>
      <c r="BG13">
        <v>393.5392</v>
      </c>
      <c r="BH13">
        <v>396.0107</v>
      </c>
      <c r="BI13">
        <v>396.1859</v>
      </c>
      <c r="BJ13">
        <v>407.7434</v>
      </c>
      <c r="BK13">
        <v>410.1496</v>
      </c>
      <c r="BL13">
        <v>397.9159</v>
      </c>
      <c r="BM13">
        <v>384.4776</v>
      </c>
      <c r="BN13">
        <v>402.1359</v>
      </c>
      <c r="BO13">
        <v>411.774</v>
      </c>
      <c r="BP13">
        <v>420.7578</v>
      </c>
      <c r="BQ13">
        <v>410.098</v>
      </c>
      <c r="BR13">
        <v>419.3599</v>
      </c>
      <c r="BS13">
        <v>419.7466</v>
      </c>
      <c r="BT13">
        <v>418.9404</v>
      </c>
      <c r="BU13">
        <v>418.3047</v>
      </c>
      <c r="BV13">
        <v>416.7897</v>
      </c>
      <c r="BW13">
        <v>415.7606</v>
      </c>
      <c r="BX13">
        <v>415.4782</v>
      </c>
      <c r="BY13">
        <v>405.971</v>
      </c>
      <c r="BZ13">
        <v>415.9444</v>
      </c>
      <c r="CA13">
        <v>415.6193</v>
      </c>
      <c r="CB13">
        <v>415.7874</v>
      </c>
      <c r="CC13">
        <v>405.9515</v>
      </c>
      <c r="CD13">
        <v>387.0368</v>
      </c>
      <c r="CE13">
        <v>395.1238</v>
      </c>
      <c r="CF13">
        <v>406.7509</v>
      </c>
      <c r="CG13">
        <v>384.6284</v>
      </c>
      <c r="CH13">
        <v>389.4977</v>
      </c>
      <c r="CI13">
        <v>382.9422</v>
      </c>
      <c r="CJ13">
        <v>386.4988</v>
      </c>
      <c r="CK13">
        <v>382.9549</v>
      </c>
      <c r="CL13">
        <v>381.5043</v>
      </c>
      <c r="CM13">
        <v>378.9812</v>
      </c>
      <c r="CN13">
        <v>378.7397</v>
      </c>
      <c r="CO13">
        <v>380</v>
      </c>
      <c r="CP13">
        <v>379.2437</v>
      </c>
      <c r="CQ13">
        <v>370</v>
      </c>
      <c r="CR13">
        <v>360</v>
      </c>
      <c r="CS13">
        <v>359.7325</v>
      </c>
    </row>
    <row r="14" spans="1:97">
      <c r="A14" s="9">
        <v>46247</v>
      </c>
      <c r="B14">
        <v>370</v>
      </c>
      <c r="C14">
        <v>370</v>
      </c>
      <c r="D14">
        <v>360</v>
      </c>
      <c r="E14">
        <v>360</v>
      </c>
      <c r="F14">
        <v>360</v>
      </c>
      <c r="G14">
        <v>360</v>
      </c>
      <c r="H14">
        <v>360</v>
      </c>
      <c r="I14">
        <v>360</v>
      </c>
      <c r="J14">
        <v>360</v>
      </c>
      <c r="K14">
        <v>360</v>
      </c>
      <c r="L14">
        <v>360</v>
      </c>
      <c r="M14">
        <v>350</v>
      </c>
      <c r="N14">
        <v>350</v>
      </c>
      <c r="O14">
        <v>350</v>
      </c>
      <c r="P14">
        <v>350</v>
      </c>
      <c r="Q14">
        <v>350</v>
      </c>
      <c r="R14">
        <v>350</v>
      </c>
      <c r="S14">
        <v>350</v>
      </c>
      <c r="T14">
        <v>360</v>
      </c>
      <c r="U14">
        <v>360</v>
      </c>
      <c r="V14">
        <v>370</v>
      </c>
      <c r="W14">
        <v>370</v>
      </c>
      <c r="X14">
        <v>370</v>
      </c>
      <c r="Y14">
        <v>370</v>
      </c>
      <c r="Z14">
        <v>380</v>
      </c>
      <c r="AA14">
        <v>380</v>
      </c>
      <c r="AB14">
        <v>380</v>
      </c>
      <c r="AC14">
        <v>370</v>
      </c>
      <c r="AD14">
        <v>360</v>
      </c>
      <c r="AE14">
        <v>361.0576</v>
      </c>
      <c r="AF14">
        <v>363.6922</v>
      </c>
      <c r="AG14">
        <v>367.5425</v>
      </c>
      <c r="AH14">
        <v>369.0624</v>
      </c>
      <c r="AI14">
        <v>374.5001</v>
      </c>
      <c r="AJ14">
        <v>378.5644</v>
      </c>
      <c r="AK14">
        <v>370.8105</v>
      </c>
      <c r="AL14">
        <v>364.5952</v>
      </c>
      <c r="AM14">
        <v>366.1772</v>
      </c>
      <c r="AN14">
        <v>366.4453</v>
      </c>
      <c r="AO14">
        <v>366.882</v>
      </c>
      <c r="AP14">
        <v>367.5804</v>
      </c>
      <c r="AQ14">
        <v>388.2309</v>
      </c>
      <c r="AR14">
        <v>388.5852</v>
      </c>
      <c r="AS14">
        <v>390.8115</v>
      </c>
      <c r="AT14">
        <v>383.9493</v>
      </c>
      <c r="AU14">
        <v>373.584</v>
      </c>
      <c r="AV14">
        <v>368.9272</v>
      </c>
      <c r="AW14">
        <v>353.895</v>
      </c>
      <c r="AX14">
        <v>353.2612</v>
      </c>
      <c r="AY14">
        <v>354.0781</v>
      </c>
      <c r="AZ14">
        <v>353.684</v>
      </c>
      <c r="BA14">
        <v>355.1448</v>
      </c>
      <c r="BB14">
        <v>371.8775</v>
      </c>
      <c r="BC14">
        <v>355.1264</v>
      </c>
      <c r="BD14">
        <v>354.6079</v>
      </c>
      <c r="BE14">
        <v>353.7274</v>
      </c>
      <c r="BF14">
        <v>353.5075</v>
      </c>
      <c r="BG14">
        <v>353.8292</v>
      </c>
      <c r="BH14">
        <v>344.3569</v>
      </c>
      <c r="BI14">
        <v>344.185</v>
      </c>
      <c r="BJ14">
        <v>361.7574</v>
      </c>
      <c r="BK14">
        <v>352.6937</v>
      </c>
      <c r="BL14">
        <v>361.486</v>
      </c>
      <c r="BM14">
        <v>360.2523</v>
      </c>
      <c r="BN14">
        <v>369.0108</v>
      </c>
      <c r="BO14">
        <v>377.3743</v>
      </c>
      <c r="BP14">
        <v>368.2913</v>
      </c>
      <c r="BQ14">
        <v>359.2421</v>
      </c>
      <c r="BR14">
        <v>358.8533</v>
      </c>
      <c r="BS14">
        <v>367.8554</v>
      </c>
      <c r="BT14">
        <v>358.2481</v>
      </c>
      <c r="BU14">
        <v>358.2659</v>
      </c>
      <c r="BV14">
        <v>366.9792</v>
      </c>
      <c r="BW14">
        <v>366.9307</v>
      </c>
      <c r="BX14">
        <v>366.8131</v>
      </c>
      <c r="BY14">
        <v>366.8354</v>
      </c>
      <c r="BZ14">
        <v>376.2652</v>
      </c>
      <c r="CA14">
        <v>393.8402</v>
      </c>
      <c r="CB14">
        <v>394.5252</v>
      </c>
      <c r="CC14">
        <v>393.766</v>
      </c>
      <c r="CD14">
        <v>393.2256</v>
      </c>
      <c r="CE14">
        <v>392.8465</v>
      </c>
      <c r="CF14">
        <v>392.4373</v>
      </c>
      <c r="CG14">
        <v>360.3884</v>
      </c>
      <c r="CH14">
        <v>378.1595</v>
      </c>
      <c r="CI14">
        <v>368.4399</v>
      </c>
      <c r="CJ14">
        <v>367.5182</v>
      </c>
      <c r="CK14">
        <v>357.7545</v>
      </c>
      <c r="CL14">
        <v>365.4505</v>
      </c>
      <c r="CM14">
        <v>354.1151</v>
      </c>
      <c r="CN14">
        <v>360.8264</v>
      </c>
      <c r="CO14">
        <v>360.0564</v>
      </c>
      <c r="CP14">
        <v>350</v>
      </c>
      <c r="CQ14">
        <v>350</v>
      </c>
      <c r="CR14">
        <v>340</v>
      </c>
      <c r="CS14">
        <v>330</v>
      </c>
    </row>
    <row r="15" spans="1:97">
      <c r="A15" s="9">
        <v>46248</v>
      </c>
      <c r="B15">
        <v>360</v>
      </c>
      <c r="C15">
        <v>350</v>
      </c>
      <c r="D15">
        <v>340</v>
      </c>
      <c r="E15">
        <v>350</v>
      </c>
      <c r="F15">
        <v>340</v>
      </c>
      <c r="G15">
        <v>350</v>
      </c>
      <c r="H15">
        <v>340</v>
      </c>
      <c r="I15">
        <v>330</v>
      </c>
      <c r="J15">
        <v>340</v>
      </c>
      <c r="K15">
        <v>340</v>
      </c>
      <c r="L15">
        <v>330</v>
      </c>
      <c r="M15">
        <v>330</v>
      </c>
      <c r="N15">
        <v>340</v>
      </c>
      <c r="O15">
        <v>340</v>
      </c>
      <c r="P15">
        <v>340</v>
      </c>
      <c r="Q15">
        <v>340</v>
      </c>
      <c r="R15">
        <v>340</v>
      </c>
      <c r="S15">
        <v>340</v>
      </c>
      <c r="T15">
        <v>340</v>
      </c>
      <c r="U15">
        <v>350</v>
      </c>
      <c r="V15">
        <v>350</v>
      </c>
      <c r="W15">
        <v>350</v>
      </c>
      <c r="X15">
        <v>350</v>
      </c>
      <c r="Y15">
        <v>360</v>
      </c>
      <c r="Z15">
        <v>360</v>
      </c>
      <c r="AA15">
        <v>360</v>
      </c>
      <c r="AB15">
        <v>360</v>
      </c>
      <c r="AC15">
        <v>360</v>
      </c>
      <c r="AD15">
        <v>350</v>
      </c>
      <c r="AE15">
        <v>340.8958</v>
      </c>
      <c r="AF15">
        <v>332.5823</v>
      </c>
      <c r="AG15">
        <v>335.116</v>
      </c>
      <c r="AH15">
        <v>339.2162</v>
      </c>
      <c r="AI15">
        <v>331.5645</v>
      </c>
      <c r="AJ15">
        <v>332.6038</v>
      </c>
      <c r="AK15">
        <v>333.0728</v>
      </c>
      <c r="AL15">
        <v>338.6779</v>
      </c>
      <c r="AM15">
        <v>339.1984</v>
      </c>
      <c r="AN15">
        <v>320.9187</v>
      </c>
      <c r="AO15">
        <v>348.9839</v>
      </c>
      <c r="AP15">
        <v>349.3894</v>
      </c>
      <c r="AQ15">
        <v>303.3504</v>
      </c>
      <c r="AR15">
        <v>294.2082</v>
      </c>
      <c r="AS15">
        <v>294.2037</v>
      </c>
      <c r="AT15">
        <v>340.5247</v>
      </c>
      <c r="AU15">
        <v>330.8829</v>
      </c>
      <c r="AV15">
        <v>330.6532</v>
      </c>
      <c r="AW15">
        <v>320.976</v>
      </c>
      <c r="AX15">
        <v>330.5241</v>
      </c>
      <c r="AY15">
        <v>321.3263</v>
      </c>
      <c r="AZ15">
        <v>321.575</v>
      </c>
      <c r="BA15">
        <v>340.4583</v>
      </c>
      <c r="BB15">
        <v>322.4586</v>
      </c>
      <c r="BC15">
        <v>341.3798</v>
      </c>
      <c r="BD15">
        <v>341.2586</v>
      </c>
      <c r="BE15">
        <v>340.9077</v>
      </c>
      <c r="BF15">
        <v>341.1364</v>
      </c>
      <c r="BG15">
        <v>350.2052</v>
      </c>
      <c r="BH15">
        <v>340.9597</v>
      </c>
      <c r="BI15">
        <v>349.9413</v>
      </c>
      <c r="BJ15">
        <v>349.6508</v>
      </c>
      <c r="BK15">
        <v>349.4804</v>
      </c>
      <c r="BL15">
        <v>349.3676</v>
      </c>
      <c r="BM15">
        <v>358.136</v>
      </c>
      <c r="BN15">
        <v>357.9311</v>
      </c>
      <c r="BO15">
        <v>366.7706</v>
      </c>
      <c r="BP15">
        <v>375.8335</v>
      </c>
      <c r="BQ15">
        <v>366.4133</v>
      </c>
      <c r="BR15">
        <v>366.3947</v>
      </c>
      <c r="BS15">
        <v>375.3237</v>
      </c>
      <c r="BT15">
        <v>375.1948</v>
      </c>
      <c r="BU15">
        <v>383.3563</v>
      </c>
      <c r="BV15">
        <v>391.6733</v>
      </c>
      <c r="BW15">
        <v>391.5504</v>
      </c>
      <c r="BX15">
        <v>391.491</v>
      </c>
      <c r="BY15">
        <v>374.4462</v>
      </c>
      <c r="BZ15">
        <v>353.1939</v>
      </c>
      <c r="CA15">
        <v>374.6953</v>
      </c>
      <c r="CB15">
        <v>375.4811</v>
      </c>
      <c r="CC15">
        <v>375.4725</v>
      </c>
      <c r="CD15">
        <v>375.4452</v>
      </c>
      <c r="CE15">
        <v>375.2117</v>
      </c>
      <c r="CF15">
        <v>374.8878</v>
      </c>
      <c r="CG15">
        <v>369.7235</v>
      </c>
      <c r="CH15">
        <v>378.4093</v>
      </c>
      <c r="CI15">
        <v>378.0187</v>
      </c>
      <c r="CJ15">
        <v>358.4174</v>
      </c>
      <c r="CK15">
        <v>357.9131</v>
      </c>
      <c r="CL15">
        <v>357.7383</v>
      </c>
      <c r="CM15">
        <v>354.6514</v>
      </c>
      <c r="CN15">
        <v>353.4871</v>
      </c>
      <c r="CO15">
        <v>351.3849</v>
      </c>
      <c r="CP15">
        <v>350.5992</v>
      </c>
      <c r="CQ15">
        <v>350</v>
      </c>
      <c r="CR15">
        <v>350</v>
      </c>
      <c r="CS15">
        <v>340</v>
      </c>
    </row>
    <row r="16" spans="1:97">
      <c r="A16" s="9">
        <v>46249</v>
      </c>
      <c r="B16">
        <v>340</v>
      </c>
      <c r="C16">
        <v>340</v>
      </c>
      <c r="D16">
        <v>340</v>
      </c>
      <c r="E16">
        <v>330</v>
      </c>
      <c r="F16">
        <v>330</v>
      </c>
      <c r="G16">
        <v>330</v>
      </c>
      <c r="H16">
        <v>330</v>
      </c>
      <c r="I16">
        <v>330</v>
      </c>
      <c r="J16">
        <v>330</v>
      </c>
      <c r="K16">
        <v>330</v>
      </c>
      <c r="L16">
        <v>330</v>
      </c>
      <c r="M16">
        <v>330</v>
      </c>
      <c r="N16">
        <v>330</v>
      </c>
      <c r="O16">
        <v>330</v>
      </c>
      <c r="P16">
        <v>330</v>
      </c>
      <c r="Q16">
        <v>330</v>
      </c>
      <c r="R16">
        <v>330</v>
      </c>
      <c r="S16">
        <v>330</v>
      </c>
      <c r="T16">
        <v>330</v>
      </c>
      <c r="U16">
        <v>340</v>
      </c>
      <c r="V16">
        <v>340</v>
      </c>
      <c r="W16">
        <v>340</v>
      </c>
      <c r="X16">
        <v>340</v>
      </c>
      <c r="Y16">
        <v>340</v>
      </c>
      <c r="Z16">
        <v>350</v>
      </c>
      <c r="AA16">
        <v>350</v>
      </c>
      <c r="AB16">
        <v>340</v>
      </c>
      <c r="AC16">
        <v>340</v>
      </c>
      <c r="AD16">
        <v>340</v>
      </c>
      <c r="AE16">
        <v>340</v>
      </c>
      <c r="AF16">
        <v>340</v>
      </c>
      <c r="AG16">
        <v>340</v>
      </c>
      <c r="AH16">
        <v>350.6501</v>
      </c>
      <c r="AI16">
        <v>341.833</v>
      </c>
      <c r="AJ16">
        <v>343.3006</v>
      </c>
      <c r="AK16">
        <v>345.0582</v>
      </c>
      <c r="AL16">
        <v>347.6682</v>
      </c>
      <c r="AM16">
        <v>349.0001</v>
      </c>
      <c r="AN16">
        <v>349.5679</v>
      </c>
      <c r="AO16">
        <v>349.9316</v>
      </c>
      <c r="AP16">
        <v>350.8315</v>
      </c>
      <c r="AQ16">
        <v>351.0995</v>
      </c>
      <c r="AR16">
        <v>351.4019</v>
      </c>
      <c r="AS16">
        <v>351.3669</v>
      </c>
      <c r="AT16">
        <v>351.2821</v>
      </c>
      <c r="AU16">
        <v>351.1014</v>
      </c>
      <c r="AV16">
        <v>350.914</v>
      </c>
      <c r="AW16">
        <v>350.8336</v>
      </c>
      <c r="AX16">
        <v>350.7726</v>
      </c>
      <c r="AY16">
        <v>350.2589</v>
      </c>
      <c r="AZ16">
        <v>350.8069</v>
      </c>
      <c r="BA16">
        <v>350.8992</v>
      </c>
      <c r="BB16">
        <v>350.9517</v>
      </c>
      <c r="BC16">
        <v>351.0916</v>
      </c>
      <c r="BD16">
        <v>351.3423</v>
      </c>
      <c r="BE16">
        <v>351.4011</v>
      </c>
      <c r="BF16">
        <v>351.6007</v>
      </c>
      <c r="BG16">
        <v>351.524</v>
      </c>
      <c r="BH16">
        <v>351.5967</v>
      </c>
      <c r="BI16">
        <v>351.2037</v>
      </c>
      <c r="BJ16">
        <v>369.5593</v>
      </c>
      <c r="BK16">
        <v>369.5883</v>
      </c>
      <c r="BL16">
        <v>379.1354</v>
      </c>
      <c r="BM16">
        <v>378.9551</v>
      </c>
      <c r="BN16">
        <v>414.6552</v>
      </c>
      <c r="BO16">
        <v>452.1071</v>
      </c>
      <c r="BP16">
        <v>423.2615</v>
      </c>
      <c r="BQ16">
        <v>440.4109</v>
      </c>
      <c r="BR16">
        <v>444.8944</v>
      </c>
      <c r="BS16">
        <v>444.252</v>
      </c>
      <c r="BT16">
        <v>452.3388</v>
      </c>
      <c r="BU16">
        <v>468.5982</v>
      </c>
      <c r="BV16">
        <v>476.2886</v>
      </c>
      <c r="BW16">
        <v>452.2339</v>
      </c>
      <c r="BX16">
        <v>444.1734</v>
      </c>
      <c r="BY16">
        <v>484.4135</v>
      </c>
      <c r="BZ16">
        <v>483.9529</v>
      </c>
      <c r="CA16">
        <v>468.2266</v>
      </c>
      <c r="CB16">
        <v>484.9352</v>
      </c>
      <c r="CC16">
        <v>476.4705</v>
      </c>
      <c r="CD16">
        <v>476.5698</v>
      </c>
      <c r="CE16">
        <v>484.7365</v>
      </c>
      <c r="CF16">
        <v>484.1369</v>
      </c>
      <c r="CG16">
        <v>481.8577</v>
      </c>
      <c r="CH16">
        <v>499.1004</v>
      </c>
      <c r="CI16">
        <v>481.4977</v>
      </c>
      <c r="CJ16">
        <v>396.2151</v>
      </c>
      <c r="CK16">
        <v>396.6589</v>
      </c>
      <c r="CL16">
        <v>370</v>
      </c>
      <c r="CM16">
        <v>370</v>
      </c>
      <c r="CN16">
        <v>379.6268</v>
      </c>
      <c r="CO16">
        <v>379.6343</v>
      </c>
      <c r="CP16">
        <v>398.6593</v>
      </c>
      <c r="CQ16">
        <v>380.8091</v>
      </c>
      <c r="CR16">
        <v>379.6373</v>
      </c>
      <c r="CS16">
        <v>370</v>
      </c>
    </row>
    <row r="17" spans="1:97">
      <c r="A17" s="9">
        <v>46250</v>
      </c>
      <c r="B17">
        <v>270</v>
      </c>
      <c r="C17">
        <v>340</v>
      </c>
      <c r="D17">
        <v>330</v>
      </c>
      <c r="E17">
        <v>330</v>
      </c>
      <c r="F17">
        <v>340</v>
      </c>
      <c r="G17">
        <v>330</v>
      </c>
      <c r="H17">
        <v>330</v>
      </c>
      <c r="I17">
        <v>330</v>
      </c>
      <c r="J17">
        <v>330</v>
      </c>
      <c r="K17">
        <v>330</v>
      </c>
      <c r="L17">
        <v>330</v>
      </c>
      <c r="M17">
        <v>330</v>
      </c>
      <c r="N17">
        <v>330</v>
      </c>
      <c r="O17">
        <v>330</v>
      </c>
      <c r="P17">
        <v>330</v>
      </c>
      <c r="Q17">
        <v>330</v>
      </c>
      <c r="R17">
        <v>330</v>
      </c>
      <c r="S17">
        <v>330</v>
      </c>
      <c r="T17">
        <v>330</v>
      </c>
      <c r="U17">
        <v>320</v>
      </c>
      <c r="V17">
        <v>330</v>
      </c>
      <c r="W17">
        <v>330</v>
      </c>
      <c r="X17">
        <v>320</v>
      </c>
      <c r="Y17">
        <v>320</v>
      </c>
      <c r="Z17">
        <v>330</v>
      </c>
      <c r="AA17">
        <v>330</v>
      </c>
      <c r="AB17">
        <v>330</v>
      </c>
      <c r="AC17">
        <v>320</v>
      </c>
      <c r="AD17">
        <v>310</v>
      </c>
      <c r="AE17">
        <v>310</v>
      </c>
      <c r="AF17">
        <v>300</v>
      </c>
      <c r="AG17">
        <v>270</v>
      </c>
      <c r="AH17">
        <v>-83.0544</v>
      </c>
      <c r="AI17">
        <v>-79.8871</v>
      </c>
      <c r="AJ17">
        <v>-76.006</v>
      </c>
      <c r="AK17">
        <v>-72.6535</v>
      </c>
      <c r="AL17">
        <v>-67.5945</v>
      </c>
      <c r="AM17">
        <v>-65.5877</v>
      </c>
      <c r="AN17">
        <v>-63.129</v>
      </c>
      <c r="AO17">
        <v>-61.4914</v>
      </c>
      <c r="AP17">
        <v>-60.6819</v>
      </c>
      <c r="AQ17">
        <v>-59.5818</v>
      </c>
      <c r="AR17">
        <v>323.9451</v>
      </c>
      <c r="AS17">
        <v>323.8167</v>
      </c>
      <c r="AT17">
        <v>332.9397</v>
      </c>
      <c r="AU17">
        <v>323.5446</v>
      </c>
      <c r="AV17">
        <v>332.8446</v>
      </c>
      <c r="AW17">
        <v>332.7471</v>
      </c>
      <c r="AX17">
        <v>332.7952</v>
      </c>
      <c r="AY17">
        <v>332.8186</v>
      </c>
      <c r="AZ17">
        <v>332.8233</v>
      </c>
      <c r="BA17">
        <v>332.8573</v>
      </c>
      <c r="BB17">
        <v>333.0771</v>
      </c>
      <c r="BC17">
        <v>333.2736</v>
      </c>
      <c r="BD17">
        <v>347.1332</v>
      </c>
      <c r="BE17">
        <v>337.9426</v>
      </c>
      <c r="BF17">
        <v>337.8983</v>
      </c>
      <c r="BG17">
        <v>347.2969</v>
      </c>
      <c r="BH17">
        <v>347.8376</v>
      </c>
      <c r="BI17">
        <v>355.8699</v>
      </c>
      <c r="BJ17">
        <v>374.0972</v>
      </c>
      <c r="BK17">
        <v>374.7374</v>
      </c>
      <c r="BL17">
        <v>370.5409</v>
      </c>
      <c r="BM17">
        <v>402.5224</v>
      </c>
      <c r="BN17">
        <v>409.3754</v>
      </c>
      <c r="BO17">
        <v>425.6534</v>
      </c>
      <c r="BP17">
        <v>422.6666</v>
      </c>
      <c r="BQ17">
        <v>429.1093</v>
      </c>
      <c r="BR17">
        <v>428.1834</v>
      </c>
      <c r="BS17">
        <v>431.4352</v>
      </c>
      <c r="BT17">
        <v>436.6789</v>
      </c>
      <c r="BU17">
        <v>436.0756</v>
      </c>
      <c r="BV17">
        <v>435.6378</v>
      </c>
      <c r="BW17">
        <v>435.597</v>
      </c>
      <c r="BX17">
        <v>458.9152</v>
      </c>
      <c r="BY17">
        <v>435.7031</v>
      </c>
      <c r="BZ17">
        <v>436.089</v>
      </c>
      <c r="CA17">
        <v>436.442</v>
      </c>
      <c r="CB17">
        <v>443.9873</v>
      </c>
      <c r="CC17">
        <v>435.1602</v>
      </c>
      <c r="CD17">
        <v>435.1064</v>
      </c>
      <c r="CE17">
        <v>435.0244</v>
      </c>
      <c r="CF17">
        <v>434.394</v>
      </c>
      <c r="CG17">
        <v>433.6604</v>
      </c>
      <c r="CH17">
        <v>491.4406</v>
      </c>
      <c r="CI17">
        <v>398.2007</v>
      </c>
      <c r="CJ17">
        <v>363.7458</v>
      </c>
      <c r="CK17">
        <v>343.1991</v>
      </c>
      <c r="CL17">
        <v>343.063</v>
      </c>
      <c r="CM17">
        <v>351.379</v>
      </c>
      <c r="CN17">
        <v>360.2987</v>
      </c>
      <c r="CO17">
        <v>370</v>
      </c>
      <c r="CP17">
        <v>360</v>
      </c>
      <c r="CQ17">
        <v>350</v>
      </c>
      <c r="CR17">
        <v>350</v>
      </c>
      <c r="CS17">
        <v>340</v>
      </c>
    </row>
    <row r="18" spans="1:97">
      <c r="A18" s="9">
        <v>46251</v>
      </c>
      <c r="B18">
        <v>330</v>
      </c>
      <c r="C18">
        <v>330</v>
      </c>
      <c r="D18">
        <v>340</v>
      </c>
      <c r="E18">
        <v>340</v>
      </c>
      <c r="F18">
        <v>350</v>
      </c>
      <c r="G18">
        <v>340</v>
      </c>
      <c r="H18">
        <v>340</v>
      </c>
      <c r="I18">
        <v>340</v>
      </c>
      <c r="J18">
        <v>330</v>
      </c>
      <c r="K18">
        <v>330</v>
      </c>
      <c r="L18">
        <v>330</v>
      </c>
      <c r="M18">
        <v>330</v>
      </c>
      <c r="N18">
        <v>330</v>
      </c>
      <c r="O18">
        <v>330</v>
      </c>
      <c r="P18">
        <v>330</v>
      </c>
      <c r="Q18">
        <v>330</v>
      </c>
      <c r="R18">
        <v>330</v>
      </c>
      <c r="S18">
        <v>330</v>
      </c>
      <c r="T18">
        <v>320</v>
      </c>
      <c r="U18">
        <v>320</v>
      </c>
      <c r="V18">
        <v>320</v>
      </c>
      <c r="W18">
        <v>320</v>
      </c>
      <c r="X18">
        <v>320</v>
      </c>
      <c r="Y18">
        <v>320</v>
      </c>
      <c r="Z18">
        <v>330</v>
      </c>
      <c r="AA18">
        <v>330</v>
      </c>
      <c r="AB18">
        <v>330</v>
      </c>
      <c r="AC18">
        <v>330</v>
      </c>
      <c r="AD18">
        <v>330</v>
      </c>
      <c r="AE18">
        <v>330</v>
      </c>
      <c r="AF18">
        <v>341.0654</v>
      </c>
      <c r="AG18">
        <v>343.7585</v>
      </c>
      <c r="AH18">
        <v>348.2874</v>
      </c>
      <c r="AI18">
        <v>349.6298</v>
      </c>
      <c r="AJ18">
        <v>360.4259</v>
      </c>
      <c r="AK18">
        <v>362.0611</v>
      </c>
      <c r="AL18">
        <v>382.8589</v>
      </c>
      <c r="AM18">
        <v>389.2485</v>
      </c>
      <c r="AN18">
        <v>390.5273</v>
      </c>
      <c r="AO18">
        <v>390.9388</v>
      </c>
      <c r="AP18">
        <v>402.0277</v>
      </c>
      <c r="AQ18">
        <v>406.2688</v>
      </c>
      <c r="AR18">
        <v>407.2379</v>
      </c>
      <c r="AS18">
        <v>406.4584</v>
      </c>
      <c r="AT18">
        <v>403.5614</v>
      </c>
      <c r="AU18">
        <v>394.2826</v>
      </c>
      <c r="AV18">
        <v>391.9428</v>
      </c>
      <c r="AW18">
        <v>376.7256</v>
      </c>
      <c r="AX18">
        <v>396.5818</v>
      </c>
      <c r="AY18">
        <v>399.2747</v>
      </c>
      <c r="AZ18">
        <v>401.5575</v>
      </c>
      <c r="BA18">
        <v>391.9736</v>
      </c>
      <c r="BB18">
        <v>402.3206</v>
      </c>
      <c r="BC18">
        <v>403.7264</v>
      </c>
      <c r="BD18">
        <v>404.6544</v>
      </c>
      <c r="BE18">
        <v>388.0947</v>
      </c>
      <c r="BF18">
        <v>399.0575</v>
      </c>
      <c r="BG18">
        <v>396.9249</v>
      </c>
      <c r="BH18">
        <v>397.357</v>
      </c>
      <c r="BI18">
        <v>404.6436</v>
      </c>
      <c r="BJ18">
        <v>404.2511</v>
      </c>
      <c r="BK18">
        <v>404.2761</v>
      </c>
      <c r="BL18">
        <v>406.2295</v>
      </c>
      <c r="BM18">
        <v>415.6266</v>
      </c>
      <c r="BN18">
        <v>441.5401</v>
      </c>
      <c r="BO18">
        <v>441.1105</v>
      </c>
      <c r="BP18">
        <v>443.4254</v>
      </c>
      <c r="BQ18">
        <v>460.2222</v>
      </c>
      <c r="BR18">
        <v>479.0776</v>
      </c>
      <c r="BS18">
        <v>448.8615</v>
      </c>
      <c r="BT18">
        <v>434.3471</v>
      </c>
      <c r="BU18">
        <v>433.4384</v>
      </c>
      <c r="BV18">
        <v>442.7741</v>
      </c>
      <c r="BW18">
        <v>730.9846</v>
      </c>
      <c r="BX18">
        <v>463.4271</v>
      </c>
      <c r="BY18">
        <v>473.2965</v>
      </c>
      <c r="BZ18">
        <v>576.1922</v>
      </c>
      <c r="CA18">
        <v>577.1806</v>
      </c>
      <c r="CB18">
        <v>585.676</v>
      </c>
      <c r="CC18">
        <v>481.3741</v>
      </c>
      <c r="CD18">
        <v>471.6855</v>
      </c>
      <c r="CE18">
        <v>480.7411</v>
      </c>
      <c r="CF18">
        <v>532.1108</v>
      </c>
      <c r="CG18">
        <v>534.9773</v>
      </c>
      <c r="CH18">
        <v>510.2011</v>
      </c>
      <c r="CI18">
        <v>436.6124</v>
      </c>
      <c r="CJ18">
        <v>379.1273</v>
      </c>
      <c r="CK18">
        <v>348.9657</v>
      </c>
      <c r="CL18">
        <v>340.2341</v>
      </c>
      <c r="CM18">
        <v>351.5479</v>
      </c>
      <c r="CN18">
        <v>350.676</v>
      </c>
      <c r="CO18">
        <v>350</v>
      </c>
      <c r="CP18">
        <v>340</v>
      </c>
      <c r="CQ18">
        <v>340</v>
      </c>
      <c r="CR18">
        <v>340</v>
      </c>
      <c r="CS18">
        <v>330</v>
      </c>
    </row>
    <row r="19" spans="1:97">
      <c r="A19" s="9">
        <v>46252</v>
      </c>
      <c r="B19">
        <v>340</v>
      </c>
      <c r="C19">
        <v>340</v>
      </c>
      <c r="D19">
        <v>340</v>
      </c>
      <c r="E19">
        <v>340</v>
      </c>
      <c r="F19">
        <v>350</v>
      </c>
      <c r="G19">
        <v>350</v>
      </c>
      <c r="H19">
        <v>350</v>
      </c>
      <c r="I19">
        <v>350</v>
      </c>
      <c r="J19">
        <v>350</v>
      </c>
      <c r="K19">
        <v>340</v>
      </c>
      <c r="L19">
        <v>340</v>
      </c>
      <c r="M19">
        <v>340</v>
      </c>
      <c r="N19">
        <v>340</v>
      </c>
      <c r="O19">
        <v>340</v>
      </c>
      <c r="P19">
        <v>340</v>
      </c>
      <c r="Q19">
        <v>340</v>
      </c>
      <c r="R19">
        <v>340</v>
      </c>
      <c r="S19">
        <v>340</v>
      </c>
      <c r="T19">
        <v>340</v>
      </c>
      <c r="U19">
        <v>350</v>
      </c>
      <c r="V19">
        <v>350</v>
      </c>
      <c r="W19">
        <v>350</v>
      </c>
      <c r="X19">
        <v>360</v>
      </c>
      <c r="Y19">
        <v>370</v>
      </c>
      <c r="Z19">
        <v>400</v>
      </c>
      <c r="AA19">
        <v>400</v>
      </c>
      <c r="AB19">
        <v>420</v>
      </c>
      <c r="AC19">
        <v>430</v>
      </c>
      <c r="AD19">
        <v>410</v>
      </c>
      <c r="AE19">
        <v>410</v>
      </c>
      <c r="AF19">
        <v>390</v>
      </c>
      <c r="AG19">
        <v>370.7314</v>
      </c>
      <c r="AH19">
        <v>373.826</v>
      </c>
      <c r="AI19">
        <v>357.8643</v>
      </c>
      <c r="AJ19">
        <v>349.7767</v>
      </c>
      <c r="AK19">
        <v>355.3727</v>
      </c>
      <c r="AL19">
        <v>351.1047</v>
      </c>
      <c r="AM19">
        <v>353.532</v>
      </c>
      <c r="AN19">
        <v>354.461</v>
      </c>
      <c r="AO19">
        <v>377.3525</v>
      </c>
      <c r="AP19">
        <v>379.7041</v>
      </c>
      <c r="AQ19">
        <v>381.2824</v>
      </c>
      <c r="AR19">
        <v>384.488</v>
      </c>
      <c r="AS19">
        <v>384.4747</v>
      </c>
      <c r="AT19">
        <v>368.1245</v>
      </c>
      <c r="AU19">
        <v>364.6821</v>
      </c>
      <c r="AV19">
        <v>347.9258</v>
      </c>
      <c r="AW19">
        <v>348.3877</v>
      </c>
      <c r="AX19">
        <v>348.4019</v>
      </c>
      <c r="AY19">
        <v>349.265</v>
      </c>
      <c r="AZ19">
        <v>364.2582</v>
      </c>
      <c r="BA19">
        <v>366.1085</v>
      </c>
      <c r="BB19">
        <v>375.2481</v>
      </c>
      <c r="BC19">
        <v>386.9101</v>
      </c>
      <c r="BD19">
        <v>387.5732</v>
      </c>
      <c r="BE19">
        <v>392.9195</v>
      </c>
      <c r="BF19">
        <v>395.1517</v>
      </c>
      <c r="BG19">
        <v>387.3647</v>
      </c>
      <c r="BH19">
        <v>387.0732</v>
      </c>
      <c r="BI19">
        <v>385.7557</v>
      </c>
      <c r="BJ19">
        <v>394.1889</v>
      </c>
      <c r="BK19">
        <v>410.7788</v>
      </c>
      <c r="BL19">
        <v>408.0705</v>
      </c>
      <c r="BM19">
        <v>407.8239</v>
      </c>
      <c r="BN19">
        <v>426.6684</v>
      </c>
      <c r="BO19">
        <v>426.0877</v>
      </c>
      <c r="BP19">
        <v>425.0165</v>
      </c>
      <c r="BQ19">
        <v>437.1956</v>
      </c>
      <c r="BR19">
        <v>463.3655</v>
      </c>
      <c r="BS19">
        <v>596.8969</v>
      </c>
      <c r="BT19">
        <v>596.6221</v>
      </c>
      <c r="BU19">
        <v>594.2806</v>
      </c>
      <c r="BV19">
        <v>591.5828</v>
      </c>
      <c r="BW19">
        <v>587.4274</v>
      </c>
      <c r="BX19">
        <v>575.5814</v>
      </c>
      <c r="BY19">
        <v>571.3235</v>
      </c>
      <c r="BZ19">
        <v>572.4926</v>
      </c>
      <c r="CA19">
        <v>577.1703</v>
      </c>
      <c r="CB19">
        <v>537.9181</v>
      </c>
      <c r="CC19">
        <v>571.0134</v>
      </c>
      <c r="CD19">
        <v>570.4707</v>
      </c>
      <c r="CE19">
        <v>570.6009</v>
      </c>
      <c r="CF19">
        <v>539.5062</v>
      </c>
      <c r="CG19">
        <v>538.6865</v>
      </c>
      <c r="CH19">
        <v>538.2169</v>
      </c>
      <c r="CI19">
        <v>545.1608</v>
      </c>
      <c r="CJ19">
        <v>520</v>
      </c>
      <c r="CK19">
        <v>440</v>
      </c>
      <c r="CL19">
        <v>430</v>
      </c>
      <c r="CM19">
        <v>400</v>
      </c>
      <c r="CN19">
        <v>380</v>
      </c>
      <c r="CO19">
        <v>370</v>
      </c>
      <c r="CP19">
        <v>370</v>
      </c>
      <c r="CQ19">
        <v>360</v>
      </c>
      <c r="CR19">
        <v>350</v>
      </c>
      <c r="CS19">
        <v>350</v>
      </c>
    </row>
    <row r="20" spans="1:97">
      <c r="A20" s="9">
        <v>46253</v>
      </c>
      <c r="B20">
        <v>360</v>
      </c>
      <c r="C20">
        <v>360</v>
      </c>
      <c r="D20">
        <v>360</v>
      </c>
      <c r="E20">
        <v>350</v>
      </c>
      <c r="F20">
        <v>360</v>
      </c>
      <c r="G20">
        <v>360</v>
      </c>
      <c r="H20">
        <v>360</v>
      </c>
      <c r="I20">
        <v>360</v>
      </c>
      <c r="J20">
        <v>369.6291</v>
      </c>
      <c r="K20">
        <v>369.6267</v>
      </c>
      <c r="L20">
        <v>360</v>
      </c>
      <c r="M20">
        <v>360</v>
      </c>
      <c r="N20">
        <v>369.6268</v>
      </c>
      <c r="O20">
        <v>360</v>
      </c>
      <c r="P20">
        <v>369.6263</v>
      </c>
      <c r="Q20">
        <v>360</v>
      </c>
      <c r="R20">
        <v>369.6261</v>
      </c>
      <c r="S20">
        <v>369.6259</v>
      </c>
      <c r="T20">
        <v>369.6261</v>
      </c>
      <c r="U20">
        <v>369.6324</v>
      </c>
      <c r="V20">
        <v>372.1614</v>
      </c>
      <c r="W20">
        <v>379.2625</v>
      </c>
      <c r="X20">
        <v>370</v>
      </c>
      <c r="Y20">
        <v>370</v>
      </c>
      <c r="Z20">
        <v>389.2634</v>
      </c>
      <c r="AA20">
        <v>379.6286</v>
      </c>
      <c r="AB20">
        <v>370</v>
      </c>
      <c r="AC20">
        <v>370</v>
      </c>
      <c r="AD20">
        <v>370</v>
      </c>
      <c r="AE20">
        <v>360</v>
      </c>
      <c r="AF20">
        <v>360</v>
      </c>
      <c r="AG20">
        <v>351.4494</v>
      </c>
      <c r="AH20">
        <v>363.2628</v>
      </c>
      <c r="AI20">
        <v>356.4218</v>
      </c>
      <c r="AJ20">
        <v>357.542</v>
      </c>
      <c r="AK20">
        <v>340.3928</v>
      </c>
      <c r="AL20">
        <v>331.8515</v>
      </c>
      <c r="AM20">
        <v>341.5845</v>
      </c>
      <c r="AN20">
        <v>361.4534</v>
      </c>
      <c r="AO20">
        <v>362.2465</v>
      </c>
      <c r="AP20">
        <v>367.0148</v>
      </c>
      <c r="AQ20">
        <v>368.484</v>
      </c>
      <c r="AR20">
        <v>379.9232</v>
      </c>
      <c r="AS20">
        <v>381.2346</v>
      </c>
      <c r="AT20">
        <v>378.0862</v>
      </c>
      <c r="AU20">
        <v>355.7617</v>
      </c>
      <c r="AV20">
        <v>369.2374</v>
      </c>
      <c r="AW20">
        <v>363.7896</v>
      </c>
      <c r="AX20">
        <v>363.9087</v>
      </c>
      <c r="AY20">
        <v>375.2841</v>
      </c>
      <c r="AZ20">
        <v>385.0664</v>
      </c>
      <c r="BA20">
        <v>384.8662</v>
      </c>
      <c r="BB20">
        <v>389.373</v>
      </c>
      <c r="BC20">
        <v>400.1225</v>
      </c>
      <c r="BD20">
        <v>402.4261</v>
      </c>
      <c r="BE20">
        <v>400.3984</v>
      </c>
      <c r="BF20">
        <v>409.7941</v>
      </c>
      <c r="BG20">
        <v>412.8043</v>
      </c>
      <c r="BH20">
        <v>413.4383</v>
      </c>
      <c r="BI20">
        <v>413.5885</v>
      </c>
      <c r="BJ20">
        <v>422.5015</v>
      </c>
      <c r="BK20">
        <v>441.3776</v>
      </c>
      <c r="BL20">
        <v>441.6684</v>
      </c>
      <c r="BM20">
        <v>442.3702</v>
      </c>
      <c r="BN20">
        <v>469.1711</v>
      </c>
      <c r="BO20">
        <v>479.6358</v>
      </c>
      <c r="BP20">
        <v>472.5213</v>
      </c>
      <c r="BQ20">
        <v>458.4444</v>
      </c>
      <c r="BR20">
        <v>457.9687</v>
      </c>
      <c r="BS20">
        <v>463.5954</v>
      </c>
      <c r="BT20">
        <v>451.891</v>
      </c>
      <c r="BU20">
        <v>474.9816</v>
      </c>
      <c r="BV20">
        <v>445.7656</v>
      </c>
      <c r="BW20">
        <v>495.3605</v>
      </c>
      <c r="BX20">
        <v>544.0551</v>
      </c>
      <c r="BY20">
        <v>540.3674</v>
      </c>
      <c r="BZ20">
        <v>528.8815</v>
      </c>
      <c r="CA20">
        <v>527.6223</v>
      </c>
      <c r="CB20">
        <v>544.4103</v>
      </c>
      <c r="CC20">
        <v>530.0143</v>
      </c>
      <c r="CD20">
        <v>539.5353</v>
      </c>
      <c r="CE20">
        <v>541.7217</v>
      </c>
      <c r="CF20">
        <v>533.8324</v>
      </c>
      <c r="CG20">
        <v>524.053</v>
      </c>
      <c r="CH20">
        <v>387.0293</v>
      </c>
      <c r="CI20">
        <v>379.8741</v>
      </c>
      <c r="CJ20">
        <v>360.7378</v>
      </c>
      <c r="CK20">
        <v>349.2546</v>
      </c>
      <c r="CL20">
        <v>340.2039</v>
      </c>
      <c r="CM20">
        <v>337.3164</v>
      </c>
      <c r="CN20">
        <v>349.3947</v>
      </c>
      <c r="CO20">
        <v>359.3512</v>
      </c>
      <c r="CP20">
        <v>360</v>
      </c>
      <c r="CQ20">
        <v>360</v>
      </c>
      <c r="CR20">
        <v>360</v>
      </c>
      <c r="CS20">
        <v>360</v>
      </c>
    </row>
    <row r="21" spans="1:97">
      <c r="A21" s="9">
        <v>46254</v>
      </c>
      <c r="B21">
        <v>320</v>
      </c>
      <c r="C21">
        <v>320</v>
      </c>
      <c r="D21">
        <v>320</v>
      </c>
      <c r="E21">
        <v>330</v>
      </c>
      <c r="F21">
        <v>330</v>
      </c>
      <c r="G21">
        <v>320</v>
      </c>
      <c r="H21">
        <v>320</v>
      </c>
      <c r="I21">
        <v>320</v>
      </c>
      <c r="J21">
        <v>320</v>
      </c>
      <c r="K21">
        <v>320</v>
      </c>
      <c r="L21">
        <v>320</v>
      </c>
      <c r="M21">
        <v>320</v>
      </c>
      <c r="N21">
        <v>320</v>
      </c>
      <c r="O21">
        <v>310</v>
      </c>
      <c r="P21">
        <v>310</v>
      </c>
      <c r="Q21">
        <v>310</v>
      </c>
      <c r="R21">
        <v>320</v>
      </c>
      <c r="S21">
        <v>320</v>
      </c>
      <c r="T21">
        <v>320</v>
      </c>
      <c r="U21">
        <v>330</v>
      </c>
      <c r="V21">
        <v>330</v>
      </c>
      <c r="W21">
        <v>320</v>
      </c>
      <c r="X21">
        <v>330</v>
      </c>
      <c r="Y21">
        <v>330</v>
      </c>
      <c r="Z21">
        <v>340</v>
      </c>
      <c r="AA21">
        <v>330</v>
      </c>
      <c r="AB21">
        <v>330</v>
      </c>
      <c r="AC21">
        <v>330</v>
      </c>
      <c r="AD21">
        <v>320</v>
      </c>
      <c r="AE21">
        <v>320</v>
      </c>
      <c r="AF21">
        <v>330</v>
      </c>
      <c r="AG21">
        <v>331.5929</v>
      </c>
      <c r="AH21">
        <v>343.5812</v>
      </c>
      <c r="AI21">
        <v>344.9611</v>
      </c>
      <c r="AJ21">
        <v>327.0498</v>
      </c>
      <c r="AK21">
        <v>331.0084</v>
      </c>
      <c r="AL21">
        <v>336.9484</v>
      </c>
      <c r="AM21">
        <v>338.3121</v>
      </c>
      <c r="AN21">
        <v>320.3305</v>
      </c>
      <c r="AO21">
        <v>329.8332</v>
      </c>
      <c r="AP21">
        <v>320.9037</v>
      </c>
      <c r="AQ21">
        <v>-45.4255</v>
      </c>
      <c r="AR21">
        <v>-44.2541</v>
      </c>
      <c r="AS21">
        <v>-44.8149</v>
      </c>
      <c r="AT21">
        <v>-56.7024</v>
      </c>
      <c r="AU21">
        <v>-57.9092</v>
      </c>
      <c r="AV21">
        <v>-59.2077</v>
      </c>
      <c r="AW21">
        <v>-59.7442</v>
      </c>
      <c r="AX21">
        <v>-59.5505</v>
      </c>
      <c r="AY21">
        <v>-59.0375</v>
      </c>
      <c r="AZ21">
        <v>-58.3631</v>
      </c>
      <c r="BA21">
        <v>-46.0492</v>
      </c>
      <c r="BB21">
        <v>-23.3886</v>
      </c>
      <c r="BC21">
        <v>-9.0967</v>
      </c>
      <c r="BD21">
        <v>1.6444</v>
      </c>
      <c r="BE21">
        <v>-0.2616</v>
      </c>
      <c r="BF21">
        <v>3.015</v>
      </c>
      <c r="BG21">
        <v>-1.1001</v>
      </c>
      <c r="BH21">
        <v>345.9436</v>
      </c>
      <c r="BI21">
        <v>354.3919</v>
      </c>
      <c r="BJ21">
        <v>363.7096</v>
      </c>
      <c r="BK21">
        <v>377.676</v>
      </c>
      <c r="BL21">
        <v>379.8851</v>
      </c>
      <c r="BM21">
        <v>389.9257</v>
      </c>
      <c r="BN21">
        <v>393.2238</v>
      </c>
      <c r="BO21">
        <v>391.1574</v>
      </c>
      <c r="BP21">
        <v>395.752</v>
      </c>
      <c r="BQ21">
        <v>392.5298</v>
      </c>
      <c r="BR21">
        <v>385.3599</v>
      </c>
      <c r="BS21">
        <v>392.3927</v>
      </c>
      <c r="BT21">
        <v>399.5599</v>
      </c>
      <c r="BU21">
        <v>401.3085</v>
      </c>
      <c r="BV21">
        <v>371.5999</v>
      </c>
      <c r="BW21">
        <v>370.872</v>
      </c>
      <c r="BX21">
        <v>369.6794</v>
      </c>
      <c r="BY21">
        <v>384.3962</v>
      </c>
      <c r="BZ21">
        <v>416.8649</v>
      </c>
      <c r="CA21">
        <v>390.0615</v>
      </c>
      <c r="CB21">
        <v>407.6359</v>
      </c>
      <c r="CC21">
        <v>409.8848</v>
      </c>
      <c r="CD21">
        <v>363.2082</v>
      </c>
      <c r="CE21">
        <v>371.9556</v>
      </c>
      <c r="CF21">
        <v>371.4721</v>
      </c>
      <c r="CG21">
        <v>368.0562</v>
      </c>
      <c r="CH21">
        <v>357.8286</v>
      </c>
      <c r="CI21">
        <v>343.3412</v>
      </c>
      <c r="CJ21">
        <v>342.0271</v>
      </c>
      <c r="CK21">
        <v>331.4974</v>
      </c>
      <c r="CL21">
        <v>331.4293</v>
      </c>
      <c r="CM21">
        <v>320</v>
      </c>
      <c r="CN21">
        <v>330</v>
      </c>
      <c r="CO21">
        <v>330</v>
      </c>
      <c r="CP21">
        <v>320</v>
      </c>
      <c r="CQ21">
        <v>310</v>
      </c>
      <c r="CR21">
        <v>310</v>
      </c>
      <c r="CS21">
        <v>300</v>
      </c>
    </row>
    <row r="22" spans="1:97">
      <c r="A22" s="9">
        <v>46255</v>
      </c>
      <c r="B22">
        <v>320</v>
      </c>
      <c r="C22">
        <v>320</v>
      </c>
      <c r="D22">
        <v>320</v>
      </c>
      <c r="E22">
        <v>320</v>
      </c>
      <c r="F22">
        <v>320</v>
      </c>
      <c r="G22">
        <v>320</v>
      </c>
      <c r="H22">
        <v>330</v>
      </c>
      <c r="I22">
        <v>340</v>
      </c>
      <c r="J22">
        <v>330</v>
      </c>
      <c r="K22">
        <v>330</v>
      </c>
      <c r="L22">
        <v>320</v>
      </c>
      <c r="M22">
        <v>310</v>
      </c>
      <c r="N22">
        <v>320</v>
      </c>
      <c r="O22">
        <v>320</v>
      </c>
      <c r="P22">
        <v>320</v>
      </c>
      <c r="Q22">
        <v>0</v>
      </c>
      <c r="R22">
        <v>310</v>
      </c>
      <c r="S22">
        <v>-100</v>
      </c>
      <c r="T22">
        <v>-100</v>
      </c>
      <c r="U22">
        <v>0</v>
      </c>
      <c r="V22">
        <v>320</v>
      </c>
      <c r="W22">
        <v>320</v>
      </c>
      <c r="X22">
        <v>320</v>
      </c>
      <c r="Y22">
        <v>320</v>
      </c>
      <c r="Z22">
        <v>340</v>
      </c>
      <c r="AA22">
        <v>340</v>
      </c>
      <c r="AB22">
        <v>340</v>
      </c>
      <c r="AC22">
        <v>330</v>
      </c>
      <c r="AD22">
        <v>330</v>
      </c>
      <c r="AE22">
        <v>320</v>
      </c>
      <c r="AF22">
        <v>320</v>
      </c>
      <c r="AG22">
        <v>321.1444</v>
      </c>
      <c r="AH22">
        <v>341.2644</v>
      </c>
      <c r="AI22">
        <v>343.7618</v>
      </c>
      <c r="AJ22">
        <v>345.6306</v>
      </c>
      <c r="AK22">
        <v>333.8927</v>
      </c>
      <c r="AL22">
        <v>337.0459</v>
      </c>
      <c r="AM22">
        <v>337.8207</v>
      </c>
      <c r="AN22">
        <v>338.5034</v>
      </c>
      <c r="AO22">
        <v>339.5428</v>
      </c>
      <c r="AP22">
        <v>339.5319</v>
      </c>
      <c r="AQ22">
        <v>-43.474</v>
      </c>
      <c r="AR22">
        <v>46.9111</v>
      </c>
      <c r="AS22">
        <v>-45.1509</v>
      </c>
      <c r="AT22">
        <v>-56.3306</v>
      </c>
      <c r="AU22">
        <v>-56.5053</v>
      </c>
      <c r="AV22">
        <v>-57.1661</v>
      </c>
      <c r="AW22">
        <v>-57.0374</v>
      </c>
      <c r="AX22">
        <v>333.4798</v>
      </c>
      <c r="AY22">
        <v>333.4988</v>
      </c>
      <c r="AZ22">
        <v>333.657</v>
      </c>
      <c r="BA22">
        <v>333.7788</v>
      </c>
      <c r="BB22">
        <v>333.8508</v>
      </c>
      <c r="BC22">
        <v>360.547</v>
      </c>
      <c r="BD22">
        <v>385.8636</v>
      </c>
      <c r="BE22">
        <v>385.5951</v>
      </c>
      <c r="BF22">
        <v>394.7551</v>
      </c>
      <c r="BG22">
        <v>414.878</v>
      </c>
      <c r="BH22">
        <v>414.855</v>
      </c>
      <c r="BI22">
        <v>423.5464</v>
      </c>
      <c r="BJ22">
        <v>425.7352</v>
      </c>
      <c r="BK22">
        <v>418.3609</v>
      </c>
      <c r="BL22">
        <v>421.5206</v>
      </c>
      <c r="BM22">
        <v>441.7531</v>
      </c>
      <c r="BN22">
        <v>475.5115</v>
      </c>
      <c r="BO22">
        <v>509.6236</v>
      </c>
      <c r="BP22">
        <v>525.3153</v>
      </c>
      <c r="BQ22">
        <v>517.567</v>
      </c>
      <c r="BR22">
        <v>498.952</v>
      </c>
      <c r="BS22">
        <v>504.7717</v>
      </c>
      <c r="BT22">
        <v>502.106</v>
      </c>
      <c r="BU22">
        <v>522.3502</v>
      </c>
      <c r="BV22">
        <v>550.2643</v>
      </c>
      <c r="BW22">
        <v>561.3487</v>
      </c>
      <c r="BX22">
        <v>575.525</v>
      </c>
      <c r="BY22">
        <v>558.4839</v>
      </c>
      <c r="BZ22">
        <v>605.8161</v>
      </c>
      <c r="CA22">
        <v>605.9171</v>
      </c>
      <c r="CB22">
        <v>605.7209</v>
      </c>
      <c r="CC22">
        <v>604.7002</v>
      </c>
      <c r="CD22">
        <v>569.3153</v>
      </c>
      <c r="CE22">
        <v>560.5348</v>
      </c>
      <c r="CF22">
        <v>550.7964</v>
      </c>
      <c r="CG22">
        <v>511.8051</v>
      </c>
      <c r="CH22">
        <v>540.775</v>
      </c>
      <c r="CI22">
        <v>493.6909</v>
      </c>
      <c r="CJ22">
        <v>465.0744</v>
      </c>
      <c r="CK22">
        <v>381.6722</v>
      </c>
      <c r="CL22">
        <v>400</v>
      </c>
      <c r="CM22">
        <v>400</v>
      </c>
      <c r="CN22">
        <v>400</v>
      </c>
      <c r="CO22">
        <v>400</v>
      </c>
      <c r="CP22">
        <v>398.9784</v>
      </c>
      <c r="CQ22">
        <v>389.3107</v>
      </c>
      <c r="CR22">
        <v>370</v>
      </c>
      <c r="CS22">
        <v>360</v>
      </c>
    </row>
    <row r="23" spans="1:97">
      <c r="A23" s="9">
        <v>46256</v>
      </c>
      <c r="B23">
        <v>360</v>
      </c>
      <c r="C23">
        <v>360</v>
      </c>
      <c r="D23">
        <v>360</v>
      </c>
      <c r="E23">
        <v>360</v>
      </c>
      <c r="F23">
        <v>360</v>
      </c>
      <c r="G23">
        <v>370</v>
      </c>
      <c r="H23">
        <v>370</v>
      </c>
      <c r="I23">
        <v>370</v>
      </c>
      <c r="J23">
        <v>380</v>
      </c>
      <c r="K23">
        <v>370</v>
      </c>
      <c r="L23">
        <v>370</v>
      </c>
      <c r="M23">
        <v>370</v>
      </c>
      <c r="N23">
        <v>370</v>
      </c>
      <c r="O23">
        <v>370</v>
      </c>
      <c r="P23">
        <v>370</v>
      </c>
      <c r="Q23">
        <v>370</v>
      </c>
      <c r="R23">
        <v>370</v>
      </c>
      <c r="S23">
        <v>379</v>
      </c>
      <c r="T23">
        <v>380</v>
      </c>
      <c r="U23">
        <v>380</v>
      </c>
      <c r="V23">
        <v>380</v>
      </c>
      <c r="W23">
        <v>370</v>
      </c>
      <c r="X23">
        <v>370</v>
      </c>
      <c r="Y23">
        <v>370</v>
      </c>
      <c r="Z23">
        <v>399</v>
      </c>
      <c r="AA23">
        <v>399</v>
      </c>
      <c r="AB23">
        <v>399</v>
      </c>
      <c r="AC23">
        <v>399</v>
      </c>
      <c r="AD23">
        <v>380</v>
      </c>
      <c r="AE23">
        <v>380</v>
      </c>
      <c r="AF23">
        <v>370</v>
      </c>
      <c r="AG23">
        <v>380</v>
      </c>
      <c r="AH23">
        <v>380</v>
      </c>
      <c r="AI23">
        <v>380</v>
      </c>
      <c r="AJ23">
        <v>372</v>
      </c>
      <c r="AK23">
        <v>354</v>
      </c>
      <c r="AL23">
        <v>365</v>
      </c>
      <c r="AM23">
        <v>368</v>
      </c>
      <c r="AN23">
        <v>374</v>
      </c>
      <c r="AO23">
        <v>377</v>
      </c>
      <c r="AP23">
        <v>371</v>
      </c>
      <c r="AQ23">
        <v>364</v>
      </c>
      <c r="AR23">
        <v>355</v>
      </c>
      <c r="AS23">
        <v>355</v>
      </c>
      <c r="AT23">
        <v>141</v>
      </c>
      <c r="AU23">
        <v>333</v>
      </c>
      <c r="AV23">
        <v>323</v>
      </c>
      <c r="AW23">
        <v>332</v>
      </c>
      <c r="AX23">
        <v>332</v>
      </c>
      <c r="AY23">
        <v>332</v>
      </c>
      <c r="AZ23">
        <v>352</v>
      </c>
      <c r="BA23">
        <v>346</v>
      </c>
      <c r="BB23">
        <v>360</v>
      </c>
      <c r="BC23">
        <v>361</v>
      </c>
      <c r="BD23">
        <v>362</v>
      </c>
      <c r="BE23">
        <v>-15</v>
      </c>
      <c r="BF23">
        <v>-10</v>
      </c>
      <c r="BG23">
        <v>-8</v>
      </c>
      <c r="BH23">
        <v>-6</v>
      </c>
      <c r="BI23">
        <v>-3</v>
      </c>
      <c r="BJ23">
        <v>-2</v>
      </c>
      <c r="BK23">
        <v>372</v>
      </c>
      <c r="BL23">
        <v>381</v>
      </c>
      <c r="BM23">
        <v>389</v>
      </c>
      <c r="BN23">
        <v>397</v>
      </c>
      <c r="BO23">
        <v>404</v>
      </c>
      <c r="BP23">
        <v>410</v>
      </c>
      <c r="BQ23">
        <v>405</v>
      </c>
      <c r="BR23">
        <v>494</v>
      </c>
      <c r="BS23">
        <v>511</v>
      </c>
      <c r="BT23">
        <v>555</v>
      </c>
      <c r="BU23">
        <v>597</v>
      </c>
      <c r="BV23">
        <v>573</v>
      </c>
      <c r="BW23">
        <v>588</v>
      </c>
      <c r="BX23">
        <v>578</v>
      </c>
      <c r="BY23">
        <v>504</v>
      </c>
      <c r="BZ23">
        <v>509</v>
      </c>
      <c r="CA23">
        <v>505</v>
      </c>
      <c r="CB23">
        <v>493</v>
      </c>
      <c r="CC23">
        <v>475</v>
      </c>
      <c r="CD23">
        <v>448</v>
      </c>
      <c r="CE23">
        <v>448</v>
      </c>
      <c r="CF23">
        <v>385</v>
      </c>
      <c r="CG23">
        <v>400</v>
      </c>
      <c r="CH23">
        <v>383</v>
      </c>
      <c r="CI23">
        <v>362</v>
      </c>
      <c r="CJ23">
        <v>361</v>
      </c>
      <c r="CK23">
        <v>351</v>
      </c>
      <c r="CL23">
        <v>351</v>
      </c>
      <c r="CM23">
        <v>350</v>
      </c>
      <c r="CN23">
        <v>350</v>
      </c>
      <c r="CO23">
        <v>350</v>
      </c>
      <c r="CP23">
        <v>350</v>
      </c>
      <c r="CQ23">
        <v>340</v>
      </c>
      <c r="CR23">
        <v>340</v>
      </c>
      <c r="CS23">
        <v>330</v>
      </c>
    </row>
    <row r="24" spans="1:97">
      <c r="A24" s="9">
        <v>46257</v>
      </c>
      <c r="B24">
        <v>350</v>
      </c>
      <c r="C24">
        <v>350</v>
      </c>
      <c r="D24">
        <v>340</v>
      </c>
      <c r="E24">
        <v>340</v>
      </c>
      <c r="F24">
        <v>340</v>
      </c>
      <c r="G24">
        <v>340</v>
      </c>
      <c r="H24">
        <v>340</v>
      </c>
      <c r="I24">
        <v>330</v>
      </c>
      <c r="J24">
        <v>330</v>
      </c>
      <c r="K24">
        <v>330</v>
      </c>
      <c r="L24">
        <v>330</v>
      </c>
      <c r="M24">
        <v>320</v>
      </c>
      <c r="N24">
        <v>330</v>
      </c>
      <c r="O24">
        <v>330</v>
      </c>
      <c r="P24">
        <v>330</v>
      </c>
      <c r="Q24">
        <v>330</v>
      </c>
      <c r="R24">
        <v>330</v>
      </c>
      <c r="S24">
        <v>330</v>
      </c>
      <c r="T24">
        <v>320</v>
      </c>
      <c r="U24">
        <v>320</v>
      </c>
      <c r="V24">
        <v>320</v>
      </c>
      <c r="W24">
        <v>320</v>
      </c>
      <c r="X24">
        <v>320</v>
      </c>
      <c r="Y24">
        <v>320</v>
      </c>
      <c r="Z24">
        <v>320</v>
      </c>
      <c r="AA24">
        <v>310</v>
      </c>
      <c r="AB24">
        <v>310</v>
      </c>
      <c r="AC24">
        <v>-100</v>
      </c>
      <c r="AD24">
        <v>-100</v>
      </c>
      <c r="AE24">
        <v>-100</v>
      </c>
      <c r="AF24">
        <v>-100</v>
      </c>
      <c r="AG24">
        <v>-100</v>
      </c>
      <c r="AH24">
        <v>321.1981</v>
      </c>
      <c r="AI24">
        <v>-83.7609</v>
      </c>
      <c r="AJ24">
        <v>-79.8537</v>
      </c>
      <c r="AK24">
        <v>-76.1202</v>
      </c>
      <c r="AL24">
        <v>-73.4583</v>
      </c>
      <c r="AM24">
        <v>-68.6491</v>
      </c>
      <c r="AN24">
        <v>-66.7617</v>
      </c>
      <c r="AO24">
        <v>-65.4258</v>
      </c>
      <c r="AP24">
        <v>-64.1264</v>
      </c>
      <c r="AQ24">
        <v>-63.2037</v>
      </c>
      <c r="AR24">
        <v>-62.7936</v>
      </c>
      <c r="AS24">
        <v>-63.0642</v>
      </c>
      <c r="AT24">
        <v>-62.7223</v>
      </c>
      <c r="AU24">
        <v>-64.2049</v>
      </c>
      <c r="AV24">
        <v>-65.5747</v>
      </c>
      <c r="AW24">
        <v>-67.5175</v>
      </c>
      <c r="AX24">
        <v>320.151</v>
      </c>
      <c r="AY24">
        <v>320.0623</v>
      </c>
      <c r="AZ24">
        <v>320.1483</v>
      </c>
      <c r="BA24">
        <v>320.1935</v>
      </c>
      <c r="BB24">
        <v>330.3369</v>
      </c>
      <c r="BC24">
        <v>330.3997</v>
      </c>
      <c r="BD24">
        <v>330.409</v>
      </c>
      <c r="BE24">
        <v>339.6096</v>
      </c>
      <c r="BF24">
        <v>339.7354</v>
      </c>
      <c r="BG24">
        <v>339.7363</v>
      </c>
      <c r="BH24">
        <v>349.1841</v>
      </c>
      <c r="BI24">
        <v>349.2243</v>
      </c>
      <c r="BJ24">
        <v>367.9461</v>
      </c>
      <c r="BK24">
        <v>377.3381</v>
      </c>
      <c r="BL24">
        <v>377.3311</v>
      </c>
      <c r="BM24">
        <v>377.4243</v>
      </c>
      <c r="BN24">
        <v>453.0726</v>
      </c>
      <c r="BO24">
        <v>528.7953</v>
      </c>
      <c r="BP24">
        <v>576.8234</v>
      </c>
      <c r="BQ24">
        <v>488.8593</v>
      </c>
      <c r="BR24">
        <v>516.0416</v>
      </c>
      <c r="BS24">
        <v>573.98</v>
      </c>
      <c r="BT24">
        <v>553.1166</v>
      </c>
      <c r="BU24">
        <v>546.8256</v>
      </c>
      <c r="BV24">
        <v>543.9599</v>
      </c>
      <c r="BW24">
        <v>544.1735</v>
      </c>
      <c r="BX24">
        <v>569.7858</v>
      </c>
      <c r="BY24">
        <v>488.5906</v>
      </c>
      <c r="BZ24">
        <v>512.0445</v>
      </c>
      <c r="CA24">
        <v>511.3026</v>
      </c>
      <c r="CB24">
        <v>511.2253</v>
      </c>
      <c r="CC24">
        <v>514.0161</v>
      </c>
      <c r="CD24">
        <v>515.1055</v>
      </c>
      <c r="CE24">
        <v>515.127</v>
      </c>
      <c r="CF24">
        <v>506.2794</v>
      </c>
      <c r="CG24">
        <v>497.3499</v>
      </c>
      <c r="CH24">
        <v>516.6597</v>
      </c>
      <c r="CI24">
        <v>515.9944</v>
      </c>
      <c r="CJ24">
        <v>442.3336</v>
      </c>
      <c r="CK24">
        <v>396.2297</v>
      </c>
      <c r="CL24">
        <v>387.0132</v>
      </c>
      <c r="CM24">
        <v>368.972</v>
      </c>
      <c r="CN24">
        <v>360</v>
      </c>
      <c r="CO24">
        <v>370</v>
      </c>
      <c r="CP24">
        <v>370</v>
      </c>
      <c r="CQ24">
        <v>370</v>
      </c>
      <c r="CR24">
        <v>370</v>
      </c>
      <c r="CS24">
        <v>370</v>
      </c>
    </row>
    <row r="25" spans="1:97">
      <c r="A25" s="9">
        <v>46258</v>
      </c>
      <c r="B25">
        <v>418.269</v>
      </c>
      <c r="C25">
        <v>379.6539</v>
      </c>
      <c r="D25">
        <v>370</v>
      </c>
      <c r="E25">
        <v>360</v>
      </c>
      <c r="F25">
        <v>379.6559</v>
      </c>
      <c r="G25">
        <v>379.6558</v>
      </c>
      <c r="H25">
        <v>389.3124</v>
      </c>
      <c r="I25">
        <v>398.9794</v>
      </c>
      <c r="J25">
        <v>408.4702</v>
      </c>
      <c r="K25">
        <v>398.9738</v>
      </c>
      <c r="L25">
        <v>398.631</v>
      </c>
      <c r="M25">
        <v>389.3096</v>
      </c>
      <c r="N25">
        <v>408.2988</v>
      </c>
      <c r="O25">
        <v>408.2955</v>
      </c>
      <c r="P25">
        <v>398.6229</v>
      </c>
      <c r="Q25">
        <v>398.6225</v>
      </c>
      <c r="R25">
        <v>398.6237</v>
      </c>
      <c r="S25">
        <v>398.6093</v>
      </c>
      <c r="T25">
        <v>389.2973</v>
      </c>
      <c r="U25">
        <v>398.9418</v>
      </c>
      <c r="V25">
        <v>408.5892</v>
      </c>
      <c r="W25">
        <v>408.5858</v>
      </c>
      <c r="X25">
        <v>408.5704</v>
      </c>
      <c r="Y25">
        <v>408.5672</v>
      </c>
      <c r="Z25">
        <v>505.1408</v>
      </c>
      <c r="AA25">
        <v>495.4439</v>
      </c>
      <c r="AB25">
        <v>510</v>
      </c>
      <c r="AC25">
        <v>510</v>
      </c>
      <c r="AD25">
        <v>500</v>
      </c>
      <c r="AE25">
        <v>550</v>
      </c>
      <c r="AF25">
        <v>560</v>
      </c>
      <c r="AG25">
        <v>550</v>
      </c>
      <c r="AH25">
        <v>650</v>
      </c>
      <c r="AI25">
        <v>650</v>
      </c>
      <c r="AJ25">
        <v>530</v>
      </c>
      <c r="AK25">
        <v>459.8256</v>
      </c>
      <c r="AL25">
        <v>447.3031</v>
      </c>
      <c r="AM25">
        <v>420.0575</v>
      </c>
      <c r="AN25">
        <v>415.3176</v>
      </c>
      <c r="AO25">
        <v>410.8575</v>
      </c>
      <c r="AP25">
        <v>404.9649</v>
      </c>
      <c r="AQ25">
        <v>407.5884</v>
      </c>
      <c r="AR25">
        <v>416.1666</v>
      </c>
      <c r="AS25">
        <v>414.1406</v>
      </c>
      <c r="AT25">
        <v>401.7133</v>
      </c>
      <c r="AU25">
        <v>406.7672</v>
      </c>
      <c r="AV25">
        <v>404.4552</v>
      </c>
      <c r="AW25">
        <v>395.4955</v>
      </c>
      <c r="AX25">
        <v>426.156</v>
      </c>
      <c r="AY25">
        <v>437.3163</v>
      </c>
      <c r="AZ25">
        <v>439.4331</v>
      </c>
      <c r="BA25">
        <v>430.4937</v>
      </c>
      <c r="BB25">
        <v>442.0835</v>
      </c>
      <c r="BC25">
        <v>443.2093</v>
      </c>
      <c r="BD25">
        <v>434.6389</v>
      </c>
      <c r="BE25">
        <v>416.1165</v>
      </c>
      <c r="BF25">
        <v>405.0864</v>
      </c>
      <c r="BG25">
        <v>412.7652</v>
      </c>
      <c r="BH25">
        <v>402.2151</v>
      </c>
      <c r="BI25">
        <v>408.9387</v>
      </c>
      <c r="BJ25">
        <v>413.8045</v>
      </c>
      <c r="BK25">
        <v>419.8983</v>
      </c>
      <c r="BL25">
        <v>403.9647</v>
      </c>
      <c r="BM25">
        <v>396.1981</v>
      </c>
      <c r="BN25">
        <v>436.9498</v>
      </c>
      <c r="BO25">
        <v>453.1349</v>
      </c>
      <c r="BP25">
        <v>460.8379</v>
      </c>
      <c r="BQ25">
        <v>404.7875</v>
      </c>
      <c r="BR25">
        <v>386.4101</v>
      </c>
      <c r="BS25">
        <v>413.1088</v>
      </c>
      <c r="BT25">
        <v>422.0087</v>
      </c>
      <c r="BU25">
        <v>448.4012</v>
      </c>
      <c r="BV25">
        <v>448.3032</v>
      </c>
      <c r="BW25">
        <v>510.9307</v>
      </c>
      <c r="BX25">
        <v>548.7446</v>
      </c>
      <c r="BY25">
        <v>586.5126</v>
      </c>
      <c r="BZ25">
        <v>586.6533</v>
      </c>
      <c r="CA25">
        <v>673.4944</v>
      </c>
      <c r="CB25">
        <v>652.9745</v>
      </c>
      <c r="CC25">
        <v>519.8545</v>
      </c>
      <c r="CD25">
        <v>491.7036</v>
      </c>
      <c r="CE25">
        <v>520.2823</v>
      </c>
      <c r="CF25">
        <v>423.7768</v>
      </c>
      <c r="CG25">
        <v>412.0871</v>
      </c>
      <c r="CH25">
        <v>500</v>
      </c>
      <c r="CI25">
        <v>411.3441</v>
      </c>
      <c r="CJ25">
        <v>401.2527</v>
      </c>
      <c r="CK25">
        <v>361.9808</v>
      </c>
      <c r="CL25">
        <v>361.5086</v>
      </c>
      <c r="CM25">
        <v>360.3383</v>
      </c>
      <c r="CN25">
        <v>360.2989</v>
      </c>
      <c r="CO25">
        <v>360</v>
      </c>
      <c r="CP25">
        <v>350</v>
      </c>
      <c r="CQ25">
        <v>350</v>
      </c>
      <c r="CR25">
        <v>350</v>
      </c>
      <c r="CS25">
        <v>340</v>
      </c>
    </row>
    <row r="26" spans="1:97">
      <c r="A26" s="9">
        <v>46259</v>
      </c>
      <c r="B26">
        <v>340</v>
      </c>
      <c r="C26">
        <v>340</v>
      </c>
      <c r="D26">
        <v>330</v>
      </c>
      <c r="E26">
        <v>330</v>
      </c>
      <c r="F26">
        <v>330</v>
      </c>
      <c r="G26">
        <v>330</v>
      </c>
      <c r="H26">
        <v>330</v>
      </c>
      <c r="I26">
        <v>340</v>
      </c>
      <c r="J26">
        <v>330</v>
      </c>
      <c r="K26">
        <v>340</v>
      </c>
      <c r="L26">
        <v>340</v>
      </c>
      <c r="M26">
        <v>340</v>
      </c>
      <c r="N26">
        <v>340</v>
      </c>
      <c r="O26">
        <v>340</v>
      </c>
      <c r="P26">
        <v>340</v>
      </c>
      <c r="Q26">
        <v>340</v>
      </c>
      <c r="R26">
        <v>340</v>
      </c>
      <c r="S26">
        <v>340</v>
      </c>
      <c r="T26">
        <v>330</v>
      </c>
      <c r="U26">
        <v>330</v>
      </c>
      <c r="V26">
        <v>330</v>
      </c>
      <c r="W26">
        <v>340</v>
      </c>
      <c r="X26">
        <v>340</v>
      </c>
      <c r="Y26">
        <v>330</v>
      </c>
      <c r="Z26">
        <v>350</v>
      </c>
      <c r="AA26">
        <v>350</v>
      </c>
      <c r="AB26">
        <v>350</v>
      </c>
      <c r="AC26">
        <v>340</v>
      </c>
      <c r="AD26">
        <v>330.6608</v>
      </c>
      <c r="AE26">
        <v>332.7528</v>
      </c>
      <c r="AF26">
        <v>333.6842</v>
      </c>
      <c r="AG26">
        <v>337.3094</v>
      </c>
      <c r="AH26">
        <v>351.4557</v>
      </c>
      <c r="AI26">
        <v>343.2022</v>
      </c>
      <c r="AJ26">
        <v>344.0173</v>
      </c>
      <c r="AK26">
        <v>346.9253</v>
      </c>
      <c r="AL26">
        <v>347.7967</v>
      </c>
      <c r="AM26">
        <v>365.3399</v>
      </c>
      <c r="AN26">
        <v>365.2873</v>
      </c>
      <c r="AO26">
        <v>365.5438</v>
      </c>
      <c r="AP26">
        <v>365.5548</v>
      </c>
      <c r="AQ26">
        <v>369.1365</v>
      </c>
      <c r="AR26">
        <v>386.7891</v>
      </c>
      <c r="AS26">
        <v>379.2032</v>
      </c>
      <c r="AT26">
        <v>379.2127</v>
      </c>
      <c r="AU26">
        <v>369.013</v>
      </c>
      <c r="AV26">
        <v>366.7148</v>
      </c>
      <c r="AW26">
        <v>366.6122</v>
      </c>
      <c r="AX26">
        <v>366.7371</v>
      </c>
      <c r="AY26">
        <v>366.708</v>
      </c>
      <c r="AZ26">
        <v>369.5684</v>
      </c>
      <c r="BA26">
        <v>369.4013</v>
      </c>
      <c r="BB26">
        <v>379.6735</v>
      </c>
      <c r="BC26">
        <v>388.6433</v>
      </c>
      <c r="BD26">
        <v>380.0988</v>
      </c>
      <c r="BE26">
        <v>389.9322</v>
      </c>
      <c r="BF26">
        <v>389.897</v>
      </c>
      <c r="BG26">
        <v>389.2251</v>
      </c>
      <c r="BH26">
        <v>397.5937</v>
      </c>
      <c r="BI26">
        <v>414.9311</v>
      </c>
      <c r="BJ26">
        <v>462.7575</v>
      </c>
      <c r="BK26">
        <v>515.2007</v>
      </c>
      <c r="BL26">
        <v>514.342</v>
      </c>
      <c r="BM26">
        <v>499.8022</v>
      </c>
      <c r="BN26">
        <v>514.8116</v>
      </c>
      <c r="BO26">
        <v>519.3593</v>
      </c>
      <c r="BP26">
        <v>515.5908</v>
      </c>
      <c r="BQ26">
        <v>505.0632</v>
      </c>
      <c r="BR26">
        <v>504.9448</v>
      </c>
      <c r="BS26">
        <v>530.7428</v>
      </c>
      <c r="BT26">
        <v>554.7559</v>
      </c>
      <c r="BU26">
        <v>603.9986</v>
      </c>
      <c r="BV26">
        <v>594.8791</v>
      </c>
      <c r="BW26">
        <v>620.7648</v>
      </c>
      <c r="BX26">
        <v>642.4832</v>
      </c>
      <c r="BY26">
        <v>622.9073</v>
      </c>
      <c r="BZ26">
        <v>643.6598</v>
      </c>
      <c r="CA26">
        <v>640.5355</v>
      </c>
      <c r="CB26">
        <v>622.3594</v>
      </c>
      <c r="CC26">
        <v>601.8907</v>
      </c>
      <c r="CD26">
        <v>601.3301</v>
      </c>
      <c r="CE26">
        <v>588.7697</v>
      </c>
      <c r="CF26">
        <v>520.6237</v>
      </c>
      <c r="CG26">
        <v>500.1948</v>
      </c>
      <c r="CH26">
        <v>504.5266</v>
      </c>
      <c r="CI26">
        <v>479.9312</v>
      </c>
      <c r="CJ26">
        <v>460.0544</v>
      </c>
      <c r="CK26">
        <v>389.0886</v>
      </c>
      <c r="CL26">
        <v>360.8013</v>
      </c>
      <c r="CM26">
        <v>359.6237</v>
      </c>
      <c r="CN26">
        <v>349.2307</v>
      </c>
      <c r="CO26">
        <v>338.0919</v>
      </c>
      <c r="CP26">
        <v>339.7293</v>
      </c>
      <c r="CQ26">
        <v>339.6371</v>
      </c>
      <c r="CR26">
        <v>330</v>
      </c>
      <c r="CS26">
        <v>330</v>
      </c>
    </row>
    <row r="27" spans="1:97">
      <c r="A27" s="9">
        <v>46260</v>
      </c>
      <c r="B27">
        <v>400</v>
      </c>
      <c r="C27">
        <v>350</v>
      </c>
      <c r="D27">
        <v>350</v>
      </c>
      <c r="E27">
        <v>350</v>
      </c>
      <c r="F27">
        <v>350</v>
      </c>
      <c r="G27">
        <v>350</v>
      </c>
      <c r="H27">
        <v>360</v>
      </c>
      <c r="I27">
        <v>350</v>
      </c>
      <c r="J27">
        <v>350</v>
      </c>
      <c r="K27">
        <v>350</v>
      </c>
      <c r="L27">
        <v>350</v>
      </c>
      <c r="M27">
        <v>340</v>
      </c>
      <c r="N27">
        <v>350</v>
      </c>
      <c r="O27">
        <v>340</v>
      </c>
      <c r="P27">
        <v>340</v>
      </c>
      <c r="Q27">
        <v>340</v>
      </c>
      <c r="R27">
        <v>340</v>
      </c>
      <c r="S27">
        <v>340</v>
      </c>
      <c r="T27">
        <v>330</v>
      </c>
      <c r="U27">
        <v>330</v>
      </c>
      <c r="V27">
        <v>330</v>
      </c>
      <c r="W27">
        <v>330</v>
      </c>
      <c r="X27">
        <v>330</v>
      </c>
      <c r="Y27">
        <v>330</v>
      </c>
      <c r="Z27">
        <v>330</v>
      </c>
      <c r="AA27">
        <v>340</v>
      </c>
      <c r="AB27">
        <v>340</v>
      </c>
      <c r="AC27">
        <v>330</v>
      </c>
      <c r="AD27">
        <v>330</v>
      </c>
      <c r="AE27">
        <v>330</v>
      </c>
      <c r="AF27">
        <v>331.0776</v>
      </c>
      <c r="AG27">
        <v>323.7768</v>
      </c>
      <c r="AH27">
        <v>342.5828</v>
      </c>
      <c r="AI27">
        <v>345.7472</v>
      </c>
      <c r="AJ27">
        <v>338.6441</v>
      </c>
      <c r="AK27">
        <v>340.6255</v>
      </c>
      <c r="AL27">
        <v>343.9894</v>
      </c>
      <c r="AM27">
        <v>344.27</v>
      </c>
      <c r="AN27">
        <v>344.4644</v>
      </c>
      <c r="AO27">
        <v>345.8516</v>
      </c>
      <c r="AP27">
        <v>346.4527</v>
      </c>
      <c r="AQ27">
        <v>345.6431</v>
      </c>
      <c r="AR27">
        <v>345.2838</v>
      </c>
      <c r="AS27">
        <v>344.5015</v>
      </c>
      <c r="AT27">
        <v>335.1885</v>
      </c>
      <c r="AU27">
        <v>334.931</v>
      </c>
      <c r="AV27">
        <v>333.3358</v>
      </c>
      <c r="AW27">
        <v>332.9159</v>
      </c>
      <c r="AX27">
        <v>332.7375</v>
      </c>
      <c r="AY27">
        <v>332.7026</v>
      </c>
      <c r="AZ27">
        <v>332.8014</v>
      </c>
      <c r="BA27">
        <v>332.9134</v>
      </c>
      <c r="BB27">
        <v>341.1143</v>
      </c>
      <c r="BC27">
        <v>340.5074</v>
      </c>
      <c r="BD27">
        <v>342.3105</v>
      </c>
      <c r="BE27">
        <v>342.1353</v>
      </c>
      <c r="BF27">
        <v>349.3972</v>
      </c>
      <c r="BG27">
        <v>349.4853</v>
      </c>
      <c r="BH27">
        <v>349.8546</v>
      </c>
      <c r="BI27">
        <v>349.8692</v>
      </c>
      <c r="BJ27">
        <v>359.1201</v>
      </c>
      <c r="BK27">
        <v>368.7316</v>
      </c>
      <c r="BL27">
        <v>367.8105</v>
      </c>
      <c r="BM27">
        <v>386.1614</v>
      </c>
      <c r="BN27">
        <v>400.2542</v>
      </c>
      <c r="BO27">
        <v>417.729</v>
      </c>
      <c r="BP27">
        <v>406.639</v>
      </c>
      <c r="BQ27">
        <v>393.119</v>
      </c>
      <c r="BR27">
        <v>402.9561</v>
      </c>
      <c r="BS27">
        <v>406.3677</v>
      </c>
      <c r="BT27">
        <v>414.2306</v>
      </c>
      <c r="BU27">
        <v>452.1712</v>
      </c>
      <c r="BV27">
        <v>464.4598</v>
      </c>
      <c r="BW27">
        <v>619.4654</v>
      </c>
      <c r="BX27">
        <v>654.7866</v>
      </c>
      <c r="BY27">
        <v>707.8942</v>
      </c>
      <c r="BZ27">
        <v>863.1144</v>
      </c>
      <c r="CA27">
        <v>863.6312</v>
      </c>
      <c r="CB27">
        <v>863.7609</v>
      </c>
      <c r="CC27">
        <v>768.6173</v>
      </c>
      <c r="CD27">
        <v>574.6433</v>
      </c>
      <c r="CE27">
        <v>585.817</v>
      </c>
      <c r="CF27">
        <v>585.9276</v>
      </c>
      <c r="CG27">
        <v>469.1024</v>
      </c>
      <c r="CH27">
        <v>480.085</v>
      </c>
      <c r="CI27">
        <v>458.3033</v>
      </c>
      <c r="CJ27">
        <v>576.5295</v>
      </c>
      <c r="CK27">
        <v>441.9388</v>
      </c>
      <c r="CL27">
        <v>425.2038</v>
      </c>
      <c r="CM27">
        <v>428.9228</v>
      </c>
      <c r="CN27">
        <v>450</v>
      </c>
      <c r="CO27">
        <v>391.0729</v>
      </c>
      <c r="CP27">
        <v>368.4444</v>
      </c>
      <c r="CQ27">
        <v>360</v>
      </c>
      <c r="CR27">
        <v>350</v>
      </c>
      <c r="CS27">
        <v>350</v>
      </c>
    </row>
    <row r="28" spans="1:97">
      <c r="A28" s="9">
        <v>46261</v>
      </c>
      <c r="B28">
        <v>350</v>
      </c>
      <c r="C28">
        <v>340</v>
      </c>
      <c r="D28">
        <v>340</v>
      </c>
      <c r="E28">
        <v>340</v>
      </c>
      <c r="F28">
        <v>340</v>
      </c>
      <c r="G28">
        <v>340</v>
      </c>
      <c r="H28">
        <v>340</v>
      </c>
      <c r="I28">
        <v>330</v>
      </c>
      <c r="J28">
        <v>340</v>
      </c>
      <c r="K28">
        <v>330</v>
      </c>
      <c r="L28">
        <v>330</v>
      </c>
      <c r="M28">
        <v>320</v>
      </c>
      <c r="N28">
        <v>330</v>
      </c>
      <c r="O28">
        <v>320</v>
      </c>
      <c r="P28">
        <v>320</v>
      </c>
      <c r="Q28">
        <v>320</v>
      </c>
      <c r="R28">
        <v>340</v>
      </c>
      <c r="S28">
        <v>330</v>
      </c>
      <c r="T28">
        <v>320</v>
      </c>
      <c r="U28">
        <v>340</v>
      </c>
      <c r="V28">
        <v>340</v>
      </c>
      <c r="W28">
        <v>340</v>
      </c>
      <c r="X28">
        <v>350</v>
      </c>
      <c r="Y28">
        <v>350</v>
      </c>
      <c r="Z28">
        <v>350</v>
      </c>
      <c r="AA28">
        <v>360</v>
      </c>
      <c r="AB28">
        <v>350</v>
      </c>
      <c r="AC28">
        <v>340</v>
      </c>
      <c r="AD28">
        <v>350</v>
      </c>
      <c r="AE28">
        <v>350</v>
      </c>
      <c r="AF28">
        <v>341.8692</v>
      </c>
      <c r="AG28">
        <v>333.4492</v>
      </c>
      <c r="AH28">
        <v>345.8541</v>
      </c>
      <c r="AI28">
        <v>328.6837</v>
      </c>
      <c r="AJ28">
        <v>331.4184</v>
      </c>
      <c r="AK28">
        <v>323.7208</v>
      </c>
      <c r="AL28">
        <v>316.685</v>
      </c>
      <c r="AM28">
        <v>38.9966</v>
      </c>
      <c r="AN28">
        <v>40.2338</v>
      </c>
      <c r="AO28">
        <v>-51.0433</v>
      </c>
      <c r="AP28">
        <v>-48.8114</v>
      </c>
      <c r="AQ28">
        <v>-48.2004</v>
      </c>
      <c r="AR28">
        <v>-47.1131</v>
      </c>
      <c r="AS28">
        <v>-47.493</v>
      </c>
      <c r="AT28">
        <v>43.8972</v>
      </c>
      <c r="AU28">
        <v>318.5893</v>
      </c>
      <c r="AV28">
        <v>318.1422</v>
      </c>
      <c r="AW28">
        <v>336.0405</v>
      </c>
      <c r="AX28">
        <v>336.0966</v>
      </c>
      <c r="AY28">
        <v>336.2189</v>
      </c>
      <c r="AZ28">
        <v>336.425</v>
      </c>
      <c r="BA28">
        <v>336.8942</v>
      </c>
      <c r="BB28">
        <v>328.3137</v>
      </c>
      <c r="BC28">
        <v>320.2075</v>
      </c>
      <c r="BD28">
        <v>44.9809</v>
      </c>
      <c r="BE28">
        <v>320.3016</v>
      </c>
      <c r="BF28">
        <v>321.2307</v>
      </c>
      <c r="BG28">
        <v>329.6595</v>
      </c>
      <c r="BH28">
        <v>339.7683</v>
      </c>
      <c r="BI28">
        <v>339.4541</v>
      </c>
      <c r="BJ28">
        <v>357.3249</v>
      </c>
      <c r="BK28">
        <v>366.191</v>
      </c>
      <c r="BL28">
        <v>366.041</v>
      </c>
      <c r="BM28">
        <v>354.4024</v>
      </c>
      <c r="BN28">
        <v>378.5051</v>
      </c>
      <c r="BO28">
        <v>422.3766</v>
      </c>
      <c r="BP28">
        <v>442.3493</v>
      </c>
      <c r="BQ28">
        <v>422.5753</v>
      </c>
      <c r="BR28">
        <v>460.2697</v>
      </c>
      <c r="BS28">
        <v>499.3175</v>
      </c>
      <c r="BT28">
        <v>468.483</v>
      </c>
      <c r="BU28">
        <v>453.3445</v>
      </c>
      <c r="BV28">
        <v>451.2591</v>
      </c>
      <c r="BW28">
        <v>452.3519</v>
      </c>
      <c r="BX28">
        <v>459.7485</v>
      </c>
      <c r="BY28">
        <v>450.57</v>
      </c>
      <c r="BZ28">
        <v>451.5069</v>
      </c>
      <c r="CA28">
        <v>446.2271</v>
      </c>
      <c r="CB28">
        <v>440.3223</v>
      </c>
      <c r="CC28">
        <v>425.8196</v>
      </c>
      <c r="CD28">
        <v>413.2581</v>
      </c>
      <c r="CE28">
        <v>412.9887</v>
      </c>
      <c r="CF28">
        <v>402.2385</v>
      </c>
      <c r="CG28">
        <v>389.9468</v>
      </c>
      <c r="CH28">
        <v>379.6638</v>
      </c>
      <c r="CI28">
        <v>368.3538</v>
      </c>
      <c r="CJ28">
        <v>362.0825</v>
      </c>
      <c r="CK28">
        <v>348.9138</v>
      </c>
      <c r="CL28">
        <v>339.7744</v>
      </c>
      <c r="CM28">
        <v>318.2245</v>
      </c>
      <c r="CN28">
        <v>326.4344</v>
      </c>
      <c r="CO28">
        <v>338.213</v>
      </c>
      <c r="CP28">
        <v>316.7306</v>
      </c>
      <c r="CQ28">
        <v>312.1445</v>
      </c>
      <c r="CR28">
        <v>340</v>
      </c>
      <c r="CS28">
        <v>340</v>
      </c>
    </row>
    <row r="29" spans="1:97">
      <c r="A29" s="9">
        <v>46262</v>
      </c>
      <c r="B29">
        <v>360</v>
      </c>
      <c r="C29">
        <v>350</v>
      </c>
      <c r="D29">
        <v>350</v>
      </c>
      <c r="E29">
        <v>340</v>
      </c>
      <c r="F29">
        <v>350</v>
      </c>
      <c r="G29">
        <v>340</v>
      </c>
      <c r="H29">
        <v>340</v>
      </c>
      <c r="I29">
        <v>340</v>
      </c>
      <c r="J29">
        <v>340</v>
      </c>
      <c r="K29">
        <v>340</v>
      </c>
      <c r="L29">
        <v>340</v>
      </c>
      <c r="M29">
        <v>340</v>
      </c>
      <c r="N29">
        <v>340</v>
      </c>
      <c r="O29">
        <v>340</v>
      </c>
      <c r="P29">
        <v>340</v>
      </c>
      <c r="Q29">
        <v>340</v>
      </c>
      <c r="R29">
        <v>340</v>
      </c>
      <c r="S29">
        <v>340</v>
      </c>
      <c r="T29">
        <v>340</v>
      </c>
      <c r="U29">
        <v>340</v>
      </c>
      <c r="V29">
        <v>340</v>
      </c>
      <c r="W29">
        <v>360</v>
      </c>
      <c r="X29">
        <v>370</v>
      </c>
      <c r="Y29">
        <v>370</v>
      </c>
      <c r="Z29">
        <v>389.2376</v>
      </c>
      <c r="AA29">
        <v>389.2365</v>
      </c>
      <c r="AB29">
        <v>390</v>
      </c>
      <c r="AC29">
        <v>370</v>
      </c>
      <c r="AD29">
        <v>360</v>
      </c>
      <c r="AE29">
        <v>360</v>
      </c>
      <c r="AF29">
        <v>369.0747</v>
      </c>
      <c r="AG29">
        <v>378.8478</v>
      </c>
      <c r="AH29">
        <v>397.4619</v>
      </c>
      <c r="AI29">
        <v>388.0419</v>
      </c>
      <c r="AJ29">
        <v>380.5456</v>
      </c>
      <c r="AK29">
        <v>397.9716</v>
      </c>
      <c r="AL29">
        <v>380.0239</v>
      </c>
      <c r="AM29">
        <v>383.1811</v>
      </c>
      <c r="AN29">
        <v>393.2575</v>
      </c>
      <c r="AO29">
        <v>403.733</v>
      </c>
      <c r="AP29">
        <v>403.837</v>
      </c>
      <c r="AQ29">
        <v>403.8475</v>
      </c>
      <c r="AR29">
        <v>404.3592</v>
      </c>
      <c r="AS29">
        <v>413.8567</v>
      </c>
      <c r="AT29">
        <v>422.8716</v>
      </c>
      <c r="AU29">
        <v>402.7235</v>
      </c>
      <c r="AV29">
        <v>402.2258</v>
      </c>
      <c r="AW29">
        <v>411.719</v>
      </c>
      <c r="AX29">
        <v>421.3028</v>
      </c>
      <c r="AY29">
        <v>421.31</v>
      </c>
      <c r="AZ29">
        <v>431.0609</v>
      </c>
      <c r="BA29">
        <v>431.3377</v>
      </c>
      <c r="BB29">
        <v>478.4389</v>
      </c>
      <c r="BC29">
        <v>478.44</v>
      </c>
      <c r="BD29">
        <v>497.9422</v>
      </c>
      <c r="BE29">
        <v>450.5746</v>
      </c>
      <c r="BF29">
        <v>450.594</v>
      </c>
      <c r="BG29">
        <v>441.7739</v>
      </c>
      <c r="BH29">
        <v>451.0532</v>
      </c>
      <c r="BI29">
        <v>451.0553</v>
      </c>
      <c r="BJ29">
        <v>451.0483</v>
      </c>
      <c r="BK29">
        <v>459.8446</v>
      </c>
      <c r="BL29">
        <v>459.8401</v>
      </c>
      <c r="BM29">
        <v>473.291</v>
      </c>
      <c r="BN29">
        <v>482.1938</v>
      </c>
      <c r="BO29">
        <v>492.4175</v>
      </c>
      <c r="BP29">
        <v>493.6855</v>
      </c>
      <c r="BQ29">
        <v>465.5788</v>
      </c>
      <c r="BR29">
        <v>446.4818</v>
      </c>
      <c r="BS29">
        <v>446.0066</v>
      </c>
      <c r="BT29">
        <v>394.9051</v>
      </c>
      <c r="BU29">
        <v>381.7863</v>
      </c>
      <c r="BV29">
        <v>382.2279</v>
      </c>
      <c r="BW29">
        <v>389.2271</v>
      </c>
      <c r="BX29">
        <v>478.2657</v>
      </c>
      <c r="BY29">
        <v>543.4899</v>
      </c>
      <c r="BZ29">
        <v>543.3569</v>
      </c>
      <c r="CA29">
        <v>543.4846</v>
      </c>
      <c r="CB29">
        <v>524.8346</v>
      </c>
      <c r="CC29">
        <v>505.1186</v>
      </c>
      <c r="CD29">
        <v>467.4647</v>
      </c>
      <c r="CE29">
        <v>477.0768</v>
      </c>
      <c r="CF29">
        <v>468.0205</v>
      </c>
      <c r="CG29">
        <v>449.5028</v>
      </c>
      <c r="CH29">
        <v>384.5685</v>
      </c>
      <c r="CI29">
        <v>374.691</v>
      </c>
      <c r="CJ29">
        <v>364.636</v>
      </c>
      <c r="CK29">
        <v>370</v>
      </c>
      <c r="CL29">
        <v>368.1056</v>
      </c>
      <c r="CM29">
        <v>370</v>
      </c>
      <c r="CN29">
        <v>370</v>
      </c>
      <c r="CO29">
        <v>370</v>
      </c>
      <c r="CP29">
        <v>370</v>
      </c>
      <c r="CQ29">
        <v>360</v>
      </c>
      <c r="CR29">
        <v>360</v>
      </c>
      <c r="CS29">
        <v>360</v>
      </c>
    </row>
    <row r="30" spans="1:97">
      <c r="A30" s="9">
        <v>46263</v>
      </c>
      <c r="B30">
        <v>360</v>
      </c>
      <c r="C30">
        <v>360</v>
      </c>
      <c r="D30">
        <v>350</v>
      </c>
      <c r="E30">
        <v>350</v>
      </c>
      <c r="F30">
        <v>360</v>
      </c>
      <c r="G30">
        <v>360</v>
      </c>
      <c r="H30">
        <v>360</v>
      </c>
      <c r="I30">
        <v>360</v>
      </c>
      <c r="J30">
        <v>360</v>
      </c>
      <c r="K30">
        <v>360</v>
      </c>
      <c r="L30">
        <v>360</v>
      </c>
      <c r="M30">
        <v>350</v>
      </c>
      <c r="N30">
        <v>360</v>
      </c>
      <c r="O30">
        <v>350</v>
      </c>
      <c r="P30">
        <v>360</v>
      </c>
      <c r="Q30">
        <v>360</v>
      </c>
      <c r="R30">
        <v>360</v>
      </c>
      <c r="S30">
        <v>350</v>
      </c>
      <c r="T30">
        <v>350</v>
      </c>
      <c r="U30">
        <v>340</v>
      </c>
      <c r="V30">
        <v>330</v>
      </c>
      <c r="W30">
        <v>330</v>
      </c>
      <c r="X30">
        <v>330</v>
      </c>
      <c r="Y30">
        <v>310</v>
      </c>
      <c r="Z30">
        <v>340</v>
      </c>
      <c r="AA30">
        <v>330</v>
      </c>
      <c r="AB30">
        <v>320</v>
      </c>
      <c r="AC30">
        <v>320</v>
      </c>
      <c r="AD30">
        <v>330</v>
      </c>
      <c r="AE30">
        <v>330</v>
      </c>
      <c r="AF30">
        <v>340</v>
      </c>
      <c r="AG30">
        <v>340</v>
      </c>
      <c r="AH30">
        <v>360</v>
      </c>
      <c r="AI30">
        <v>351.6265</v>
      </c>
      <c r="AJ30">
        <v>333.3716</v>
      </c>
      <c r="AK30">
        <v>18.664</v>
      </c>
      <c r="AL30">
        <v>-74.396</v>
      </c>
      <c r="AM30">
        <v>-72.5843</v>
      </c>
      <c r="AN30">
        <v>-70.3695</v>
      </c>
      <c r="AO30">
        <v>-69.5751</v>
      </c>
      <c r="AP30">
        <v>-68.5654</v>
      </c>
      <c r="AQ30">
        <v>-67.4108</v>
      </c>
      <c r="AR30">
        <v>-66.9137</v>
      </c>
      <c r="AS30">
        <v>-67.6</v>
      </c>
      <c r="AT30">
        <v>-68.0319</v>
      </c>
      <c r="AU30">
        <v>-69.3311</v>
      </c>
      <c r="AV30">
        <v>-70.9849</v>
      </c>
      <c r="AW30">
        <v>-72.2621</v>
      </c>
      <c r="AX30">
        <v>-72.3656</v>
      </c>
      <c r="AY30">
        <v>-72.1124</v>
      </c>
      <c r="AZ30">
        <v>-71.0795</v>
      </c>
      <c r="BA30">
        <v>-70.8431</v>
      </c>
      <c r="BB30">
        <v>-69.6564</v>
      </c>
      <c r="BC30">
        <v>-69.6584</v>
      </c>
      <c r="BD30">
        <v>-69.0955</v>
      </c>
      <c r="BE30">
        <v>-68.8192</v>
      </c>
      <c r="BF30">
        <v>-68.325</v>
      </c>
      <c r="BG30">
        <v>-67.6879</v>
      </c>
      <c r="BH30">
        <v>-67.9556</v>
      </c>
      <c r="BI30">
        <v>-67.76</v>
      </c>
      <c r="BJ30">
        <v>-67.6722</v>
      </c>
      <c r="BK30">
        <v>-67.637</v>
      </c>
      <c r="BL30">
        <v>-67.0192</v>
      </c>
      <c r="BM30">
        <v>-66.529</v>
      </c>
      <c r="BN30">
        <v>-67.1522</v>
      </c>
      <c r="BO30">
        <v>-67.4197</v>
      </c>
      <c r="BP30">
        <v>-67.4237</v>
      </c>
      <c r="BQ30">
        <v>-68.4774</v>
      </c>
      <c r="BR30">
        <v>-67.624</v>
      </c>
      <c r="BS30">
        <v>-68.0099</v>
      </c>
      <c r="BT30">
        <v>308.2708</v>
      </c>
      <c r="BU30">
        <v>317.3473</v>
      </c>
      <c r="BV30">
        <v>318.499</v>
      </c>
      <c r="BW30">
        <v>319.8466</v>
      </c>
      <c r="BX30">
        <v>328.318</v>
      </c>
      <c r="BY30">
        <v>349.1563</v>
      </c>
      <c r="BZ30">
        <v>349.6672</v>
      </c>
      <c r="CA30">
        <v>350.4287</v>
      </c>
      <c r="CB30">
        <v>349.9138</v>
      </c>
      <c r="CC30">
        <v>346.5767</v>
      </c>
      <c r="CD30">
        <v>341.6396</v>
      </c>
      <c r="CE30">
        <v>354.4499</v>
      </c>
      <c r="CF30">
        <v>360.2827</v>
      </c>
      <c r="CG30">
        <v>360.1262</v>
      </c>
      <c r="CH30">
        <v>431.2844</v>
      </c>
      <c r="CI30">
        <v>408.4424</v>
      </c>
      <c r="CJ30">
        <v>400</v>
      </c>
      <c r="CK30">
        <v>370</v>
      </c>
      <c r="CL30">
        <v>360</v>
      </c>
      <c r="CM30">
        <v>360</v>
      </c>
      <c r="CN30">
        <v>360</v>
      </c>
      <c r="CO30">
        <v>360</v>
      </c>
      <c r="CP30">
        <v>360</v>
      </c>
      <c r="CQ30">
        <v>360</v>
      </c>
      <c r="CR30">
        <v>350</v>
      </c>
      <c r="CS30">
        <v>340</v>
      </c>
    </row>
    <row r="31" spans="1:97">
      <c r="A31" s="9">
        <v>46264</v>
      </c>
      <c r="B31">
        <v>360</v>
      </c>
      <c r="C31">
        <v>360</v>
      </c>
      <c r="D31">
        <v>360</v>
      </c>
      <c r="E31">
        <v>360</v>
      </c>
      <c r="F31">
        <v>370</v>
      </c>
      <c r="G31">
        <v>370</v>
      </c>
      <c r="H31">
        <v>370</v>
      </c>
      <c r="I31">
        <v>370</v>
      </c>
      <c r="J31">
        <v>370</v>
      </c>
      <c r="K31">
        <v>360</v>
      </c>
      <c r="L31">
        <v>370</v>
      </c>
      <c r="M31">
        <v>360</v>
      </c>
      <c r="N31">
        <v>370</v>
      </c>
      <c r="O31">
        <v>360</v>
      </c>
      <c r="P31">
        <v>370</v>
      </c>
      <c r="Q31">
        <v>370</v>
      </c>
      <c r="R31">
        <v>370</v>
      </c>
      <c r="S31">
        <v>370</v>
      </c>
      <c r="T31">
        <v>380</v>
      </c>
      <c r="U31">
        <v>400</v>
      </c>
      <c r="V31">
        <v>410</v>
      </c>
      <c r="W31">
        <v>420</v>
      </c>
      <c r="X31">
        <v>450</v>
      </c>
      <c r="Y31">
        <v>400</v>
      </c>
      <c r="Z31">
        <v>400</v>
      </c>
      <c r="AA31">
        <v>370</v>
      </c>
      <c r="AB31">
        <v>360</v>
      </c>
      <c r="AC31">
        <v>340</v>
      </c>
      <c r="AD31">
        <v>350</v>
      </c>
      <c r="AE31">
        <v>330</v>
      </c>
      <c r="AF31">
        <v>330</v>
      </c>
      <c r="AG31">
        <v>320</v>
      </c>
      <c r="AH31">
        <v>320</v>
      </c>
      <c r="AI31">
        <v>300</v>
      </c>
      <c r="AJ31">
        <v>0</v>
      </c>
      <c r="AK31">
        <v>270</v>
      </c>
      <c r="AL31">
        <v>14.2252</v>
      </c>
      <c r="AM31">
        <v>284.8863</v>
      </c>
      <c r="AN31">
        <v>275.9555</v>
      </c>
      <c r="AO31">
        <v>305.2614</v>
      </c>
      <c r="AP31">
        <v>277.5945</v>
      </c>
      <c r="AQ31">
        <v>306.4246</v>
      </c>
      <c r="AR31">
        <v>306.5132</v>
      </c>
      <c r="AS31">
        <v>306.4813</v>
      </c>
      <c r="AT31">
        <v>306.4427</v>
      </c>
      <c r="AU31">
        <v>18.5729</v>
      </c>
      <c r="AV31">
        <v>276.3984</v>
      </c>
      <c r="AW31">
        <v>16.4811</v>
      </c>
      <c r="AX31">
        <v>275.8775</v>
      </c>
      <c r="AY31">
        <v>16.5143</v>
      </c>
      <c r="AZ31">
        <v>285.9819</v>
      </c>
      <c r="BA31">
        <v>286.8707</v>
      </c>
      <c r="BB31">
        <v>277.4015</v>
      </c>
      <c r="BC31">
        <v>306.1744</v>
      </c>
      <c r="BD31">
        <v>306.1774</v>
      </c>
      <c r="BE31">
        <v>306.1568</v>
      </c>
      <c r="BF31">
        <v>306.1736</v>
      </c>
      <c r="BG31">
        <v>277.5621</v>
      </c>
      <c r="BH31">
        <v>287.2041</v>
      </c>
      <c r="BI31">
        <v>287.2858</v>
      </c>
      <c r="BJ31">
        <v>287.461</v>
      </c>
      <c r="BK31">
        <v>277.9584</v>
      </c>
      <c r="BL31">
        <v>306.6871</v>
      </c>
      <c r="BM31">
        <v>306.775</v>
      </c>
      <c r="BN31">
        <v>325.9182</v>
      </c>
      <c r="BO31">
        <v>326.4118</v>
      </c>
      <c r="BP31">
        <v>335.972</v>
      </c>
      <c r="BQ31">
        <v>335.5843</v>
      </c>
      <c r="BR31">
        <v>345.5624</v>
      </c>
      <c r="BS31">
        <v>350</v>
      </c>
      <c r="BT31">
        <v>395.9552</v>
      </c>
      <c r="BU31">
        <v>347.9866</v>
      </c>
      <c r="BV31">
        <v>354.4853</v>
      </c>
      <c r="BW31">
        <v>360.8775</v>
      </c>
      <c r="BX31">
        <v>377.7057</v>
      </c>
      <c r="BY31">
        <v>379.9885</v>
      </c>
      <c r="BZ31">
        <v>384.6657</v>
      </c>
      <c r="CA31">
        <v>381.696</v>
      </c>
      <c r="CB31">
        <v>383.863</v>
      </c>
      <c r="CC31">
        <v>375.3784</v>
      </c>
      <c r="CD31">
        <v>345.5843</v>
      </c>
      <c r="CE31">
        <v>366.356</v>
      </c>
      <c r="CF31">
        <v>400</v>
      </c>
      <c r="CG31">
        <v>400.7074</v>
      </c>
      <c r="CH31">
        <v>440</v>
      </c>
      <c r="CI31">
        <v>400</v>
      </c>
      <c r="CJ31">
        <v>360</v>
      </c>
      <c r="CK31">
        <v>350</v>
      </c>
      <c r="CL31">
        <v>350</v>
      </c>
      <c r="CM31">
        <v>350</v>
      </c>
      <c r="CN31">
        <v>350</v>
      </c>
      <c r="CO31">
        <v>350</v>
      </c>
      <c r="CP31">
        <v>360</v>
      </c>
      <c r="CQ31">
        <v>350</v>
      </c>
      <c r="CR31">
        <v>330</v>
      </c>
      <c r="CS31">
        <v>320</v>
      </c>
    </row>
    <row r="32" spans="1:97">
      <c r="A32" s="9">
        <v>46265</v>
      </c>
      <c r="B32">
        <v>350</v>
      </c>
      <c r="C32">
        <v>340</v>
      </c>
      <c r="D32">
        <v>340</v>
      </c>
      <c r="E32">
        <v>330</v>
      </c>
      <c r="F32">
        <v>330</v>
      </c>
      <c r="G32">
        <v>330</v>
      </c>
      <c r="H32">
        <v>330</v>
      </c>
      <c r="I32">
        <v>330</v>
      </c>
      <c r="J32">
        <v>330</v>
      </c>
      <c r="K32">
        <v>320</v>
      </c>
      <c r="L32">
        <v>320</v>
      </c>
      <c r="M32">
        <v>310</v>
      </c>
      <c r="N32">
        <v>307.8455</v>
      </c>
      <c r="O32">
        <v>287.9497</v>
      </c>
      <c r="P32">
        <v>277.9991</v>
      </c>
      <c r="Q32">
        <v>268.036</v>
      </c>
      <c r="R32">
        <v>278.02</v>
      </c>
      <c r="S32">
        <v>268.0682</v>
      </c>
      <c r="T32">
        <v>268.077</v>
      </c>
      <c r="U32">
        <v>268.0874</v>
      </c>
      <c r="V32">
        <v>307.9529</v>
      </c>
      <c r="W32">
        <v>307.9719</v>
      </c>
      <c r="X32">
        <v>317.9692</v>
      </c>
      <c r="Y32">
        <v>308.0222</v>
      </c>
      <c r="Z32">
        <v>327.9696</v>
      </c>
      <c r="AA32">
        <v>308.0219</v>
      </c>
      <c r="AB32">
        <v>310</v>
      </c>
      <c r="AC32">
        <v>0</v>
      </c>
      <c r="AD32">
        <v>0</v>
      </c>
      <c r="AE32">
        <v>-100</v>
      </c>
      <c r="AF32">
        <v>-100</v>
      </c>
      <c r="AG32">
        <v>-100</v>
      </c>
      <c r="AH32">
        <v>-83.0069</v>
      </c>
      <c r="AI32">
        <v>-79.6221</v>
      </c>
      <c r="AJ32">
        <v>-76.3776</v>
      </c>
      <c r="AK32">
        <v>-74.4221</v>
      </c>
      <c r="AL32">
        <v>-71.7781</v>
      </c>
      <c r="AM32">
        <v>-69.9354</v>
      </c>
      <c r="AN32">
        <v>-68.9988</v>
      </c>
      <c r="AO32">
        <v>-68.0414</v>
      </c>
      <c r="AP32">
        <v>-67.795</v>
      </c>
      <c r="AQ32">
        <v>-67.1018</v>
      </c>
      <c r="AR32">
        <v>-65.2545</v>
      </c>
      <c r="AS32">
        <v>-65.1405</v>
      </c>
      <c r="AT32">
        <v>-66.8017</v>
      </c>
      <c r="AU32">
        <v>-68.6461</v>
      </c>
      <c r="AV32">
        <v>-70.2054</v>
      </c>
      <c r="AW32">
        <v>-71.706</v>
      </c>
      <c r="AX32">
        <v>-71.5782</v>
      </c>
      <c r="AY32">
        <v>-71.6032</v>
      </c>
      <c r="AZ32">
        <v>-70.7663</v>
      </c>
      <c r="BA32">
        <v>-70.4406</v>
      </c>
      <c r="BB32">
        <v>-69.1173</v>
      </c>
      <c r="BC32">
        <v>-68.748</v>
      </c>
      <c r="BD32">
        <v>-68.4902</v>
      </c>
      <c r="BE32">
        <v>-68.6959</v>
      </c>
      <c r="BF32">
        <v>-68.0414</v>
      </c>
      <c r="BG32">
        <v>-68.6073</v>
      </c>
      <c r="BH32">
        <v>-68.6749</v>
      </c>
      <c r="BI32">
        <v>-68.8177</v>
      </c>
      <c r="BJ32">
        <v>-68.4766</v>
      </c>
      <c r="BK32">
        <v>-70.1384</v>
      </c>
      <c r="BL32">
        <v>-70.3947</v>
      </c>
      <c r="BM32">
        <v>337.7749</v>
      </c>
      <c r="BN32">
        <v>365.898</v>
      </c>
      <c r="BO32">
        <v>356.3028</v>
      </c>
      <c r="BP32">
        <v>356.2084</v>
      </c>
      <c r="BQ32">
        <v>345.7113</v>
      </c>
      <c r="BR32">
        <v>355.2664</v>
      </c>
      <c r="BS32">
        <v>355.2777</v>
      </c>
      <c r="BT32">
        <v>364.7729</v>
      </c>
      <c r="BU32">
        <v>447.6834</v>
      </c>
      <c r="BV32">
        <v>410.8568</v>
      </c>
      <c r="BW32">
        <v>447.8264</v>
      </c>
      <c r="BX32">
        <v>488.2397</v>
      </c>
      <c r="BY32">
        <v>487.9491</v>
      </c>
      <c r="BZ32">
        <v>444.4869</v>
      </c>
      <c r="CA32">
        <v>435.6144</v>
      </c>
      <c r="CB32">
        <v>480.03</v>
      </c>
      <c r="CC32">
        <v>475.4642</v>
      </c>
      <c r="CD32">
        <v>492.738</v>
      </c>
      <c r="CE32">
        <v>455.4244</v>
      </c>
      <c r="CF32">
        <v>446.5951</v>
      </c>
      <c r="CG32">
        <v>442.5504</v>
      </c>
      <c r="CH32">
        <v>448.0642</v>
      </c>
      <c r="CI32">
        <v>420</v>
      </c>
      <c r="CJ32">
        <v>360</v>
      </c>
      <c r="CK32">
        <v>360</v>
      </c>
      <c r="CL32">
        <v>370</v>
      </c>
      <c r="CM32">
        <v>370</v>
      </c>
      <c r="CN32">
        <v>370</v>
      </c>
      <c r="CO32">
        <v>360</v>
      </c>
      <c r="CP32">
        <v>370</v>
      </c>
      <c r="CQ32">
        <v>360</v>
      </c>
      <c r="CR32">
        <v>350</v>
      </c>
      <c r="CS32">
        <v>340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32"/>
  <sheetViews>
    <sheetView tabSelected="1" workbookViewId="0">
      <selection activeCell="A2" sqref="A2:A32"/>
    </sheetView>
  </sheetViews>
  <sheetFormatPr defaultColWidth="9" defaultRowHeight="13.5"/>
  <cols>
    <col min="1" max="1" width="11.5" customWidth="1"/>
  </cols>
  <sheetData>
    <row r="1" spans="1:97">
      <c r="A1" t="s">
        <v>0</v>
      </c>
      <c r="B1" s="7">
        <v>0.0104166666666667</v>
      </c>
      <c r="C1" s="7">
        <v>0.0208333333333333</v>
      </c>
      <c r="D1" s="7">
        <v>0.03125</v>
      </c>
      <c r="E1" s="7">
        <v>0.0416666666666667</v>
      </c>
      <c r="F1" s="7">
        <v>0.0520833333333333</v>
      </c>
      <c r="G1" s="7">
        <v>0.0625</v>
      </c>
      <c r="H1" s="7">
        <v>0.0729166666666667</v>
      </c>
      <c r="I1" s="7">
        <v>0.0833333333333333</v>
      </c>
      <c r="J1" s="7">
        <v>0.09375</v>
      </c>
      <c r="K1" s="7">
        <v>0.104166666666667</v>
      </c>
      <c r="L1" s="7">
        <v>0.114583333333333</v>
      </c>
      <c r="M1" s="7">
        <v>0.125</v>
      </c>
      <c r="N1" s="7">
        <v>0.135416666666667</v>
      </c>
      <c r="O1" s="7">
        <v>0.145833333333333</v>
      </c>
      <c r="P1" s="7">
        <v>0.15625</v>
      </c>
      <c r="Q1" s="7">
        <v>0.166666666666667</v>
      </c>
      <c r="R1" s="7">
        <v>0.177083333333333</v>
      </c>
      <c r="S1" s="7">
        <v>0.1875</v>
      </c>
      <c r="T1" s="7">
        <v>0.197916666666667</v>
      </c>
      <c r="U1" s="7">
        <v>0.208333333333333</v>
      </c>
      <c r="V1" s="7">
        <v>0.21875</v>
      </c>
      <c r="W1" s="7">
        <v>0.229166666666667</v>
      </c>
      <c r="X1" s="7">
        <v>0.239583333333333</v>
      </c>
      <c r="Y1" s="7">
        <v>0.25</v>
      </c>
      <c r="Z1" s="7">
        <v>0.260416666666667</v>
      </c>
      <c r="AA1" s="7">
        <v>0.270833333333333</v>
      </c>
      <c r="AB1" s="7">
        <v>0.28125</v>
      </c>
      <c r="AC1" s="7">
        <v>0.291666666666667</v>
      </c>
      <c r="AD1" s="7">
        <v>0.302083333333333</v>
      </c>
      <c r="AE1" s="7">
        <v>0.3125</v>
      </c>
      <c r="AF1" s="7">
        <v>0.322916666666667</v>
      </c>
      <c r="AG1" s="7">
        <v>0.333333333333333</v>
      </c>
      <c r="AH1" s="7">
        <v>0.34375</v>
      </c>
      <c r="AI1" s="7">
        <v>0.354166666666667</v>
      </c>
      <c r="AJ1" s="7">
        <v>0.364583333333333</v>
      </c>
      <c r="AK1" s="7">
        <v>0.375</v>
      </c>
      <c r="AL1" s="7">
        <v>0.385416666666667</v>
      </c>
      <c r="AM1" s="7">
        <v>0.395833333333333</v>
      </c>
      <c r="AN1" s="7">
        <v>0.40625</v>
      </c>
      <c r="AO1" s="7">
        <v>0.416666666666667</v>
      </c>
      <c r="AP1" s="7">
        <v>0.427083333333333</v>
      </c>
      <c r="AQ1" s="7">
        <v>0.4375</v>
      </c>
      <c r="AR1" s="7">
        <v>0.447916666666667</v>
      </c>
      <c r="AS1" s="7">
        <v>0.458333333333333</v>
      </c>
      <c r="AT1" s="7">
        <v>0.46875</v>
      </c>
      <c r="AU1" s="7">
        <v>0.479166666666667</v>
      </c>
      <c r="AV1" s="7">
        <v>0.489583333333333</v>
      </c>
      <c r="AW1" s="7">
        <v>0.5</v>
      </c>
      <c r="AX1" s="7">
        <v>0.510416666666667</v>
      </c>
      <c r="AY1" s="7">
        <v>0.520833333333333</v>
      </c>
      <c r="AZ1" s="7">
        <v>0.53125</v>
      </c>
      <c r="BA1" s="7">
        <v>0.541666666666667</v>
      </c>
      <c r="BB1" s="7">
        <v>0.552083333333333</v>
      </c>
      <c r="BC1" s="7">
        <v>0.5625</v>
      </c>
      <c r="BD1" s="7">
        <v>0.572916666666667</v>
      </c>
      <c r="BE1" s="7">
        <v>0.583333333333333</v>
      </c>
      <c r="BF1" s="7">
        <v>0.59375</v>
      </c>
      <c r="BG1" s="7">
        <v>0.604166666666667</v>
      </c>
      <c r="BH1" s="7">
        <v>0.614583333333333</v>
      </c>
      <c r="BI1" s="7">
        <v>0.625</v>
      </c>
      <c r="BJ1" s="7">
        <v>0.635416666666667</v>
      </c>
      <c r="BK1" s="7">
        <v>0.645833333333333</v>
      </c>
      <c r="BL1" s="7">
        <v>0.65625</v>
      </c>
      <c r="BM1" s="7">
        <v>0.666666666666667</v>
      </c>
      <c r="BN1" s="7">
        <v>0.677083333333333</v>
      </c>
      <c r="BO1" s="7">
        <v>0.6875</v>
      </c>
      <c r="BP1" s="7">
        <v>0.697916666666667</v>
      </c>
      <c r="BQ1" s="7">
        <v>0.708333333333333</v>
      </c>
      <c r="BR1" s="7">
        <v>0.71875</v>
      </c>
      <c r="BS1" s="7">
        <v>0.729166666666667</v>
      </c>
      <c r="BT1" s="7">
        <v>0.739583333333333</v>
      </c>
      <c r="BU1" s="7">
        <v>0.75</v>
      </c>
      <c r="BV1" s="7">
        <v>0.760416666666667</v>
      </c>
      <c r="BW1" s="7">
        <v>0.770833333333333</v>
      </c>
      <c r="BX1" s="7">
        <v>0.78125</v>
      </c>
      <c r="BY1" s="7">
        <v>0.791666666666667</v>
      </c>
      <c r="BZ1" s="7">
        <v>0.802083333333333</v>
      </c>
      <c r="CA1" s="7">
        <v>0.8125</v>
      </c>
      <c r="CB1" s="7">
        <v>0.822916666666667</v>
      </c>
      <c r="CC1" s="7">
        <v>0.833333333333333</v>
      </c>
      <c r="CD1" s="7">
        <v>0.84375</v>
      </c>
      <c r="CE1" s="7">
        <v>0.854166666666667</v>
      </c>
      <c r="CF1" s="7">
        <v>0.864583333333333</v>
      </c>
      <c r="CG1" s="7">
        <v>0.875</v>
      </c>
      <c r="CH1" s="7">
        <v>0.885416666666667</v>
      </c>
      <c r="CI1" s="7">
        <v>0.895833333333333</v>
      </c>
      <c r="CJ1" s="7">
        <v>0.90625</v>
      </c>
      <c r="CK1" s="7">
        <v>0.916666666666667</v>
      </c>
      <c r="CL1" s="7">
        <v>0.927083333333333</v>
      </c>
      <c r="CM1" s="7">
        <v>0.9375</v>
      </c>
      <c r="CN1" s="7">
        <v>0.947916666666667</v>
      </c>
      <c r="CO1" s="7">
        <v>0.958333333333333</v>
      </c>
      <c r="CP1" s="7">
        <v>0.96875</v>
      </c>
      <c r="CQ1" s="7">
        <v>0.979166666666667</v>
      </c>
      <c r="CR1" s="7">
        <v>0.989583333333333</v>
      </c>
      <c r="CS1" s="7">
        <v>1</v>
      </c>
    </row>
    <row r="2" spans="1:97">
      <c r="A2" s="8">
        <v>46235</v>
      </c>
      <c r="B2">
        <v>18050</v>
      </c>
      <c r="C2">
        <v>18050</v>
      </c>
      <c r="D2">
        <v>18370</v>
      </c>
      <c r="E2">
        <v>18370</v>
      </c>
      <c r="F2">
        <v>18370</v>
      </c>
      <c r="G2">
        <v>18370</v>
      </c>
      <c r="H2">
        <v>18370</v>
      </c>
      <c r="I2">
        <v>18370</v>
      </c>
      <c r="J2">
        <v>18370</v>
      </c>
      <c r="K2">
        <v>18370</v>
      </c>
      <c r="L2">
        <v>18370</v>
      </c>
      <c r="M2">
        <v>18370</v>
      </c>
      <c r="N2">
        <v>18370</v>
      </c>
      <c r="O2">
        <v>18370</v>
      </c>
      <c r="P2">
        <v>18370</v>
      </c>
      <c r="Q2">
        <v>18370</v>
      </c>
      <c r="R2">
        <v>18370</v>
      </c>
      <c r="S2">
        <v>18370</v>
      </c>
      <c r="T2">
        <v>18370</v>
      </c>
      <c r="U2">
        <v>18370</v>
      </c>
      <c r="V2">
        <v>18370</v>
      </c>
      <c r="W2">
        <v>18370</v>
      </c>
      <c r="X2">
        <v>18370</v>
      </c>
      <c r="Y2">
        <v>18370</v>
      </c>
      <c r="Z2">
        <v>18370</v>
      </c>
      <c r="AA2">
        <v>18505</v>
      </c>
      <c r="AB2">
        <v>18505</v>
      </c>
      <c r="AC2">
        <v>18505</v>
      </c>
      <c r="AD2">
        <v>18505</v>
      </c>
      <c r="AE2">
        <v>18505</v>
      </c>
      <c r="AF2">
        <v>18505</v>
      </c>
      <c r="AG2">
        <v>18505</v>
      </c>
      <c r="AH2">
        <v>18805</v>
      </c>
      <c r="AI2">
        <v>18805</v>
      </c>
      <c r="AJ2">
        <v>18805</v>
      </c>
      <c r="AK2">
        <v>19755</v>
      </c>
      <c r="AL2">
        <v>19755</v>
      </c>
      <c r="AM2">
        <v>19755</v>
      </c>
      <c r="AN2">
        <v>19755</v>
      </c>
      <c r="AO2">
        <v>19755</v>
      </c>
      <c r="AP2">
        <v>19755</v>
      </c>
      <c r="AQ2">
        <v>20105</v>
      </c>
      <c r="AR2">
        <v>20105</v>
      </c>
      <c r="AS2">
        <v>20105</v>
      </c>
      <c r="AT2">
        <v>20105</v>
      </c>
      <c r="AU2">
        <v>20105</v>
      </c>
      <c r="AV2">
        <v>20105</v>
      </c>
      <c r="AW2">
        <v>20105</v>
      </c>
      <c r="AX2">
        <v>20455</v>
      </c>
      <c r="AY2">
        <v>20955</v>
      </c>
      <c r="AZ2">
        <v>20955</v>
      </c>
      <c r="BA2">
        <v>21585</v>
      </c>
      <c r="BB2">
        <v>21935</v>
      </c>
      <c r="BC2">
        <v>23185</v>
      </c>
      <c r="BD2">
        <v>23185</v>
      </c>
      <c r="BE2">
        <v>23185</v>
      </c>
      <c r="BF2">
        <v>23185</v>
      </c>
      <c r="BG2">
        <v>23185</v>
      </c>
      <c r="BH2">
        <v>24665</v>
      </c>
      <c r="BI2">
        <v>24665</v>
      </c>
      <c r="BJ2">
        <v>25265</v>
      </c>
      <c r="BK2">
        <v>25265</v>
      </c>
      <c r="BL2">
        <v>25945</v>
      </c>
      <c r="BM2">
        <v>26145</v>
      </c>
      <c r="BN2">
        <v>26145</v>
      </c>
      <c r="BO2">
        <v>26145</v>
      </c>
      <c r="BP2">
        <v>26145</v>
      </c>
      <c r="BQ2">
        <v>26145</v>
      </c>
      <c r="BR2">
        <v>26145</v>
      </c>
      <c r="BS2">
        <v>26145</v>
      </c>
      <c r="BT2">
        <v>26145</v>
      </c>
      <c r="BU2">
        <v>26280</v>
      </c>
      <c r="BV2">
        <v>26280</v>
      </c>
      <c r="BW2">
        <v>26415</v>
      </c>
      <c r="BX2">
        <v>26715</v>
      </c>
      <c r="BY2">
        <v>26715</v>
      </c>
      <c r="BZ2">
        <v>26715</v>
      </c>
      <c r="CA2">
        <v>27065</v>
      </c>
      <c r="CB2">
        <v>27065</v>
      </c>
      <c r="CC2">
        <v>27065</v>
      </c>
      <c r="CD2">
        <v>27065</v>
      </c>
      <c r="CE2">
        <v>27065</v>
      </c>
      <c r="CF2">
        <v>27065</v>
      </c>
      <c r="CG2">
        <v>27065</v>
      </c>
      <c r="CH2">
        <v>27065</v>
      </c>
      <c r="CI2">
        <v>27065</v>
      </c>
      <c r="CJ2">
        <v>27065</v>
      </c>
      <c r="CK2">
        <v>27065</v>
      </c>
      <c r="CL2">
        <v>27065</v>
      </c>
      <c r="CM2">
        <v>27065</v>
      </c>
      <c r="CN2">
        <v>27065</v>
      </c>
      <c r="CO2">
        <v>27065</v>
      </c>
      <c r="CP2">
        <v>27065</v>
      </c>
      <c r="CQ2">
        <v>27065</v>
      </c>
      <c r="CR2">
        <v>27065</v>
      </c>
      <c r="CS2">
        <v>27065</v>
      </c>
    </row>
    <row r="3" spans="1:97">
      <c r="A3" s="8">
        <v>46236</v>
      </c>
      <c r="B3">
        <v>27065</v>
      </c>
      <c r="C3">
        <v>27065</v>
      </c>
      <c r="D3">
        <v>27065</v>
      </c>
      <c r="E3">
        <v>27065</v>
      </c>
      <c r="F3">
        <v>27065</v>
      </c>
      <c r="G3">
        <v>27065</v>
      </c>
      <c r="H3">
        <v>27265</v>
      </c>
      <c r="I3">
        <v>27265</v>
      </c>
      <c r="J3">
        <v>27265</v>
      </c>
      <c r="K3">
        <v>27265</v>
      </c>
      <c r="L3">
        <v>27265</v>
      </c>
      <c r="M3">
        <v>27265</v>
      </c>
      <c r="N3">
        <v>27265</v>
      </c>
      <c r="O3">
        <v>27265</v>
      </c>
      <c r="P3">
        <v>27265</v>
      </c>
      <c r="Q3">
        <v>27265</v>
      </c>
      <c r="R3">
        <v>27265</v>
      </c>
      <c r="S3">
        <v>27265</v>
      </c>
      <c r="T3">
        <v>27265</v>
      </c>
      <c r="U3">
        <v>27265</v>
      </c>
      <c r="V3">
        <v>27265</v>
      </c>
      <c r="W3">
        <v>27265</v>
      </c>
      <c r="X3">
        <v>27265</v>
      </c>
      <c r="Y3">
        <v>27265</v>
      </c>
      <c r="Z3">
        <v>27265</v>
      </c>
      <c r="AA3">
        <v>27265</v>
      </c>
      <c r="AB3">
        <v>27265</v>
      </c>
      <c r="AC3">
        <v>27265</v>
      </c>
      <c r="AD3">
        <v>27265</v>
      </c>
      <c r="AE3">
        <v>27265</v>
      </c>
      <c r="AF3">
        <v>27265</v>
      </c>
      <c r="AG3">
        <v>27265</v>
      </c>
      <c r="AH3">
        <v>27265</v>
      </c>
      <c r="AI3">
        <v>27265</v>
      </c>
      <c r="AJ3">
        <v>27265</v>
      </c>
      <c r="AK3">
        <v>27265</v>
      </c>
      <c r="AL3">
        <v>27265</v>
      </c>
      <c r="AM3">
        <v>27265</v>
      </c>
      <c r="AN3">
        <v>27265</v>
      </c>
      <c r="AO3">
        <v>27265</v>
      </c>
      <c r="AP3">
        <v>27265</v>
      </c>
      <c r="AQ3">
        <v>27265</v>
      </c>
      <c r="AR3">
        <v>27265</v>
      </c>
      <c r="AS3">
        <v>27265</v>
      </c>
      <c r="AT3">
        <v>27265</v>
      </c>
      <c r="AU3">
        <v>27265</v>
      </c>
      <c r="AV3">
        <v>27265</v>
      </c>
      <c r="AW3">
        <v>27265</v>
      </c>
      <c r="AX3">
        <v>27265</v>
      </c>
      <c r="AY3">
        <v>27265</v>
      </c>
      <c r="AZ3">
        <v>27265</v>
      </c>
      <c r="BA3">
        <v>27265</v>
      </c>
      <c r="BB3">
        <v>27265</v>
      </c>
      <c r="BC3">
        <v>27265</v>
      </c>
      <c r="BD3">
        <v>27265</v>
      </c>
      <c r="BE3">
        <v>27265</v>
      </c>
      <c r="BF3">
        <v>27265</v>
      </c>
      <c r="BG3">
        <v>27265</v>
      </c>
      <c r="BH3">
        <v>27265</v>
      </c>
      <c r="BI3">
        <v>27265</v>
      </c>
      <c r="BJ3">
        <v>27265</v>
      </c>
      <c r="BK3">
        <v>27265</v>
      </c>
      <c r="BL3">
        <v>27265</v>
      </c>
      <c r="BM3">
        <v>27265</v>
      </c>
      <c r="BN3">
        <v>27265</v>
      </c>
      <c r="BO3">
        <v>27265</v>
      </c>
      <c r="BP3">
        <v>27265</v>
      </c>
      <c r="BQ3">
        <v>27265</v>
      </c>
      <c r="BR3">
        <v>27265</v>
      </c>
      <c r="BS3">
        <v>27265</v>
      </c>
      <c r="BT3">
        <v>27265</v>
      </c>
      <c r="BU3">
        <v>27265</v>
      </c>
      <c r="BV3">
        <v>27265</v>
      </c>
      <c r="BW3">
        <v>27265</v>
      </c>
      <c r="BX3">
        <v>27265</v>
      </c>
      <c r="BY3">
        <v>27265</v>
      </c>
      <c r="BZ3">
        <v>27265</v>
      </c>
      <c r="CA3">
        <v>27265</v>
      </c>
      <c r="CB3">
        <v>27265</v>
      </c>
      <c r="CC3">
        <v>27265</v>
      </c>
      <c r="CD3">
        <v>27265</v>
      </c>
      <c r="CE3">
        <v>27265</v>
      </c>
      <c r="CF3">
        <v>27265</v>
      </c>
      <c r="CG3">
        <v>27265</v>
      </c>
      <c r="CH3">
        <v>27265</v>
      </c>
      <c r="CI3">
        <v>27265</v>
      </c>
      <c r="CJ3">
        <v>27265</v>
      </c>
      <c r="CK3">
        <v>27265</v>
      </c>
      <c r="CL3">
        <v>27265</v>
      </c>
      <c r="CM3">
        <v>27265</v>
      </c>
      <c r="CN3">
        <v>27265</v>
      </c>
      <c r="CO3">
        <v>27265</v>
      </c>
      <c r="CP3">
        <v>27265</v>
      </c>
      <c r="CQ3">
        <v>27265</v>
      </c>
      <c r="CR3">
        <v>27265</v>
      </c>
      <c r="CS3">
        <v>27265</v>
      </c>
    </row>
    <row r="4" spans="1:97">
      <c r="A4" s="8">
        <v>46237</v>
      </c>
      <c r="B4">
        <v>27265</v>
      </c>
      <c r="C4">
        <v>27265</v>
      </c>
      <c r="D4">
        <v>27265</v>
      </c>
      <c r="E4">
        <v>27265</v>
      </c>
      <c r="F4">
        <v>27265</v>
      </c>
      <c r="G4">
        <v>27265</v>
      </c>
      <c r="H4">
        <v>27265</v>
      </c>
      <c r="I4">
        <v>27265</v>
      </c>
      <c r="J4">
        <v>27265</v>
      </c>
      <c r="K4">
        <v>27265</v>
      </c>
      <c r="L4">
        <v>27265</v>
      </c>
      <c r="M4">
        <v>27265</v>
      </c>
      <c r="N4">
        <v>27265</v>
      </c>
      <c r="O4">
        <v>27265</v>
      </c>
      <c r="P4">
        <v>27265</v>
      </c>
      <c r="Q4">
        <v>27265</v>
      </c>
      <c r="R4">
        <v>27265</v>
      </c>
      <c r="S4">
        <v>27265</v>
      </c>
      <c r="T4">
        <v>27265</v>
      </c>
      <c r="U4">
        <v>27265</v>
      </c>
      <c r="V4">
        <v>27265</v>
      </c>
      <c r="W4">
        <v>27265</v>
      </c>
      <c r="X4">
        <v>27265</v>
      </c>
      <c r="Y4">
        <v>27265</v>
      </c>
      <c r="Z4">
        <v>27265</v>
      </c>
      <c r="AA4">
        <v>27265</v>
      </c>
      <c r="AB4">
        <v>27265</v>
      </c>
      <c r="AC4">
        <v>27265</v>
      </c>
      <c r="AD4">
        <v>27265</v>
      </c>
      <c r="AE4">
        <v>27265</v>
      </c>
      <c r="AF4">
        <v>27265</v>
      </c>
      <c r="AG4">
        <v>27265</v>
      </c>
      <c r="AH4">
        <v>27265</v>
      </c>
      <c r="AI4">
        <v>27265</v>
      </c>
      <c r="AJ4">
        <v>27265</v>
      </c>
      <c r="AK4">
        <v>27265</v>
      </c>
      <c r="AL4">
        <v>27265</v>
      </c>
      <c r="AM4">
        <v>27265</v>
      </c>
      <c r="AN4">
        <v>27265</v>
      </c>
      <c r="AO4">
        <v>27265</v>
      </c>
      <c r="AP4">
        <v>27265</v>
      </c>
      <c r="AQ4">
        <v>27265</v>
      </c>
      <c r="AR4">
        <v>27265</v>
      </c>
      <c r="AS4">
        <v>27265</v>
      </c>
      <c r="AT4">
        <v>27265</v>
      </c>
      <c r="AU4">
        <v>27265</v>
      </c>
      <c r="AV4">
        <v>27265</v>
      </c>
      <c r="AW4">
        <v>27265</v>
      </c>
      <c r="AX4">
        <v>27265</v>
      </c>
      <c r="AY4">
        <v>27265</v>
      </c>
      <c r="AZ4">
        <v>27265</v>
      </c>
      <c r="BA4">
        <v>27265</v>
      </c>
      <c r="BB4">
        <v>27265</v>
      </c>
      <c r="BC4">
        <v>27265</v>
      </c>
      <c r="BD4">
        <v>27265</v>
      </c>
      <c r="BE4">
        <v>27265</v>
      </c>
      <c r="BF4">
        <v>27265</v>
      </c>
      <c r="BG4">
        <v>27265</v>
      </c>
      <c r="BH4">
        <v>27265</v>
      </c>
      <c r="BI4">
        <v>27265</v>
      </c>
      <c r="BJ4">
        <v>27265</v>
      </c>
      <c r="BK4">
        <v>27265</v>
      </c>
      <c r="BL4">
        <v>27265</v>
      </c>
      <c r="BM4">
        <v>27265</v>
      </c>
      <c r="BN4">
        <v>27265</v>
      </c>
      <c r="BO4">
        <v>27265</v>
      </c>
      <c r="BP4">
        <v>27265</v>
      </c>
      <c r="BQ4">
        <v>27265</v>
      </c>
      <c r="BR4">
        <v>27265</v>
      </c>
      <c r="BS4">
        <v>27265</v>
      </c>
      <c r="BT4">
        <v>27265</v>
      </c>
      <c r="BU4">
        <v>27265</v>
      </c>
      <c r="BV4">
        <v>27265</v>
      </c>
      <c r="BW4">
        <v>27265</v>
      </c>
      <c r="BX4">
        <v>27265</v>
      </c>
      <c r="BY4">
        <v>27265</v>
      </c>
      <c r="BZ4">
        <v>27265</v>
      </c>
      <c r="CA4">
        <v>27265</v>
      </c>
      <c r="CB4">
        <v>27265</v>
      </c>
      <c r="CC4">
        <v>27265</v>
      </c>
      <c r="CD4">
        <v>27265</v>
      </c>
      <c r="CE4">
        <v>27265</v>
      </c>
      <c r="CF4">
        <v>27265</v>
      </c>
      <c r="CG4">
        <v>27265</v>
      </c>
      <c r="CH4">
        <v>27265</v>
      </c>
      <c r="CI4">
        <v>27265</v>
      </c>
      <c r="CJ4">
        <v>27265</v>
      </c>
      <c r="CK4">
        <v>27265</v>
      </c>
      <c r="CL4">
        <v>27265</v>
      </c>
      <c r="CM4">
        <v>27265</v>
      </c>
      <c r="CN4">
        <v>27265</v>
      </c>
      <c r="CO4">
        <v>27265</v>
      </c>
      <c r="CP4">
        <v>27265</v>
      </c>
      <c r="CQ4">
        <v>27265</v>
      </c>
      <c r="CR4">
        <v>27265</v>
      </c>
      <c r="CS4">
        <v>27265</v>
      </c>
    </row>
    <row r="5" spans="1:97">
      <c r="A5" s="8">
        <v>46238</v>
      </c>
      <c r="B5">
        <v>27265</v>
      </c>
      <c r="C5">
        <v>27265</v>
      </c>
      <c r="D5">
        <v>27265</v>
      </c>
      <c r="E5">
        <v>27265</v>
      </c>
      <c r="F5">
        <v>27265</v>
      </c>
      <c r="G5">
        <v>27265</v>
      </c>
      <c r="H5">
        <v>27265</v>
      </c>
      <c r="I5">
        <v>27265</v>
      </c>
      <c r="J5">
        <v>27265</v>
      </c>
      <c r="K5">
        <v>27265</v>
      </c>
      <c r="L5">
        <v>27265</v>
      </c>
      <c r="M5">
        <v>27265</v>
      </c>
      <c r="N5">
        <v>27265</v>
      </c>
      <c r="O5">
        <v>27265</v>
      </c>
      <c r="P5">
        <v>27265</v>
      </c>
      <c r="Q5">
        <v>27265</v>
      </c>
      <c r="R5">
        <v>27265</v>
      </c>
      <c r="S5">
        <v>27265</v>
      </c>
      <c r="T5">
        <v>27265</v>
      </c>
      <c r="U5">
        <v>27265</v>
      </c>
      <c r="V5">
        <v>27265</v>
      </c>
      <c r="W5">
        <v>27265</v>
      </c>
      <c r="X5">
        <v>27265</v>
      </c>
      <c r="Y5">
        <v>27265</v>
      </c>
      <c r="Z5">
        <v>27265</v>
      </c>
      <c r="AA5">
        <v>27265</v>
      </c>
      <c r="AB5">
        <v>27265</v>
      </c>
      <c r="AC5">
        <v>27265</v>
      </c>
      <c r="AD5">
        <v>27265</v>
      </c>
      <c r="AE5">
        <v>27565</v>
      </c>
      <c r="AF5">
        <v>27565</v>
      </c>
      <c r="AG5">
        <v>27565</v>
      </c>
      <c r="AH5">
        <v>27565</v>
      </c>
      <c r="AI5">
        <v>27565</v>
      </c>
      <c r="AJ5">
        <v>27565</v>
      </c>
      <c r="AK5">
        <v>27565</v>
      </c>
      <c r="AL5">
        <v>27565</v>
      </c>
      <c r="AM5">
        <v>27565</v>
      </c>
      <c r="AN5">
        <v>27565</v>
      </c>
      <c r="AO5">
        <v>27565</v>
      </c>
      <c r="AP5">
        <v>27565</v>
      </c>
      <c r="AQ5">
        <v>27565</v>
      </c>
      <c r="AR5">
        <v>27565</v>
      </c>
      <c r="AS5">
        <v>27565</v>
      </c>
      <c r="AT5">
        <v>27565</v>
      </c>
      <c r="AU5">
        <v>27565</v>
      </c>
      <c r="AV5">
        <v>27565</v>
      </c>
      <c r="AW5">
        <v>27565</v>
      </c>
      <c r="AX5">
        <v>27565</v>
      </c>
      <c r="AY5">
        <v>27565</v>
      </c>
      <c r="AZ5">
        <v>27565</v>
      </c>
      <c r="BA5">
        <v>27565</v>
      </c>
      <c r="BB5">
        <v>27565</v>
      </c>
      <c r="BC5">
        <v>27565</v>
      </c>
      <c r="BD5">
        <v>27565</v>
      </c>
      <c r="BE5">
        <v>27565</v>
      </c>
      <c r="BF5">
        <v>27565</v>
      </c>
      <c r="BG5">
        <v>27565</v>
      </c>
      <c r="BH5">
        <v>27565</v>
      </c>
      <c r="BI5">
        <v>27565</v>
      </c>
      <c r="BJ5">
        <v>27565</v>
      </c>
      <c r="BK5">
        <v>27565</v>
      </c>
      <c r="BL5">
        <v>27565</v>
      </c>
      <c r="BM5">
        <v>27565</v>
      </c>
      <c r="BN5">
        <v>27565</v>
      </c>
      <c r="BO5">
        <v>27565</v>
      </c>
      <c r="BP5">
        <v>27565</v>
      </c>
      <c r="BQ5">
        <v>27565</v>
      </c>
      <c r="BR5">
        <v>27565</v>
      </c>
      <c r="BS5">
        <v>27565</v>
      </c>
      <c r="BT5">
        <v>27565</v>
      </c>
      <c r="BU5">
        <v>27565</v>
      </c>
      <c r="BV5">
        <v>27565</v>
      </c>
      <c r="BW5">
        <v>27565</v>
      </c>
      <c r="BX5">
        <v>27565</v>
      </c>
      <c r="BY5">
        <v>27565</v>
      </c>
      <c r="BZ5">
        <v>27565</v>
      </c>
      <c r="CA5">
        <v>27565</v>
      </c>
      <c r="CB5">
        <v>27565</v>
      </c>
      <c r="CC5">
        <v>27565</v>
      </c>
      <c r="CD5">
        <v>27565</v>
      </c>
      <c r="CE5">
        <v>27565</v>
      </c>
      <c r="CF5">
        <v>27565</v>
      </c>
      <c r="CG5">
        <v>27565</v>
      </c>
      <c r="CH5">
        <v>27565</v>
      </c>
      <c r="CI5">
        <v>27565</v>
      </c>
      <c r="CJ5">
        <v>27565</v>
      </c>
      <c r="CK5">
        <v>27565</v>
      </c>
      <c r="CL5">
        <v>27565</v>
      </c>
      <c r="CM5">
        <v>27565</v>
      </c>
      <c r="CN5">
        <v>27565</v>
      </c>
      <c r="CO5">
        <v>27565</v>
      </c>
      <c r="CP5">
        <v>27565</v>
      </c>
      <c r="CQ5">
        <v>27565</v>
      </c>
      <c r="CR5">
        <v>27565</v>
      </c>
      <c r="CS5">
        <v>27565</v>
      </c>
    </row>
    <row r="6" spans="1:97">
      <c r="A6" s="8">
        <v>46239</v>
      </c>
      <c r="B6">
        <v>27565</v>
      </c>
      <c r="C6">
        <v>27565</v>
      </c>
      <c r="D6">
        <v>27565</v>
      </c>
      <c r="E6">
        <v>27565</v>
      </c>
      <c r="F6">
        <v>27565</v>
      </c>
      <c r="G6">
        <v>27565</v>
      </c>
      <c r="H6">
        <v>27565</v>
      </c>
      <c r="I6">
        <v>27565</v>
      </c>
      <c r="J6">
        <v>27565</v>
      </c>
      <c r="K6">
        <v>27565</v>
      </c>
      <c r="L6">
        <v>27565</v>
      </c>
      <c r="M6">
        <v>27565</v>
      </c>
      <c r="N6">
        <v>27565</v>
      </c>
      <c r="O6">
        <v>27565</v>
      </c>
      <c r="P6">
        <v>27565</v>
      </c>
      <c r="Q6">
        <v>27565</v>
      </c>
      <c r="R6">
        <v>27565</v>
      </c>
      <c r="S6">
        <v>27565</v>
      </c>
      <c r="T6">
        <v>27565</v>
      </c>
      <c r="U6">
        <v>27565</v>
      </c>
      <c r="V6">
        <v>27565</v>
      </c>
      <c r="W6">
        <v>27565</v>
      </c>
      <c r="X6">
        <v>27565</v>
      </c>
      <c r="Y6">
        <v>27565</v>
      </c>
      <c r="Z6">
        <v>27565</v>
      </c>
      <c r="AA6">
        <v>27565</v>
      </c>
      <c r="AB6">
        <v>27565</v>
      </c>
      <c r="AC6">
        <v>27565</v>
      </c>
      <c r="AD6">
        <v>27565</v>
      </c>
      <c r="AE6">
        <v>27565</v>
      </c>
      <c r="AF6">
        <v>27565</v>
      </c>
      <c r="AG6">
        <v>27565</v>
      </c>
      <c r="AH6">
        <v>27565</v>
      </c>
      <c r="AI6">
        <v>27565</v>
      </c>
      <c r="AJ6">
        <v>27565</v>
      </c>
      <c r="AK6">
        <v>27565</v>
      </c>
      <c r="AL6">
        <v>27565</v>
      </c>
      <c r="AM6">
        <v>27565</v>
      </c>
      <c r="AN6">
        <v>27565</v>
      </c>
      <c r="AO6">
        <v>27565</v>
      </c>
      <c r="AP6">
        <v>27565</v>
      </c>
      <c r="AQ6">
        <v>27565</v>
      </c>
      <c r="AR6">
        <v>27565</v>
      </c>
      <c r="AS6">
        <v>27565</v>
      </c>
      <c r="AT6">
        <v>27565</v>
      </c>
      <c r="AU6">
        <v>27565</v>
      </c>
      <c r="AV6">
        <v>27565</v>
      </c>
      <c r="AW6">
        <v>27565</v>
      </c>
      <c r="AX6">
        <v>27565</v>
      </c>
      <c r="AY6">
        <v>27565</v>
      </c>
      <c r="AZ6">
        <v>27565</v>
      </c>
      <c r="BA6">
        <v>27565</v>
      </c>
      <c r="BB6">
        <v>27565</v>
      </c>
      <c r="BC6">
        <v>27565</v>
      </c>
      <c r="BD6">
        <v>27565</v>
      </c>
      <c r="BE6">
        <v>27565</v>
      </c>
      <c r="BF6">
        <v>27565</v>
      </c>
      <c r="BG6">
        <v>27565</v>
      </c>
      <c r="BH6">
        <v>27565</v>
      </c>
      <c r="BI6">
        <v>27565</v>
      </c>
      <c r="BJ6">
        <v>27565</v>
      </c>
      <c r="BK6">
        <v>27565</v>
      </c>
      <c r="BL6">
        <v>27565</v>
      </c>
      <c r="BM6">
        <v>27565</v>
      </c>
      <c r="BN6">
        <v>27565</v>
      </c>
      <c r="BO6">
        <v>27565</v>
      </c>
      <c r="BP6">
        <v>27565</v>
      </c>
      <c r="BQ6">
        <v>27565</v>
      </c>
      <c r="BR6">
        <v>27565</v>
      </c>
      <c r="BS6">
        <v>27565</v>
      </c>
      <c r="BT6">
        <v>27565</v>
      </c>
      <c r="BU6">
        <v>27565</v>
      </c>
      <c r="BV6">
        <v>27565</v>
      </c>
      <c r="BW6">
        <v>27565</v>
      </c>
      <c r="BX6">
        <v>27565</v>
      </c>
      <c r="BY6">
        <v>27565</v>
      </c>
      <c r="BZ6">
        <v>27565</v>
      </c>
      <c r="CA6">
        <v>27565</v>
      </c>
      <c r="CB6">
        <v>27565</v>
      </c>
      <c r="CC6">
        <v>27565</v>
      </c>
      <c r="CD6">
        <v>27565</v>
      </c>
      <c r="CE6">
        <v>27565</v>
      </c>
      <c r="CF6">
        <v>27565</v>
      </c>
      <c r="CG6">
        <v>27565</v>
      </c>
      <c r="CH6">
        <v>27565</v>
      </c>
      <c r="CI6">
        <v>27565</v>
      </c>
      <c r="CJ6">
        <v>27565</v>
      </c>
      <c r="CK6">
        <v>27565</v>
      </c>
      <c r="CL6">
        <v>27565</v>
      </c>
      <c r="CM6">
        <v>27565</v>
      </c>
      <c r="CN6">
        <v>27565</v>
      </c>
      <c r="CO6">
        <v>27565</v>
      </c>
      <c r="CP6">
        <v>27565</v>
      </c>
      <c r="CQ6">
        <v>27565</v>
      </c>
      <c r="CR6">
        <v>27565</v>
      </c>
      <c r="CS6">
        <v>27565</v>
      </c>
    </row>
    <row r="7" spans="1:97">
      <c r="A7" s="8">
        <v>46240</v>
      </c>
      <c r="B7">
        <v>27565</v>
      </c>
      <c r="C7">
        <v>27565</v>
      </c>
      <c r="D7">
        <v>27565</v>
      </c>
      <c r="E7">
        <v>27565</v>
      </c>
      <c r="F7">
        <v>27565</v>
      </c>
      <c r="G7">
        <v>27565</v>
      </c>
      <c r="H7">
        <v>27565</v>
      </c>
      <c r="I7">
        <v>27565</v>
      </c>
      <c r="J7">
        <v>27565</v>
      </c>
      <c r="K7">
        <v>27565</v>
      </c>
      <c r="L7">
        <v>27565</v>
      </c>
      <c r="M7">
        <v>27565</v>
      </c>
      <c r="N7">
        <v>27565</v>
      </c>
      <c r="O7">
        <v>27565</v>
      </c>
      <c r="P7">
        <v>27565</v>
      </c>
      <c r="Q7">
        <v>27565</v>
      </c>
      <c r="R7">
        <v>27565</v>
      </c>
      <c r="S7">
        <v>27565</v>
      </c>
      <c r="T7">
        <v>27565</v>
      </c>
      <c r="U7">
        <v>27565</v>
      </c>
      <c r="V7">
        <v>27565</v>
      </c>
      <c r="W7">
        <v>27565</v>
      </c>
      <c r="X7">
        <v>27565</v>
      </c>
      <c r="Y7">
        <v>27565</v>
      </c>
      <c r="Z7">
        <v>27565</v>
      </c>
      <c r="AA7">
        <v>27565</v>
      </c>
      <c r="AB7">
        <v>27565</v>
      </c>
      <c r="AC7">
        <v>27565</v>
      </c>
      <c r="AD7">
        <v>27565</v>
      </c>
      <c r="AE7">
        <v>27565</v>
      </c>
      <c r="AF7">
        <v>27565</v>
      </c>
      <c r="AG7">
        <v>27565</v>
      </c>
      <c r="AH7">
        <v>27565</v>
      </c>
      <c r="AI7">
        <v>27565</v>
      </c>
      <c r="AJ7">
        <v>27565</v>
      </c>
      <c r="AK7">
        <v>27565</v>
      </c>
      <c r="AL7">
        <v>27565</v>
      </c>
      <c r="AM7">
        <v>27565</v>
      </c>
      <c r="AN7">
        <v>27565</v>
      </c>
      <c r="AO7">
        <v>27565</v>
      </c>
      <c r="AP7">
        <v>27565</v>
      </c>
      <c r="AQ7">
        <v>27565</v>
      </c>
      <c r="AR7">
        <v>27565</v>
      </c>
      <c r="AS7">
        <v>27565</v>
      </c>
      <c r="AT7">
        <v>27565</v>
      </c>
      <c r="AU7">
        <v>27565</v>
      </c>
      <c r="AV7">
        <v>27565</v>
      </c>
      <c r="AW7">
        <v>27565</v>
      </c>
      <c r="AX7">
        <v>27565</v>
      </c>
      <c r="AY7">
        <v>27565</v>
      </c>
      <c r="AZ7">
        <v>27565</v>
      </c>
      <c r="BA7">
        <v>27565</v>
      </c>
      <c r="BB7">
        <v>27565</v>
      </c>
      <c r="BC7">
        <v>27565</v>
      </c>
      <c r="BD7">
        <v>27565</v>
      </c>
      <c r="BE7">
        <v>27565</v>
      </c>
      <c r="BF7">
        <v>27565</v>
      </c>
      <c r="BG7">
        <v>27565</v>
      </c>
      <c r="BH7">
        <v>27565</v>
      </c>
      <c r="BI7">
        <v>27565</v>
      </c>
      <c r="BJ7">
        <v>27565</v>
      </c>
      <c r="BK7">
        <v>27565</v>
      </c>
      <c r="BL7">
        <v>27565</v>
      </c>
      <c r="BM7">
        <v>27565</v>
      </c>
      <c r="BN7">
        <v>27565</v>
      </c>
      <c r="BO7">
        <v>27565</v>
      </c>
      <c r="BP7">
        <v>27565</v>
      </c>
      <c r="BQ7">
        <v>27565</v>
      </c>
      <c r="BR7">
        <v>27565</v>
      </c>
      <c r="BS7">
        <v>27565</v>
      </c>
      <c r="BT7">
        <v>27565</v>
      </c>
      <c r="BU7">
        <v>27565</v>
      </c>
      <c r="BV7">
        <v>27565</v>
      </c>
      <c r="BW7">
        <v>27565</v>
      </c>
      <c r="BX7">
        <v>27565</v>
      </c>
      <c r="BY7">
        <v>27565</v>
      </c>
      <c r="BZ7">
        <v>27565</v>
      </c>
      <c r="CA7">
        <v>27565</v>
      </c>
      <c r="CB7">
        <v>27565</v>
      </c>
      <c r="CC7">
        <v>27565</v>
      </c>
      <c r="CD7">
        <v>27565</v>
      </c>
      <c r="CE7">
        <v>27565</v>
      </c>
      <c r="CF7">
        <v>27565</v>
      </c>
      <c r="CG7">
        <v>27565</v>
      </c>
      <c r="CH7">
        <v>27565</v>
      </c>
      <c r="CI7">
        <v>27565</v>
      </c>
      <c r="CJ7">
        <v>27565</v>
      </c>
      <c r="CK7">
        <v>27565</v>
      </c>
      <c r="CL7">
        <v>27565</v>
      </c>
      <c r="CM7">
        <v>27565</v>
      </c>
      <c r="CN7">
        <v>27565</v>
      </c>
      <c r="CO7">
        <v>27565</v>
      </c>
      <c r="CP7">
        <v>27565</v>
      </c>
      <c r="CQ7">
        <v>27565</v>
      </c>
      <c r="CR7">
        <v>27565</v>
      </c>
      <c r="CS7">
        <v>27565</v>
      </c>
    </row>
    <row r="8" spans="1:97">
      <c r="A8" s="8">
        <v>46241</v>
      </c>
      <c r="B8">
        <v>27430</v>
      </c>
      <c r="C8">
        <v>26550</v>
      </c>
      <c r="D8">
        <v>26250</v>
      </c>
      <c r="E8">
        <v>25720</v>
      </c>
      <c r="F8">
        <v>25420</v>
      </c>
      <c r="G8">
        <v>25420</v>
      </c>
      <c r="H8">
        <v>25420</v>
      </c>
      <c r="I8">
        <v>25120</v>
      </c>
      <c r="J8">
        <v>25120</v>
      </c>
      <c r="K8">
        <v>25120</v>
      </c>
      <c r="L8">
        <v>25120</v>
      </c>
      <c r="M8">
        <v>25120</v>
      </c>
      <c r="N8">
        <v>25120</v>
      </c>
      <c r="O8">
        <v>24570</v>
      </c>
      <c r="P8">
        <v>24570</v>
      </c>
      <c r="Q8">
        <v>24570</v>
      </c>
      <c r="R8">
        <v>24570</v>
      </c>
      <c r="S8">
        <v>24570</v>
      </c>
      <c r="T8">
        <v>24570</v>
      </c>
      <c r="U8">
        <v>24570</v>
      </c>
      <c r="V8">
        <v>24570</v>
      </c>
      <c r="W8">
        <v>24570</v>
      </c>
      <c r="X8">
        <v>24570</v>
      </c>
      <c r="Y8">
        <v>24570</v>
      </c>
      <c r="Z8">
        <v>24570</v>
      </c>
      <c r="AA8">
        <v>24570</v>
      </c>
      <c r="AB8">
        <v>24570</v>
      </c>
      <c r="AC8">
        <v>24570</v>
      </c>
      <c r="AD8">
        <v>24570</v>
      </c>
      <c r="AE8">
        <v>24570</v>
      </c>
      <c r="AF8">
        <v>24570</v>
      </c>
      <c r="AG8">
        <v>24570</v>
      </c>
      <c r="AH8">
        <v>24570</v>
      </c>
      <c r="AI8">
        <v>24570</v>
      </c>
      <c r="AJ8">
        <v>24570</v>
      </c>
      <c r="AK8">
        <v>24570</v>
      </c>
      <c r="AL8">
        <v>24570</v>
      </c>
      <c r="AM8">
        <v>24570</v>
      </c>
      <c r="AN8">
        <v>24570</v>
      </c>
      <c r="AO8">
        <v>24570</v>
      </c>
      <c r="AP8">
        <v>24570</v>
      </c>
      <c r="AQ8">
        <v>24570</v>
      </c>
      <c r="AR8">
        <v>24570</v>
      </c>
      <c r="AS8">
        <v>24570</v>
      </c>
      <c r="AT8">
        <v>24570</v>
      </c>
      <c r="AU8">
        <v>24570</v>
      </c>
      <c r="AV8">
        <v>24570</v>
      </c>
      <c r="AW8">
        <v>24570</v>
      </c>
      <c r="AX8">
        <v>24570</v>
      </c>
      <c r="AY8">
        <v>24570</v>
      </c>
      <c r="AZ8">
        <v>24570</v>
      </c>
      <c r="BA8">
        <v>24570</v>
      </c>
      <c r="BB8">
        <v>24570</v>
      </c>
      <c r="BC8">
        <v>24570</v>
      </c>
      <c r="BD8">
        <v>24570</v>
      </c>
      <c r="BE8">
        <v>24570</v>
      </c>
      <c r="BF8">
        <v>24570</v>
      </c>
      <c r="BG8">
        <v>24570</v>
      </c>
      <c r="BH8">
        <v>24570</v>
      </c>
      <c r="BI8">
        <v>24570</v>
      </c>
      <c r="BJ8">
        <v>24570</v>
      </c>
      <c r="BK8">
        <v>24570</v>
      </c>
      <c r="BL8">
        <v>24570</v>
      </c>
      <c r="BM8">
        <v>24570</v>
      </c>
      <c r="BN8">
        <v>24570</v>
      </c>
      <c r="BO8">
        <v>24570</v>
      </c>
      <c r="BP8">
        <v>24570</v>
      </c>
      <c r="BQ8">
        <v>24570</v>
      </c>
      <c r="BR8">
        <v>24570</v>
      </c>
      <c r="BS8">
        <v>24570</v>
      </c>
      <c r="BT8">
        <v>24570</v>
      </c>
      <c r="BU8">
        <v>24570</v>
      </c>
      <c r="BV8">
        <v>24570</v>
      </c>
      <c r="BW8">
        <v>24570</v>
      </c>
      <c r="BX8">
        <v>24570</v>
      </c>
      <c r="BY8">
        <v>24570</v>
      </c>
      <c r="BZ8">
        <v>24570</v>
      </c>
      <c r="CA8">
        <v>24570</v>
      </c>
      <c r="CB8">
        <v>24570</v>
      </c>
      <c r="CC8">
        <v>24570</v>
      </c>
      <c r="CD8">
        <v>24570</v>
      </c>
      <c r="CE8">
        <v>24570</v>
      </c>
      <c r="CF8">
        <v>24570</v>
      </c>
      <c r="CG8">
        <v>24570</v>
      </c>
      <c r="CH8">
        <v>24570</v>
      </c>
      <c r="CI8">
        <v>24570</v>
      </c>
      <c r="CJ8">
        <v>24115</v>
      </c>
      <c r="CK8">
        <v>23980</v>
      </c>
      <c r="CL8">
        <v>23680</v>
      </c>
      <c r="CM8">
        <v>23680</v>
      </c>
      <c r="CN8">
        <v>23330</v>
      </c>
      <c r="CO8">
        <v>22830</v>
      </c>
      <c r="CP8">
        <v>22830</v>
      </c>
      <c r="CQ8">
        <v>22830</v>
      </c>
      <c r="CR8">
        <v>22830</v>
      </c>
      <c r="CS8">
        <v>22830</v>
      </c>
    </row>
    <row r="9" spans="1:97">
      <c r="A9" s="8">
        <v>46242</v>
      </c>
      <c r="B9">
        <v>22480</v>
      </c>
      <c r="C9">
        <v>22480</v>
      </c>
      <c r="D9">
        <v>22480</v>
      </c>
      <c r="E9">
        <v>22480</v>
      </c>
      <c r="F9">
        <v>22480</v>
      </c>
      <c r="G9">
        <v>22480</v>
      </c>
      <c r="H9">
        <v>22480</v>
      </c>
      <c r="I9">
        <v>22480</v>
      </c>
      <c r="J9">
        <v>22480</v>
      </c>
      <c r="K9">
        <v>22480</v>
      </c>
      <c r="L9">
        <v>22480</v>
      </c>
      <c r="M9">
        <v>22480</v>
      </c>
      <c r="N9">
        <v>22480</v>
      </c>
      <c r="O9">
        <v>22480</v>
      </c>
      <c r="P9">
        <v>22480</v>
      </c>
      <c r="Q9">
        <v>22480</v>
      </c>
      <c r="R9">
        <v>22480</v>
      </c>
      <c r="S9">
        <v>22480</v>
      </c>
      <c r="T9">
        <v>22480</v>
      </c>
      <c r="U9">
        <v>22480</v>
      </c>
      <c r="V9">
        <v>22480</v>
      </c>
      <c r="W9">
        <v>22480</v>
      </c>
      <c r="X9">
        <v>22480</v>
      </c>
      <c r="Y9">
        <v>22480</v>
      </c>
      <c r="Z9">
        <v>22480</v>
      </c>
      <c r="AA9">
        <v>22480</v>
      </c>
      <c r="AB9">
        <v>22480</v>
      </c>
      <c r="AC9">
        <v>22480</v>
      </c>
      <c r="AD9">
        <v>22480</v>
      </c>
      <c r="AE9">
        <v>22480</v>
      </c>
      <c r="AF9">
        <v>22480</v>
      </c>
      <c r="AG9">
        <v>22480</v>
      </c>
      <c r="AH9">
        <v>22480</v>
      </c>
      <c r="AI9">
        <v>22480</v>
      </c>
      <c r="AJ9">
        <v>22480</v>
      </c>
      <c r="AK9">
        <v>22480</v>
      </c>
      <c r="AL9">
        <v>22480</v>
      </c>
      <c r="AM9">
        <v>22480</v>
      </c>
      <c r="AN9">
        <v>22480</v>
      </c>
      <c r="AO9">
        <v>22480</v>
      </c>
      <c r="AP9">
        <v>22480</v>
      </c>
      <c r="AQ9">
        <v>22480</v>
      </c>
      <c r="AR9">
        <v>22480</v>
      </c>
      <c r="AS9">
        <v>22480</v>
      </c>
      <c r="AT9">
        <v>22480</v>
      </c>
      <c r="AU9">
        <v>22480</v>
      </c>
      <c r="AV9">
        <v>22480</v>
      </c>
      <c r="AW9">
        <v>22480</v>
      </c>
      <c r="AX9">
        <v>22480</v>
      </c>
      <c r="AY9">
        <v>22480</v>
      </c>
      <c r="AZ9">
        <v>22480</v>
      </c>
      <c r="BA9">
        <v>22480</v>
      </c>
      <c r="BB9">
        <v>22480</v>
      </c>
      <c r="BC9">
        <v>22480</v>
      </c>
      <c r="BD9">
        <v>22480</v>
      </c>
      <c r="BE9">
        <v>22480</v>
      </c>
      <c r="BF9">
        <v>22480</v>
      </c>
      <c r="BG9">
        <v>22480</v>
      </c>
      <c r="BH9">
        <v>22480</v>
      </c>
      <c r="BI9">
        <v>22480</v>
      </c>
      <c r="BJ9">
        <v>22480</v>
      </c>
      <c r="BK9">
        <v>22480</v>
      </c>
      <c r="BL9">
        <v>22480</v>
      </c>
      <c r="BM9">
        <v>22480</v>
      </c>
      <c r="BN9">
        <v>22480</v>
      </c>
      <c r="BO9">
        <v>22480</v>
      </c>
      <c r="BP9">
        <v>22480</v>
      </c>
      <c r="BQ9">
        <v>22480</v>
      </c>
      <c r="BR9">
        <v>22480</v>
      </c>
      <c r="BS9">
        <v>22480</v>
      </c>
      <c r="BT9">
        <v>22480</v>
      </c>
      <c r="BU9">
        <v>22480</v>
      </c>
      <c r="BV9">
        <v>22480</v>
      </c>
      <c r="BW9">
        <v>22480</v>
      </c>
      <c r="BX9">
        <v>22480</v>
      </c>
      <c r="BY9">
        <v>22480</v>
      </c>
      <c r="BZ9">
        <v>22480</v>
      </c>
      <c r="CA9">
        <v>22480</v>
      </c>
      <c r="CB9">
        <v>22480</v>
      </c>
      <c r="CC9">
        <v>22480</v>
      </c>
      <c r="CD9">
        <v>22480</v>
      </c>
      <c r="CE9">
        <v>22480</v>
      </c>
      <c r="CF9">
        <v>22480</v>
      </c>
      <c r="CG9">
        <v>22480</v>
      </c>
      <c r="CH9">
        <v>22480</v>
      </c>
      <c r="CI9">
        <v>22480</v>
      </c>
      <c r="CJ9">
        <v>22480</v>
      </c>
      <c r="CK9">
        <v>22480</v>
      </c>
      <c r="CL9">
        <v>22480</v>
      </c>
      <c r="CM9">
        <v>22480</v>
      </c>
      <c r="CN9">
        <v>22480</v>
      </c>
      <c r="CO9">
        <v>22480</v>
      </c>
      <c r="CP9">
        <v>22480</v>
      </c>
      <c r="CQ9">
        <v>22480</v>
      </c>
      <c r="CR9">
        <v>22480</v>
      </c>
      <c r="CS9">
        <v>22480</v>
      </c>
    </row>
    <row r="10" spans="1:97">
      <c r="A10" s="8">
        <v>46243</v>
      </c>
      <c r="B10">
        <v>22480</v>
      </c>
      <c r="C10">
        <v>22480</v>
      </c>
      <c r="D10">
        <v>22480</v>
      </c>
      <c r="E10">
        <v>22480</v>
      </c>
      <c r="F10">
        <v>22480</v>
      </c>
      <c r="G10">
        <v>22480</v>
      </c>
      <c r="H10">
        <v>22480</v>
      </c>
      <c r="I10">
        <v>22480</v>
      </c>
      <c r="J10">
        <v>22480</v>
      </c>
      <c r="K10">
        <v>22480</v>
      </c>
      <c r="L10">
        <v>22480</v>
      </c>
      <c r="M10">
        <v>22480</v>
      </c>
      <c r="N10">
        <v>22480</v>
      </c>
      <c r="O10">
        <v>22480</v>
      </c>
      <c r="P10">
        <v>22480</v>
      </c>
      <c r="Q10">
        <v>22480</v>
      </c>
      <c r="R10">
        <v>22480</v>
      </c>
      <c r="S10">
        <v>22480</v>
      </c>
      <c r="T10">
        <v>22480</v>
      </c>
      <c r="U10">
        <v>22480</v>
      </c>
      <c r="V10">
        <v>22480</v>
      </c>
      <c r="W10">
        <v>22480</v>
      </c>
      <c r="X10">
        <v>22480</v>
      </c>
      <c r="Y10">
        <v>22480</v>
      </c>
      <c r="Z10">
        <v>22480</v>
      </c>
      <c r="AA10">
        <v>22480</v>
      </c>
      <c r="AB10">
        <v>22480</v>
      </c>
      <c r="AC10">
        <v>22480</v>
      </c>
      <c r="AD10">
        <v>22480</v>
      </c>
      <c r="AE10">
        <v>22480</v>
      </c>
      <c r="AF10">
        <v>22480</v>
      </c>
      <c r="AG10">
        <v>22480</v>
      </c>
      <c r="AH10">
        <v>22480</v>
      </c>
      <c r="AI10">
        <v>22480</v>
      </c>
      <c r="AJ10">
        <v>22480</v>
      </c>
      <c r="AK10">
        <v>22480</v>
      </c>
      <c r="AL10">
        <v>22480</v>
      </c>
      <c r="AM10">
        <v>22480</v>
      </c>
      <c r="AN10">
        <v>22480</v>
      </c>
      <c r="AO10">
        <v>22480</v>
      </c>
      <c r="AP10">
        <v>22480</v>
      </c>
      <c r="AQ10">
        <v>22480</v>
      </c>
      <c r="AR10">
        <v>22480</v>
      </c>
      <c r="AS10">
        <v>22480</v>
      </c>
      <c r="AT10">
        <v>22480</v>
      </c>
      <c r="AU10">
        <v>22480</v>
      </c>
      <c r="AV10">
        <v>22480</v>
      </c>
      <c r="AW10">
        <v>22480</v>
      </c>
      <c r="AX10">
        <v>22480</v>
      </c>
      <c r="AY10">
        <v>22480</v>
      </c>
      <c r="AZ10">
        <v>22480</v>
      </c>
      <c r="BA10">
        <v>22480</v>
      </c>
      <c r="BB10">
        <v>22480</v>
      </c>
      <c r="BC10">
        <v>22480</v>
      </c>
      <c r="BD10">
        <v>22480</v>
      </c>
      <c r="BE10">
        <v>22480</v>
      </c>
      <c r="BF10">
        <v>22480</v>
      </c>
      <c r="BG10">
        <v>22480</v>
      </c>
      <c r="BH10">
        <v>22480</v>
      </c>
      <c r="BI10">
        <v>22480</v>
      </c>
      <c r="BJ10">
        <v>22480</v>
      </c>
      <c r="BK10">
        <v>22480</v>
      </c>
      <c r="BL10">
        <v>22480</v>
      </c>
      <c r="BM10">
        <v>22480</v>
      </c>
      <c r="BN10">
        <v>22480</v>
      </c>
      <c r="BO10">
        <v>22480</v>
      </c>
      <c r="BP10">
        <v>22480</v>
      </c>
      <c r="BQ10">
        <v>22480</v>
      </c>
      <c r="BR10">
        <v>22480</v>
      </c>
      <c r="BS10">
        <v>22480</v>
      </c>
      <c r="BT10">
        <v>22480</v>
      </c>
      <c r="BU10">
        <v>22480</v>
      </c>
      <c r="BV10">
        <v>22480</v>
      </c>
      <c r="BW10">
        <v>22480</v>
      </c>
      <c r="BX10">
        <v>22480</v>
      </c>
      <c r="BY10">
        <v>22480</v>
      </c>
      <c r="BZ10">
        <v>22480</v>
      </c>
      <c r="CA10">
        <v>22480</v>
      </c>
      <c r="CB10">
        <v>22480</v>
      </c>
      <c r="CC10">
        <v>22480</v>
      </c>
      <c r="CD10">
        <v>22480</v>
      </c>
      <c r="CE10">
        <v>22480</v>
      </c>
      <c r="CF10">
        <v>22480</v>
      </c>
      <c r="CG10">
        <v>22480</v>
      </c>
      <c r="CH10">
        <v>22480</v>
      </c>
      <c r="CI10">
        <v>22480</v>
      </c>
      <c r="CJ10">
        <v>22480</v>
      </c>
      <c r="CK10">
        <v>22480</v>
      </c>
      <c r="CL10">
        <v>22480</v>
      </c>
      <c r="CM10">
        <v>22480</v>
      </c>
      <c r="CN10">
        <v>22480</v>
      </c>
      <c r="CO10">
        <v>22480</v>
      </c>
      <c r="CP10">
        <v>22480</v>
      </c>
      <c r="CQ10">
        <v>22480</v>
      </c>
      <c r="CR10">
        <v>22480</v>
      </c>
      <c r="CS10">
        <v>22480</v>
      </c>
    </row>
    <row r="11" spans="1:97">
      <c r="A11" s="8">
        <v>46244</v>
      </c>
      <c r="B11">
        <v>22480</v>
      </c>
      <c r="C11">
        <v>22480</v>
      </c>
      <c r="D11">
        <v>22480</v>
      </c>
      <c r="E11">
        <v>22480</v>
      </c>
      <c r="F11">
        <v>22480</v>
      </c>
      <c r="G11">
        <v>22480</v>
      </c>
      <c r="H11">
        <v>22480</v>
      </c>
      <c r="I11">
        <v>22480</v>
      </c>
      <c r="J11">
        <v>22480</v>
      </c>
      <c r="K11">
        <v>22480</v>
      </c>
      <c r="L11">
        <v>21880</v>
      </c>
      <c r="M11">
        <v>21880</v>
      </c>
      <c r="N11">
        <v>21880</v>
      </c>
      <c r="O11">
        <v>21880</v>
      </c>
      <c r="P11">
        <v>21880</v>
      </c>
      <c r="Q11">
        <v>21880</v>
      </c>
      <c r="R11">
        <v>21880</v>
      </c>
      <c r="S11">
        <v>21880</v>
      </c>
      <c r="T11">
        <v>21880</v>
      </c>
      <c r="U11">
        <v>21880</v>
      </c>
      <c r="V11">
        <v>21880</v>
      </c>
      <c r="W11">
        <v>21880</v>
      </c>
      <c r="X11">
        <v>22230</v>
      </c>
      <c r="Y11">
        <v>22230</v>
      </c>
      <c r="Z11">
        <v>22230</v>
      </c>
      <c r="AA11">
        <v>22230</v>
      </c>
      <c r="AB11">
        <v>22230</v>
      </c>
      <c r="AC11">
        <v>22230</v>
      </c>
      <c r="AD11">
        <v>22230</v>
      </c>
      <c r="AE11">
        <v>22230</v>
      </c>
      <c r="AF11">
        <v>22230</v>
      </c>
      <c r="AG11">
        <v>22230</v>
      </c>
      <c r="AH11">
        <v>22230</v>
      </c>
      <c r="AI11">
        <v>22230</v>
      </c>
      <c r="AJ11">
        <v>22230</v>
      </c>
      <c r="AK11">
        <v>22230</v>
      </c>
      <c r="AL11">
        <v>22230</v>
      </c>
      <c r="AM11">
        <v>22230</v>
      </c>
      <c r="AN11">
        <v>22230</v>
      </c>
      <c r="AO11">
        <v>22230</v>
      </c>
      <c r="AP11">
        <v>22230</v>
      </c>
      <c r="AQ11">
        <v>22230</v>
      </c>
      <c r="AR11">
        <v>22230</v>
      </c>
      <c r="AS11">
        <v>22230</v>
      </c>
      <c r="AT11">
        <v>22230</v>
      </c>
      <c r="AU11">
        <v>22230</v>
      </c>
      <c r="AV11">
        <v>22230</v>
      </c>
      <c r="AW11">
        <v>22230</v>
      </c>
      <c r="AX11">
        <v>21880</v>
      </c>
      <c r="AY11">
        <v>21880</v>
      </c>
      <c r="AZ11">
        <v>21880</v>
      </c>
      <c r="BA11">
        <v>21880</v>
      </c>
      <c r="BB11">
        <v>21880</v>
      </c>
      <c r="BC11">
        <v>21880</v>
      </c>
      <c r="BD11">
        <v>21880</v>
      </c>
      <c r="BE11">
        <v>21880</v>
      </c>
      <c r="BF11">
        <v>21880</v>
      </c>
      <c r="BG11">
        <v>21880</v>
      </c>
      <c r="BH11">
        <v>21880</v>
      </c>
      <c r="BI11">
        <v>21880</v>
      </c>
      <c r="BJ11">
        <v>21880</v>
      </c>
      <c r="BK11">
        <v>21880</v>
      </c>
      <c r="BL11">
        <v>21880</v>
      </c>
      <c r="BM11">
        <v>21880</v>
      </c>
      <c r="BN11">
        <v>21880</v>
      </c>
      <c r="BO11">
        <v>21880</v>
      </c>
      <c r="BP11">
        <v>21880</v>
      </c>
      <c r="BQ11">
        <v>21880</v>
      </c>
      <c r="BR11">
        <v>21880</v>
      </c>
      <c r="BS11">
        <v>21880</v>
      </c>
      <c r="BT11">
        <v>21880</v>
      </c>
      <c r="BU11">
        <v>21880</v>
      </c>
      <c r="BV11">
        <v>21880</v>
      </c>
      <c r="BW11">
        <v>21880</v>
      </c>
      <c r="BX11">
        <v>21880</v>
      </c>
      <c r="BY11">
        <v>21880</v>
      </c>
      <c r="BZ11">
        <v>21880</v>
      </c>
      <c r="CA11">
        <v>21880</v>
      </c>
      <c r="CB11">
        <v>21880</v>
      </c>
      <c r="CC11">
        <v>21880</v>
      </c>
      <c r="CD11">
        <v>21880</v>
      </c>
      <c r="CE11">
        <v>21880</v>
      </c>
      <c r="CF11">
        <v>21880</v>
      </c>
      <c r="CG11">
        <v>21880</v>
      </c>
      <c r="CH11">
        <v>21880</v>
      </c>
      <c r="CI11">
        <v>21880</v>
      </c>
      <c r="CJ11">
        <v>21880</v>
      </c>
      <c r="CK11">
        <v>21880</v>
      </c>
      <c r="CL11">
        <v>21880</v>
      </c>
      <c r="CM11">
        <v>21880</v>
      </c>
      <c r="CN11">
        <v>21880</v>
      </c>
      <c r="CO11">
        <v>21880</v>
      </c>
      <c r="CP11">
        <v>21880</v>
      </c>
      <c r="CQ11">
        <v>21880</v>
      </c>
      <c r="CR11">
        <v>21880</v>
      </c>
      <c r="CS11">
        <v>21880</v>
      </c>
    </row>
    <row r="12" spans="1:97">
      <c r="A12" s="8">
        <v>46245</v>
      </c>
      <c r="B12">
        <v>21880</v>
      </c>
      <c r="C12">
        <v>21880</v>
      </c>
      <c r="D12">
        <v>21880</v>
      </c>
      <c r="E12">
        <v>21880</v>
      </c>
      <c r="F12">
        <v>21880</v>
      </c>
      <c r="G12">
        <v>21880</v>
      </c>
      <c r="H12">
        <v>21880</v>
      </c>
      <c r="I12">
        <v>21880</v>
      </c>
      <c r="J12">
        <v>21880</v>
      </c>
      <c r="K12">
        <v>21880</v>
      </c>
      <c r="L12">
        <v>21880</v>
      </c>
      <c r="M12">
        <v>21880</v>
      </c>
      <c r="N12">
        <v>21880</v>
      </c>
      <c r="O12">
        <v>21880</v>
      </c>
      <c r="P12">
        <v>21880</v>
      </c>
      <c r="Q12">
        <v>21880</v>
      </c>
      <c r="R12">
        <v>21880</v>
      </c>
      <c r="S12">
        <v>21880</v>
      </c>
      <c r="T12">
        <v>21880</v>
      </c>
      <c r="U12">
        <v>21880</v>
      </c>
      <c r="V12">
        <v>21880</v>
      </c>
      <c r="W12">
        <v>21880</v>
      </c>
      <c r="X12">
        <v>21880</v>
      </c>
      <c r="Y12">
        <v>21880</v>
      </c>
      <c r="Z12">
        <v>21880</v>
      </c>
      <c r="AA12">
        <v>21880</v>
      </c>
      <c r="AB12">
        <v>21880</v>
      </c>
      <c r="AC12">
        <v>21880</v>
      </c>
      <c r="AD12">
        <v>21880</v>
      </c>
      <c r="AE12">
        <v>21880</v>
      </c>
      <c r="AF12">
        <v>21880</v>
      </c>
      <c r="AG12">
        <v>21880</v>
      </c>
      <c r="AH12">
        <v>21880</v>
      </c>
      <c r="AI12">
        <v>21880</v>
      </c>
      <c r="AJ12">
        <v>21880</v>
      </c>
      <c r="AK12">
        <v>21880</v>
      </c>
      <c r="AL12">
        <v>21880</v>
      </c>
      <c r="AM12">
        <v>21880</v>
      </c>
      <c r="AN12">
        <v>21880</v>
      </c>
      <c r="AO12">
        <v>21880</v>
      </c>
      <c r="AP12">
        <v>21880</v>
      </c>
      <c r="AQ12">
        <v>21880</v>
      </c>
      <c r="AR12">
        <v>21880</v>
      </c>
      <c r="AS12">
        <v>21880</v>
      </c>
      <c r="AT12">
        <v>21880</v>
      </c>
      <c r="AU12">
        <v>21880</v>
      </c>
      <c r="AV12">
        <v>21880</v>
      </c>
      <c r="AW12">
        <v>21880</v>
      </c>
      <c r="AX12">
        <v>21880</v>
      </c>
      <c r="AY12">
        <v>21880</v>
      </c>
      <c r="AZ12">
        <v>21880</v>
      </c>
      <c r="BA12">
        <v>21880</v>
      </c>
      <c r="BB12">
        <v>21880</v>
      </c>
      <c r="BC12">
        <v>21880</v>
      </c>
      <c r="BD12">
        <v>21880</v>
      </c>
      <c r="BE12">
        <v>21880</v>
      </c>
      <c r="BF12">
        <v>21880</v>
      </c>
      <c r="BG12">
        <v>22760</v>
      </c>
      <c r="BH12">
        <v>22760</v>
      </c>
      <c r="BI12">
        <v>22760</v>
      </c>
      <c r="BJ12">
        <v>22760</v>
      </c>
      <c r="BK12">
        <v>22760</v>
      </c>
      <c r="BL12">
        <v>22760</v>
      </c>
      <c r="BM12">
        <v>22760</v>
      </c>
      <c r="BN12">
        <v>22760</v>
      </c>
      <c r="BO12">
        <v>22760</v>
      </c>
      <c r="BP12">
        <v>22760</v>
      </c>
      <c r="BQ12">
        <v>22760</v>
      </c>
      <c r="BR12">
        <v>22760</v>
      </c>
      <c r="BS12">
        <v>22760</v>
      </c>
      <c r="BT12">
        <v>22760</v>
      </c>
      <c r="BU12">
        <v>22895</v>
      </c>
      <c r="BV12">
        <v>22895</v>
      </c>
      <c r="BW12">
        <v>22895</v>
      </c>
      <c r="BX12">
        <v>22895</v>
      </c>
      <c r="BY12">
        <v>22895</v>
      </c>
      <c r="BZ12">
        <v>22895</v>
      </c>
      <c r="CA12">
        <v>23195</v>
      </c>
      <c r="CB12">
        <v>23195</v>
      </c>
      <c r="CC12">
        <v>23195</v>
      </c>
      <c r="CD12">
        <v>23545</v>
      </c>
      <c r="CE12">
        <v>23545</v>
      </c>
      <c r="CF12">
        <v>23545</v>
      </c>
      <c r="CG12">
        <v>23545</v>
      </c>
      <c r="CH12">
        <v>23545</v>
      </c>
      <c r="CI12">
        <v>23545</v>
      </c>
      <c r="CJ12">
        <v>23545</v>
      </c>
      <c r="CK12">
        <v>23545</v>
      </c>
      <c r="CL12">
        <v>23545</v>
      </c>
      <c r="CM12">
        <v>23545</v>
      </c>
      <c r="CN12">
        <v>23245</v>
      </c>
      <c r="CO12">
        <v>23245</v>
      </c>
      <c r="CP12">
        <v>23245</v>
      </c>
      <c r="CQ12">
        <v>23245</v>
      </c>
      <c r="CR12">
        <v>23245</v>
      </c>
      <c r="CS12">
        <v>23245</v>
      </c>
    </row>
    <row r="13" spans="1:97">
      <c r="A13" s="8">
        <v>46246</v>
      </c>
      <c r="B13">
        <v>23245</v>
      </c>
      <c r="C13">
        <v>23245</v>
      </c>
      <c r="D13">
        <v>23595</v>
      </c>
      <c r="E13">
        <v>23595</v>
      </c>
      <c r="F13">
        <v>23595</v>
      </c>
      <c r="G13">
        <v>23595</v>
      </c>
      <c r="H13">
        <v>23595</v>
      </c>
      <c r="I13">
        <v>23595</v>
      </c>
      <c r="J13">
        <v>23595</v>
      </c>
      <c r="K13">
        <v>23595</v>
      </c>
      <c r="L13">
        <v>23595</v>
      </c>
      <c r="M13">
        <v>23595</v>
      </c>
      <c r="N13">
        <v>23595</v>
      </c>
      <c r="O13">
        <v>23595</v>
      </c>
      <c r="P13">
        <v>23595</v>
      </c>
      <c r="Q13">
        <v>23595</v>
      </c>
      <c r="R13">
        <v>23595</v>
      </c>
      <c r="S13">
        <v>23945</v>
      </c>
      <c r="T13">
        <v>23945</v>
      </c>
      <c r="U13">
        <v>23945</v>
      </c>
      <c r="V13">
        <v>23945</v>
      </c>
      <c r="W13">
        <v>23945</v>
      </c>
      <c r="X13">
        <v>23945</v>
      </c>
      <c r="Y13">
        <v>23945</v>
      </c>
      <c r="Z13">
        <v>23945</v>
      </c>
      <c r="AA13">
        <v>23945</v>
      </c>
      <c r="AB13">
        <v>23945</v>
      </c>
      <c r="AC13">
        <v>23945</v>
      </c>
      <c r="AD13">
        <v>24080</v>
      </c>
      <c r="AE13">
        <v>24080</v>
      </c>
      <c r="AF13">
        <v>24080</v>
      </c>
      <c r="AG13">
        <v>24080</v>
      </c>
      <c r="AH13">
        <v>24080</v>
      </c>
      <c r="AI13">
        <v>24080</v>
      </c>
      <c r="AJ13">
        <v>24080</v>
      </c>
      <c r="AK13">
        <v>24080</v>
      </c>
      <c r="AL13">
        <v>24080</v>
      </c>
      <c r="AM13">
        <v>24080</v>
      </c>
      <c r="AN13">
        <v>24080</v>
      </c>
      <c r="AO13">
        <v>24080</v>
      </c>
      <c r="AP13">
        <v>24080</v>
      </c>
      <c r="AQ13">
        <v>24080</v>
      </c>
      <c r="AR13">
        <v>24080</v>
      </c>
      <c r="AS13">
        <v>24080</v>
      </c>
      <c r="AT13">
        <v>24080</v>
      </c>
      <c r="AU13">
        <v>24080</v>
      </c>
      <c r="AV13">
        <v>24080</v>
      </c>
      <c r="AW13">
        <v>24080</v>
      </c>
      <c r="AX13">
        <v>24410</v>
      </c>
      <c r="AY13">
        <v>24560</v>
      </c>
      <c r="AZ13">
        <v>24560</v>
      </c>
      <c r="BA13">
        <v>24910</v>
      </c>
      <c r="BB13">
        <v>24910</v>
      </c>
      <c r="BC13">
        <v>25710</v>
      </c>
      <c r="BD13">
        <v>26010</v>
      </c>
      <c r="BE13">
        <v>26010</v>
      </c>
      <c r="BF13">
        <v>26310</v>
      </c>
      <c r="BG13">
        <v>26445</v>
      </c>
      <c r="BH13">
        <v>26445</v>
      </c>
      <c r="BI13">
        <v>26445</v>
      </c>
      <c r="BJ13">
        <v>26445</v>
      </c>
      <c r="BK13">
        <v>26745</v>
      </c>
      <c r="BL13">
        <v>26745</v>
      </c>
      <c r="BM13">
        <v>26745</v>
      </c>
      <c r="BN13">
        <v>26745</v>
      </c>
      <c r="BO13">
        <v>26745</v>
      </c>
      <c r="BP13">
        <v>26745</v>
      </c>
      <c r="BQ13">
        <v>26745</v>
      </c>
      <c r="BR13">
        <v>26745</v>
      </c>
      <c r="BS13">
        <v>26745</v>
      </c>
      <c r="BT13">
        <v>26745</v>
      </c>
      <c r="BU13">
        <v>26745</v>
      </c>
      <c r="BV13">
        <v>26745</v>
      </c>
      <c r="BW13">
        <v>26645</v>
      </c>
      <c r="BX13">
        <v>26645</v>
      </c>
      <c r="BY13">
        <v>26645</v>
      </c>
      <c r="BZ13">
        <v>26645</v>
      </c>
      <c r="CA13">
        <v>26645</v>
      </c>
      <c r="CB13">
        <v>26645</v>
      </c>
      <c r="CC13">
        <v>26945</v>
      </c>
      <c r="CD13">
        <v>26945</v>
      </c>
      <c r="CE13">
        <v>26945</v>
      </c>
      <c r="CF13">
        <v>26945</v>
      </c>
      <c r="CG13">
        <v>26945</v>
      </c>
      <c r="CH13">
        <v>26945</v>
      </c>
      <c r="CI13">
        <v>26945</v>
      </c>
      <c r="CJ13">
        <v>26945</v>
      </c>
      <c r="CK13">
        <v>26945</v>
      </c>
      <c r="CL13">
        <v>26945</v>
      </c>
      <c r="CM13">
        <v>26945</v>
      </c>
      <c r="CN13">
        <v>26945</v>
      </c>
      <c r="CO13">
        <v>26945</v>
      </c>
      <c r="CP13">
        <v>26945</v>
      </c>
      <c r="CQ13">
        <v>26945</v>
      </c>
      <c r="CR13">
        <v>26945</v>
      </c>
      <c r="CS13">
        <v>26945</v>
      </c>
    </row>
    <row r="14" spans="1:97">
      <c r="A14" s="8">
        <v>46247</v>
      </c>
      <c r="B14">
        <v>26945</v>
      </c>
      <c r="C14">
        <v>26945</v>
      </c>
      <c r="D14">
        <v>26945</v>
      </c>
      <c r="E14">
        <v>26945</v>
      </c>
      <c r="F14">
        <v>26945</v>
      </c>
      <c r="G14">
        <v>26945</v>
      </c>
      <c r="H14">
        <v>26945</v>
      </c>
      <c r="I14">
        <v>26945</v>
      </c>
      <c r="J14">
        <v>26945</v>
      </c>
      <c r="K14">
        <v>26945</v>
      </c>
      <c r="L14">
        <v>26945</v>
      </c>
      <c r="M14">
        <v>26945</v>
      </c>
      <c r="N14">
        <v>26945</v>
      </c>
      <c r="O14">
        <v>26945</v>
      </c>
      <c r="P14">
        <v>26945</v>
      </c>
      <c r="Q14">
        <v>26945</v>
      </c>
      <c r="R14">
        <v>26945</v>
      </c>
      <c r="S14">
        <v>26945</v>
      </c>
      <c r="T14">
        <v>26945</v>
      </c>
      <c r="U14">
        <v>26945</v>
      </c>
      <c r="V14">
        <v>26945</v>
      </c>
      <c r="W14">
        <v>26945</v>
      </c>
      <c r="X14">
        <v>26945</v>
      </c>
      <c r="Y14">
        <v>26945</v>
      </c>
      <c r="Z14">
        <v>26945</v>
      </c>
      <c r="AA14">
        <v>26945</v>
      </c>
      <c r="AB14">
        <v>26945</v>
      </c>
      <c r="AC14">
        <v>26945</v>
      </c>
      <c r="AD14">
        <v>26945</v>
      </c>
      <c r="AE14">
        <v>26945</v>
      </c>
      <c r="AF14">
        <v>26945</v>
      </c>
      <c r="AG14">
        <v>26945</v>
      </c>
      <c r="AH14">
        <v>26945</v>
      </c>
      <c r="AI14">
        <v>26945</v>
      </c>
      <c r="AJ14">
        <v>26945</v>
      </c>
      <c r="AK14">
        <v>26945</v>
      </c>
      <c r="AL14">
        <v>26945</v>
      </c>
      <c r="AM14">
        <v>26945</v>
      </c>
      <c r="AN14">
        <v>26945</v>
      </c>
      <c r="AO14">
        <v>26945</v>
      </c>
      <c r="AP14">
        <v>26945</v>
      </c>
      <c r="AQ14">
        <v>26945</v>
      </c>
      <c r="AR14">
        <v>26945</v>
      </c>
      <c r="AS14">
        <v>26945</v>
      </c>
      <c r="AT14">
        <v>26945</v>
      </c>
      <c r="AU14">
        <v>26945</v>
      </c>
      <c r="AV14">
        <v>26945</v>
      </c>
      <c r="AW14">
        <v>26945</v>
      </c>
      <c r="AX14">
        <v>26945</v>
      </c>
      <c r="AY14">
        <v>26945</v>
      </c>
      <c r="AZ14">
        <v>26945</v>
      </c>
      <c r="BA14">
        <v>26945</v>
      </c>
      <c r="BB14">
        <v>26945</v>
      </c>
      <c r="BC14">
        <v>26945</v>
      </c>
      <c r="BD14">
        <v>26945</v>
      </c>
      <c r="BE14">
        <v>26945</v>
      </c>
      <c r="BF14">
        <v>26945</v>
      </c>
      <c r="BG14">
        <v>26945</v>
      </c>
      <c r="BH14">
        <v>26945</v>
      </c>
      <c r="BI14">
        <v>26945</v>
      </c>
      <c r="BJ14">
        <v>26945</v>
      </c>
      <c r="BK14">
        <v>26945</v>
      </c>
      <c r="BL14">
        <v>26945</v>
      </c>
      <c r="BM14">
        <v>26945</v>
      </c>
      <c r="BN14">
        <v>26945</v>
      </c>
      <c r="BO14">
        <v>26945</v>
      </c>
      <c r="BP14">
        <v>26945</v>
      </c>
      <c r="BQ14">
        <v>26945</v>
      </c>
      <c r="BR14">
        <v>26945</v>
      </c>
      <c r="BS14">
        <v>26945</v>
      </c>
      <c r="BT14">
        <v>26945</v>
      </c>
      <c r="BU14">
        <v>26945</v>
      </c>
      <c r="BV14">
        <v>26945</v>
      </c>
      <c r="BW14">
        <v>26945</v>
      </c>
      <c r="BX14">
        <v>26945</v>
      </c>
      <c r="BY14">
        <v>26945</v>
      </c>
      <c r="BZ14">
        <v>26945</v>
      </c>
      <c r="CA14">
        <v>26945</v>
      </c>
      <c r="CB14">
        <v>26945</v>
      </c>
      <c r="CC14">
        <v>26945</v>
      </c>
      <c r="CD14">
        <v>26945</v>
      </c>
      <c r="CE14">
        <v>26945</v>
      </c>
      <c r="CF14">
        <v>26945</v>
      </c>
      <c r="CG14">
        <v>26945</v>
      </c>
      <c r="CH14">
        <v>26945</v>
      </c>
      <c r="CI14">
        <v>26945</v>
      </c>
      <c r="CJ14">
        <v>26945</v>
      </c>
      <c r="CK14">
        <v>26125</v>
      </c>
      <c r="CL14">
        <v>26125</v>
      </c>
      <c r="CM14">
        <v>26125</v>
      </c>
      <c r="CN14">
        <v>26125</v>
      </c>
      <c r="CO14">
        <v>25990</v>
      </c>
      <c r="CP14">
        <v>25440</v>
      </c>
      <c r="CQ14">
        <v>25290</v>
      </c>
      <c r="CR14">
        <v>24990</v>
      </c>
      <c r="CS14">
        <v>24990</v>
      </c>
    </row>
    <row r="15" spans="1:97">
      <c r="A15" s="8">
        <v>46248</v>
      </c>
      <c r="B15">
        <v>24990</v>
      </c>
      <c r="C15">
        <v>24690</v>
      </c>
      <c r="D15">
        <v>24340</v>
      </c>
      <c r="E15">
        <v>23460</v>
      </c>
      <c r="F15">
        <v>23460</v>
      </c>
      <c r="G15">
        <v>23460</v>
      </c>
      <c r="H15">
        <v>23460</v>
      </c>
      <c r="I15">
        <v>23460</v>
      </c>
      <c r="J15">
        <v>23460</v>
      </c>
      <c r="K15">
        <v>23460</v>
      </c>
      <c r="L15">
        <v>23460</v>
      </c>
      <c r="M15">
        <v>23460</v>
      </c>
      <c r="N15">
        <v>23460</v>
      </c>
      <c r="O15">
        <v>23460</v>
      </c>
      <c r="P15">
        <v>23460</v>
      </c>
      <c r="Q15">
        <v>23460</v>
      </c>
      <c r="R15">
        <v>23460</v>
      </c>
      <c r="S15">
        <v>23460</v>
      </c>
      <c r="T15">
        <v>23460</v>
      </c>
      <c r="U15">
        <v>23460</v>
      </c>
      <c r="V15">
        <v>23460</v>
      </c>
      <c r="W15">
        <v>23460</v>
      </c>
      <c r="X15">
        <v>23460</v>
      </c>
      <c r="Y15">
        <v>23460</v>
      </c>
      <c r="Z15">
        <v>23460</v>
      </c>
      <c r="AA15">
        <v>23460</v>
      </c>
      <c r="AB15">
        <v>23460</v>
      </c>
      <c r="AC15">
        <v>23460</v>
      </c>
      <c r="AD15">
        <v>23460</v>
      </c>
      <c r="AE15">
        <v>23460</v>
      </c>
      <c r="AF15">
        <v>23460</v>
      </c>
      <c r="AG15">
        <v>23460</v>
      </c>
      <c r="AH15">
        <v>23460</v>
      </c>
      <c r="AI15">
        <v>23460</v>
      </c>
      <c r="AJ15">
        <v>23460</v>
      </c>
      <c r="AK15">
        <v>23460</v>
      </c>
      <c r="AL15">
        <v>23460</v>
      </c>
      <c r="AM15">
        <v>23460</v>
      </c>
      <c r="AN15">
        <v>23460</v>
      </c>
      <c r="AO15">
        <v>23460</v>
      </c>
      <c r="AP15">
        <v>23460</v>
      </c>
      <c r="AQ15">
        <v>23460</v>
      </c>
      <c r="AR15">
        <v>23460</v>
      </c>
      <c r="AS15">
        <v>23460</v>
      </c>
      <c r="AT15">
        <v>23460</v>
      </c>
      <c r="AU15">
        <v>23460</v>
      </c>
      <c r="AV15">
        <v>23460</v>
      </c>
      <c r="AW15">
        <v>23460</v>
      </c>
      <c r="AX15">
        <v>23460</v>
      </c>
      <c r="AY15">
        <v>23460</v>
      </c>
      <c r="AZ15">
        <v>23460</v>
      </c>
      <c r="BA15">
        <v>23460</v>
      </c>
      <c r="BB15">
        <v>23460</v>
      </c>
      <c r="BC15">
        <v>23460</v>
      </c>
      <c r="BD15">
        <v>23460</v>
      </c>
      <c r="BE15">
        <v>23460</v>
      </c>
      <c r="BF15">
        <v>23460</v>
      </c>
      <c r="BG15">
        <v>23460</v>
      </c>
      <c r="BH15">
        <v>23460</v>
      </c>
      <c r="BI15">
        <v>23460</v>
      </c>
      <c r="BJ15">
        <v>23460</v>
      </c>
      <c r="BK15">
        <v>23460</v>
      </c>
      <c r="BL15">
        <v>23460</v>
      </c>
      <c r="BM15">
        <v>23460</v>
      </c>
      <c r="BN15">
        <v>23460</v>
      </c>
      <c r="BO15">
        <v>23460</v>
      </c>
      <c r="BP15">
        <v>23460</v>
      </c>
      <c r="BQ15">
        <v>23460</v>
      </c>
      <c r="BR15">
        <v>23460</v>
      </c>
      <c r="BS15">
        <v>23460</v>
      </c>
      <c r="BT15">
        <v>23460</v>
      </c>
      <c r="BU15">
        <v>23460</v>
      </c>
      <c r="BV15">
        <v>23460</v>
      </c>
      <c r="BW15">
        <v>23460</v>
      </c>
      <c r="BX15">
        <v>23460</v>
      </c>
      <c r="BY15">
        <v>23460</v>
      </c>
      <c r="BZ15">
        <v>23460</v>
      </c>
      <c r="CA15">
        <v>23460</v>
      </c>
      <c r="CB15">
        <v>23460</v>
      </c>
      <c r="CC15">
        <v>23460</v>
      </c>
      <c r="CD15">
        <v>23460</v>
      </c>
      <c r="CE15">
        <v>23460</v>
      </c>
      <c r="CF15">
        <v>23460</v>
      </c>
      <c r="CG15">
        <v>23460</v>
      </c>
      <c r="CH15">
        <v>23460</v>
      </c>
      <c r="CI15">
        <v>23460</v>
      </c>
      <c r="CJ15">
        <v>23460</v>
      </c>
      <c r="CK15">
        <v>23460</v>
      </c>
      <c r="CL15">
        <v>23460</v>
      </c>
      <c r="CM15">
        <v>23460</v>
      </c>
      <c r="CN15">
        <v>23460</v>
      </c>
      <c r="CO15">
        <v>23460</v>
      </c>
      <c r="CP15">
        <v>23260</v>
      </c>
      <c r="CQ15">
        <v>23260</v>
      </c>
      <c r="CR15">
        <v>23260</v>
      </c>
      <c r="CS15">
        <v>23260</v>
      </c>
    </row>
    <row r="16" spans="1:97">
      <c r="A16" s="8">
        <v>46249</v>
      </c>
      <c r="B16">
        <v>23260</v>
      </c>
      <c r="C16">
        <v>23260</v>
      </c>
      <c r="D16">
        <v>23260</v>
      </c>
      <c r="E16">
        <v>23260</v>
      </c>
      <c r="F16">
        <v>23260</v>
      </c>
      <c r="G16">
        <v>23260</v>
      </c>
      <c r="H16">
        <v>23260</v>
      </c>
      <c r="I16">
        <v>23260</v>
      </c>
      <c r="J16">
        <v>23260</v>
      </c>
      <c r="K16">
        <v>23260</v>
      </c>
      <c r="L16">
        <v>23260</v>
      </c>
      <c r="M16">
        <v>23260</v>
      </c>
      <c r="N16">
        <v>23260</v>
      </c>
      <c r="O16">
        <v>23260</v>
      </c>
      <c r="P16">
        <v>23260</v>
      </c>
      <c r="Q16">
        <v>23260</v>
      </c>
      <c r="R16">
        <v>23260</v>
      </c>
      <c r="S16">
        <v>23260</v>
      </c>
      <c r="T16">
        <v>23260</v>
      </c>
      <c r="U16">
        <v>23260</v>
      </c>
      <c r="V16">
        <v>23260</v>
      </c>
      <c r="W16">
        <v>23260</v>
      </c>
      <c r="X16">
        <v>23260</v>
      </c>
      <c r="Y16">
        <v>23260</v>
      </c>
      <c r="Z16">
        <v>23260</v>
      </c>
      <c r="AA16">
        <v>23260</v>
      </c>
      <c r="AB16">
        <v>23260</v>
      </c>
      <c r="AC16">
        <v>23260</v>
      </c>
      <c r="AD16">
        <v>23260</v>
      </c>
      <c r="AE16">
        <v>23260</v>
      </c>
      <c r="AF16">
        <v>23260</v>
      </c>
      <c r="AG16">
        <v>23260</v>
      </c>
      <c r="AH16">
        <v>23260</v>
      </c>
      <c r="AI16">
        <v>23260</v>
      </c>
      <c r="AJ16">
        <v>23260</v>
      </c>
      <c r="AK16">
        <v>23260</v>
      </c>
      <c r="AL16">
        <v>23260</v>
      </c>
      <c r="AM16">
        <v>23260</v>
      </c>
      <c r="AN16">
        <v>23260</v>
      </c>
      <c r="AO16">
        <v>23260</v>
      </c>
      <c r="AP16">
        <v>23260</v>
      </c>
      <c r="AQ16">
        <v>23260</v>
      </c>
      <c r="AR16">
        <v>23260</v>
      </c>
      <c r="AS16">
        <v>23260</v>
      </c>
      <c r="AT16">
        <v>23260</v>
      </c>
      <c r="AU16">
        <v>23260</v>
      </c>
      <c r="AV16">
        <v>23260</v>
      </c>
      <c r="AW16">
        <v>23260</v>
      </c>
      <c r="AX16">
        <v>23260</v>
      </c>
      <c r="AY16">
        <v>23260</v>
      </c>
      <c r="AZ16">
        <v>23260</v>
      </c>
      <c r="BA16">
        <v>23260</v>
      </c>
      <c r="BB16">
        <v>23260</v>
      </c>
      <c r="BC16">
        <v>23260</v>
      </c>
      <c r="BD16">
        <v>23260</v>
      </c>
      <c r="BE16">
        <v>23260</v>
      </c>
      <c r="BF16">
        <v>23260</v>
      </c>
      <c r="BG16">
        <v>23260</v>
      </c>
      <c r="BH16">
        <v>23260</v>
      </c>
      <c r="BI16">
        <v>23260</v>
      </c>
      <c r="BJ16">
        <v>23260</v>
      </c>
      <c r="BK16">
        <v>23260</v>
      </c>
      <c r="BL16">
        <v>23260</v>
      </c>
      <c r="BM16">
        <v>23260</v>
      </c>
      <c r="BN16">
        <v>23260</v>
      </c>
      <c r="BO16">
        <v>23260</v>
      </c>
      <c r="BP16">
        <v>23260</v>
      </c>
      <c r="BQ16">
        <v>23260</v>
      </c>
      <c r="BR16">
        <v>23260</v>
      </c>
      <c r="BS16">
        <v>23260</v>
      </c>
      <c r="BT16">
        <v>23260</v>
      </c>
      <c r="BU16">
        <v>23260</v>
      </c>
      <c r="BV16">
        <v>23260</v>
      </c>
      <c r="BW16">
        <v>23260</v>
      </c>
      <c r="BX16">
        <v>23260</v>
      </c>
      <c r="BY16">
        <v>23260</v>
      </c>
      <c r="BZ16">
        <v>23260</v>
      </c>
      <c r="CA16">
        <v>23610</v>
      </c>
      <c r="CB16">
        <v>23610</v>
      </c>
      <c r="CC16">
        <v>23610</v>
      </c>
      <c r="CD16">
        <v>23610</v>
      </c>
      <c r="CE16">
        <v>23610</v>
      </c>
      <c r="CF16">
        <v>23610</v>
      </c>
      <c r="CG16">
        <v>23610</v>
      </c>
      <c r="CH16">
        <v>23610</v>
      </c>
      <c r="CI16">
        <v>23610</v>
      </c>
      <c r="CJ16">
        <v>23610</v>
      </c>
      <c r="CK16">
        <v>23610</v>
      </c>
      <c r="CL16">
        <v>23610</v>
      </c>
      <c r="CM16">
        <v>23610</v>
      </c>
      <c r="CN16">
        <v>23610</v>
      </c>
      <c r="CO16">
        <v>23610</v>
      </c>
      <c r="CP16">
        <v>23610</v>
      </c>
      <c r="CQ16">
        <v>23610</v>
      </c>
      <c r="CR16">
        <v>23610</v>
      </c>
      <c r="CS16">
        <v>23610</v>
      </c>
    </row>
    <row r="17" spans="1:97">
      <c r="A17" s="8">
        <v>46250</v>
      </c>
      <c r="B17">
        <v>24490</v>
      </c>
      <c r="C17">
        <v>24490</v>
      </c>
      <c r="D17">
        <v>24490</v>
      </c>
      <c r="E17">
        <v>24490</v>
      </c>
      <c r="F17">
        <v>24490</v>
      </c>
      <c r="G17">
        <v>24490</v>
      </c>
      <c r="H17">
        <v>24490</v>
      </c>
      <c r="I17">
        <v>24490</v>
      </c>
      <c r="J17">
        <v>24490</v>
      </c>
      <c r="K17">
        <v>24490</v>
      </c>
      <c r="L17">
        <v>24490</v>
      </c>
      <c r="M17">
        <v>24490</v>
      </c>
      <c r="N17">
        <v>24490</v>
      </c>
      <c r="O17">
        <v>24490</v>
      </c>
      <c r="P17">
        <v>24490</v>
      </c>
      <c r="Q17">
        <v>24490</v>
      </c>
      <c r="R17">
        <v>24490</v>
      </c>
      <c r="S17">
        <v>24490</v>
      </c>
      <c r="T17">
        <v>24490</v>
      </c>
      <c r="U17">
        <v>24490</v>
      </c>
      <c r="V17">
        <v>24490</v>
      </c>
      <c r="W17">
        <v>24490</v>
      </c>
      <c r="X17">
        <v>24490</v>
      </c>
      <c r="Y17">
        <v>24490</v>
      </c>
      <c r="Z17">
        <v>24490</v>
      </c>
      <c r="AA17">
        <v>24490</v>
      </c>
      <c r="AB17">
        <v>24490</v>
      </c>
      <c r="AC17">
        <v>24490</v>
      </c>
      <c r="AD17">
        <v>24490</v>
      </c>
      <c r="AE17">
        <v>24490</v>
      </c>
      <c r="AF17">
        <v>24490</v>
      </c>
      <c r="AG17">
        <v>24490</v>
      </c>
      <c r="AH17">
        <v>24490</v>
      </c>
      <c r="AI17">
        <v>24490</v>
      </c>
      <c r="AJ17">
        <v>24490</v>
      </c>
      <c r="AK17">
        <v>24490</v>
      </c>
      <c r="AL17">
        <v>24490</v>
      </c>
      <c r="AM17">
        <v>24490</v>
      </c>
      <c r="AN17">
        <v>24490</v>
      </c>
      <c r="AO17">
        <v>24490</v>
      </c>
      <c r="AP17">
        <v>24490</v>
      </c>
      <c r="AQ17">
        <v>24490</v>
      </c>
      <c r="AR17">
        <v>24490</v>
      </c>
      <c r="AS17">
        <v>24490</v>
      </c>
      <c r="AT17">
        <v>24490</v>
      </c>
      <c r="AU17">
        <v>24490</v>
      </c>
      <c r="AV17">
        <v>24490</v>
      </c>
      <c r="AW17">
        <v>24490</v>
      </c>
      <c r="AX17">
        <v>24490</v>
      </c>
      <c r="AY17">
        <v>24490</v>
      </c>
      <c r="AZ17">
        <v>24490</v>
      </c>
      <c r="BA17">
        <v>24490</v>
      </c>
      <c r="BB17">
        <v>24490</v>
      </c>
      <c r="BC17">
        <v>24490</v>
      </c>
      <c r="BD17">
        <v>24490</v>
      </c>
      <c r="BE17">
        <v>24490</v>
      </c>
      <c r="BF17">
        <v>24490</v>
      </c>
      <c r="BG17">
        <v>24490</v>
      </c>
      <c r="BH17">
        <v>24490</v>
      </c>
      <c r="BI17">
        <v>24490</v>
      </c>
      <c r="BJ17">
        <v>24490</v>
      </c>
      <c r="BK17">
        <v>24490</v>
      </c>
      <c r="BL17">
        <v>24490</v>
      </c>
      <c r="BM17">
        <v>24490</v>
      </c>
      <c r="BN17">
        <v>24490</v>
      </c>
      <c r="BO17">
        <v>24490</v>
      </c>
      <c r="BP17">
        <v>24490</v>
      </c>
      <c r="BQ17">
        <v>24490</v>
      </c>
      <c r="BR17">
        <v>24490</v>
      </c>
      <c r="BS17">
        <v>24490</v>
      </c>
      <c r="BT17">
        <v>24490</v>
      </c>
      <c r="BU17">
        <v>24490</v>
      </c>
      <c r="BV17">
        <v>24490</v>
      </c>
      <c r="BW17">
        <v>24490</v>
      </c>
      <c r="BX17">
        <v>24490</v>
      </c>
      <c r="BY17">
        <v>24490</v>
      </c>
      <c r="BZ17">
        <v>24490</v>
      </c>
      <c r="CA17">
        <v>24490</v>
      </c>
      <c r="CB17">
        <v>24490</v>
      </c>
      <c r="CC17">
        <v>24490</v>
      </c>
      <c r="CD17">
        <v>24490</v>
      </c>
      <c r="CE17">
        <v>24490</v>
      </c>
      <c r="CF17">
        <v>24490</v>
      </c>
      <c r="CG17">
        <v>24490</v>
      </c>
      <c r="CH17">
        <v>24490</v>
      </c>
      <c r="CI17">
        <v>24490</v>
      </c>
      <c r="CJ17">
        <v>24490</v>
      </c>
      <c r="CK17">
        <v>24490</v>
      </c>
      <c r="CL17">
        <v>24490</v>
      </c>
      <c r="CM17">
        <v>24490</v>
      </c>
      <c r="CN17">
        <v>24490</v>
      </c>
      <c r="CO17">
        <v>24490</v>
      </c>
      <c r="CP17">
        <v>24490</v>
      </c>
      <c r="CQ17">
        <v>24490</v>
      </c>
      <c r="CR17">
        <v>24490</v>
      </c>
      <c r="CS17">
        <v>24490</v>
      </c>
    </row>
    <row r="18" spans="1:97">
      <c r="A18" s="8">
        <v>46251</v>
      </c>
      <c r="B18">
        <v>24490</v>
      </c>
      <c r="C18">
        <v>24490</v>
      </c>
      <c r="D18">
        <v>24490</v>
      </c>
      <c r="E18">
        <v>24490</v>
      </c>
      <c r="F18">
        <v>24490</v>
      </c>
      <c r="G18">
        <v>24490</v>
      </c>
      <c r="H18">
        <v>24490</v>
      </c>
      <c r="I18">
        <v>24490</v>
      </c>
      <c r="J18">
        <v>24490</v>
      </c>
      <c r="K18">
        <v>24490</v>
      </c>
      <c r="L18">
        <v>24490</v>
      </c>
      <c r="M18">
        <v>24490</v>
      </c>
      <c r="N18">
        <v>24490</v>
      </c>
      <c r="O18">
        <v>24490</v>
      </c>
      <c r="P18">
        <v>24490</v>
      </c>
      <c r="Q18">
        <v>24490</v>
      </c>
      <c r="R18">
        <v>24490</v>
      </c>
      <c r="S18">
        <v>24490</v>
      </c>
      <c r="T18">
        <v>24490</v>
      </c>
      <c r="U18">
        <v>24490</v>
      </c>
      <c r="V18">
        <v>24490</v>
      </c>
      <c r="W18">
        <v>24490</v>
      </c>
      <c r="X18">
        <v>24490</v>
      </c>
      <c r="Y18">
        <v>24490</v>
      </c>
      <c r="Z18">
        <v>24490</v>
      </c>
      <c r="AA18">
        <v>24490</v>
      </c>
      <c r="AB18">
        <v>24490</v>
      </c>
      <c r="AC18">
        <v>24490</v>
      </c>
      <c r="AD18">
        <v>24490</v>
      </c>
      <c r="AE18">
        <v>24490</v>
      </c>
      <c r="AF18">
        <v>24490</v>
      </c>
      <c r="AG18">
        <v>24490</v>
      </c>
      <c r="AH18">
        <v>24490</v>
      </c>
      <c r="AI18">
        <v>24490</v>
      </c>
      <c r="AJ18">
        <v>24490</v>
      </c>
      <c r="AK18">
        <v>24490</v>
      </c>
      <c r="AL18">
        <v>24490</v>
      </c>
      <c r="AM18">
        <v>24490</v>
      </c>
      <c r="AN18">
        <v>24490</v>
      </c>
      <c r="AO18">
        <v>24490</v>
      </c>
      <c r="AP18">
        <v>24490</v>
      </c>
      <c r="AQ18">
        <v>24490</v>
      </c>
      <c r="AR18">
        <v>24490</v>
      </c>
      <c r="AS18">
        <v>24490</v>
      </c>
      <c r="AT18">
        <v>24490</v>
      </c>
      <c r="AU18">
        <v>24490</v>
      </c>
      <c r="AV18">
        <v>24490</v>
      </c>
      <c r="AW18">
        <v>24490</v>
      </c>
      <c r="AX18">
        <v>24490</v>
      </c>
      <c r="AY18">
        <v>24490</v>
      </c>
      <c r="AZ18">
        <v>24490</v>
      </c>
      <c r="BA18">
        <v>24490</v>
      </c>
      <c r="BB18">
        <v>24490</v>
      </c>
      <c r="BC18">
        <v>24490</v>
      </c>
      <c r="BD18">
        <v>24490</v>
      </c>
      <c r="BE18">
        <v>24490</v>
      </c>
      <c r="BF18">
        <v>24490</v>
      </c>
      <c r="BG18">
        <v>24490</v>
      </c>
      <c r="BH18">
        <v>24490</v>
      </c>
      <c r="BI18">
        <v>24490</v>
      </c>
      <c r="BJ18">
        <v>24490</v>
      </c>
      <c r="BK18">
        <v>24490</v>
      </c>
      <c r="BL18">
        <v>24490</v>
      </c>
      <c r="BM18">
        <v>24490</v>
      </c>
      <c r="BN18">
        <v>24490</v>
      </c>
      <c r="BO18">
        <v>24490</v>
      </c>
      <c r="BP18">
        <v>24490</v>
      </c>
      <c r="BQ18">
        <v>24490</v>
      </c>
      <c r="BR18">
        <v>24490</v>
      </c>
      <c r="BS18">
        <v>24490</v>
      </c>
      <c r="BT18">
        <v>24820</v>
      </c>
      <c r="BU18">
        <v>24820</v>
      </c>
      <c r="BV18">
        <v>25120</v>
      </c>
      <c r="BW18">
        <v>25270</v>
      </c>
      <c r="BX18">
        <v>25620</v>
      </c>
      <c r="BY18">
        <v>25620</v>
      </c>
      <c r="BZ18">
        <v>25620</v>
      </c>
      <c r="CA18">
        <v>25620</v>
      </c>
      <c r="CB18">
        <v>25620</v>
      </c>
      <c r="CC18">
        <v>25920</v>
      </c>
      <c r="CD18">
        <v>25920</v>
      </c>
      <c r="CE18">
        <v>25920</v>
      </c>
      <c r="CF18">
        <v>25920</v>
      </c>
      <c r="CG18">
        <v>26120</v>
      </c>
      <c r="CH18">
        <v>26120</v>
      </c>
      <c r="CI18">
        <v>26120</v>
      </c>
      <c r="CJ18">
        <v>26120</v>
      </c>
      <c r="CK18">
        <v>25790</v>
      </c>
      <c r="CL18">
        <v>25790</v>
      </c>
      <c r="CM18">
        <v>25790</v>
      </c>
      <c r="CN18">
        <v>26120</v>
      </c>
      <c r="CO18">
        <v>26120</v>
      </c>
      <c r="CP18">
        <v>26120</v>
      </c>
      <c r="CQ18">
        <v>26120</v>
      </c>
      <c r="CR18">
        <v>26120</v>
      </c>
      <c r="CS18">
        <v>26120</v>
      </c>
    </row>
    <row r="19" spans="1:97">
      <c r="A19" s="8">
        <v>46252</v>
      </c>
      <c r="B19">
        <v>26120</v>
      </c>
      <c r="C19">
        <v>26120</v>
      </c>
      <c r="D19">
        <v>26120</v>
      </c>
      <c r="E19">
        <v>26120</v>
      </c>
      <c r="F19">
        <v>26120</v>
      </c>
      <c r="G19">
        <v>26120</v>
      </c>
      <c r="H19">
        <v>26120</v>
      </c>
      <c r="I19">
        <v>26120</v>
      </c>
      <c r="J19">
        <v>26120</v>
      </c>
      <c r="K19">
        <v>26120</v>
      </c>
      <c r="L19">
        <v>26120</v>
      </c>
      <c r="M19">
        <v>26120</v>
      </c>
      <c r="N19">
        <v>26120</v>
      </c>
      <c r="O19">
        <v>26120</v>
      </c>
      <c r="P19">
        <v>26120</v>
      </c>
      <c r="Q19">
        <v>26120</v>
      </c>
      <c r="R19">
        <v>26120</v>
      </c>
      <c r="S19">
        <v>26120</v>
      </c>
      <c r="T19">
        <v>26120</v>
      </c>
      <c r="U19">
        <v>26120</v>
      </c>
      <c r="V19">
        <v>26120</v>
      </c>
      <c r="W19">
        <v>26120</v>
      </c>
      <c r="X19">
        <v>26120</v>
      </c>
      <c r="Y19">
        <v>26120</v>
      </c>
      <c r="Z19">
        <v>26120</v>
      </c>
      <c r="AA19">
        <v>26120</v>
      </c>
      <c r="AB19">
        <v>26120</v>
      </c>
      <c r="AC19">
        <v>26120</v>
      </c>
      <c r="AD19">
        <v>26120</v>
      </c>
      <c r="AE19">
        <v>26120</v>
      </c>
      <c r="AF19">
        <v>26120</v>
      </c>
      <c r="AG19">
        <v>26120</v>
      </c>
      <c r="AH19">
        <v>26120</v>
      </c>
      <c r="AI19">
        <v>26120</v>
      </c>
      <c r="AJ19">
        <v>26120</v>
      </c>
      <c r="AK19">
        <v>26120</v>
      </c>
      <c r="AL19">
        <v>26120</v>
      </c>
      <c r="AM19">
        <v>26120</v>
      </c>
      <c r="AN19">
        <v>26120</v>
      </c>
      <c r="AO19">
        <v>26120</v>
      </c>
      <c r="AP19">
        <v>26120</v>
      </c>
      <c r="AQ19">
        <v>26120</v>
      </c>
      <c r="AR19">
        <v>26120</v>
      </c>
      <c r="AS19">
        <v>26120</v>
      </c>
      <c r="AT19">
        <v>26120</v>
      </c>
      <c r="AU19">
        <v>26120</v>
      </c>
      <c r="AV19">
        <v>26120</v>
      </c>
      <c r="AW19">
        <v>26120</v>
      </c>
      <c r="AX19">
        <v>26120</v>
      </c>
      <c r="AY19">
        <v>26120</v>
      </c>
      <c r="AZ19">
        <v>26120</v>
      </c>
      <c r="BA19">
        <v>26120</v>
      </c>
      <c r="BB19">
        <v>26120</v>
      </c>
      <c r="BC19">
        <v>26120</v>
      </c>
      <c r="BD19">
        <v>26120</v>
      </c>
      <c r="BE19">
        <v>26120</v>
      </c>
      <c r="BF19">
        <v>26120</v>
      </c>
      <c r="BG19">
        <v>26120</v>
      </c>
      <c r="BH19">
        <v>26120</v>
      </c>
      <c r="BI19">
        <v>26120</v>
      </c>
      <c r="BJ19">
        <v>26120</v>
      </c>
      <c r="BK19">
        <v>26120</v>
      </c>
      <c r="BL19">
        <v>26120</v>
      </c>
      <c r="BM19">
        <v>26120</v>
      </c>
      <c r="BN19">
        <v>26120</v>
      </c>
      <c r="BO19">
        <v>26120</v>
      </c>
      <c r="BP19">
        <v>26120</v>
      </c>
      <c r="BQ19">
        <v>26120</v>
      </c>
      <c r="BR19">
        <v>26120</v>
      </c>
      <c r="BS19">
        <v>26120</v>
      </c>
      <c r="BT19">
        <v>26120</v>
      </c>
      <c r="BU19">
        <v>26120</v>
      </c>
      <c r="BV19">
        <v>26120</v>
      </c>
      <c r="BW19">
        <v>26120</v>
      </c>
      <c r="BX19">
        <v>26120</v>
      </c>
      <c r="BY19">
        <v>26120</v>
      </c>
      <c r="BZ19">
        <v>26120</v>
      </c>
      <c r="CA19">
        <v>26120</v>
      </c>
      <c r="CB19">
        <v>26120</v>
      </c>
      <c r="CC19">
        <v>26120</v>
      </c>
      <c r="CD19">
        <v>26120</v>
      </c>
      <c r="CE19">
        <v>26120</v>
      </c>
      <c r="CF19">
        <v>26120</v>
      </c>
      <c r="CG19">
        <v>26120</v>
      </c>
      <c r="CH19">
        <v>26120</v>
      </c>
      <c r="CI19">
        <v>26120</v>
      </c>
      <c r="CJ19">
        <v>26120</v>
      </c>
      <c r="CK19">
        <v>26120</v>
      </c>
      <c r="CL19">
        <v>26120</v>
      </c>
      <c r="CM19">
        <v>26120</v>
      </c>
      <c r="CN19">
        <v>26120</v>
      </c>
      <c r="CO19">
        <v>26120</v>
      </c>
      <c r="CP19">
        <v>25920</v>
      </c>
      <c r="CQ19">
        <v>25920</v>
      </c>
      <c r="CR19">
        <v>25920</v>
      </c>
      <c r="CS19">
        <v>25920</v>
      </c>
    </row>
    <row r="20" spans="1:97">
      <c r="A20" s="8">
        <v>46253</v>
      </c>
      <c r="B20">
        <v>25920</v>
      </c>
      <c r="C20">
        <v>25920</v>
      </c>
      <c r="D20">
        <v>25040</v>
      </c>
      <c r="E20">
        <v>25040</v>
      </c>
      <c r="F20">
        <v>25040</v>
      </c>
      <c r="G20">
        <v>25040</v>
      </c>
      <c r="H20">
        <v>25040</v>
      </c>
      <c r="I20">
        <v>25040</v>
      </c>
      <c r="J20">
        <v>25040</v>
      </c>
      <c r="K20">
        <v>25040</v>
      </c>
      <c r="L20">
        <v>25040</v>
      </c>
      <c r="M20">
        <v>25040</v>
      </c>
      <c r="N20">
        <v>25040</v>
      </c>
      <c r="O20">
        <v>25040</v>
      </c>
      <c r="P20">
        <v>25040</v>
      </c>
      <c r="Q20">
        <v>25040</v>
      </c>
      <c r="R20">
        <v>25040</v>
      </c>
      <c r="S20">
        <v>25040</v>
      </c>
      <c r="T20">
        <v>25040</v>
      </c>
      <c r="U20">
        <v>25040</v>
      </c>
      <c r="V20">
        <v>25040</v>
      </c>
      <c r="W20">
        <v>25040</v>
      </c>
      <c r="X20">
        <v>25040</v>
      </c>
      <c r="Y20">
        <v>25040</v>
      </c>
      <c r="Z20">
        <v>25040</v>
      </c>
      <c r="AA20">
        <v>25040</v>
      </c>
      <c r="AB20">
        <v>25040</v>
      </c>
      <c r="AC20">
        <v>25040</v>
      </c>
      <c r="AD20">
        <v>25040</v>
      </c>
      <c r="AE20">
        <v>25040</v>
      </c>
      <c r="AF20">
        <v>25040</v>
      </c>
      <c r="AG20">
        <v>25040</v>
      </c>
      <c r="AH20">
        <v>25040</v>
      </c>
      <c r="AI20">
        <v>25040</v>
      </c>
      <c r="AJ20">
        <v>25040</v>
      </c>
      <c r="AK20">
        <v>25040</v>
      </c>
      <c r="AL20">
        <v>25040</v>
      </c>
      <c r="AM20">
        <v>25040</v>
      </c>
      <c r="AN20">
        <v>25040</v>
      </c>
      <c r="AO20">
        <v>25040</v>
      </c>
      <c r="AP20">
        <v>25040</v>
      </c>
      <c r="AQ20">
        <v>25040</v>
      </c>
      <c r="AR20">
        <v>25040</v>
      </c>
      <c r="AS20">
        <v>25040</v>
      </c>
      <c r="AT20">
        <v>25040</v>
      </c>
      <c r="AU20">
        <v>25040</v>
      </c>
      <c r="AV20">
        <v>25040</v>
      </c>
      <c r="AW20">
        <v>25040</v>
      </c>
      <c r="AX20">
        <v>25040</v>
      </c>
      <c r="AY20">
        <v>25040</v>
      </c>
      <c r="AZ20">
        <v>25040</v>
      </c>
      <c r="BA20">
        <v>25040</v>
      </c>
      <c r="BB20">
        <v>25040</v>
      </c>
      <c r="BC20">
        <v>25040</v>
      </c>
      <c r="BD20">
        <v>25040</v>
      </c>
      <c r="BE20">
        <v>25040</v>
      </c>
      <c r="BF20">
        <v>25040</v>
      </c>
      <c r="BG20">
        <v>25040</v>
      </c>
      <c r="BH20">
        <v>25040</v>
      </c>
      <c r="BI20">
        <v>25040</v>
      </c>
      <c r="BJ20">
        <v>25040</v>
      </c>
      <c r="BK20">
        <v>25040</v>
      </c>
      <c r="BL20">
        <v>25040</v>
      </c>
      <c r="BM20">
        <v>25040</v>
      </c>
      <c r="BN20">
        <v>25040</v>
      </c>
      <c r="BO20">
        <v>25040</v>
      </c>
      <c r="BP20">
        <v>25040</v>
      </c>
      <c r="BQ20">
        <v>25040</v>
      </c>
      <c r="BR20">
        <v>25040</v>
      </c>
      <c r="BS20">
        <v>25040</v>
      </c>
      <c r="BT20">
        <v>25040</v>
      </c>
      <c r="BU20">
        <v>25040</v>
      </c>
      <c r="BV20">
        <v>25040</v>
      </c>
      <c r="BW20">
        <v>25040</v>
      </c>
      <c r="BX20">
        <v>25040</v>
      </c>
      <c r="BY20">
        <v>25040</v>
      </c>
      <c r="BZ20">
        <v>25040</v>
      </c>
      <c r="CA20">
        <v>25040</v>
      </c>
      <c r="CB20">
        <v>25040</v>
      </c>
      <c r="CC20">
        <v>25040</v>
      </c>
      <c r="CD20">
        <v>25040</v>
      </c>
      <c r="CE20">
        <v>25040</v>
      </c>
      <c r="CF20">
        <v>25040</v>
      </c>
      <c r="CG20">
        <v>25040</v>
      </c>
      <c r="CH20">
        <v>25040</v>
      </c>
      <c r="CI20">
        <v>25040</v>
      </c>
      <c r="CJ20">
        <v>25040</v>
      </c>
      <c r="CK20">
        <v>25040</v>
      </c>
      <c r="CL20">
        <v>25040</v>
      </c>
      <c r="CM20">
        <v>25040</v>
      </c>
      <c r="CN20">
        <v>25040</v>
      </c>
      <c r="CO20">
        <v>25040</v>
      </c>
      <c r="CP20">
        <v>25040</v>
      </c>
      <c r="CQ20">
        <v>25040</v>
      </c>
      <c r="CR20">
        <v>24740</v>
      </c>
      <c r="CS20">
        <v>24740</v>
      </c>
    </row>
    <row r="21" spans="1:97">
      <c r="A21" s="8">
        <v>46254</v>
      </c>
      <c r="B21">
        <v>24740</v>
      </c>
      <c r="C21">
        <v>24740</v>
      </c>
      <c r="D21">
        <v>24740</v>
      </c>
      <c r="E21">
        <v>24740</v>
      </c>
      <c r="F21">
        <v>24740</v>
      </c>
      <c r="G21">
        <v>24740</v>
      </c>
      <c r="H21">
        <v>24740</v>
      </c>
      <c r="I21">
        <v>24740</v>
      </c>
      <c r="J21">
        <v>24740</v>
      </c>
      <c r="K21">
        <v>24740</v>
      </c>
      <c r="L21">
        <v>24740</v>
      </c>
      <c r="M21">
        <v>24740</v>
      </c>
      <c r="N21">
        <v>24740</v>
      </c>
      <c r="O21">
        <v>24740</v>
      </c>
      <c r="P21">
        <v>24740</v>
      </c>
      <c r="Q21">
        <v>24740</v>
      </c>
      <c r="R21">
        <v>24740</v>
      </c>
      <c r="S21">
        <v>24740</v>
      </c>
      <c r="T21">
        <v>24740</v>
      </c>
      <c r="U21">
        <v>24740</v>
      </c>
      <c r="V21">
        <v>24740</v>
      </c>
      <c r="W21">
        <v>24410</v>
      </c>
      <c r="X21">
        <v>24410</v>
      </c>
      <c r="Y21">
        <v>24410</v>
      </c>
      <c r="Z21">
        <v>24410</v>
      </c>
      <c r="AA21">
        <v>24410</v>
      </c>
      <c r="AB21">
        <v>24410</v>
      </c>
      <c r="AC21">
        <v>24410</v>
      </c>
      <c r="AD21">
        <v>24410</v>
      </c>
      <c r="AE21">
        <v>24410</v>
      </c>
      <c r="AF21">
        <v>24410</v>
      </c>
      <c r="AG21">
        <v>24410</v>
      </c>
      <c r="AH21">
        <v>24410</v>
      </c>
      <c r="AI21">
        <v>24410</v>
      </c>
      <c r="AJ21">
        <v>24410</v>
      </c>
      <c r="AK21">
        <v>24410</v>
      </c>
      <c r="AL21">
        <v>24410</v>
      </c>
      <c r="AM21">
        <v>24410</v>
      </c>
      <c r="AN21">
        <v>24410</v>
      </c>
      <c r="AO21">
        <v>24410</v>
      </c>
      <c r="AP21">
        <v>24410</v>
      </c>
      <c r="AQ21">
        <v>24410</v>
      </c>
      <c r="AR21">
        <v>24545</v>
      </c>
      <c r="AS21">
        <v>24545</v>
      </c>
      <c r="AT21">
        <v>24545</v>
      </c>
      <c r="AU21">
        <v>24545</v>
      </c>
      <c r="AV21">
        <v>24545</v>
      </c>
      <c r="AW21">
        <v>24545</v>
      </c>
      <c r="AX21">
        <v>24545</v>
      </c>
      <c r="AY21">
        <v>24545</v>
      </c>
      <c r="AZ21">
        <v>24545</v>
      </c>
      <c r="BA21">
        <v>24545</v>
      </c>
      <c r="BB21">
        <v>24545</v>
      </c>
      <c r="BC21">
        <v>24545</v>
      </c>
      <c r="BD21">
        <v>24545</v>
      </c>
      <c r="BE21">
        <v>24545</v>
      </c>
      <c r="BF21">
        <v>24545</v>
      </c>
      <c r="BG21">
        <v>24680</v>
      </c>
      <c r="BH21">
        <v>24680</v>
      </c>
      <c r="BI21">
        <v>24680</v>
      </c>
      <c r="BJ21">
        <v>24680</v>
      </c>
      <c r="BK21">
        <v>24680</v>
      </c>
      <c r="BL21">
        <v>24815</v>
      </c>
      <c r="BM21">
        <v>24815</v>
      </c>
      <c r="BN21">
        <v>24815</v>
      </c>
      <c r="BO21">
        <v>24815</v>
      </c>
      <c r="BP21">
        <v>24815</v>
      </c>
      <c r="BQ21">
        <v>24815</v>
      </c>
      <c r="BR21">
        <v>25015</v>
      </c>
      <c r="BS21">
        <v>25015</v>
      </c>
      <c r="BT21">
        <v>25015</v>
      </c>
      <c r="BU21">
        <v>25015</v>
      </c>
      <c r="BV21">
        <v>25215</v>
      </c>
      <c r="BW21">
        <v>25215</v>
      </c>
      <c r="BX21">
        <v>25215</v>
      </c>
      <c r="BY21">
        <v>25215</v>
      </c>
      <c r="BZ21">
        <v>25215</v>
      </c>
      <c r="CA21">
        <v>25215</v>
      </c>
      <c r="CB21">
        <v>25215</v>
      </c>
      <c r="CC21">
        <v>25215</v>
      </c>
      <c r="CD21">
        <v>25215</v>
      </c>
      <c r="CE21">
        <v>25215</v>
      </c>
      <c r="CF21">
        <v>25215</v>
      </c>
      <c r="CG21">
        <v>25215</v>
      </c>
      <c r="CH21">
        <v>25215</v>
      </c>
      <c r="CI21">
        <v>25215</v>
      </c>
      <c r="CJ21">
        <v>25215</v>
      </c>
      <c r="CK21">
        <v>25215</v>
      </c>
      <c r="CL21">
        <v>25215</v>
      </c>
      <c r="CM21">
        <v>25215</v>
      </c>
      <c r="CN21">
        <v>25215</v>
      </c>
      <c r="CO21">
        <v>25215</v>
      </c>
      <c r="CP21">
        <v>25215</v>
      </c>
      <c r="CQ21">
        <v>25215</v>
      </c>
      <c r="CR21">
        <v>25215</v>
      </c>
      <c r="CS21">
        <v>25215</v>
      </c>
    </row>
    <row r="22" spans="1:97">
      <c r="A22" s="8">
        <v>46255</v>
      </c>
      <c r="B22">
        <v>25215</v>
      </c>
      <c r="C22">
        <v>25215</v>
      </c>
      <c r="D22">
        <v>25215</v>
      </c>
      <c r="E22">
        <v>25215</v>
      </c>
      <c r="F22">
        <v>25215</v>
      </c>
      <c r="G22">
        <v>25215</v>
      </c>
      <c r="H22">
        <v>25215</v>
      </c>
      <c r="I22">
        <v>25215</v>
      </c>
      <c r="J22">
        <v>25215</v>
      </c>
      <c r="K22">
        <v>25215</v>
      </c>
      <c r="L22">
        <v>25215</v>
      </c>
      <c r="M22">
        <v>25215</v>
      </c>
      <c r="N22">
        <v>25215</v>
      </c>
      <c r="O22">
        <v>25215</v>
      </c>
      <c r="P22">
        <v>25215</v>
      </c>
      <c r="Q22">
        <v>25215</v>
      </c>
      <c r="R22">
        <v>25215</v>
      </c>
      <c r="S22">
        <v>25215</v>
      </c>
      <c r="T22">
        <v>25215</v>
      </c>
      <c r="U22">
        <v>25215</v>
      </c>
      <c r="V22">
        <v>25215</v>
      </c>
      <c r="W22">
        <v>25215</v>
      </c>
      <c r="X22">
        <v>25215</v>
      </c>
      <c r="Y22">
        <v>25215</v>
      </c>
      <c r="Z22">
        <v>25215</v>
      </c>
      <c r="AA22">
        <v>25215</v>
      </c>
      <c r="AB22">
        <v>25215</v>
      </c>
      <c r="AC22">
        <v>25215</v>
      </c>
      <c r="AD22">
        <v>25215</v>
      </c>
      <c r="AE22">
        <v>25215</v>
      </c>
      <c r="AF22">
        <v>25215</v>
      </c>
      <c r="AG22">
        <v>25215</v>
      </c>
      <c r="AH22">
        <v>25215</v>
      </c>
      <c r="AI22">
        <v>25215</v>
      </c>
      <c r="AJ22">
        <v>25215</v>
      </c>
      <c r="AK22">
        <v>25215</v>
      </c>
      <c r="AL22">
        <v>25215</v>
      </c>
      <c r="AM22">
        <v>25215</v>
      </c>
      <c r="AN22">
        <v>25215</v>
      </c>
      <c r="AO22">
        <v>25215</v>
      </c>
      <c r="AP22">
        <v>25215</v>
      </c>
      <c r="AQ22">
        <v>25215</v>
      </c>
      <c r="AR22">
        <v>25215</v>
      </c>
      <c r="AS22">
        <v>25215</v>
      </c>
      <c r="AT22">
        <v>25215</v>
      </c>
      <c r="AU22">
        <v>25215</v>
      </c>
      <c r="AV22">
        <v>25215</v>
      </c>
      <c r="AW22">
        <v>25215</v>
      </c>
      <c r="AX22">
        <v>25215</v>
      </c>
      <c r="AY22">
        <v>25215</v>
      </c>
      <c r="AZ22">
        <v>25215</v>
      </c>
      <c r="BA22">
        <v>25215</v>
      </c>
      <c r="BB22">
        <v>25215</v>
      </c>
      <c r="BC22">
        <v>25215</v>
      </c>
      <c r="BD22">
        <v>24865</v>
      </c>
      <c r="BE22">
        <v>24865</v>
      </c>
      <c r="BF22">
        <v>24865</v>
      </c>
      <c r="BG22">
        <v>24865</v>
      </c>
      <c r="BH22">
        <v>24865</v>
      </c>
      <c r="BI22">
        <v>24865</v>
      </c>
      <c r="BJ22">
        <v>24865</v>
      </c>
      <c r="BK22">
        <v>24865</v>
      </c>
      <c r="BL22">
        <v>24865</v>
      </c>
      <c r="BM22">
        <v>24865</v>
      </c>
      <c r="BN22">
        <v>24865</v>
      </c>
      <c r="BO22">
        <v>24865</v>
      </c>
      <c r="BP22">
        <v>24865</v>
      </c>
      <c r="BQ22">
        <v>24865</v>
      </c>
      <c r="BR22">
        <v>24865</v>
      </c>
      <c r="BS22">
        <v>24865</v>
      </c>
      <c r="BT22">
        <v>24865</v>
      </c>
      <c r="BU22">
        <v>24865</v>
      </c>
      <c r="BV22">
        <v>24865</v>
      </c>
      <c r="BW22">
        <v>24865</v>
      </c>
      <c r="BX22">
        <v>24865</v>
      </c>
      <c r="BY22">
        <v>24865</v>
      </c>
      <c r="BZ22">
        <v>24665</v>
      </c>
      <c r="CA22">
        <v>24665</v>
      </c>
      <c r="CB22">
        <v>24665</v>
      </c>
      <c r="CC22">
        <v>24665</v>
      </c>
      <c r="CD22">
        <v>24665</v>
      </c>
      <c r="CE22">
        <v>24665</v>
      </c>
      <c r="CF22">
        <v>24665</v>
      </c>
      <c r="CG22">
        <v>24465</v>
      </c>
      <c r="CH22">
        <v>24165</v>
      </c>
      <c r="CI22">
        <v>24165</v>
      </c>
      <c r="CJ22">
        <v>24165</v>
      </c>
      <c r="CK22">
        <v>24165</v>
      </c>
      <c r="CL22">
        <v>24165</v>
      </c>
      <c r="CM22">
        <v>24165</v>
      </c>
      <c r="CN22">
        <v>24165</v>
      </c>
      <c r="CO22">
        <v>23730</v>
      </c>
      <c r="CP22">
        <v>23730</v>
      </c>
      <c r="CQ22">
        <v>23730</v>
      </c>
      <c r="CR22">
        <v>23280</v>
      </c>
      <c r="CS22">
        <v>23280</v>
      </c>
    </row>
    <row r="23" spans="1:97">
      <c r="A23" s="8">
        <v>46256</v>
      </c>
      <c r="B23">
        <v>23280</v>
      </c>
      <c r="C23">
        <v>23280</v>
      </c>
      <c r="D23">
        <v>23280</v>
      </c>
      <c r="E23">
        <v>23280</v>
      </c>
      <c r="F23">
        <v>23280</v>
      </c>
      <c r="G23">
        <v>23280</v>
      </c>
      <c r="H23">
        <v>23280</v>
      </c>
      <c r="I23">
        <v>23280</v>
      </c>
      <c r="J23">
        <v>23280</v>
      </c>
      <c r="K23">
        <v>23280</v>
      </c>
      <c r="L23">
        <v>22930</v>
      </c>
      <c r="M23">
        <v>22930</v>
      </c>
      <c r="N23">
        <v>22930</v>
      </c>
      <c r="O23">
        <v>22930</v>
      </c>
      <c r="P23">
        <v>22930</v>
      </c>
      <c r="Q23">
        <v>22930</v>
      </c>
      <c r="R23">
        <v>22930</v>
      </c>
      <c r="S23">
        <v>22930</v>
      </c>
      <c r="T23">
        <v>22930</v>
      </c>
      <c r="U23">
        <v>22930</v>
      </c>
      <c r="V23">
        <v>22930</v>
      </c>
      <c r="W23">
        <v>22930</v>
      </c>
      <c r="X23">
        <v>22930</v>
      </c>
      <c r="Y23">
        <v>22930</v>
      </c>
      <c r="Z23">
        <v>22930</v>
      </c>
      <c r="AA23">
        <v>22930</v>
      </c>
      <c r="AB23">
        <v>22930</v>
      </c>
      <c r="AC23">
        <v>22930</v>
      </c>
      <c r="AD23">
        <v>22930</v>
      </c>
      <c r="AE23">
        <v>22930</v>
      </c>
      <c r="AF23">
        <v>22930</v>
      </c>
      <c r="AG23">
        <v>22930</v>
      </c>
      <c r="AH23">
        <v>22930</v>
      </c>
      <c r="AI23">
        <v>22930</v>
      </c>
      <c r="AJ23">
        <v>22930</v>
      </c>
      <c r="AK23">
        <v>22930</v>
      </c>
      <c r="AL23">
        <v>22930</v>
      </c>
      <c r="AM23">
        <v>22930</v>
      </c>
      <c r="AN23">
        <v>22930</v>
      </c>
      <c r="AO23">
        <v>22930</v>
      </c>
      <c r="AP23">
        <v>22930</v>
      </c>
      <c r="AQ23">
        <v>22930</v>
      </c>
      <c r="AR23">
        <v>22930</v>
      </c>
      <c r="AS23">
        <v>22930</v>
      </c>
      <c r="AT23">
        <v>22930</v>
      </c>
      <c r="AU23">
        <v>22930</v>
      </c>
      <c r="AV23">
        <v>22930</v>
      </c>
      <c r="AW23">
        <v>22930</v>
      </c>
      <c r="AX23">
        <v>22930</v>
      </c>
      <c r="AY23">
        <v>22930</v>
      </c>
      <c r="AZ23">
        <v>22930</v>
      </c>
      <c r="BA23">
        <v>22930</v>
      </c>
      <c r="BB23">
        <v>22930</v>
      </c>
      <c r="BC23">
        <v>22930</v>
      </c>
      <c r="BD23">
        <v>22930</v>
      </c>
      <c r="BE23">
        <v>22930</v>
      </c>
      <c r="BF23">
        <v>22930</v>
      </c>
      <c r="BG23">
        <v>22930</v>
      </c>
      <c r="BH23">
        <v>22930</v>
      </c>
      <c r="BI23">
        <v>22930</v>
      </c>
      <c r="BJ23">
        <v>22930</v>
      </c>
      <c r="BK23">
        <v>22930</v>
      </c>
      <c r="BL23">
        <v>22930</v>
      </c>
      <c r="BM23">
        <v>22930</v>
      </c>
      <c r="BN23">
        <v>22930</v>
      </c>
      <c r="BO23">
        <v>22930</v>
      </c>
      <c r="BP23">
        <v>22930</v>
      </c>
      <c r="BQ23">
        <v>22930</v>
      </c>
      <c r="BR23">
        <v>22930</v>
      </c>
      <c r="BS23">
        <v>22930</v>
      </c>
      <c r="BT23">
        <v>22930</v>
      </c>
      <c r="BU23">
        <v>22930</v>
      </c>
      <c r="BV23">
        <v>22930</v>
      </c>
      <c r="BW23">
        <v>22930</v>
      </c>
      <c r="BX23">
        <v>22930</v>
      </c>
      <c r="BY23">
        <v>22930</v>
      </c>
      <c r="BZ23">
        <v>22930</v>
      </c>
      <c r="CA23">
        <v>22930</v>
      </c>
      <c r="CB23">
        <v>22930</v>
      </c>
      <c r="CC23">
        <v>22930</v>
      </c>
      <c r="CD23">
        <v>22930</v>
      </c>
      <c r="CE23">
        <v>22930</v>
      </c>
      <c r="CF23">
        <v>22930</v>
      </c>
      <c r="CG23">
        <v>22930</v>
      </c>
      <c r="CH23">
        <v>22930</v>
      </c>
      <c r="CI23">
        <v>22930</v>
      </c>
      <c r="CJ23">
        <v>22795</v>
      </c>
      <c r="CK23">
        <v>22795</v>
      </c>
      <c r="CL23">
        <v>22795</v>
      </c>
      <c r="CM23">
        <v>22795</v>
      </c>
      <c r="CN23">
        <v>22795</v>
      </c>
      <c r="CO23">
        <v>22795</v>
      </c>
      <c r="CP23">
        <v>22795</v>
      </c>
      <c r="CQ23">
        <v>22795</v>
      </c>
      <c r="CR23">
        <v>22795</v>
      </c>
      <c r="CS23">
        <v>22795</v>
      </c>
    </row>
    <row r="24" spans="1:97">
      <c r="A24" s="8">
        <v>46257</v>
      </c>
      <c r="B24">
        <v>22795</v>
      </c>
      <c r="C24">
        <v>22795</v>
      </c>
      <c r="D24">
        <v>22795</v>
      </c>
      <c r="E24">
        <v>22795</v>
      </c>
      <c r="F24">
        <v>22795</v>
      </c>
      <c r="G24">
        <v>22795</v>
      </c>
      <c r="H24">
        <v>22795</v>
      </c>
      <c r="I24">
        <v>22795</v>
      </c>
      <c r="J24">
        <v>22795</v>
      </c>
      <c r="K24">
        <v>22795</v>
      </c>
      <c r="L24">
        <v>22795</v>
      </c>
      <c r="M24">
        <v>22795</v>
      </c>
      <c r="N24">
        <v>22795</v>
      </c>
      <c r="O24">
        <v>22795</v>
      </c>
      <c r="P24">
        <v>22795</v>
      </c>
      <c r="Q24">
        <v>22795</v>
      </c>
      <c r="R24">
        <v>22795</v>
      </c>
      <c r="S24">
        <v>22795</v>
      </c>
      <c r="T24">
        <v>22795</v>
      </c>
      <c r="U24">
        <v>22795</v>
      </c>
      <c r="V24">
        <v>22795</v>
      </c>
      <c r="W24">
        <v>22795</v>
      </c>
      <c r="X24">
        <v>22795</v>
      </c>
      <c r="Y24">
        <v>22795</v>
      </c>
      <c r="Z24">
        <v>22795</v>
      </c>
      <c r="AA24">
        <v>22795</v>
      </c>
      <c r="AB24">
        <v>22795</v>
      </c>
      <c r="AC24">
        <v>22795</v>
      </c>
      <c r="AD24">
        <v>22795</v>
      </c>
      <c r="AE24">
        <v>22795</v>
      </c>
      <c r="AF24">
        <v>22795</v>
      </c>
      <c r="AG24">
        <v>22795</v>
      </c>
      <c r="AH24">
        <v>22795</v>
      </c>
      <c r="AI24">
        <v>22795</v>
      </c>
      <c r="AJ24">
        <v>22795</v>
      </c>
      <c r="AK24">
        <v>22795</v>
      </c>
      <c r="AL24">
        <v>22795</v>
      </c>
      <c r="AM24">
        <v>22795</v>
      </c>
      <c r="AN24">
        <v>22795</v>
      </c>
      <c r="AO24">
        <v>22795</v>
      </c>
      <c r="AP24">
        <v>22795</v>
      </c>
      <c r="AQ24">
        <v>22795</v>
      </c>
      <c r="AR24">
        <v>22795</v>
      </c>
      <c r="AS24">
        <v>22795</v>
      </c>
      <c r="AT24">
        <v>22795</v>
      </c>
      <c r="AU24">
        <v>22795</v>
      </c>
      <c r="AV24">
        <v>22795</v>
      </c>
      <c r="AW24">
        <v>22795</v>
      </c>
      <c r="AX24">
        <v>22795</v>
      </c>
      <c r="AY24">
        <v>22795</v>
      </c>
      <c r="AZ24">
        <v>22795</v>
      </c>
      <c r="BA24">
        <v>22795</v>
      </c>
      <c r="BB24">
        <v>22795</v>
      </c>
      <c r="BC24">
        <v>22795</v>
      </c>
      <c r="BD24">
        <v>22795</v>
      </c>
      <c r="BE24">
        <v>22795</v>
      </c>
      <c r="BF24">
        <v>22795</v>
      </c>
      <c r="BG24">
        <v>22795</v>
      </c>
      <c r="BH24">
        <v>22795</v>
      </c>
      <c r="BI24">
        <v>22795</v>
      </c>
      <c r="BJ24">
        <v>22795</v>
      </c>
      <c r="BK24">
        <v>22795</v>
      </c>
      <c r="BL24">
        <v>22795</v>
      </c>
      <c r="BM24">
        <v>22795</v>
      </c>
      <c r="BN24">
        <v>22795</v>
      </c>
      <c r="BO24">
        <v>22795</v>
      </c>
      <c r="BP24">
        <v>22795</v>
      </c>
      <c r="BQ24">
        <v>22795</v>
      </c>
      <c r="BR24">
        <v>22795</v>
      </c>
      <c r="BS24">
        <v>22945</v>
      </c>
      <c r="BT24">
        <v>22945</v>
      </c>
      <c r="BU24">
        <v>22945</v>
      </c>
      <c r="BV24">
        <v>23245</v>
      </c>
      <c r="BW24">
        <v>23245</v>
      </c>
      <c r="BX24">
        <v>23245</v>
      </c>
      <c r="BY24">
        <v>23245</v>
      </c>
      <c r="BZ24">
        <v>23245</v>
      </c>
      <c r="CA24">
        <v>23245</v>
      </c>
      <c r="CB24">
        <v>23245</v>
      </c>
      <c r="CC24">
        <v>23245</v>
      </c>
      <c r="CD24">
        <v>23245</v>
      </c>
      <c r="CE24">
        <v>23245</v>
      </c>
      <c r="CF24">
        <v>23245</v>
      </c>
      <c r="CG24">
        <v>23245</v>
      </c>
      <c r="CH24">
        <v>23245</v>
      </c>
      <c r="CI24">
        <v>23245</v>
      </c>
      <c r="CJ24">
        <v>23245</v>
      </c>
      <c r="CK24">
        <v>23245</v>
      </c>
      <c r="CL24">
        <v>23245</v>
      </c>
      <c r="CM24">
        <v>23245</v>
      </c>
      <c r="CN24">
        <v>23245</v>
      </c>
      <c r="CO24">
        <v>23445</v>
      </c>
      <c r="CP24">
        <v>23445</v>
      </c>
      <c r="CQ24">
        <v>23795</v>
      </c>
      <c r="CR24">
        <v>23795</v>
      </c>
      <c r="CS24">
        <v>23195</v>
      </c>
    </row>
    <row r="25" spans="1:97">
      <c r="A25" s="8">
        <v>46258</v>
      </c>
      <c r="B25">
        <v>23195</v>
      </c>
      <c r="C25">
        <v>23330</v>
      </c>
      <c r="D25">
        <v>23330</v>
      </c>
      <c r="E25">
        <v>23330</v>
      </c>
      <c r="F25">
        <v>23330</v>
      </c>
      <c r="G25">
        <v>23330</v>
      </c>
      <c r="H25">
        <v>23330</v>
      </c>
      <c r="I25">
        <v>23330</v>
      </c>
      <c r="J25">
        <v>23330</v>
      </c>
      <c r="K25">
        <v>23330</v>
      </c>
      <c r="L25">
        <v>23330</v>
      </c>
      <c r="M25">
        <v>23330</v>
      </c>
      <c r="N25">
        <v>23330</v>
      </c>
      <c r="O25">
        <v>23330</v>
      </c>
      <c r="P25">
        <v>23330</v>
      </c>
      <c r="Q25">
        <v>23330</v>
      </c>
      <c r="R25">
        <v>23330</v>
      </c>
      <c r="S25">
        <v>23330</v>
      </c>
      <c r="T25">
        <v>23330</v>
      </c>
      <c r="U25">
        <v>23330</v>
      </c>
      <c r="V25">
        <v>23330</v>
      </c>
      <c r="W25">
        <v>23330</v>
      </c>
      <c r="X25">
        <v>23330</v>
      </c>
      <c r="Y25">
        <v>23330</v>
      </c>
      <c r="Z25">
        <v>23330</v>
      </c>
      <c r="AA25">
        <v>23330</v>
      </c>
      <c r="AB25">
        <v>23330</v>
      </c>
      <c r="AC25">
        <v>23330</v>
      </c>
      <c r="AD25">
        <v>23330</v>
      </c>
      <c r="AE25">
        <v>23330</v>
      </c>
      <c r="AF25">
        <v>23330</v>
      </c>
      <c r="AG25">
        <v>23330</v>
      </c>
      <c r="AH25">
        <v>23330</v>
      </c>
      <c r="AI25">
        <v>23000</v>
      </c>
      <c r="AJ25">
        <v>23000</v>
      </c>
      <c r="AK25">
        <v>23000</v>
      </c>
      <c r="AL25">
        <v>23000</v>
      </c>
      <c r="AM25">
        <v>23000</v>
      </c>
      <c r="AN25">
        <v>23000</v>
      </c>
      <c r="AO25">
        <v>23000</v>
      </c>
      <c r="AP25">
        <v>23000</v>
      </c>
      <c r="AQ25">
        <v>23000</v>
      </c>
      <c r="AR25">
        <v>23000</v>
      </c>
      <c r="AS25">
        <v>23000</v>
      </c>
      <c r="AT25">
        <v>23000</v>
      </c>
      <c r="AU25">
        <v>23000</v>
      </c>
      <c r="AV25">
        <v>23000</v>
      </c>
      <c r="AW25">
        <v>23000</v>
      </c>
      <c r="AX25">
        <v>23000</v>
      </c>
      <c r="AY25">
        <v>23000</v>
      </c>
      <c r="AZ25">
        <v>23000</v>
      </c>
      <c r="BA25">
        <v>23000</v>
      </c>
      <c r="BB25">
        <v>23880</v>
      </c>
      <c r="BC25">
        <v>23880</v>
      </c>
      <c r="BD25">
        <v>23880</v>
      </c>
      <c r="BE25">
        <v>23880</v>
      </c>
      <c r="BF25">
        <v>23880</v>
      </c>
      <c r="BG25">
        <v>23880</v>
      </c>
      <c r="BH25">
        <v>23880</v>
      </c>
      <c r="BI25">
        <v>23880</v>
      </c>
      <c r="BJ25">
        <v>23880</v>
      </c>
      <c r="BK25">
        <v>23530</v>
      </c>
      <c r="BL25">
        <v>23530</v>
      </c>
      <c r="BM25">
        <v>23530</v>
      </c>
      <c r="BN25">
        <v>23530</v>
      </c>
      <c r="BO25">
        <v>23530</v>
      </c>
      <c r="BP25">
        <v>23530</v>
      </c>
      <c r="BQ25">
        <v>23530</v>
      </c>
      <c r="BR25">
        <v>23530</v>
      </c>
      <c r="BS25">
        <v>23530</v>
      </c>
      <c r="BT25">
        <v>23530</v>
      </c>
      <c r="BU25">
        <v>23530</v>
      </c>
      <c r="BV25">
        <v>23530</v>
      </c>
      <c r="BW25">
        <v>23530</v>
      </c>
      <c r="BX25">
        <v>23530</v>
      </c>
      <c r="BY25">
        <v>23530</v>
      </c>
      <c r="BZ25">
        <v>23530</v>
      </c>
      <c r="CA25">
        <v>23530</v>
      </c>
      <c r="CB25">
        <v>23530</v>
      </c>
      <c r="CC25">
        <v>23530</v>
      </c>
      <c r="CD25">
        <v>23530</v>
      </c>
      <c r="CE25">
        <v>23530</v>
      </c>
      <c r="CF25">
        <v>23230</v>
      </c>
      <c r="CG25">
        <v>23230</v>
      </c>
      <c r="CH25">
        <v>23230</v>
      </c>
      <c r="CI25">
        <v>23230</v>
      </c>
      <c r="CJ25">
        <v>23230</v>
      </c>
      <c r="CK25">
        <v>23230</v>
      </c>
      <c r="CL25">
        <v>23230</v>
      </c>
      <c r="CM25">
        <v>23230</v>
      </c>
      <c r="CN25">
        <v>23230</v>
      </c>
      <c r="CO25">
        <v>23230</v>
      </c>
      <c r="CP25">
        <v>22630</v>
      </c>
      <c r="CQ25">
        <v>22630</v>
      </c>
      <c r="CR25">
        <v>22630</v>
      </c>
      <c r="CS25">
        <v>22630</v>
      </c>
    </row>
    <row r="26" spans="1:97">
      <c r="A26" s="8">
        <v>46259</v>
      </c>
      <c r="B26">
        <v>22630</v>
      </c>
      <c r="C26">
        <v>22630</v>
      </c>
      <c r="D26">
        <v>22630</v>
      </c>
      <c r="E26">
        <v>22630</v>
      </c>
      <c r="F26">
        <v>22630</v>
      </c>
      <c r="G26">
        <v>22630</v>
      </c>
      <c r="H26">
        <v>22630</v>
      </c>
      <c r="I26">
        <v>22630</v>
      </c>
      <c r="J26">
        <v>22630</v>
      </c>
      <c r="K26">
        <v>22630</v>
      </c>
      <c r="L26">
        <v>22630</v>
      </c>
      <c r="M26">
        <v>22630</v>
      </c>
      <c r="N26">
        <v>22630</v>
      </c>
      <c r="O26">
        <v>22630</v>
      </c>
      <c r="P26">
        <v>22630</v>
      </c>
      <c r="Q26">
        <v>22630</v>
      </c>
      <c r="R26">
        <v>22630</v>
      </c>
      <c r="S26">
        <v>22630</v>
      </c>
      <c r="T26">
        <v>22630</v>
      </c>
      <c r="U26">
        <v>22630</v>
      </c>
      <c r="V26">
        <v>22630</v>
      </c>
      <c r="W26">
        <v>22630</v>
      </c>
      <c r="X26">
        <v>22630</v>
      </c>
      <c r="Y26">
        <v>22630</v>
      </c>
      <c r="Z26">
        <v>22630</v>
      </c>
      <c r="AA26">
        <v>22630</v>
      </c>
      <c r="AB26">
        <v>22630</v>
      </c>
      <c r="AC26">
        <v>22630</v>
      </c>
      <c r="AD26">
        <v>22630</v>
      </c>
      <c r="AE26">
        <v>22630</v>
      </c>
      <c r="AF26">
        <v>22630</v>
      </c>
      <c r="AG26">
        <v>22630</v>
      </c>
      <c r="AH26">
        <v>22630</v>
      </c>
      <c r="AI26">
        <v>22630</v>
      </c>
      <c r="AJ26">
        <v>22960</v>
      </c>
      <c r="AK26">
        <v>22960</v>
      </c>
      <c r="AL26">
        <v>22960</v>
      </c>
      <c r="AM26">
        <v>22960</v>
      </c>
      <c r="AN26">
        <v>23095</v>
      </c>
      <c r="AO26">
        <v>23095</v>
      </c>
      <c r="AP26">
        <v>23095</v>
      </c>
      <c r="AQ26">
        <v>23095</v>
      </c>
      <c r="AR26">
        <v>23095</v>
      </c>
      <c r="AS26">
        <v>23095</v>
      </c>
      <c r="AT26">
        <v>23095</v>
      </c>
      <c r="AU26">
        <v>23095</v>
      </c>
      <c r="AV26">
        <v>23095</v>
      </c>
      <c r="AW26">
        <v>23095</v>
      </c>
      <c r="AX26">
        <v>23095</v>
      </c>
      <c r="AY26">
        <v>23095</v>
      </c>
      <c r="AZ26">
        <v>23095</v>
      </c>
      <c r="BA26">
        <v>23095</v>
      </c>
      <c r="BB26">
        <v>23095</v>
      </c>
      <c r="BC26">
        <v>23095</v>
      </c>
      <c r="BD26">
        <v>23095</v>
      </c>
      <c r="BE26">
        <v>23095</v>
      </c>
      <c r="BF26">
        <v>23095</v>
      </c>
      <c r="BG26">
        <v>23095</v>
      </c>
      <c r="BH26">
        <v>23295</v>
      </c>
      <c r="BI26">
        <v>23295</v>
      </c>
      <c r="BJ26">
        <v>23645</v>
      </c>
      <c r="BK26">
        <v>23645</v>
      </c>
      <c r="BL26">
        <v>23645</v>
      </c>
      <c r="BM26">
        <v>23645</v>
      </c>
      <c r="BN26">
        <v>23645</v>
      </c>
      <c r="BO26">
        <v>23645</v>
      </c>
      <c r="BP26">
        <v>23645</v>
      </c>
      <c r="BQ26">
        <v>23645</v>
      </c>
      <c r="BR26">
        <v>23645</v>
      </c>
      <c r="BS26">
        <v>23645</v>
      </c>
      <c r="BT26">
        <v>23645</v>
      </c>
      <c r="BU26">
        <v>23645</v>
      </c>
      <c r="BV26">
        <v>23645</v>
      </c>
      <c r="BW26">
        <v>23645</v>
      </c>
      <c r="BX26">
        <v>23645</v>
      </c>
      <c r="BY26">
        <v>23645</v>
      </c>
      <c r="BZ26">
        <v>23645</v>
      </c>
      <c r="CA26">
        <v>23645</v>
      </c>
      <c r="CB26">
        <v>23645</v>
      </c>
      <c r="CC26">
        <v>23645</v>
      </c>
      <c r="CD26">
        <v>23645</v>
      </c>
      <c r="CE26">
        <v>23645</v>
      </c>
      <c r="CF26">
        <v>23645</v>
      </c>
      <c r="CG26">
        <v>23645</v>
      </c>
      <c r="CH26">
        <v>23645</v>
      </c>
      <c r="CI26">
        <v>23645</v>
      </c>
      <c r="CJ26">
        <v>23645</v>
      </c>
      <c r="CK26">
        <v>23645</v>
      </c>
      <c r="CL26">
        <v>23645</v>
      </c>
      <c r="CM26">
        <v>23645</v>
      </c>
      <c r="CN26">
        <v>23645</v>
      </c>
      <c r="CO26">
        <v>23645</v>
      </c>
      <c r="CP26">
        <v>23645</v>
      </c>
      <c r="CQ26">
        <v>23645</v>
      </c>
      <c r="CR26">
        <v>23645</v>
      </c>
      <c r="CS26">
        <v>23645</v>
      </c>
    </row>
    <row r="27" spans="1:97">
      <c r="A27" s="8">
        <v>46260</v>
      </c>
      <c r="B27">
        <v>23645</v>
      </c>
      <c r="C27">
        <v>23645</v>
      </c>
      <c r="D27">
        <v>23645</v>
      </c>
      <c r="E27">
        <v>23645</v>
      </c>
      <c r="F27">
        <v>23645</v>
      </c>
      <c r="G27">
        <v>23645</v>
      </c>
      <c r="H27">
        <v>23645</v>
      </c>
      <c r="I27">
        <v>23645</v>
      </c>
      <c r="J27">
        <v>23645</v>
      </c>
      <c r="K27">
        <v>23645</v>
      </c>
      <c r="L27">
        <v>23645</v>
      </c>
      <c r="M27">
        <v>23645</v>
      </c>
      <c r="N27">
        <v>23645</v>
      </c>
      <c r="O27">
        <v>23645</v>
      </c>
      <c r="P27">
        <v>23645</v>
      </c>
      <c r="Q27">
        <v>23645</v>
      </c>
      <c r="R27">
        <v>23645</v>
      </c>
      <c r="S27">
        <v>23645</v>
      </c>
      <c r="T27">
        <v>23645</v>
      </c>
      <c r="U27">
        <v>23645</v>
      </c>
      <c r="V27">
        <v>23645</v>
      </c>
      <c r="W27">
        <v>23645</v>
      </c>
      <c r="X27">
        <v>23645</v>
      </c>
      <c r="Y27">
        <v>23645</v>
      </c>
      <c r="Z27">
        <v>23645</v>
      </c>
      <c r="AA27">
        <v>23645</v>
      </c>
      <c r="AB27">
        <v>23645</v>
      </c>
      <c r="AC27">
        <v>23645</v>
      </c>
      <c r="AD27">
        <v>23645</v>
      </c>
      <c r="AE27">
        <v>23645</v>
      </c>
      <c r="AF27">
        <v>23645</v>
      </c>
      <c r="AG27">
        <v>23645</v>
      </c>
      <c r="AH27">
        <v>23645</v>
      </c>
      <c r="AI27">
        <v>23645</v>
      </c>
      <c r="AJ27">
        <v>23645</v>
      </c>
      <c r="AK27">
        <v>23645</v>
      </c>
      <c r="AL27">
        <v>23645</v>
      </c>
      <c r="AM27">
        <v>23645</v>
      </c>
      <c r="AN27">
        <v>23645</v>
      </c>
      <c r="AO27">
        <v>23645</v>
      </c>
      <c r="AP27">
        <v>23645</v>
      </c>
      <c r="AQ27">
        <v>23645</v>
      </c>
      <c r="AR27">
        <v>23645</v>
      </c>
      <c r="AS27">
        <v>23645</v>
      </c>
      <c r="AT27">
        <v>23645</v>
      </c>
      <c r="AU27">
        <v>23645</v>
      </c>
      <c r="AV27">
        <v>23645</v>
      </c>
      <c r="AW27">
        <v>23645</v>
      </c>
      <c r="AX27">
        <v>23645</v>
      </c>
      <c r="AY27">
        <v>23645</v>
      </c>
      <c r="AZ27">
        <v>23645</v>
      </c>
      <c r="BA27">
        <v>23645</v>
      </c>
      <c r="BB27">
        <v>23645</v>
      </c>
      <c r="BC27">
        <v>23645</v>
      </c>
      <c r="BD27">
        <v>23645</v>
      </c>
      <c r="BE27">
        <v>23645</v>
      </c>
      <c r="BF27">
        <v>23645</v>
      </c>
      <c r="BG27">
        <v>23645</v>
      </c>
      <c r="BH27">
        <v>23645</v>
      </c>
      <c r="BI27">
        <v>23645</v>
      </c>
      <c r="BJ27">
        <v>23645</v>
      </c>
      <c r="BK27">
        <v>23645</v>
      </c>
      <c r="BL27">
        <v>23645</v>
      </c>
      <c r="BM27">
        <v>23645</v>
      </c>
      <c r="BN27">
        <v>23645</v>
      </c>
      <c r="BO27">
        <v>23645</v>
      </c>
      <c r="BP27">
        <v>23645</v>
      </c>
      <c r="BQ27">
        <v>23645</v>
      </c>
      <c r="BR27">
        <v>23645</v>
      </c>
      <c r="BS27">
        <v>23645</v>
      </c>
      <c r="BT27">
        <v>23645</v>
      </c>
      <c r="BU27">
        <v>23645</v>
      </c>
      <c r="BV27">
        <v>23645</v>
      </c>
      <c r="BW27">
        <v>23645</v>
      </c>
      <c r="BX27">
        <v>23645</v>
      </c>
      <c r="BY27">
        <v>23510</v>
      </c>
      <c r="BZ27">
        <v>23510</v>
      </c>
      <c r="CA27">
        <v>23510</v>
      </c>
      <c r="CB27">
        <v>23510</v>
      </c>
      <c r="CC27">
        <v>23360</v>
      </c>
      <c r="CD27">
        <v>23160</v>
      </c>
      <c r="CE27">
        <v>23160</v>
      </c>
      <c r="CF27">
        <v>23160</v>
      </c>
      <c r="CG27">
        <v>23160</v>
      </c>
      <c r="CH27">
        <v>23160</v>
      </c>
      <c r="CI27">
        <v>23160</v>
      </c>
      <c r="CJ27">
        <v>23160</v>
      </c>
      <c r="CK27">
        <v>23160</v>
      </c>
      <c r="CL27">
        <v>23160</v>
      </c>
      <c r="CM27">
        <v>23160</v>
      </c>
      <c r="CN27">
        <v>23160</v>
      </c>
      <c r="CO27">
        <v>23160</v>
      </c>
      <c r="CP27">
        <v>23160</v>
      </c>
      <c r="CQ27">
        <v>23160</v>
      </c>
      <c r="CR27">
        <v>23160</v>
      </c>
      <c r="CS27">
        <v>23160</v>
      </c>
    </row>
    <row r="28" spans="1:97">
      <c r="A28" s="8">
        <v>46261</v>
      </c>
      <c r="B28">
        <v>23160</v>
      </c>
      <c r="C28">
        <v>23160</v>
      </c>
      <c r="D28">
        <v>23160</v>
      </c>
      <c r="E28">
        <v>23160</v>
      </c>
      <c r="F28">
        <v>23160</v>
      </c>
      <c r="G28">
        <v>22810</v>
      </c>
      <c r="H28">
        <v>22810</v>
      </c>
      <c r="I28">
        <v>22810</v>
      </c>
      <c r="J28">
        <v>22810</v>
      </c>
      <c r="K28">
        <v>22810</v>
      </c>
      <c r="L28">
        <v>22810</v>
      </c>
      <c r="M28">
        <v>22810</v>
      </c>
      <c r="N28">
        <v>22810</v>
      </c>
      <c r="O28">
        <v>22810</v>
      </c>
      <c r="P28">
        <v>22810</v>
      </c>
      <c r="Q28">
        <v>22810</v>
      </c>
      <c r="R28">
        <v>22810</v>
      </c>
      <c r="S28">
        <v>22810</v>
      </c>
      <c r="T28">
        <v>22810</v>
      </c>
      <c r="U28">
        <v>22810</v>
      </c>
      <c r="V28">
        <v>22810</v>
      </c>
      <c r="W28">
        <v>22810</v>
      </c>
      <c r="X28">
        <v>22810</v>
      </c>
      <c r="Y28">
        <v>22810</v>
      </c>
      <c r="Z28">
        <v>22810</v>
      </c>
      <c r="AA28">
        <v>22810</v>
      </c>
      <c r="AB28">
        <v>22810</v>
      </c>
      <c r="AC28">
        <v>22810</v>
      </c>
      <c r="AD28">
        <v>22810</v>
      </c>
      <c r="AE28">
        <v>22810</v>
      </c>
      <c r="AF28">
        <v>22810</v>
      </c>
      <c r="AG28">
        <v>22810</v>
      </c>
      <c r="AH28">
        <v>22810</v>
      </c>
      <c r="AI28">
        <v>22810</v>
      </c>
      <c r="AJ28">
        <v>22810</v>
      </c>
      <c r="AK28">
        <v>22810</v>
      </c>
      <c r="AL28">
        <v>21930</v>
      </c>
      <c r="AM28">
        <v>21930</v>
      </c>
      <c r="AN28">
        <v>21930</v>
      </c>
      <c r="AO28">
        <v>21930</v>
      </c>
      <c r="AP28">
        <v>21930</v>
      </c>
      <c r="AQ28">
        <v>21930</v>
      </c>
      <c r="AR28">
        <v>21930</v>
      </c>
      <c r="AS28">
        <v>21930</v>
      </c>
      <c r="AT28">
        <v>21930</v>
      </c>
      <c r="AU28">
        <v>21930</v>
      </c>
      <c r="AV28">
        <v>21930</v>
      </c>
      <c r="AW28">
        <v>21930</v>
      </c>
      <c r="AX28">
        <v>21930</v>
      </c>
      <c r="AY28">
        <v>21930</v>
      </c>
      <c r="AZ28">
        <v>21930</v>
      </c>
      <c r="BA28">
        <v>21930</v>
      </c>
      <c r="BB28">
        <v>21930</v>
      </c>
      <c r="BC28">
        <v>21930</v>
      </c>
      <c r="BD28">
        <v>21930</v>
      </c>
      <c r="BE28">
        <v>21930</v>
      </c>
      <c r="BF28">
        <v>21930</v>
      </c>
      <c r="BG28">
        <v>21930</v>
      </c>
      <c r="BH28">
        <v>21930</v>
      </c>
      <c r="BI28">
        <v>21930</v>
      </c>
      <c r="BJ28">
        <v>21930</v>
      </c>
      <c r="BK28">
        <v>21930</v>
      </c>
      <c r="BL28">
        <v>21930</v>
      </c>
      <c r="BM28">
        <v>21930</v>
      </c>
      <c r="BN28">
        <v>21930</v>
      </c>
      <c r="BO28">
        <v>21930</v>
      </c>
      <c r="BP28">
        <v>21930</v>
      </c>
      <c r="BQ28">
        <v>21930</v>
      </c>
      <c r="BR28">
        <v>21930</v>
      </c>
      <c r="BS28">
        <v>21930</v>
      </c>
      <c r="BT28">
        <v>21930</v>
      </c>
      <c r="BU28">
        <v>21930</v>
      </c>
      <c r="BV28">
        <v>21930</v>
      </c>
      <c r="BW28">
        <v>21930</v>
      </c>
      <c r="BX28">
        <v>21930</v>
      </c>
      <c r="BY28">
        <v>21930</v>
      </c>
      <c r="BZ28">
        <v>21930</v>
      </c>
      <c r="CA28">
        <v>21930</v>
      </c>
      <c r="CB28">
        <v>21930</v>
      </c>
      <c r="CC28">
        <v>21930</v>
      </c>
      <c r="CD28">
        <v>21930</v>
      </c>
      <c r="CE28">
        <v>21930</v>
      </c>
      <c r="CF28">
        <v>21930</v>
      </c>
      <c r="CG28">
        <v>21930</v>
      </c>
      <c r="CH28">
        <v>21930</v>
      </c>
      <c r="CI28">
        <v>21930</v>
      </c>
      <c r="CJ28">
        <v>21930</v>
      </c>
      <c r="CK28">
        <v>21930</v>
      </c>
      <c r="CL28">
        <v>21930</v>
      </c>
      <c r="CM28">
        <v>21930</v>
      </c>
      <c r="CN28">
        <v>21930</v>
      </c>
      <c r="CO28">
        <v>21930</v>
      </c>
      <c r="CP28">
        <v>21930</v>
      </c>
      <c r="CQ28">
        <v>21930</v>
      </c>
      <c r="CR28">
        <v>21930</v>
      </c>
      <c r="CS28">
        <v>21930</v>
      </c>
    </row>
    <row r="29" spans="1:97">
      <c r="A29" s="8">
        <v>46262</v>
      </c>
      <c r="B29">
        <v>21930</v>
      </c>
      <c r="C29">
        <v>21930</v>
      </c>
      <c r="D29">
        <v>21930</v>
      </c>
      <c r="E29">
        <v>21930</v>
      </c>
      <c r="F29">
        <v>21930</v>
      </c>
      <c r="G29">
        <v>21930</v>
      </c>
      <c r="H29">
        <v>21930</v>
      </c>
      <c r="I29">
        <v>21930</v>
      </c>
      <c r="J29">
        <v>21930</v>
      </c>
      <c r="K29">
        <v>21930</v>
      </c>
      <c r="L29">
        <v>21930</v>
      </c>
      <c r="M29">
        <v>21930</v>
      </c>
      <c r="N29">
        <v>21930</v>
      </c>
      <c r="O29">
        <v>21930</v>
      </c>
      <c r="P29">
        <v>21930</v>
      </c>
      <c r="Q29">
        <v>21930</v>
      </c>
      <c r="R29">
        <v>21930</v>
      </c>
      <c r="S29">
        <v>21930</v>
      </c>
      <c r="T29">
        <v>21930</v>
      </c>
      <c r="U29">
        <v>21930</v>
      </c>
      <c r="V29">
        <v>21930</v>
      </c>
      <c r="W29">
        <v>21930</v>
      </c>
      <c r="X29">
        <v>21930</v>
      </c>
      <c r="Y29">
        <v>21930</v>
      </c>
      <c r="Z29">
        <v>21930</v>
      </c>
      <c r="AA29">
        <v>21930</v>
      </c>
      <c r="AB29">
        <v>21930</v>
      </c>
      <c r="AC29">
        <v>21930</v>
      </c>
      <c r="AD29">
        <v>21930</v>
      </c>
      <c r="AE29">
        <v>21930</v>
      </c>
      <c r="AF29">
        <v>21930</v>
      </c>
      <c r="AG29">
        <v>21930</v>
      </c>
      <c r="AH29">
        <v>21930</v>
      </c>
      <c r="AI29">
        <v>21930</v>
      </c>
      <c r="AJ29">
        <v>21930</v>
      </c>
      <c r="AK29">
        <v>21930</v>
      </c>
      <c r="AL29">
        <v>21930</v>
      </c>
      <c r="AM29">
        <v>21930</v>
      </c>
      <c r="AN29">
        <v>21930</v>
      </c>
      <c r="AO29">
        <v>21930</v>
      </c>
      <c r="AP29">
        <v>21930</v>
      </c>
      <c r="AQ29">
        <v>21930</v>
      </c>
      <c r="AR29">
        <v>21930</v>
      </c>
      <c r="AS29">
        <v>21930</v>
      </c>
      <c r="AT29">
        <v>21930</v>
      </c>
      <c r="AU29">
        <v>21930</v>
      </c>
      <c r="AV29">
        <v>21930</v>
      </c>
      <c r="AW29">
        <v>21930</v>
      </c>
      <c r="AX29">
        <v>21930</v>
      </c>
      <c r="AY29">
        <v>21930</v>
      </c>
      <c r="AZ29">
        <v>21930</v>
      </c>
      <c r="BA29">
        <v>21930</v>
      </c>
      <c r="BB29">
        <v>21930</v>
      </c>
      <c r="BC29">
        <v>21930</v>
      </c>
      <c r="BD29">
        <v>21795</v>
      </c>
      <c r="BE29">
        <v>21795</v>
      </c>
      <c r="BF29">
        <v>21795</v>
      </c>
      <c r="BG29">
        <v>21795</v>
      </c>
      <c r="BH29">
        <v>21795</v>
      </c>
      <c r="BI29">
        <v>21795</v>
      </c>
      <c r="BJ29">
        <v>21795</v>
      </c>
      <c r="BK29">
        <v>21795</v>
      </c>
      <c r="BL29">
        <v>21795</v>
      </c>
      <c r="BM29">
        <v>21795</v>
      </c>
      <c r="BN29">
        <v>21795</v>
      </c>
      <c r="BO29">
        <v>21795</v>
      </c>
      <c r="BP29">
        <v>21795</v>
      </c>
      <c r="BQ29">
        <v>21795</v>
      </c>
      <c r="BR29">
        <v>21795</v>
      </c>
      <c r="BS29">
        <v>21795</v>
      </c>
      <c r="BT29">
        <v>21795</v>
      </c>
      <c r="BU29">
        <v>21795</v>
      </c>
      <c r="BV29">
        <v>21795</v>
      </c>
      <c r="BW29">
        <v>21795</v>
      </c>
      <c r="BX29">
        <v>21795</v>
      </c>
      <c r="BY29">
        <v>21795</v>
      </c>
      <c r="BZ29">
        <v>21795</v>
      </c>
      <c r="CA29">
        <v>21795</v>
      </c>
      <c r="CB29">
        <v>21795</v>
      </c>
      <c r="CC29">
        <v>21795</v>
      </c>
      <c r="CD29">
        <v>21795</v>
      </c>
      <c r="CE29">
        <v>21795</v>
      </c>
      <c r="CF29">
        <v>21795</v>
      </c>
      <c r="CG29">
        <v>21795</v>
      </c>
      <c r="CH29">
        <v>21795</v>
      </c>
      <c r="CI29">
        <v>21795</v>
      </c>
      <c r="CJ29">
        <v>21795</v>
      </c>
      <c r="CK29">
        <v>21795</v>
      </c>
      <c r="CL29">
        <v>21795</v>
      </c>
      <c r="CM29">
        <v>21795</v>
      </c>
      <c r="CN29">
        <v>21310</v>
      </c>
      <c r="CO29">
        <v>20980</v>
      </c>
      <c r="CP29">
        <v>20680</v>
      </c>
      <c r="CQ29">
        <v>20680</v>
      </c>
      <c r="CR29">
        <v>20680</v>
      </c>
      <c r="CS29">
        <v>20680</v>
      </c>
    </row>
    <row r="30" spans="1:97">
      <c r="A30" s="8">
        <v>46263</v>
      </c>
      <c r="B30">
        <v>20680</v>
      </c>
      <c r="C30">
        <v>20680</v>
      </c>
      <c r="D30">
        <v>20680</v>
      </c>
      <c r="E30">
        <v>20680</v>
      </c>
      <c r="F30">
        <v>20680</v>
      </c>
      <c r="G30">
        <v>20680</v>
      </c>
      <c r="H30">
        <v>20080</v>
      </c>
      <c r="I30">
        <v>20080</v>
      </c>
      <c r="J30">
        <v>20080</v>
      </c>
      <c r="K30">
        <v>19730</v>
      </c>
      <c r="L30">
        <v>19730</v>
      </c>
      <c r="M30">
        <v>19730</v>
      </c>
      <c r="N30">
        <v>19730</v>
      </c>
      <c r="O30">
        <v>19730</v>
      </c>
      <c r="P30">
        <v>19070</v>
      </c>
      <c r="Q30">
        <v>19070</v>
      </c>
      <c r="R30">
        <v>19070</v>
      </c>
      <c r="S30">
        <v>19070</v>
      </c>
      <c r="T30">
        <v>19070</v>
      </c>
      <c r="U30">
        <v>19070</v>
      </c>
      <c r="V30">
        <v>19070</v>
      </c>
      <c r="W30">
        <v>19070</v>
      </c>
      <c r="X30">
        <v>19070</v>
      </c>
      <c r="Y30">
        <v>19070</v>
      </c>
      <c r="Z30">
        <v>19070</v>
      </c>
      <c r="AA30">
        <v>19070</v>
      </c>
      <c r="AB30">
        <v>19070</v>
      </c>
      <c r="AC30">
        <v>19070</v>
      </c>
      <c r="AD30">
        <v>19070</v>
      </c>
      <c r="AE30">
        <v>19070</v>
      </c>
      <c r="AF30">
        <v>19070</v>
      </c>
      <c r="AG30">
        <v>19070</v>
      </c>
      <c r="AH30">
        <v>19070</v>
      </c>
      <c r="AI30">
        <v>19070</v>
      </c>
      <c r="AJ30">
        <v>19070</v>
      </c>
      <c r="AK30">
        <v>19070</v>
      </c>
      <c r="AL30">
        <v>19070</v>
      </c>
      <c r="AM30">
        <v>19070</v>
      </c>
      <c r="AN30">
        <v>19070</v>
      </c>
      <c r="AO30">
        <v>19070</v>
      </c>
      <c r="AP30">
        <v>19070</v>
      </c>
      <c r="AQ30">
        <v>19070</v>
      </c>
      <c r="AR30">
        <v>19070</v>
      </c>
      <c r="AS30">
        <v>19070</v>
      </c>
      <c r="AT30">
        <v>19070</v>
      </c>
      <c r="AU30">
        <v>19070</v>
      </c>
      <c r="AV30">
        <v>19070</v>
      </c>
      <c r="AW30">
        <v>19070</v>
      </c>
      <c r="AX30">
        <v>19070</v>
      </c>
      <c r="AY30">
        <v>19070</v>
      </c>
      <c r="AZ30">
        <v>19070</v>
      </c>
      <c r="BA30">
        <v>19070</v>
      </c>
      <c r="BB30">
        <v>19070</v>
      </c>
      <c r="BC30">
        <v>19070</v>
      </c>
      <c r="BD30">
        <v>19070</v>
      </c>
      <c r="BE30">
        <v>19070</v>
      </c>
      <c r="BF30">
        <v>19070</v>
      </c>
      <c r="BG30">
        <v>19070</v>
      </c>
      <c r="BH30">
        <v>19070</v>
      </c>
      <c r="BI30">
        <v>19070</v>
      </c>
      <c r="BJ30">
        <v>19070</v>
      </c>
      <c r="BK30">
        <v>19070</v>
      </c>
      <c r="BL30">
        <v>19070</v>
      </c>
      <c r="BM30">
        <v>19070</v>
      </c>
      <c r="BN30">
        <v>19070</v>
      </c>
      <c r="BO30">
        <v>19070</v>
      </c>
      <c r="BP30">
        <v>19070</v>
      </c>
      <c r="BQ30">
        <v>19070</v>
      </c>
      <c r="BR30">
        <v>19070</v>
      </c>
      <c r="BS30">
        <v>19070</v>
      </c>
      <c r="BT30">
        <v>19070</v>
      </c>
      <c r="BU30">
        <v>19070</v>
      </c>
      <c r="BV30">
        <v>19070</v>
      </c>
      <c r="BW30">
        <v>19070</v>
      </c>
      <c r="BX30">
        <v>19070</v>
      </c>
      <c r="BY30">
        <v>19070</v>
      </c>
      <c r="BZ30">
        <v>19070</v>
      </c>
      <c r="CA30">
        <v>19070</v>
      </c>
      <c r="CB30">
        <v>19070</v>
      </c>
      <c r="CC30">
        <v>19070</v>
      </c>
      <c r="CD30">
        <v>19070</v>
      </c>
      <c r="CE30">
        <v>19070</v>
      </c>
      <c r="CF30">
        <v>19070</v>
      </c>
      <c r="CG30">
        <v>19070</v>
      </c>
      <c r="CH30">
        <v>19070</v>
      </c>
      <c r="CI30">
        <v>19070</v>
      </c>
      <c r="CJ30">
        <v>19070</v>
      </c>
      <c r="CK30">
        <v>19070</v>
      </c>
      <c r="CL30">
        <v>19070</v>
      </c>
      <c r="CM30">
        <v>18470</v>
      </c>
      <c r="CN30">
        <v>18470</v>
      </c>
      <c r="CO30">
        <v>18470</v>
      </c>
      <c r="CP30">
        <v>18470</v>
      </c>
      <c r="CQ30">
        <v>18470</v>
      </c>
      <c r="CR30">
        <v>18470</v>
      </c>
      <c r="CS30">
        <v>18470</v>
      </c>
    </row>
    <row r="31" spans="1:97">
      <c r="A31" s="8">
        <v>46264</v>
      </c>
      <c r="B31">
        <v>18470</v>
      </c>
      <c r="C31">
        <v>18470</v>
      </c>
      <c r="D31">
        <v>18470</v>
      </c>
      <c r="E31">
        <v>18470</v>
      </c>
      <c r="F31">
        <v>18470</v>
      </c>
      <c r="G31">
        <v>18470</v>
      </c>
      <c r="H31">
        <v>18470</v>
      </c>
      <c r="I31">
        <v>18470</v>
      </c>
      <c r="J31">
        <v>18470</v>
      </c>
      <c r="K31">
        <v>18470</v>
      </c>
      <c r="L31">
        <v>18470</v>
      </c>
      <c r="M31">
        <v>18470</v>
      </c>
      <c r="N31">
        <v>18470</v>
      </c>
      <c r="O31">
        <v>18470</v>
      </c>
      <c r="P31">
        <v>18470</v>
      </c>
      <c r="Q31">
        <v>18470</v>
      </c>
      <c r="R31">
        <v>18470</v>
      </c>
      <c r="S31">
        <v>18470</v>
      </c>
      <c r="T31">
        <v>18470</v>
      </c>
      <c r="U31">
        <v>18470</v>
      </c>
      <c r="V31">
        <v>18470</v>
      </c>
      <c r="W31">
        <v>18470</v>
      </c>
      <c r="X31">
        <v>18470</v>
      </c>
      <c r="Y31">
        <v>18470</v>
      </c>
      <c r="Z31">
        <v>18470</v>
      </c>
      <c r="AA31">
        <v>18470</v>
      </c>
      <c r="AB31">
        <v>18470</v>
      </c>
      <c r="AC31">
        <v>18470</v>
      </c>
      <c r="AD31">
        <v>18470</v>
      </c>
      <c r="AE31">
        <v>18470</v>
      </c>
      <c r="AF31">
        <v>18470</v>
      </c>
      <c r="AG31">
        <v>18470</v>
      </c>
      <c r="AH31">
        <v>18470</v>
      </c>
      <c r="AI31">
        <v>18470</v>
      </c>
      <c r="AJ31">
        <v>18470</v>
      </c>
      <c r="AK31">
        <v>18470</v>
      </c>
      <c r="AL31">
        <v>18470</v>
      </c>
      <c r="AM31">
        <v>18470</v>
      </c>
      <c r="AN31">
        <v>18470</v>
      </c>
      <c r="AO31">
        <v>18470</v>
      </c>
      <c r="AP31">
        <v>18470</v>
      </c>
      <c r="AQ31">
        <v>18470</v>
      </c>
      <c r="AR31">
        <v>18470</v>
      </c>
      <c r="AS31">
        <v>18470</v>
      </c>
      <c r="AT31">
        <v>18470</v>
      </c>
      <c r="AU31">
        <v>18470</v>
      </c>
      <c r="AV31">
        <v>18470</v>
      </c>
      <c r="AW31">
        <v>18470</v>
      </c>
      <c r="AX31">
        <v>18470</v>
      </c>
      <c r="AY31">
        <v>18470</v>
      </c>
      <c r="AZ31">
        <v>18470</v>
      </c>
      <c r="BA31">
        <v>18470</v>
      </c>
      <c r="BB31">
        <v>18470</v>
      </c>
      <c r="BC31">
        <v>18470</v>
      </c>
      <c r="BD31">
        <v>18470</v>
      </c>
      <c r="BE31">
        <v>18470</v>
      </c>
      <c r="BF31">
        <v>18470</v>
      </c>
      <c r="BG31">
        <v>18470</v>
      </c>
      <c r="BH31">
        <v>18470</v>
      </c>
      <c r="BI31">
        <v>18470</v>
      </c>
      <c r="BJ31">
        <v>18470</v>
      </c>
      <c r="BK31">
        <v>18470</v>
      </c>
      <c r="BL31">
        <v>18470</v>
      </c>
      <c r="BM31">
        <v>18470</v>
      </c>
      <c r="BN31">
        <v>18470</v>
      </c>
      <c r="BO31">
        <v>18470</v>
      </c>
      <c r="BP31">
        <v>18470</v>
      </c>
      <c r="BQ31">
        <v>18470</v>
      </c>
      <c r="BR31">
        <v>18470</v>
      </c>
      <c r="BS31">
        <v>18470</v>
      </c>
      <c r="BT31">
        <v>18470</v>
      </c>
      <c r="BU31">
        <v>18470</v>
      </c>
      <c r="BV31">
        <v>18470</v>
      </c>
      <c r="BW31">
        <v>18470</v>
      </c>
      <c r="BX31">
        <v>18470</v>
      </c>
      <c r="BY31">
        <v>18470</v>
      </c>
      <c r="BZ31">
        <v>18470</v>
      </c>
      <c r="CA31">
        <v>18470</v>
      </c>
      <c r="CB31">
        <v>18470</v>
      </c>
      <c r="CC31">
        <v>18470</v>
      </c>
      <c r="CD31">
        <v>18470</v>
      </c>
      <c r="CE31">
        <v>18470</v>
      </c>
      <c r="CF31">
        <v>18470</v>
      </c>
      <c r="CG31">
        <v>18470</v>
      </c>
      <c r="CH31">
        <v>18470</v>
      </c>
      <c r="CI31">
        <v>18470</v>
      </c>
      <c r="CJ31">
        <v>18470</v>
      </c>
      <c r="CK31">
        <v>18470</v>
      </c>
      <c r="CL31">
        <v>18470</v>
      </c>
      <c r="CM31">
        <v>18470</v>
      </c>
      <c r="CN31">
        <v>18470</v>
      </c>
      <c r="CO31">
        <v>17920</v>
      </c>
      <c r="CP31">
        <v>17920</v>
      </c>
      <c r="CQ31">
        <v>17920</v>
      </c>
      <c r="CR31">
        <v>17920</v>
      </c>
      <c r="CS31">
        <v>17920</v>
      </c>
    </row>
    <row r="32" spans="1:97">
      <c r="A32" s="8">
        <v>46265</v>
      </c>
      <c r="B32">
        <v>18520</v>
      </c>
      <c r="C32">
        <v>18520</v>
      </c>
      <c r="D32">
        <v>18520</v>
      </c>
      <c r="E32">
        <v>17920</v>
      </c>
      <c r="F32">
        <v>18520</v>
      </c>
      <c r="G32">
        <v>18520</v>
      </c>
      <c r="H32">
        <v>18520</v>
      </c>
      <c r="I32">
        <v>18520</v>
      </c>
      <c r="J32">
        <v>18520</v>
      </c>
      <c r="K32">
        <v>18520</v>
      </c>
      <c r="L32">
        <v>18520</v>
      </c>
      <c r="M32">
        <v>18520</v>
      </c>
      <c r="N32">
        <v>18520</v>
      </c>
      <c r="O32">
        <v>18520</v>
      </c>
      <c r="P32">
        <v>18520</v>
      </c>
      <c r="Q32">
        <v>18520</v>
      </c>
      <c r="R32">
        <v>18520</v>
      </c>
      <c r="S32">
        <v>18520</v>
      </c>
      <c r="T32">
        <v>18520</v>
      </c>
      <c r="U32">
        <v>18520</v>
      </c>
      <c r="V32">
        <v>18520</v>
      </c>
      <c r="W32">
        <v>18520</v>
      </c>
      <c r="X32">
        <v>18520</v>
      </c>
      <c r="Y32">
        <v>18520</v>
      </c>
      <c r="Z32">
        <v>18520</v>
      </c>
      <c r="AA32">
        <v>18520</v>
      </c>
      <c r="AB32">
        <v>18520</v>
      </c>
      <c r="AC32">
        <v>18520</v>
      </c>
      <c r="AD32">
        <v>18520</v>
      </c>
      <c r="AE32">
        <v>18520</v>
      </c>
      <c r="AF32">
        <v>18520</v>
      </c>
      <c r="AG32">
        <v>18520</v>
      </c>
      <c r="AH32">
        <v>18520</v>
      </c>
      <c r="AI32">
        <v>18520</v>
      </c>
      <c r="AJ32">
        <v>18520</v>
      </c>
      <c r="AK32">
        <v>18520</v>
      </c>
      <c r="AL32">
        <v>18520</v>
      </c>
      <c r="AM32">
        <v>18520</v>
      </c>
      <c r="AN32">
        <v>18520</v>
      </c>
      <c r="AO32">
        <v>18520</v>
      </c>
      <c r="AP32">
        <v>18520</v>
      </c>
      <c r="AQ32">
        <v>18520</v>
      </c>
      <c r="AR32">
        <v>18520</v>
      </c>
      <c r="AS32">
        <v>18520</v>
      </c>
      <c r="AT32">
        <v>18520</v>
      </c>
      <c r="AU32">
        <v>18520</v>
      </c>
      <c r="AV32">
        <v>18520</v>
      </c>
      <c r="AW32">
        <v>18520</v>
      </c>
      <c r="AX32">
        <v>18520</v>
      </c>
      <c r="AY32">
        <v>18520</v>
      </c>
      <c r="AZ32">
        <v>18520</v>
      </c>
      <c r="BA32">
        <v>18520</v>
      </c>
      <c r="BB32">
        <v>18520</v>
      </c>
      <c r="BC32">
        <v>18520</v>
      </c>
      <c r="BD32">
        <v>18520</v>
      </c>
      <c r="BE32">
        <v>18520</v>
      </c>
      <c r="BF32">
        <v>18520</v>
      </c>
      <c r="BG32">
        <v>18520</v>
      </c>
      <c r="BH32">
        <v>18520</v>
      </c>
      <c r="BI32">
        <v>18520</v>
      </c>
      <c r="BJ32">
        <v>18520</v>
      </c>
      <c r="BK32">
        <v>18520</v>
      </c>
      <c r="BL32">
        <v>18520</v>
      </c>
      <c r="BM32">
        <v>18520</v>
      </c>
      <c r="BN32">
        <v>18520</v>
      </c>
      <c r="BO32">
        <v>18520</v>
      </c>
      <c r="BP32">
        <v>18520</v>
      </c>
      <c r="BQ32">
        <v>18520</v>
      </c>
      <c r="BR32">
        <v>18520</v>
      </c>
      <c r="BS32">
        <v>18520</v>
      </c>
      <c r="BT32">
        <v>18520</v>
      </c>
      <c r="BU32">
        <v>18520</v>
      </c>
      <c r="BV32">
        <v>18520</v>
      </c>
      <c r="BW32">
        <v>18520</v>
      </c>
      <c r="BX32">
        <v>18520</v>
      </c>
      <c r="BY32">
        <v>18520</v>
      </c>
      <c r="BZ32">
        <v>18520</v>
      </c>
      <c r="CA32">
        <v>18520</v>
      </c>
      <c r="CB32">
        <v>18520</v>
      </c>
      <c r="CC32">
        <v>18520</v>
      </c>
      <c r="CD32">
        <v>18520</v>
      </c>
      <c r="CE32">
        <v>18520</v>
      </c>
      <c r="CF32">
        <v>18520</v>
      </c>
      <c r="CG32">
        <v>18520</v>
      </c>
      <c r="CH32">
        <v>18520</v>
      </c>
      <c r="CI32">
        <v>18520</v>
      </c>
      <c r="CJ32">
        <v>18520</v>
      </c>
      <c r="CK32">
        <v>18520</v>
      </c>
      <c r="CL32">
        <v>18520</v>
      </c>
      <c r="CM32">
        <v>18520</v>
      </c>
      <c r="CN32">
        <v>18520</v>
      </c>
      <c r="CO32">
        <v>18520</v>
      </c>
      <c r="CP32">
        <v>18520</v>
      </c>
      <c r="CQ32">
        <v>18520</v>
      </c>
      <c r="CR32">
        <v>18520</v>
      </c>
      <c r="CS32">
        <v>18520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15"/>
  <dimension ref="A2:CS16"/>
  <sheetViews>
    <sheetView zoomScale="70" zoomScaleNormal="70" topLeftCell="BL1" workbookViewId="0">
      <selection activeCell="B16" sqref="B16:CS16"/>
    </sheetView>
  </sheetViews>
  <sheetFormatPr defaultColWidth="9" defaultRowHeight="13.5"/>
  <cols>
    <col min="1" max="17" width="12.6333333333333"/>
    <col min="18" max="18" width="11.5"/>
    <col min="19" max="22" width="12.6333333333333"/>
    <col min="23" max="23" width="11.5"/>
    <col min="24" max="47" width="12.6333333333333"/>
    <col min="48" max="48" width="13.7583333333333"/>
    <col min="49" max="56" width="12.6333333333333"/>
    <col min="57" max="58" width="13.7583333333333"/>
    <col min="59" max="96" width="12.6333333333333"/>
  </cols>
  <sheetData>
    <row r="2" ht="28.5" spans="1:97">
      <c r="A2" s="1" t="s">
        <v>1</v>
      </c>
      <c r="B2" s="2">
        <v>0.0104166666666667</v>
      </c>
      <c r="C2" s="2">
        <v>0.0208333333333333</v>
      </c>
      <c r="D2" s="2">
        <v>0.03125</v>
      </c>
      <c r="E2" s="2">
        <v>0.0416666666666667</v>
      </c>
      <c r="F2" s="2">
        <v>0.0520833333333333</v>
      </c>
      <c r="G2" s="2">
        <v>0.0625</v>
      </c>
      <c r="H2" s="2">
        <v>0.0729166666666667</v>
      </c>
      <c r="I2" s="2">
        <v>0.0833333333333333</v>
      </c>
      <c r="J2" s="2">
        <v>0.09375</v>
      </c>
      <c r="K2" s="2">
        <v>0.104166666666667</v>
      </c>
      <c r="L2" s="2">
        <v>0.114583333333333</v>
      </c>
      <c r="M2" s="2">
        <v>0.125</v>
      </c>
      <c r="N2" s="2">
        <v>0.135416666666667</v>
      </c>
      <c r="O2" s="2">
        <v>0.145833333333333</v>
      </c>
      <c r="P2" s="2">
        <v>0.15625</v>
      </c>
      <c r="Q2" s="2">
        <v>0.166666666666667</v>
      </c>
    </row>
    <row r="3" ht="16.5" spans="1:97">
      <c r="A3" s="1"/>
      <c r="B3" s="3">
        <v>54.78</v>
      </c>
      <c r="C3" s="3">
        <v>57.81</v>
      </c>
      <c r="D3" s="3">
        <v>57.55</v>
      </c>
      <c r="E3" s="3">
        <v>55.74</v>
      </c>
      <c r="F3" s="3">
        <v>55.46</v>
      </c>
      <c r="G3" s="3">
        <v>54.8</v>
      </c>
      <c r="H3" s="3">
        <v>55.03</v>
      </c>
      <c r="I3" s="3">
        <v>56.65</v>
      </c>
      <c r="J3" s="3">
        <v>56.64</v>
      </c>
      <c r="K3" s="3">
        <v>56.51</v>
      </c>
      <c r="L3" s="3">
        <v>56.56</v>
      </c>
      <c r="M3" s="3">
        <v>56.31</v>
      </c>
      <c r="N3" s="3">
        <v>56.21</v>
      </c>
      <c r="O3" s="3">
        <v>56.16</v>
      </c>
      <c r="P3" s="3">
        <v>56.13</v>
      </c>
      <c r="Q3" s="3">
        <v>56.1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</row>
    <row r="4" ht="28.5" spans="1:97">
      <c r="A4" s="1" t="s">
        <v>1</v>
      </c>
      <c r="B4" s="2">
        <v>0.177083333333333</v>
      </c>
      <c r="C4" s="2">
        <v>0.1875</v>
      </c>
      <c r="D4" s="2">
        <v>0.197916666666667</v>
      </c>
      <c r="E4" s="2">
        <v>0.208333333333333</v>
      </c>
      <c r="F4" s="2">
        <v>0.21875</v>
      </c>
      <c r="G4" s="2">
        <v>0.229166666666667</v>
      </c>
      <c r="H4" s="2">
        <v>0.239583333333333</v>
      </c>
      <c r="I4" s="2">
        <v>0.25</v>
      </c>
      <c r="J4" s="2">
        <v>0.260416666666667</v>
      </c>
      <c r="K4" s="2">
        <v>0.270833333333333</v>
      </c>
      <c r="L4" s="2">
        <v>0.28125</v>
      </c>
      <c r="M4" s="2">
        <v>0.291666666666667</v>
      </c>
      <c r="N4" s="2">
        <v>0.302083333333333</v>
      </c>
      <c r="O4" s="2">
        <v>0.3125</v>
      </c>
      <c r="P4" s="2">
        <v>0.322916666666667</v>
      </c>
      <c r="Q4" s="2">
        <v>0.333333333333333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</row>
    <row r="5" ht="16.5" spans="1:97">
      <c r="A5" s="1"/>
      <c r="B5" s="3">
        <v>54.45</v>
      </c>
      <c r="C5" s="3">
        <v>54.35</v>
      </c>
      <c r="D5" s="3">
        <v>54.39</v>
      </c>
      <c r="E5" s="3">
        <v>53.58</v>
      </c>
      <c r="F5" s="3">
        <v>53.61</v>
      </c>
      <c r="G5" s="3">
        <v>53.2</v>
      </c>
      <c r="H5" s="3">
        <v>53.08</v>
      </c>
      <c r="I5" s="3">
        <v>53.1</v>
      </c>
      <c r="J5" s="3">
        <v>52.98</v>
      </c>
      <c r="K5" s="3">
        <v>52.52</v>
      </c>
      <c r="L5" s="3">
        <v>52.44</v>
      </c>
      <c r="M5" s="3">
        <v>52.43</v>
      </c>
      <c r="N5" s="3">
        <v>53.04</v>
      </c>
      <c r="O5" s="3">
        <v>53.29</v>
      </c>
      <c r="P5" s="3">
        <v>53.3</v>
      </c>
      <c r="Q5" s="3">
        <v>53.11</v>
      </c>
    </row>
    <row r="6" ht="28.5" spans="1:97">
      <c r="A6" s="1" t="s">
        <v>1</v>
      </c>
      <c r="B6" s="2">
        <v>0.34375</v>
      </c>
      <c r="C6" s="2">
        <v>0.354166666666667</v>
      </c>
      <c r="D6" s="2">
        <v>0.364583333333333</v>
      </c>
      <c r="E6" s="2">
        <v>0.375</v>
      </c>
      <c r="F6" s="2">
        <v>0.385416666666667</v>
      </c>
      <c r="G6" s="2">
        <v>0.395833333333333</v>
      </c>
      <c r="H6" s="2">
        <v>0.40625</v>
      </c>
      <c r="I6" s="2">
        <v>0.416666666666667</v>
      </c>
      <c r="J6" s="2">
        <v>0.427083333333333</v>
      </c>
      <c r="K6" s="2">
        <v>0.4375</v>
      </c>
      <c r="L6" s="2">
        <v>0.447916666666667</v>
      </c>
      <c r="M6" s="2">
        <v>0.458333333333333</v>
      </c>
      <c r="N6" s="2">
        <v>0.46875</v>
      </c>
      <c r="O6" s="2">
        <v>0.479166666666667</v>
      </c>
      <c r="P6" s="2">
        <v>0.489583333333333</v>
      </c>
      <c r="Q6" s="2">
        <v>0.5</v>
      </c>
    </row>
    <row r="7" ht="16.5" spans="1:97">
      <c r="A7" s="1"/>
      <c r="B7" s="3">
        <v>52.63</v>
      </c>
      <c r="C7" s="3">
        <v>50.05</v>
      </c>
      <c r="D7" s="3">
        <v>50.04</v>
      </c>
      <c r="E7" s="3">
        <v>50.06</v>
      </c>
      <c r="F7" s="3">
        <v>50.17</v>
      </c>
      <c r="G7" s="3">
        <v>50.13</v>
      </c>
      <c r="H7" s="3">
        <v>49.42</v>
      </c>
      <c r="I7" s="3">
        <v>49.36</v>
      </c>
      <c r="J7" s="3">
        <v>48.97</v>
      </c>
      <c r="K7" s="3">
        <v>48.87</v>
      </c>
      <c r="L7" s="3">
        <v>48.96</v>
      </c>
      <c r="M7" s="3">
        <v>47.63</v>
      </c>
      <c r="N7" s="3">
        <v>47.45</v>
      </c>
      <c r="O7" s="3">
        <v>47.1</v>
      </c>
      <c r="P7" s="3">
        <v>47.17</v>
      </c>
      <c r="Q7" s="3">
        <v>47.16</v>
      </c>
    </row>
    <row r="8" ht="28.5" spans="1:97">
      <c r="A8" s="1" t="s">
        <v>1</v>
      </c>
      <c r="B8" s="2">
        <v>0.510416666666667</v>
      </c>
      <c r="C8" s="2">
        <v>0.520833333333333</v>
      </c>
      <c r="D8" s="2">
        <v>0.53125</v>
      </c>
      <c r="E8" s="2">
        <v>0.541666666666667</v>
      </c>
      <c r="F8" s="2">
        <v>0.552083333333333</v>
      </c>
      <c r="G8" s="2">
        <v>0.5625</v>
      </c>
      <c r="H8" s="2">
        <v>0.572916666666667</v>
      </c>
      <c r="I8" s="2">
        <v>0.583333333333333</v>
      </c>
      <c r="J8" s="2">
        <v>0.59375</v>
      </c>
      <c r="K8" s="2">
        <v>0.604166666666667</v>
      </c>
      <c r="L8" s="2">
        <v>0.614583333333333</v>
      </c>
      <c r="M8" s="2">
        <v>0.625</v>
      </c>
      <c r="N8" s="2">
        <v>0.635416666666667</v>
      </c>
      <c r="O8" s="2">
        <v>0.645833333333333</v>
      </c>
      <c r="P8" s="2">
        <v>0.65625</v>
      </c>
      <c r="Q8" s="2">
        <v>0.666666666666667</v>
      </c>
    </row>
    <row r="9" ht="16.5" spans="1:97">
      <c r="A9" s="1"/>
      <c r="B9" s="3">
        <v>47.16</v>
      </c>
      <c r="C9" s="3">
        <v>47.13</v>
      </c>
      <c r="D9" s="3">
        <v>47.13</v>
      </c>
      <c r="E9" s="3">
        <v>47.09</v>
      </c>
      <c r="F9" s="3">
        <v>46.99</v>
      </c>
      <c r="G9" s="3">
        <v>48.09</v>
      </c>
      <c r="H9" s="3">
        <v>48.42</v>
      </c>
      <c r="I9" s="3">
        <v>48.54</v>
      </c>
      <c r="J9" s="3">
        <v>48.49</v>
      </c>
      <c r="K9" s="3">
        <v>48.46</v>
      </c>
      <c r="L9" s="3">
        <v>47.95</v>
      </c>
      <c r="M9" s="3">
        <v>47.85</v>
      </c>
      <c r="N9" s="3">
        <v>47.01</v>
      </c>
      <c r="O9" s="3">
        <v>46.97</v>
      </c>
      <c r="P9" s="3">
        <v>46.71</v>
      </c>
      <c r="Q9" s="3">
        <v>46.66</v>
      </c>
    </row>
    <row r="10" ht="28.5" spans="1:97">
      <c r="A10" s="1" t="s">
        <v>1</v>
      </c>
      <c r="B10" s="2">
        <v>0.677083333333333</v>
      </c>
      <c r="C10" s="2">
        <v>0.6875</v>
      </c>
      <c r="D10" s="2">
        <v>0.697916666666667</v>
      </c>
      <c r="E10" s="2">
        <v>0.708333333333333</v>
      </c>
      <c r="F10" s="2">
        <v>0.71875</v>
      </c>
      <c r="G10" s="2">
        <v>0.729166666666667</v>
      </c>
      <c r="H10" s="2">
        <v>0.739583333333333</v>
      </c>
      <c r="I10" s="2">
        <v>0.75</v>
      </c>
      <c r="J10" s="2">
        <v>0.760416666666667</v>
      </c>
      <c r="K10" s="2">
        <v>0.770833333333333</v>
      </c>
      <c r="L10" s="2">
        <v>0.78125</v>
      </c>
      <c r="M10" s="2">
        <v>0.791666666666667</v>
      </c>
      <c r="N10" s="2">
        <v>0.802083333333333</v>
      </c>
      <c r="O10" s="2">
        <v>0.8125</v>
      </c>
      <c r="P10" s="2">
        <v>0.822916666666667</v>
      </c>
      <c r="Q10" s="2">
        <v>0.833333333333333</v>
      </c>
    </row>
    <row r="11" ht="16.5" spans="1:97">
      <c r="A11" s="1"/>
      <c r="B11" s="3">
        <v>47.39</v>
      </c>
      <c r="C11" s="3">
        <v>47.32</v>
      </c>
      <c r="D11" s="3">
        <v>47.81</v>
      </c>
      <c r="E11" s="3">
        <v>51.66</v>
      </c>
      <c r="F11" s="3">
        <v>56.97</v>
      </c>
      <c r="G11" s="3">
        <v>59.66</v>
      </c>
      <c r="H11" s="3">
        <v>60.85</v>
      </c>
      <c r="I11" s="3">
        <v>61.7</v>
      </c>
      <c r="J11" s="3">
        <v>62.56</v>
      </c>
      <c r="K11" s="3">
        <v>62.69</v>
      </c>
      <c r="L11" s="3">
        <v>64.41</v>
      </c>
      <c r="M11" s="3">
        <v>64.37</v>
      </c>
      <c r="N11" s="3">
        <v>65.7</v>
      </c>
      <c r="O11" s="3">
        <v>65.57</v>
      </c>
      <c r="P11" s="3">
        <v>63.87</v>
      </c>
      <c r="Q11" s="3">
        <v>62.99</v>
      </c>
    </row>
    <row r="12" ht="28.5" spans="1:97">
      <c r="A12" s="1" t="s">
        <v>1</v>
      </c>
      <c r="B12" s="2">
        <v>0.84375</v>
      </c>
      <c r="C12" s="2">
        <v>0.854166666666667</v>
      </c>
      <c r="D12" s="2">
        <v>0.864583333333333</v>
      </c>
      <c r="E12" s="2">
        <v>0.875</v>
      </c>
      <c r="F12" s="2">
        <v>0.885416666666667</v>
      </c>
      <c r="G12" s="2">
        <v>0.895833333333333</v>
      </c>
      <c r="H12" s="2">
        <v>0.90625</v>
      </c>
      <c r="I12" s="2">
        <v>0.916666666666667</v>
      </c>
      <c r="J12" s="2">
        <v>0.927083333333333</v>
      </c>
      <c r="K12" s="2">
        <v>0.9375</v>
      </c>
      <c r="L12" s="2">
        <v>0.947916666666667</v>
      </c>
      <c r="M12" s="2">
        <v>0.958333333333333</v>
      </c>
      <c r="N12" s="2">
        <v>0.96875</v>
      </c>
      <c r="O12" s="2">
        <v>0.979166666666667</v>
      </c>
      <c r="P12" s="2">
        <v>0.989583333333333</v>
      </c>
      <c r="Q12" s="6">
        <v>1</v>
      </c>
    </row>
    <row r="13" ht="16.5" spans="1:97">
      <c r="A13" s="1"/>
      <c r="B13" s="3">
        <v>62.71</v>
      </c>
      <c r="C13" s="3">
        <v>61.16</v>
      </c>
      <c r="D13" s="3">
        <v>56.88</v>
      </c>
      <c r="E13" s="3">
        <v>56.9</v>
      </c>
      <c r="F13" s="3">
        <v>57.3</v>
      </c>
      <c r="G13" s="3">
        <v>56.4</v>
      </c>
      <c r="H13" s="3">
        <v>56.31</v>
      </c>
      <c r="I13" s="3">
        <v>55.86</v>
      </c>
      <c r="J13" s="3">
        <v>55.81</v>
      </c>
      <c r="K13" s="3">
        <v>55.73</v>
      </c>
      <c r="L13" s="3">
        <v>55.89</v>
      </c>
      <c r="M13" s="3">
        <v>55.28</v>
      </c>
      <c r="N13" s="3">
        <v>55.25</v>
      </c>
      <c r="O13" s="3">
        <v>55.02</v>
      </c>
      <c r="P13" s="3">
        <v>55.08</v>
      </c>
      <c r="Q13" s="3">
        <v>54.9</v>
      </c>
    </row>
    <row r="15" spans="1:97">
      <c r="A15" s="1"/>
    </row>
    <row r="16" spans="1:97">
      <c r="B16" cm="1">
        <f t="array" ref="B16:Q16">B3:Q3</f>
        <v>54.78</v>
      </c>
      <c r="C16">
        <v>57.81</v>
      </c>
      <c r="D16">
        <v>57.55</v>
      </c>
      <c r="E16">
        <v>55.74</v>
      </c>
      <c r="F16">
        <v>55.46</v>
      </c>
      <c r="G16">
        <v>54.8</v>
      </c>
      <c r="H16">
        <v>55.03</v>
      </c>
      <c r="I16">
        <v>56.65</v>
      </c>
      <c r="J16">
        <v>56.64</v>
      </c>
      <c r="K16">
        <v>56.51</v>
      </c>
      <c r="L16">
        <v>56.56</v>
      </c>
      <c r="M16">
        <v>56.31</v>
      </c>
      <c r="N16">
        <v>56.21</v>
      </c>
      <c r="O16">
        <v>56.16</v>
      </c>
      <c r="P16">
        <v>56.13</v>
      </c>
      <c r="Q16">
        <v>56.1</v>
      </c>
      <c r="R16" cm="1">
        <f t="array" ref="R16:AG16">B5:Q5</f>
        <v>54.45</v>
      </c>
      <c r="S16">
        <v>54.35</v>
      </c>
      <c r="T16">
        <v>54.39</v>
      </c>
      <c r="U16">
        <v>53.58</v>
      </c>
      <c r="V16">
        <v>53.61</v>
      </c>
      <c r="W16">
        <v>53.2</v>
      </c>
      <c r="X16">
        <v>53.08</v>
      </c>
      <c r="Y16">
        <v>53.1</v>
      </c>
      <c r="Z16">
        <v>52.98</v>
      </c>
      <c r="AA16">
        <v>52.52</v>
      </c>
      <c r="AB16">
        <v>52.44</v>
      </c>
      <c r="AC16">
        <v>52.43</v>
      </c>
      <c r="AD16">
        <v>53.04</v>
      </c>
      <c r="AE16">
        <v>53.29</v>
      </c>
      <c r="AF16">
        <v>53.3</v>
      </c>
      <c r="AG16">
        <v>53.11</v>
      </c>
      <c r="AH16" cm="1">
        <f t="array" ref="AH16:AW16">B7:Q7</f>
        <v>52.63</v>
      </c>
      <c r="AI16">
        <v>50.05</v>
      </c>
      <c r="AJ16">
        <v>50.04</v>
      </c>
      <c r="AK16">
        <v>50.06</v>
      </c>
      <c r="AL16">
        <v>50.17</v>
      </c>
      <c r="AM16">
        <v>50.13</v>
      </c>
      <c r="AN16">
        <v>49.42</v>
      </c>
      <c r="AO16">
        <v>49.36</v>
      </c>
      <c r="AP16">
        <v>48.97</v>
      </c>
      <c r="AQ16">
        <v>48.87</v>
      </c>
      <c r="AR16">
        <v>48.96</v>
      </c>
      <c r="AS16">
        <v>47.63</v>
      </c>
      <c r="AT16">
        <v>47.45</v>
      </c>
      <c r="AU16">
        <v>47.1</v>
      </c>
      <c r="AV16">
        <v>47.17</v>
      </c>
      <c r="AW16">
        <v>47.16</v>
      </c>
      <c r="AX16" cm="1">
        <f t="array" ref="AX16:BM16">B9:Q9</f>
        <v>47.16</v>
      </c>
      <c r="AY16">
        <v>47.13</v>
      </c>
      <c r="AZ16">
        <v>47.13</v>
      </c>
      <c r="BA16">
        <v>47.09</v>
      </c>
      <c r="BB16">
        <v>46.99</v>
      </c>
      <c r="BC16">
        <v>48.09</v>
      </c>
      <c r="BD16">
        <v>48.42</v>
      </c>
      <c r="BE16">
        <v>48.54</v>
      </c>
      <c r="BF16">
        <v>48.49</v>
      </c>
      <c r="BG16">
        <v>48.46</v>
      </c>
      <c r="BH16">
        <v>47.95</v>
      </c>
      <c r="BI16">
        <v>47.85</v>
      </c>
      <c r="BJ16">
        <v>47.01</v>
      </c>
      <c r="BK16">
        <v>46.97</v>
      </c>
      <c r="BL16">
        <v>46.71</v>
      </c>
      <c r="BM16">
        <v>46.66</v>
      </c>
      <c r="BN16" cm="1">
        <f t="array" ref="BN16:CC16">B11:Q11</f>
        <v>47.39</v>
      </c>
      <c r="BO16">
        <v>47.32</v>
      </c>
      <c r="BP16">
        <v>47.81</v>
      </c>
      <c r="BQ16">
        <v>51.66</v>
      </c>
      <c r="BR16">
        <v>56.97</v>
      </c>
      <c r="BS16">
        <v>59.66</v>
      </c>
      <c r="BT16">
        <v>60.85</v>
      </c>
      <c r="BU16">
        <v>61.7</v>
      </c>
      <c r="BV16">
        <v>62.56</v>
      </c>
      <c r="BW16">
        <v>62.69</v>
      </c>
      <c r="BX16">
        <v>64.41</v>
      </c>
      <c r="BY16">
        <v>64.37</v>
      </c>
      <c r="BZ16">
        <v>65.7</v>
      </c>
      <c r="CA16">
        <v>65.57</v>
      </c>
      <c r="CB16">
        <v>63.87</v>
      </c>
      <c r="CC16">
        <v>62.99</v>
      </c>
      <c r="CD16" cm="1">
        <f t="array" ref="CD16:CS16">B13:Q13</f>
        <v>62.71</v>
      </c>
      <c r="CE16">
        <v>61.16</v>
      </c>
      <c r="CF16">
        <v>56.88</v>
      </c>
      <c r="CG16">
        <v>56.9</v>
      </c>
      <c r="CH16">
        <v>57.3</v>
      </c>
      <c r="CI16">
        <v>56.4</v>
      </c>
      <c r="CJ16">
        <v>56.31</v>
      </c>
      <c r="CK16">
        <v>55.86</v>
      </c>
      <c r="CL16">
        <v>55.81</v>
      </c>
      <c r="CM16">
        <v>55.73</v>
      </c>
      <c r="CN16">
        <v>55.89</v>
      </c>
      <c r="CO16">
        <v>55.28</v>
      </c>
      <c r="CP16">
        <v>55.25</v>
      </c>
      <c r="CQ16">
        <v>55.02</v>
      </c>
      <c r="CR16">
        <v>55.08</v>
      </c>
      <c r="CS16">
        <v>54.9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负荷</vt:lpstr>
      <vt:lpstr>水电</vt:lpstr>
      <vt:lpstr>核电</vt:lpstr>
      <vt:lpstr>地方燃煤</vt:lpstr>
      <vt:lpstr>风电</vt:lpstr>
      <vt:lpstr>光伏</vt:lpstr>
      <vt:lpstr>联络线</vt:lpstr>
      <vt:lpstr>非市场化</vt:lpstr>
      <vt:lpstr>检修容量</vt:lpstr>
      <vt:lpstr>装机容量</vt:lpstr>
      <vt:lpstr>火电空间</vt:lpstr>
      <vt:lpstr>7日火电空间</vt:lpstr>
      <vt:lpstr>1日火电空间</vt:lpstr>
      <vt:lpstr>集中式风电</vt:lpstr>
      <vt:lpstr>集中式光伏</vt:lpstr>
      <vt:lpstr>分散式风电</vt:lpstr>
      <vt:lpstr>分布式光伏</vt:lpstr>
      <vt:lpstr>地方水电</vt:lpstr>
      <vt:lpstr>抽蓄水电</vt:lpstr>
      <vt:lpstr>日前负荷率</vt:lpstr>
      <vt:lpstr>24点平均日前负荷率</vt:lpstr>
      <vt:lpstr>日前电价</vt:lpstr>
      <vt:lpstr>日前开机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张家睿</dc:creator>
  <cp:lastModifiedBy>何金泽</cp:lastModifiedBy>
  <dcterms:created xsi:type="dcterms:W3CDTF">2023-05-12T11:15:00Z</dcterms:created>
  <dcterms:modified xsi:type="dcterms:W3CDTF">2026-09-01T02:57:05Z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48762B8E9A7A4927B4BF2B5D38FACBF3_13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